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drawings/drawing1.xml" ContentType="application/vnd.openxmlformats-officedocument.drawing+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drawings/drawing2.xml" ContentType="application/vnd.openxmlformats-officedocument.drawing+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 yWindow="-98" windowWidth="25996" windowHeight="10276" tabRatio="500" firstSheet="0" activeTab="0" autoFilterDateGrouping="1"/>
  </bookViews>
  <sheets>
    <sheet name="KSA — Regulator Master" sheetId="1" state="visible" r:id="rId1"/>
    <sheet name="KSA — GRC Dashboard" sheetId="2" state="visible" r:id="rId2"/>
    <sheet name="Navigation Hub" sheetId="3" state="visible" r:id="rId3"/>
    <sheet name="GRC Linkage Engine" sheetId="4" state="visible" r:id="rId4"/>
    <sheet name="Content Eval &amp; Shahin-AI" sheetId="5" state="visible" r:id="rId5"/>
    <sheet name="All 108 Regulators - Frameworks" sheetId="6" state="visible" r:id="rId6"/>
    <sheet name="Per-Regulator Summary" sheetId="7" state="visible" r:id="rId7"/>
    <sheet name="HC IoT Priority Ranked" sheetId="8" state="visible" r:id="rId8"/>
    <sheet name="Version Details Reference" sheetId="9" state="visible" r:id="rId9"/>
    <sheet name="HC IoT Compliance Checklist" sheetId="10" state="visible" r:id="rId10"/>
    <sheet name="Framework Debate Matrix" sheetId="11" state="visible" r:id="rId11"/>
    <sheet name="Knowledge Foundation" sheetId="12" state="visible" r:id="rId12"/>
    <sheet name="Learning Pathway" sheetId="13" state="visible" r:id="rId13"/>
    <sheet name="GH-ICGA Positioning Matrix" sheetId="14" state="visible" r:id="rId14"/>
    <sheet name="KSA GRC Architecture Map" sheetId="15" state="visible" r:id="rId15"/>
    <sheet name="Risk Domain Coverage Matrix" sheetId="16" state="visible" r:id="rId16"/>
    <sheet name="Sector × Framework Matrix" sheetId="17" state="visible" r:id="rId17"/>
    <sheet name="Audit Universe (All Sectors)" sheetId="18" state="visible" r:id="rId18"/>
    <sheet name="KRI Dashboard (All Sectors)" sheetId="19" state="visible" r:id="rId19"/>
    <sheet name="GRC Maturity (All Sectors)" sheetId="20" state="visible" r:id="rId20"/>
    <sheet name="GRC Intelligence Engine" sheetId="21" state="visible" r:id="rId21"/>
    <sheet name="Executive Command Centre" sheetId="22" state="visible" r:id="rId22"/>
    <sheet name="Regulatory Change Log" sheetId="23" state="visible" r:id="rId23"/>
    <sheet name="Framework Dependencies" sheetId="24" state="visible" r:id="rId24"/>
    <sheet name="Compliance Calculator" sheetId="25" state="visible" r:id="rId25"/>
    <sheet name="Global GRC Benchmark" sheetId="26" state="visible" r:id="rId26"/>
    <sheet name="🇦🇪 United Arab Emirates" sheetId="27" state="visible" r:id="rId27"/>
    <sheet name="🇶🇦 Qatar" sheetId="28" state="visible" r:id="rId28"/>
    <sheet name="🇧🇭 Bahrain" sheetId="29" state="visible" r:id="rId29"/>
    <sheet name="🇰🇼 Kuwait" sheetId="30" state="visible" r:id="rId30"/>
    <sheet name="🇴🇲 Oman" sheetId="31" state="visible" r:id="rId31"/>
    <sheet name="🇯🇴 Jordan" sheetId="32" state="visible" r:id="rId32"/>
    <sheet name="🇪🇬 Egypt" sheetId="33" state="visible" r:id="rId33"/>
    <sheet name="🇹🇷 Turkey (Türkiye)" sheetId="34" state="visible" r:id="rId34"/>
    <sheet name="🇨🇾 Cyprus (EU Member)" sheetId="35" state="visible" r:id="rId35"/>
    <sheet name="🇬🇧 United Kingdom" sheetId="36" state="visible" r:id="rId36"/>
    <sheet name="🇺🇸 United States of America" sheetId="37" state="visible" r:id="rId37"/>
    <sheet name="⚠️ Fragile States" sheetId="38" state="visible" r:id="rId38"/>
    <sheet name="🌐 International Bodies" sheetId="39" state="visible" r:id="rId39"/>
    <sheet name="Global Coverage Matrix" sheetId="40" state="visible" r:id="rId40"/>
    <sheet name="KSA — Sector Drill-Down" sheetId="41" state="visible" r:id="rId41"/>
    <sheet name="KSA — Org Type Matrix" sheetId="42" state="visible" r:id="rId42"/>
    <sheet name="KSA — Org Size Guide" sheetId="43" state="visible" r:id="rId43"/>
    <sheet name="KSA — Framework Master" sheetId="44" state="visible" r:id="rId44"/>
    <sheet name="KSA — Evidence Matrix" sheetId="45" state="visible" r:id="rId45"/>
    <sheet name="KSA — Risk Matrix" sheetId="46" state="visible" r:id="rId46"/>
  </sheets>
  <definedNames/>
  <calcPr calcId="191029" fullCalcOnLoad="1" iterateDelta="0.0001"/>
</workbook>
</file>

<file path=xl/styles.xml><?xml version="1.0" encoding="utf-8"?>
<styleSheet xmlns="http://schemas.openxmlformats.org/spreadsheetml/2006/main">
  <numFmts count="3">
    <numFmt numFmtId="164" formatCode="0.0"/>
    <numFmt numFmtId="165" formatCode="0.0%"/>
    <numFmt numFmtId="166" formatCode="yyyy\-mm\-dd"/>
  </numFmts>
  <fonts count="150">
    <font>
      <name val="Calibri"/>
      <charset val="1"/>
      <family val="2"/>
      <color theme="1"/>
      <sz val="11"/>
    </font>
    <font>
      <name val="Arial"/>
      <charset val="1"/>
      <b val="1"/>
      <color rgb="FFFFFFFF"/>
      <sz val="9"/>
    </font>
    <font>
      <name val="Arial"/>
      <charset val="1"/>
      <b val="1"/>
      <color rgb="FFFFFFFF"/>
      <sz val="10"/>
    </font>
    <font>
      <name val="Arial"/>
      <charset val="1"/>
      <b val="1"/>
      <color rgb="FF222222"/>
      <sz val="9"/>
    </font>
    <font>
      <name val="Arial"/>
      <charset val="1"/>
      <b val="1"/>
      <color rgb="FF3B2D87"/>
      <sz val="9"/>
    </font>
    <font>
      <name val="Arial"/>
      <charset val="1"/>
      <color rgb="FF222222"/>
      <sz val="9"/>
    </font>
    <font>
      <name val="Arial"/>
      <charset val="1"/>
      <b val="1"/>
      <color rgb="FF155724"/>
      <sz val="8"/>
    </font>
    <font>
      <name val="Arial"/>
      <charset val="1"/>
      <b val="1"/>
      <color rgb="FF0D6E44"/>
      <sz val="9"/>
    </font>
    <font>
      <name val="Arial"/>
      <charset val="1"/>
      <color rgb="FF1A6FAF"/>
      <sz val="9"/>
    </font>
    <font>
      <name val="Arial"/>
      <charset val="1"/>
      <color rgb="FF1D6FA3"/>
      <sz val="9"/>
    </font>
    <font>
      <name val="Arial"/>
      <charset val="1"/>
      <b val="1"/>
      <color rgb="FF155724"/>
      <sz val="9"/>
    </font>
    <font>
      <name val="Arial"/>
      <charset val="1"/>
      <color rgb="FF2B4D8C"/>
      <sz val="9"/>
    </font>
    <font>
      <name val="Arial"/>
      <charset val="1"/>
      <color rgb="FF8B0000"/>
      <sz val="9"/>
    </font>
    <font>
      <name val="Arial"/>
      <charset val="1"/>
      <color rgb="FF005F6B"/>
      <sz val="9"/>
    </font>
    <font>
      <name val="Arial"/>
      <charset val="1"/>
      <b val="1"/>
      <color rgb="FF7A5500"/>
      <sz val="8"/>
    </font>
    <font>
      <name val="Arial"/>
      <charset val="1"/>
      <color rgb="FF0D6E44"/>
      <sz val="9"/>
    </font>
    <font>
      <name val="Arial"/>
      <charset val="1"/>
      <b val="1"/>
      <color rgb="FF1A3557"/>
      <sz val="9"/>
    </font>
    <font>
      <name val="Arial"/>
      <charset val="1"/>
      <b val="1"/>
      <color rgb="FFFFFFFF"/>
      <sz val="8"/>
    </font>
    <font>
      <name val="Arial"/>
      <charset val="1"/>
      <color rgb="FF085041"/>
      <sz val="8"/>
    </font>
    <font>
      <name val="Arial"/>
      <charset val="1"/>
      <color rgb="FF3B2D87"/>
      <sz val="9"/>
    </font>
    <font>
      <name val="Arial"/>
      <charset val="1"/>
      <color rgb="FF1A3557"/>
      <sz val="8"/>
    </font>
    <font>
      <name val="Arial"/>
      <charset val="1"/>
      <color rgb="FF8B0000"/>
      <sz val="8"/>
    </font>
    <font>
      <name val="Arial"/>
      <charset val="1"/>
      <b val="1"/>
      <color rgb="FF7A1A0A"/>
      <sz val="9"/>
    </font>
    <font>
      <name val="Arial"/>
      <charset val="1"/>
      <b val="1"/>
      <color rgb="FF5F5E5A"/>
      <sz val="8"/>
    </font>
    <font>
      <name val="Arial"/>
      <charset val="1"/>
      <b val="1"/>
      <color rgb="FF533F03"/>
      <sz val="9"/>
    </font>
    <font>
      <name val="Arial"/>
      <charset val="1"/>
      <color rgb="FF856404"/>
      <sz val="9"/>
    </font>
    <font>
      <name val="Arial"/>
      <charset val="1"/>
      <b val="1"/>
      <color rgb="FF5F5E5A"/>
      <sz val="9"/>
    </font>
    <font>
      <name val="Arial"/>
      <charset val="1"/>
      <color rgb="FF444444"/>
      <sz val="9"/>
    </font>
    <font>
      <name val="Arial"/>
      <charset val="1"/>
      <b val="1"/>
      <color rgb="FF8B0000"/>
      <sz val="9"/>
    </font>
    <font>
      <name val="Arial"/>
      <charset val="1"/>
      <b val="1"/>
      <color rgb="FF0C5460"/>
      <sz val="8"/>
    </font>
    <font>
      <name val="Arial"/>
      <charset val="1"/>
      <b val="1"/>
      <color rgb="FF0C447C"/>
      <sz val="8"/>
    </font>
    <font>
      <name val="Arial"/>
      <charset val="1"/>
      <b val="1"/>
      <color rgb="FF0D6E44"/>
      <sz val="8"/>
    </font>
    <font>
      <name val="Arial"/>
      <charset val="1"/>
      <b val="1"/>
      <color rgb="FF856404"/>
      <sz val="8"/>
    </font>
    <font>
      <name val="Arial"/>
      <charset val="1"/>
      <b val="1"/>
      <color rgb="FF4A4A00"/>
      <sz val="8"/>
    </font>
    <font>
      <name val="Arial"/>
      <charset val="1"/>
      <b val="1"/>
      <color rgb="FF7A5500"/>
      <sz val="9"/>
    </font>
    <font>
      <name val="Arial"/>
      <charset val="1"/>
      <b val="1"/>
      <color rgb="FF1A6FAF"/>
      <sz val="9"/>
    </font>
    <font>
      <name val="Arial"/>
      <charset val="1"/>
      <b val="1"/>
      <color rgb="FF8A6200"/>
      <sz val="9"/>
    </font>
    <font>
      <name val="Arial"/>
      <charset val="1"/>
      <b val="1"/>
      <color rgb="FF4A4A00"/>
      <sz val="9"/>
    </font>
    <font>
      <name val="Arial"/>
      <charset val="1"/>
      <b val="1"/>
      <color rgb="FF1D6FA3"/>
      <sz val="9"/>
    </font>
    <font>
      <name val="Arial"/>
      <charset val="1"/>
      <b val="1"/>
      <color rgb="FF1A5000"/>
      <sz val="9"/>
    </font>
    <font>
      <name val="Arial"/>
      <charset val="1"/>
      <b val="1"/>
      <color rgb="FF2A4A1A"/>
      <sz val="9"/>
    </font>
    <font>
      <name val="Arial"/>
      <charset val="1"/>
      <b val="1"/>
      <color rgb="FF5A3A00"/>
      <sz val="9"/>
    </font>
    <font>
      <name val="Arial"/>
      <charset val="1"/>
      <b val="1"/>
      <color rgb="FF2B3A8B"/>
      <sz val="9"/>
    </font>
    <font>
      <name val="Arial"/>
      <charset val="1"/>
      <b val="1"/>
      <color rgb="FF3D3D3D"/>
      <sz val="9"/>
    </font>
    <font>
      <name val="Arial"/>
      <charset val="1"/>
      <b val="1"/>
      <color rgb="FF5A2A7A"/>
      <sz val="9"/>
    </font>
    <font>
      <name val="Arial"/>
      <charset val="1"/>
      <b val="1"/>
      <color rgb="FF005F6B"/>
      <sz val="9"/>
    </font>
    <font>
      <name val="Arial"/>
      <charset val="1"/>
      <b val="1"/>
      <color rgb="FF003344"/>
      <sz val="9"/>
    </font>
    <font>
      <name val="Arial"/>
      <charset val="1"/>
      <b val="1"/>
      <color rgb="FF085041"/>
      <sz val="9"/>
    </font>
    <font>
      <name val="Arial"/>
      <charset val="1"/>
      <color rgb="FF085041"/>
      <sz val="9"/>
    </font>
    <font>
      <name val="Arial"/>
      <charset val="1"/>
      <color rgb="FF4A4A00"/>
      <sz val="9"/>
    </font>
    <font>
      <name val="Arial"/>
      <charset val="1"/>
      <color rgb="FF7A5500"/>
      <sz val="9"/>
    </font>
    <font>
      <name val="Arial"/>
      <charset val="1"/>
      <color rgb="FF8A6200"/>
      <sz val="9"/>
    </font>
    <font>
      <name val="Arial"/>
      <charset val="1"/>
      <color rgb="FF7A1A0A"/>
      <sz val="9"/>
    </font>
    <font>
      <name val="Arial"/>
      <charset val="1"/>
      <color rgb="FF1A5000"/>
      <sz val="9"/>
    </font>
    <font>
      <name val="Arial"/>
      <charset val="1"/>
      <color rgb="FF2A4A1A"/>
      <sz val="9"/>
    </font>
    <font>
      <name val="Arial"/>
      <charset val="1"/>
      <color rgb="FF5A3A00"/>
      <sz val="9"/>
    </font>
    <font>
      <name val="Arial"/>
      <charset val="1"/>
      <color rgb="FF2B3A8B"/>
      <sz val="9"/>
    </font>
    <font>
      <name val="Arial"/>
      <charset val="1"/>
      <color rgb="FF3D3D3D"/>
      <sz val="9"/>
    </font>
    <font>
      <name val="Arial"/>
      <charset val="1"/>
      <color rgb="FF5A2A7A"/>
      <sz val="9"/>
    </font>
    <font>
      <name val="Arial"/>
      <charset val="1"/>
      <color rgb="FF003344"/>
      <sz val="9"/>
    </font>
    <font>
      <name val="Arial"/>
      <charset val="1"/>
      <color rgb="FF1A3557"/>
      <sz val="9"/>
    </font>
    <font>
      <name val="Arial"/>
      <charset val="1"/>
      <b val="1"/>
      <color rgb="FF856404"/>
      <sz val="9"/>
    </font>
    <font>
      <name val="Arial"/>
      <charset val="1"/>
      <color rgb="FF155724"/>
      <sz val="9"/>
    </font>
    <font>
      <name val="Arial"/>
      <charset val="1"/>
      <b val="1"/>
      <color rgb="FFFFFFFF"/>
      <sz val="12"/>
    </font>
    <font>
      <name val="Arial"/>
      <charset val="1"/>
      <color rgb="FF7A5500"/>
      <sz val="8"/>
    </font>
    <font>
      <name val="Arial"/>
      <charset val="1"/>
      <b val="1"/>
      <color rgb="FF1A3557"/>
      <sz val="8"/>
    </font>
    <font>
      <name val="Arial"/>
      <charset val="1"/>
      <b val="1"/>
      <color rgb="FF8B0000"/>
      <sz val="8"/>
    </font>
    <font>
      <name val="Arial"/>
      <charset val="1"/>
      <color rgb="FF155724"/>
      <sz val="8"/>
    </font>
    <font>
      <name val="Arial"/>
      <charset val="1"/>
      <color rgb="FF2B4D8C"/>
      <sz val="8"/>
    </font>
    <font>
      <name val="Arial"/>
      <charset val="1"/>
      <color rgb="FF222222"/>
      <sz val="8"/>
    </font>
    <font>
      <name val="Arial"/>
      <charset val="1"/>
      <color rgb="FF005F6B"/>
      <sz val="8"/>
    </font>
    <font>
      <name val="Arial"/>
      <charset val="1"/>
      <b val="1"/>
      <color rgb="FFFFFFFF"/>
      <sz val="13"/>
    </font>
    <font>
      <name val="Arial"/>
      <charset val="1"/>
      <b val="1"/>
      <color rgb="FF3B2D87"/>
      <sz val="8"/>
    </font>
    <font>
      <name val="Arial"/>
      <charset val="1"/>
      <b val="1"/>
      <color rgb="FF1D6FA3"/>
      <sz val="8"/>
    </font>
    <font>
      <name val="Arial"/>
      <charset val="1"/>
      <color rgb="FFCCCCCC"/>
      <sz val="8"/>
    </font>
    <font>
      <name val="Arial"/>
      <charset val="1"/>
      <color rgb="FFCCCCCC"/>
      <sz val="9"/>
    </font>
    <font>
      <name val="Arial"/>
      <charset val="1"/>
      <color rgb="FF1A6FAF"/>
      <sz val="8"/>
    </font>
    <font>
      <name val="Arial"/>
      <charset val="1"/>
      <color rgb="FF856404"/>
      <sz val="8"/>
    </font>
    <font>
      <name val="Arial"/>
      <charset val="1"/>
      <color rgb="FF1B5E20"/>
      <sz val="8"/>
    </font>
    <font>
      <name val="Calibri"/>
      <charset val="1"/>
      <family val="2"/>
      <b val="1"/>
      <color rgb="FF1B3A5C"/>
      <sz val="18"/>
    </font>
    <font>
      <name val="Calibri"/>
      <charset val="1"/>
      <family val="2"/>
      <i val="1"/>
      <color rgb="FF5F6368"/>
      <sz val="10"/>
    </font>
    <font>
      <name val="Calibri"/>
      <charset val="1"/>
      <family val="2"/>
      <b val="1"/>
      <color rgb="FFFFFFFF"/>
      <sz val="12"/>
    </font>
    <font>
      <name val="Calibri"/>
      <charset val="1"/>
      <family val="2"/>
      <b val="1"/>
      <color rgb="FF1B3A5C"/>
      <sz val="11"/>
    </font>
    <font>
      <name val="Calibri"/>
      <charset val="1"/>
      <family val="2"/>
      <b val="1"/>
      <color rgb="FF1B3A5C"/>
      <sz val="14"/>
    </font>
    <font>
      <name val="Calibri"/>
      <charset val="1"/>
      <family val="2"/>
      <color rgb="FF888888"/>
      <sz val="11"/>
    </font>
    <font>
      <name val="Calibri"/>
      <charset val="1"/>
      <family val="2"/>
      <color rgb="FF888888"/>
      <sz val="9"/>
    </font>
    <font>
      <name val="Calibri"/>
      <charset val="1"/>
      <family val="2"/>
      <color rgb="FFD32F2F"/>
      <sz val="11"/>
    </font>
    <font>
      <name val="Calibri"/>
      <charset val="1"/>
      <family val="2"/>
      <b val="1"/>
      <color rgb="FFD32F2F"/>
      <sz val="14"/>
    </font>
    <font>
      <name val="Calibri"/>
      <charset val="1"/>
      <family val="2"/>
      <color rgb="FFF57C00"/>
      <sz val="11"/>
    </font>
    <font>
      <name val="Calibri"/>
      <charset val="1"/>
      <family val="2"/>
      <b val="1"/>
      <color rgb="FFF57C00"/>
      <sz val="14"/>
    </font>
    <font>
      <name val="Calibri"/>
      <charset val="1"/>
      <family val="2"/>
      <b val="1"/>
      <color rgb="FFFBC02D"/>
      <sz val="14"/>
    </font>
    <font>
      <name val="Calibri"/>
      <charset val="1"/>
      <family val="2"/>
      <color rgb="FF4CAF50"/>
      <sz val="11"/>
    </font>
    <font>
      <name val="Calibri"/>
      <charset val="1"/>
      <family val="2"/>
      <b val="1"/>
      <color rgb="FF4CAF50"/>
      <sz val="14"/>
    </font>
    <font>
      <name val="Calibri"/>
      <charset val="1"/>
      <family val="2"/>
      <b val="1"/>
      <color rgb="FF1B3A5C"/>
      <sz val="9"/>
    </font>
    <font>
      <name val="Calibri"/>
      <charset val="1"/>
      <family val="2"/>
      <b val="1"/>
      <color theme="1"/>
      <sz val="11"/>
    </font>
    <font>
      <name val="Calibri"/>
      <charset val="1"/>
      <family val="2"/>
      <b val="1"/>
      <color rgb="FFFFFFFF"/>
      <sz val="11"/>
    </font>
    <font>
      <name val="Calibri"/>
      <charset val="1"/>
      <family val="2"/>
      <b val="1"/>
      <color rgb="FF000000"/>
      <sz val="11"/>
    </font>
    <font>
      <name val="Calibri"/>
      <charset val="1"/>
      <family val="2"/>
      <b val="1"/>
      <color rgb="FFD32F2F"/>
      <sz val="11"/>
    </font>
    <font>
      <name val="Calibri"/>
      <charset val="1"/>
      <family val="2"/>
      <b val="1"/>
      <color rgb="FFFFFFFF"/>
      <sz val="20"/>
    </font>
    <font>
      <name val="Calibri"/>
      <charset val="1"/>
      <family val="2"/>
      <i val="1"/>
      <color rgb="FFB0BEC5"/>
      <sz val="10"/>
    </font>
    <font>
      <name val="Calibri"/>
      <charset val="1"/>
      <family val="2"/>
      <b val="1"/>
      <color rgb="FF1B3A5C"/>
      <sz val="12"/>
    </font>
    <font>
      <name val="Calibri"/>
      <charset val="1"/>
      <family val="2"/>
      <b val="1"/>
      <color rgb="FF5F6368"/>
      <sz val="9"/>
    </font>
    <font>
      <name val="Calibri"/>
      <charset val="1"/>
      <family val="2"/>
      <b val="1"/>
      <color rgb="FF1B3A5C"/>
      <sz val="24"/>
    </font>
    <font>
      <name val="Calibri"/>
      <charset val="1"/>
      <family val="2"/>
      <b val="1"/>
      <color rgb="FFD32F2F"/>
      <sz val="24"/>
    </font>
    <font>
      <name val="Calibri"/>
      <charset val="1"/>
      <family val="2"/>
      <b val="1"/>
      <color rgb="FFF57C00"/>
      <sz val="24"/>
    </font>
    <font>
      <name val="Calibri"/>
      <charset val="1"/>
      <family val="2"/>
      <b val="1"/>
      <color rgb="FF4CAF50"/>
      <sz val="24"/>
    </font>
    <font>
      <name val="Calibri"/>
      <charset val="1"/>
      <family val="2"/>
      <b val="1"/>
      <color rgb="FFFFFFFF"/>
      <sz val="16"/>
    </font>
    <font>
      <name val="Calibri"/>
      <charset val="1"/>
      <family val="2"/>
      <i val="1"/>
      <color rgb="FF5F6368"/>
      <sz val="9"/>
    </font>
    <font>
      <name val="Calibri"/>
      <charset val="1"/>
      <family val="2"/>
      <b val="1"/>
      <color rgb="FF0000FF"/>
      <sz val="12"/>
    </font>
    <font>
      <name val="Calibri"/>
      <charset val="1"/>
      <family val="2"/>
      <b val="1"/>
      <color rgb="FFD32F2F"/>
      <sz val="16"/>
    </font>
    <font>
      <name val="Calibri"/>
      <charset val="1"/>
      <family val="2"/>
      <b val="1"/>
      <color rgb="FF1B3A5C"/>
      <sz val="16"/>
    </font>
    <font>
      <name val="Calibri"/>
      <charset val="1"/>
      <family val="2"/>
      <i val="1"/>
      <color rgb="FF9E9E9E"/>
      <sz val="9"/>
    </font>
    <font>
      <name val="Calibri"/>
      <charset val="1"/>
      <family val="2"/>
      <b val="1"/>
      <color rgb="FFFFFFFF"/>
      <sz val="18"/>
    </font>
    <font>
      <name val="Calibri"/>
      <charset val="1"/>
      <family val="2"/>
      <b val="1"/>
      <color rgb="FF4CAF50"/>
      <sz val="11"/>
    </font>
    <font>
      <name val="Calibri"/>
      <charset val="1"/>
      <family val="2"/>
      <b val="1"/>
      <color theme="1"/>
      <sz val="14"/>
    </font>
    <font>
      <name val="Calibri"/>
      <charset val="1"/>
      <family val="2"/>
      <b val="1"/>
      <color rgb="FFF57C00"/>
      <sz val="11"/>
    </font>
    <font>
      <name val="Calibri"/>
      <charset val="1"/>
      <family val="2"/>
      <b val="1"/>
      <color rgb="FFFBC02D"/>
      <sz val="11"/>
    </font>
    <font>
      <name val="Calibri"/>
      <charset val="1"/>
      <family val="2"/>
      <b val="1"/>
      <color rgb="FF1565C0"/>
      <sz val="11"/>
    </font>
    <font>
      <name val="Calibri"/>
      <charset val="1"/>
      <family val="2"/>
      <b val="1"/>
      <color rgb="FFFFFFFF"/>
      <sz val="14"/>
    </font>
    <font>
      <name val="Calibri"/>
      <charset val="1"/>
      <family val="2"/>
      <b val="1"/>
      <color rgb="FF2E7D32"/>
      <sz val="16"/>
    </font>
    <font>
      <name val="Calibri"/>
      <charset val="1"/>
      <family val="2"/>
      <b val="1"/>
      <color rgb="FF2E7D32"/>
      <sz val="11"/>
    </font>
    <font>
      <name val="Calibri"/>
      <charset val="1"/>
      <family val="2"/>
      <b val="1"/>
      <color rgb="FFD32F2F"/>
      <sz val="12"/>
    </font>
    <font>
      <name val="Calibri"/>
      <charset val="1"/>
      <family val="2"/>
      <b val="1"/>
      <color rgb="FF0D47A1"/>
      <sz val="11"/>
    </font>
    <font>
      <name val="Calibri"/>
      <charset val="1"/>
      <family val="2"/>
      <b val="1"/>
      <color rgb="FFF57C00"/>
      <sz val="12"/>
    </font>
    <font>
      <name val="Calibri"/>
      <charset val="1"/>
      <family val="2"/>
      <b val="1"/>
      <color rgb="FFFBC02D"/>
      <sz val="12"/>
    </font>
    <font>
      <name val="Calibri"/>
      <charset val="1"/>
      <family val="2"/>
      <b val="1"/>
      <color rgb="FFF57C00"/>
      <sz val="16"/>
    </font>
    <font>
      <name val="Calibri"/>
      <charset val="1"/>
      <family val="2"/>
      <b val="1"/>
      <color rgb="FFFBC02D"/>
      <sz val="16"/>
    </font>
    <font>
      <name val="Calibri"/>
      <charset val="1"/>
      <family val="2"/>
      <b val="1"/>
      <color theme="1"/>
      <sz val="16"/>
    </font>
    <font>
      <name val="Calibri"/>
      <charset val="1"/>
      <family val="2"/>
      <b val="1"/>
      <color theme="1"/>
      <sz val="12"/>
    </font>
    <font>
      <name val="Consolas"/>
      <b val="1"/>
      <color theme="1"/>
      <sz val="11"/>
    </font>
    <font>
      <name val="Consolas"/>
      <b val="1"/>
      <color rgb="FFFFFFFF"/>
      <sz val="14"/>
    </font>
    <font>
      <name val="Calibri"/>
      <charset val="1"/>
      <family val="2"/>
      <b val="1"/>
      <color rgb="FF2E7D32"/>
      <sz val="12"/>
    </font>
    <font>
      <name val="Calibri"/>
      <charset val="1"/>
      <family val="2"/>
      <b val="1"/>
      <color rgb="FF0D47A1"/>
      <sz val="12"/>
    </font>
    <font>
      <name val="Calibri"/>
      <charset val="1"/>
      <family val="2"/>
      <b val="1"/>
      <color rgb="FF2E7D32"/>
      <sz val="14"/>
    </font>
    <font>
      <name val="Calibri"/>
      <charset val="1"/>
      <family val="2"/>
      <b val="1"/>
      <color rgb="FF2E7D32"/>
      <sz val="18"/>
    </font>
    <font>
      <name val="Calibri"/>
      <charset val="1"/>
      <family val="2"/>
      <b val="1"/>
      <color rgb="FFE65100"/>
      <sz val="11"/>
    </font>
    <font>
      <name val="Calibri"/>
      <charset val="1"/>
      <family val="2"/>
      <b val="1"/>
      <color rgb="FF6A1B9A"/>
      <sz val="11"/>
    </font>
    <font>
      <name val="Calibri"/>
      <charset val="1"/>
      <family val="2"/>
      <b val="1"/>
      <color rgb="FFC62828"/>
      <sz val="11"/>
    </font>
    <font>
      <name val="Calibri"/>
      <b val="1"/>
      <color rgb="FF1A237E"/>
      <sz val="14"/>
    </font>
    <font>
      <name val="Calibri"/>
      <b val="1"/>
      <color rgb="FFFFFFFF"/>
      <sz val="11"/>
    </font>
    <font>
      <name val="Calibri"/>
      <b val="1"/>
      <color rgb="FFFFFFFF"/>
      <sz val="10"/>
    </font>
    <font>
      <name val="Calibri"/>
      <sz val="10"/>
    </font>
    <font>
      <name val="Calibri"/>
      <b val="1"/>
      <color rgb="FFFFFFFF"/>
      <sz val="13"/>
    </font>
    <font>
      <name val="Calibri"/>
      <i val="1"/>
      <color rgb="FF555555"/>
      <sz val="9"/>
    </font>
    <font>
      <name val="Calibri"/>
      <b val="1"/>
      <color rgb="FFFFFFFF"/>
      <sz val="15"/>
    </font>
    <font>
      <name val="Calibri"/>
      <b val="1"/>
      <sz val="9"/>
    </font>
    <font>
      <name val="Calibri"/>
      <sz val="9"/>
    </font>
    <font>
      <name val="Calibri"/>
      <color rgb="FF555555"/>
      <sz val="8"/>
    </font>
    <font>
      <name val="Calibri"/>
      <sz val="8"/>
    </font>
    <font>
      <name val="Calibri"/>
      <b val="1"/>
      <sz val="8"/>
    </font>
  </fonts>
  <fills count="127">
    <fill>
      <patternFill/>
    </fill>
    <fill>
      <patternFill patternType="gray125"/>
    </fill>
    <fill>
      <patternFill patternType="darkGray">
        <fgColor rgb="FF1B2C3E"/>
        <bgColor rgb="FF003344"/>
      </patternFill>
    </fill>
    <fill>
      <patternFill patternType="solid">
        <fgColor rgb="FF2B4D8C"/>
        <bgColor rgb="FF2B3A8B"/>
      </patternFill>
    </fill>
    <fill>
      <patternFill patternType="solid">
        <fgColor rgb="FF3B2D87"/>
        <bgColor rgb="FF2B3A8B"/>
      </patternFill>
    </fill>
    <fill>
      <patternFill patternType="solid">
        <fgColor rgb="FF8B0000"/>
        <bgColor rgb="FF7A1A0A"/>
      </patternFill>
    </fill>
    <fill>
      <patternFill patternType="solid">
        <fgColor rgb="FF005F6B"/>
        <bgColor rgb="FF084F49"/>
      </patternFill>
    </fill>
    <fill>
      <patternFill patternType="solid">
        <fgColor rgb="FF7A5500"/>
        <bgColor rgb="FF856404"/>
      </patternFill>
    </fill>
    <fill>
      <patternFill patternType="solid">
        <fgColor rgb="FF0D6E44"/>
        <bgColor rgb="FF005F6B"/>
      </patternFill>
    </fill>
    <fill>
      <patternFill patternType="solid">
        <fgColor rgb="FF1D6FA3"/>
        <bgColor rgb="FF1A6FAF"/>
      </patternFill>
    </fill>
    <fill>
      <patternFill patternType="mediumGray">
        <fgColor rgb="FF0C513F"/>
        <bgColor rgb="FF084F49"/>
      </patternFill>
    </fill>
    <fill>
      <patternFill patternType="mediumGray">
        <fgColor rgb="FFAE160B"/>
        <bgColor rgb="FF7A1A0A"/>
      </patternFill>
    </fill>
    <fill>
      <patternFill patternType="solid">
        <fgColor rgb="FFEEEDFE"/>
        <bgColor rgb="FFE6EFF7"/>
      </patternFill>
    </fill>
    <fill>
      <patternFill patternType="solid">
        <fgColor rgb="FFD4EDDA"/>
        <bgColor rgb="FFD1ECF1"/>
      </patternFill>
    </fill>
    <fill>
      <patternFill patternType="solid">
        <fgColor rgb="FFE6F0F8"/>
        <bgColor rgb="FFE6EFF7"/>
      </patternFill>
    </fill>
    <fill>
      <patternFill patternType="solid">
        <fgColor rgb="FFFFFFFF"/>
        <bgColor rgb="FFFAFAFA"/>
      </patternFill>
    </fill>
    <fill>
      <patternFill patternType="solid">
        <fgColor rgb="FFF3F2F2"/>
        <bgColor rgb="FFF5F5F6"/>
      </patternFill>
    </fill>
    <fill>
      <patternFill patternType="solid">
        <fgColor rgb="FFE1F5EE"/>
        <bgColor rgb="FFE1F5F5"/>
      </patternFill>
    </fill>
    <fill>
      <patternFill patternType="solid">
        <fgColor rgb="FFFFF3CD"/>
        <bgColor rgb="FFFFF8E1"/>
      </patternFill>
    </fill>
    <fill>
      <patternFill patternType="darkGray">
        <fgColor rgb="FFF5F5F6"/>
        <bgColor rgb="FFF3F2F2"/>
      </patternFill>
    </fill>
    <fill>
      <patternFill patternType="solid">
        <fgColor rgb="FFFCECEC"/>
        <bgColor rgb="FFFCEBEB"/>
      </patternFill>
    </fill>
    <fill>
      <patternFill patternType="solid">
        <fgColor rgb="FFD1ECF1"/>
        <bgColor rgb="FFD4EDDA"/>
      </patternFill>
    </fill>
    <fill>
      <patternFill patternType="solid">
        <fgColor rgb="FF2B3A8B"/>
        <bgColor rgb="FF3B2D87"/>
      </patternFill>
    </fill>
    <fill>
      <patternFill patternType="solid">
        <fgColor rgb="FFF5F5E1"/>
        <bgColor rgb="FFFFF8E1"/>
      </patternFill>
    </fill>
    <fill>
      <patternFill patternType="solid">
        <fgColor rgb="FF1A6FAF"/>
        <bgColor rgb="FF1D6FA3"/>
      </patternFill>
    </fill>
    <fill>
      <patternFill patternType="solid">
        <fgColor rgb="FFE6EFF7"/>
        <bgColor rgb="FFE6F0F8"/>
      </patternFill>
    </fill>
    <fill>
      <patternFill patternType="solid">
        <fgColor rgb="FF856404"/>
        <bgColor rgb="FF7A5500"/>
      </patternFill>
    </fill>
    <fill>
      <patternFill patternType="solid">
        <fgColor rgb="FFFFF8E1"/>
        <bgColor rgb="FFFFF8E6"/>
      </patternFill>
    </fill>
    <fill>
      <patternFill patternType="solid">
        <fgColor rgb="FF4A4A00"/>
        <bgColor rgb="FF533F03"/>
      </patternFill>
    </fill>
    <fill>
      <patternFill patternType="solid">
        <fgColor rgb="FFFCEBEB"/>
        <bgColor rgb="FFFCECEC"/>
      </patternFill>
    </fill>
    <fill>
      <patternFill patternType="solid">
        <fgColor rgb="FF1A5000"/>
        <bgColor rgb="FF2A4A1A"/>
      </patternFill>
    </fill>
    <fill>
      <patternFill patternType="solid">
        <fgColor rgb="FFE6F5E3"/>
        <bgColor rgb="FFEAF5E1"/>
      </patternFill>
    </fill>
    <fill>
      <patternFill patternType="darkGray">
        <fgColor rgb="FFE6F5E3"/>
        <bgColor rgb="FFEAF5E1"/>
      </patternFill>
    </fill>
    <fill>
      <patternFill patternType="solid">
        <fgColor rgb="FF2A4A1A"/>
        <bgColor rgb="FF1A5000"/>
      </patternFill>
    </fill>
    <fill>
      <patternFill patternType="solid">
        <fgColor rgb="FFEAF5E1"/>
        <bgColor rgb="FFE6F5E3"/>
      </patternFill>
    </fill>
    <fill>
      <patternFill patternType="solid">
        <fgColor rgb="FF5A3A00"/>
        <bgColor rgb="FF533F03"/>
      </patternFill>
    </fill>
    <fill>
      <patternFill patternType="solid">
        <fgColor rgb="FFFFF8E6"/>
        <bgColor rgb="FFFFF8E1"/>
      </patternFill>
    </fill>
    <fill>
      <patternFill patternType="solid">
        <fgColor rgb="FFE6E9F5"/>
        <bgColor rgb="FFE0EBF0"/>
      </patternFill>
    </fill>
    <fill>
      <patternFill patternType="solid">
        <fgColor rgb="FF3D3D3D"/>
        <bgColor rgb="FF444444"/>
      </patternFill>
    </fill>
    <fill>
      <patternFill patternType="solid">
        <fgColor rgb="FFF3F2F2"/>
        <bgColor rgb="FFF5F5F6"/>
      </patternFill>
    </fill>
    <fill>
      <patternFill patternType="solid">
        <fgColor rgb="FF5A2A7A"/>
        <bgColor rgb="FF3B2D87"/>
      </patternFill>
    </fill>
    <fill>
      <patternFill patternType="solid">
        <fgColor rgb="FFF3E6F5"/>
        <bgColor rgb="FFEEEDFE"/>
      </patternFill>
    </fill>
    <fill>
      <patternFill patternType="solid">
        <fgColor rgb="FFE1F5F5"/>
        <bgColor rgb="FFE1F5EE"/>
      </patternFill>
    </fill>
    <fill>
      <patternFill patternType="solid">
        <fgColor rgb="FF003344"/>
        <bgColor rgb="FF1B2C3E"/>
      </patternFill>
    </fill>
    <fill>
      <patternFill patternType="solid">
        <fgColor rgb="FFE0EBF0"/>
        <bgColor rgb="FFE6E9F5"/>
      </patternFill>
    </fill>
    <fill>
      <patternFill patternType="solid">
        <fgColor rgb="FF0C513F"/>
        <bgColor rgb="FF084F49"/>
      </patternFill>
    </fill>
    <fill>
      <patternFill patternType="solid">
        <fgColor rgb="FFF8F9FA"/>
        <bgColor rgb="FFFAFAFA"/>
      </patternFill>
    </fill>
    <fill>
      <patternFill patternType="solid">
        <fgColor rgb="FF165922"/>
        <bgColor rgb="FF0C513F"/>
      </patternFill>
    </fill>
    <fill>
      <patternFill patternType="solid">
        <fgColor rgb="FF533F03"/>
        <bgColor rgb="FF5A3A00"/>
      </patternFill>
    </fill>
    <fill>
      <patternFill patternType="solid">
        <fgColor rgb="FF5F5E5A"/>
        <bgColor rgb="FF444444"/>
      </patternFill>
    </fill>
    <fill>
      <patternFill patternType="solid">
        <fgColor rgb="FFF4F6FA"/>
        <bgColor rgb="FFF5F5F6"/>
      </patternFill>
    </fill>
    <fill>
      <patternFill patternType="solid">
        <fgColor rgb="FFF0FFF4"/>
        <bgColor rgb="FFF0F8FF"/>
      </patternFill>
    </fill>
    <fill>
      <patternFill patternType="solid">
        <fgColor rgb="FF165922"/>
        <bgColor rgb="FF1A5000"/>
      </patternFill>
    </fill>
    <fill>
      <patternFill patternType="solid">
        <fgColor rgb="FF444444"/>
        <bgColor rgb="FF3D3D3D"/>
      </patternFill>
    </fill>
    <fill>
      <patternFill patternType="solid">
        <fgColor rgb="FF2B8336"/>
        <bgColor rgb="FF0D6E44"/>
      </patternFill>
    </fill>
    <fill>
      <patternFill patternType="mediumGray">
        <fgColor rgb="FFF3F2F2"/>
        <bgColor rgb="FFFCECEC"/>
      </patternFill>
    </fill>
    <fill>
      <patternFill patternType="solid">
        <fgColor rgb="FF856404"/>
        <bgColor rgb="FF7A5500"/>
      </patternFill>
    </fill>
    <fill>
      <patternFill patternType="solid">
        <fgColor rgb="FF7A1A0A"/>
        <bgColor rgb="FF8B0000"/>
      </patternFill>
    </fill>
    <fill>
      <patternFill patternType="solid">
        <fgColor rgb="FFF5F5F6"/>
        <bgColor rgb="FFF4F6FA"/>
      </patternFill>
    </fill>
    <fill>
      <patternFill patternType="darkGray">
        <fgColor rgb="FFAE160B"/>
        <bgColor rgb="FFC26500"/>
      </patternFill>
    </fill>
    <fill>
      <patternFill patternType="solid">
        <fgColor rgb="FFC26500"/>
        <bgColor rgb="FF856404"/>
      </patternFill>
    </fill>
    <fill>
      <patternFill patternType="solid">
        <fgColor rgb="FFF0F8FF"/>
        <bgColor rgb="FFF4F6FA"/>
      </patternFill>
    </fill>
    <fill>
      <patternFill patternType="solid">
        <fgColor rgb="FFE6F5E3"/>
        <bgColor rgb="FFEAF5E1"/>
      </patternFill>
    </fill>
    <fill>
      <patternFill patternType="solid">
        <fgColor rgb="FFFAFAFA"/>
        <bgColor rgb="FFF8F9FA"/>
      </patternFill>
    </fill>
    <fill>
      <patternFill patternType="solid">
        <fgColor rgb="FFE8F0FE"/>
        <bgColor indexed="64"/>
      </patternFill>
    </fill>
    <fill>
      <patternFill patternType="solid">
        <fgColor rgb="FF1B3A5C"/>
        <bgColor indexed="64"/>
      </patternFill>
    </fill>
    <fill>
      <patternFill patternType="solid">
        <fgColor rgb="FFD6E4F0"/>
        <bgColor indexed="64"/>
      </patternFill>
    </fill>
    <fill>
      <patternFill patternType="solid">
        <fgColor rgb="FFD32F2F"/>
        <bgColor indexed="64"/>
      </patternFill>
    </fill>
    <fill>
      <patternFill patternType="solid">
        <fgColor rgb="FFF57C00"/>
        <bgColor indexed="64"/>
      </patternFill>
    </fill>
    <fill>
      <patternFill patternType="solid">
        <fgColor rgb="FFFBC02D"/>
        <bgColor indexed="64"/>
      </patternFill>
    </fill>
    <fill>
      <patternFill patternType="solid">
        <fgColor rgb="FF4CAF50"/>
        <bgColor indexed="64"/>
      </patternFill>
    </fill>
    <fill>
      <patternFill patternType="solid">
        <fgColor rgb="FFFFE0B2"/>
        <bgColor indexed="64"/>
      </patternFill>
    </fill>
    <fill>
      <patternFill patternType="solid">
        <fgColor rgb="FF0D47A1"/>
        <bgColor indexed="64"/>
      </patternFill>
    </fill>
    <fill>
      <patternFill patternType="solid">
        <fgColor rgb="FFFFFF00"/>
        <bgColor indexed="64"/>
      </patternFill>
    </fill>
    <fill>
      <patternFill patternType="solid">
        <fgColor rgb="FFE8F5E9"/>
        <bgColor indexed="64"/>
      </patternFill>
    </fill>
    <fill>
      <patternFill patternType="solid">
        <fgColor rgb="FFFFF3E0"/>
        <bgColor indexed="64"/>
      </patternFill>
    </fill>
    <fill>
      <patternFill patternType="solid">
        <fgColor rgb="FFE3F2FD"/>
        <bgColor indexed="64"/>
      </patternFill>
    </fill>
    <fill>
      <patternFill patternType="solid">
        <fgColor rgb="FFFCE4EC"/>
        <bgColor indexed="64"/>
      </patternFill>
    </fill>
    <fill>
      <patternFill patternType="solid">
        <fgColor rgb="FFF8F9FA"/>
      </patternFill>
    </fill>
    <fill>
      <patternFill patternType="solid">
        <fgColor rgb="FF1A237E"/>
      </patternFill>
    </fill>
    <fill>
      <patternFill patternType="solid">
        <fgColor rgb="FFC0392B"/>
      </patternFill>
    </fill>
    <fill>
      <patternFill patternType="solid">
        <fgColor rgb="FFFDE8E8"/>
      </patternFill>
    </fill>
    <fill>
      <patternFill patternType="solid">
        <fgColor rgb="FFFFF8DC"/>
      </patternFill>
    </fill>
    <fill>
      <patternFill patternType="solid">
        <fgColor rgb="FFE8F5E9"/>
      </patternFill>
    </fill>
    <fill>
      <patternFill patternType="solid">
        <fgColor rgb="FF283593"/>
      </patternFill>
    </fill>
    <fill>
      <patternFill patternType="solid">
        <fgColor rgb="FFFFF9C4"/>
      </patternFill>
    </fill>
    <fill>
      <patternFill patternType="solid">
        <fgColor rgb="FF1565C0"/>
      </patternFill>
    </fill>
    <fill>
      <patternFill patternType="solid">
        <fgColor rgb="FFF5F5F5"/>
      </patternFill>
    </fill>
    <fill>
      <patternFill patternType="solid">
        <fgColor rgb="FFFFFFFF"/>
      </patternFill>
    </fill>
    <fill>
      <patternFill patternType="solid">
        <fgColor rgb="FFB71C1C"/>
      </patternFill>
    </fill>
    <fill>
      <patternFill patternType="solid">
        <fgColor rgb="FF2E7D32"/>
      </patternFill>
    </fill>
    <fill>
      <patternFill patternType="solid">
        <fgColor rgb="FF4A148C"/>
      </patternFill>
    </fill>
    <fill>
      <patternFill patternType="solid">
        <fgColor rgb="FF37474F"/>
      </patternFill>
    </fill>
    <fill>
      <patternFill patternType="solid">
        <fgColor rgb="FF7F8C8D"/>
      </patternFill>
    </fill>
    <fill>
      <patternFill patternType="solid">
        <fgColor rgb="007F8C8D"/>
      </patternFill>
    </fill>
    <fill>
      <patternFill patternType="solid">
        <fgColor rgb="FFECEFF1"/>
      </patternFill>
    </fill>
    <fill>
      <patternFill patternType="solid">
        <fgColor rgb="FF6C757D"/>
      </patternFill>
    </fill>
    <fill>
      <patternFill patternType="solid">
        <fgColor rgb="FF2980B9"/>
      </patternFill>
    </fill>
    <fill>
      <patternFill patternType="solid">
        <fgColor rgb="FFFCE4EC"/>
      </patternFill>
    </fill>
    <fill>
      <patternFill patternType="solid">
        <fgColor rgb="FFE67E22"/>
      </patternFill>
    </fill>
    <fill>
      <patternFill patternType="solid">
        <fgColor rgb="FF880E4F"/>
      </patternFill>
    </fill>
    <fill>
      <patternFill patternType="solid">
        <fgColor rgb="FF1B5E20"/>
      </patternFill>
    </fill>
    <fill>
      <patternFill patternType="solid">
        <fgColor rgb="001A237E"/>
      </patternFill>
    </fill>
    <fill>
      <patternFill patternType="solid">
        <fgColor rgb="FFFDECEA"/>
      </patternFill>
    </fill>
    <fill>
      <patternFill patternType="solid">
        <fgColor rgb="FFFEF9F0"/>
      </patternFill>
    </fill>
    <fill>
      <patternFill patternType="solid">
        <fgColor rgb="FFFFFDE7"/>
      </patternFill>
    </fill>
    <fill>
      <patternFill patternType="solid">
        <fgColor rgb="002C3E50"/>
      </patternFill>
    </fill>
    <fill>
      <patternFill patternType="solid">
        <fgColor rgb="FFE3F2FD"/>
      </patternFill>
    </fill>
    <fill>
      <patternFill patternType="solid">
        <fgColor rgb="FF0D47A1"/>
      </patternFill>
    </fill>
    <fill>
      <patternFill patternType="solid">
        <fgColor rgb="FF4E342E"/>
      </patternFill>
    </fill>
    <fill>
      <patternFill patternType="solid">
        <fgColor rgb="FF01579B"/>
      </patternFill>
    </fill>
    <fill>
      <patternFill patternType="solid">
        <fgColor rgb="FF004D40"/>
      </patternFill>
    </fill>
    <fill>
      <patternFill patternType="solid">
        <fgColor rgb="FF3E2723"/>
      </patternFill>
    </fill>
    <fill>
      <patternFill patternType="solid">
        <fgColor rgb="FF006064"/>
      </patternFill>
    </fill>
    <fill>
      <patternFill patternType="solid">
        <fgColor rgb="001B5E20"/>
      </patternFill>
    </fill>
    <fill>
      <patternFill patternType="solid">
        <fgColor rgb="FFF1F8E9"/>
      </patternFill>
    </fill>
    <fill>
      <patternFill patternType="solid">
        <fgColor rgb="FFFEEEEE"/>
      </patternFill>
    </fill>
    <fill>
      <patternFill patternType="solid">
        <fgColor rgb="FFFFDDDD"/>
      </patternFill>
    </fill>
    <fill>
      <patternFill patternType="solid">
        <fgColor rgb="002E7D32"/>
      </patternFill>
    </fill>
    <fill>
      <patternFill patternType="solid">
        <fgColor rgb="000D47A1"/>
      </patternFill>
    </fill>
    <fill>
      <patternFill patternType="solid">
        <fgColor rgb="004A148C"/>
      </patternFill>
    </fill>
    <fill>
      <patternFill patternType="solid">
        <fgColor rgb="006A1B9A"/>
      </patternFill>
    </fill>
    <fill>
      <patternFill patternType="solid">
        <fgColor rgb="FFFFebee"/>
      </patternFill>
    </fill>
    <fill>
      <patternFill patternType="solid">
        <fgColor rgb="FFFff8e1"/>
      </patternFill>
    </fill>
    <fill>
      <patternFill patternType="solid">
        <fgColor rgb="FFC62828"/>
      </patternFill>
    </fill>
    <fill>
      <patternFill patternType="solid">
        <fgColor rgb="FFFFF8E1"/>
      </patternFill>
    </fill>
    <fill>
      <patternFill patternType="solid">
        <fgColor rgb="FFFFCDD2"/>
      </patternFill>
    </fill>
  </fills>
  <borders count="9">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B0BEC5"/>
      </left>
      <right style="thin">
        <color rgb="FFB0BEC5"/>
      </right>
      <top style="thin">
        <color rgb="FFB0BEC5"/>
      </top>
      <bottom style="thin">
        <color rgb="FFB0BEC5"/>
      </bottom>
    </border>
    <border>
      <left/>
      <right/>
      <top style="thin">
        <color rgb="FFB0BEC5"/>
      </top>
      <bottom/>
      <diagonal/>
    </border>
    <border>
      <left/>
      <right style="thin">
        <color rgb="FFB0BEC5"/>
      </right>
      <top style="thin">
        <color rgb="FFB0BEC5"/>
      </top>
      <bottom/>
      <diagonal/>
    </border>
    <border>
      <left/>
      <right/>
      <top style="thin">
        <color rgb="FFB0BEC5"/>
      </top>
      <bottom style="thin">
        <color rgb="FFB0BEC5"/>
      </bottom>
      <diagonal/>
    </border>
    <border>
      <left/>
      <right style="thin">
        <color rgb="FFB0BEC5"/>
      </right>
      <top style="thin">
        <color rgb="FFB0BEC5"/>
      </top>
      <bottom style="thin">
        <color rgb="FFB0BEC5"/>
      </bottom>
      <diagonal/>
    </border>
    <border>
      <left style="medium">
        <color rgb="FF37474F"/>
      </left>
      <right style="medium">
        <color rgb="FF37474F"/>
      </right>
      <top style="medium">
        <color rgb="FF37474F"/>
      </top>
      <bottom style="medium">
        <color rgb="FF37474F"/>
      </bottom>
    </border>
  </borders>
  <cellStyleXfs count="1">
    <xf numFmtId="0" fontId="0" fillId="0" borderId="0"/>
  </cellStyleXfs>
  <cellXfs count="810">
    <xf numFmtId="0" fontId="0" fillId="0" borderId="0" pivotButton="0" quotePrefix="0" xfId="0"/>
    <xf numFmtId="0" fontId="71" fillId="4" borderId="0" applyAlignment="1" pivotButton="0" quotePrefix="0" xfId="0">
      <alignment horizontal="left" vertical="center"/>
    </xf>
    <xf numFmtId="0" fontId="63" fillId="4" borderId="0" applyAlignment="1" pivotButton="0" quotePrefix="0" xfId="0">
      <alignment horizontal="left" vertical="center"/>
    </xf>
    <xf numFmtId="0" fontId="63" fillId="45" borderId="0" applyAlignment="1" pivotButton="0" quotePrefix="0" xfId="0">
      <alignment horizontal="left" vertical="center"/>
    </xf>
    <xf numFmtId="0" fontId="63" fillId="2" borderId="0" applyAlignment="1" pivotButton="0" quotePrefix="0" xfId="0">
      <alignment horizontal="left" vertical="center"/>
    </xf>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1" fillId="11" borderId="1" applyAlignment="1" pivotButton="0" quotePrefix="0" xfId="0">
      <alignment horizontal="center" vertical="center" wrapText="1"/>
    </xf>
    <xf numFmtId="0" fontId="0" fillId="4" borderId="1" pivotButton="0" quotePrefix="0" xfId="0"/>
    <xf numFmtId="0" fontId="2" fillId="4" borderId="1" applyAlignment="1" pivotButton="0" quotePrefix="0" xfId="0">
      <alignment horizontal="left" vertical="center"/>
    </xf>
    <xf numFmtId="0" fontId="3" fillId="12" borderId="1" applyAlignment="1" pivotButton="0" quotePrefix="0" xfId="0">
      <alignment horizontal="center" vertical="center" wrapText="1"/>
    </xf>
    <xf numFmtId="0" fontId="4" fillId="12" borderId="1" applyAlignment="1" pivotButton="0" quotePrefix="0" xfId="0">
      <alignment horizontal="left" vertical="center" wrapText="1"/>
    </xf>
    <xf numFmtId="0" fontId="5" fillId="12" borderId="1" applyAlignment="1" pivotButton="0" quotePrefix="0" xfId="0">
      <alignment horizontal="left" vertical="center" wrapText="1"/>
    </xf>
    <xf numFmtId="0" fontId="3" fillId="12" borderId="1" applyAlignment="1" pivotButton="0" quotePrefix="0" xfId="0">
      <alignment horizontal="left" vertical="center" wrapText="1"/>
    </xf>
    <xf numFmtId="0" fontId="5"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7" fillId="12" borderId="1" applyAlignment="1" pivotButton="0" quotePrefix="0" xfId="0">
      <alignment horizontal="center" vertical="center" wrapText="1"/>
    </xf>
    <xf numFmtId="0" fontId="8" fillId="12" borderId="1" applyAlignment="1" pivotButton="0" quotePrefix="0" xfId="0">
      <alignment horizontal="left" vertical="center" wrapText="1"/>
    </xf>
    <xf numFmtId="0" fontId="6" fillId="13" borderId="1" applyAlignment="1" pivotButton="0" quotePrefix="0" xfId="0">
      <alignment horizontal="left" vertical="center" wrapText="1"/>
    </xf>
    <xf numFmtId="0" fontId="9" fillId="14" borderId="1" applyAlignment="1" pivotButton="0" quotePrefix="0" xfId="0">
      <alignment horizontal="left" vertical="center" wrapText="1"/>
    </xf>
    <xf numFmtId="0" fontId="10" fillId="13" borderId="1" applyAlignment="1" pivotButton="0" quotePrefix="0" xfId="0">
      <alignment horizontal="left" vertical="center" wrapText="1"/>
    </xf>
    <xf numFmtId="0" fontId="11" fillId="12" borderId="1" applyAlignment="1" pivotButton="0" quotePrefix="0" xfId="0">
      <alignment horizontal="left" vertical="center" wrapText="1"/>
    </xf>
    <xf numFmtId="0" fontId="12" fillId="12" borderId="1" applyAlignment="1" pivotButton="0" quotePrefix="0" xfId="0">
      <alignment horizontal="left" vertical="center" wrapText="1"/>
    </xf>
    <xf numFmtId="0" fontId="13" fillId="12" borderId="1" applyAlignment="1" pivotButton="0" quotePrefix="0" xfId="0">
      <alignment horizontal="left" vertical="center" wrapText="1"/>
    </xf>
    <xf numFmtId="0" fontId="14" fillId="12" borderId="1" applyAlignment="1" pivotButton="0" quotePrefix="0" xfId="0">
      <alignment horizontal="left" vertical="center" wrapText="1"/>
    </xf>
    <xf numFmtId="0" fontId="15" fillId="12" borderId="1" applyAlignment="1" pivotButton="0" quotePrefix="0" xfId="0">
      <alignment horizontal="left" vertical="center" wrapText="1"/>
    </xf>
    <xf numFmtId="0" fontId="16" fillId="12" borderId="1" applyAlignment="1" pivotButton="0" quotePrefix="0" xfId="0">
      <alignment horizontal="left" vertical="center" wrapText="1"/>
    </xf>
    <xf numFmtId="0" fontId="17" fillId="4" borderId="1" applyAlignment="1" pivotButton="0" quotePrefix="0" xfId="0">
      <alignment horizontal="center" vertical="center" wrapText="1"/>
    </xf>
    <xf numFmtId="0" fontId="9" fillId="12" borderId="1" applyAlignment="1" pivotButton="0" quotePrefix="0" xfId="0">
      <alignment horizontal="left" vertical="center" wrapText="1"/>
    </xf>
    <xf numFmtId="0" fontId="18" fillId="12" borderId="1" applyAlignment="1" pivotButton="0" quotePrefix="0" xfId="0">
      <alignment horizontal="left" vertical="center" wrapText="1"/>
    </xf>
    <xf numFmtId="0" fontId="19" fillId="12" borderId="1" applyAlignment="1" pivotButton="0" quotePrefix="0" xfId="0">
      <alignment horizontal="left" vertical="center" wrapText="1"/>
    </xf>
    <xf numFmtId="0" fontId="20" fillId="12" borderId="1" applyAlignment="1" pivotButton="0" quotePrefix="0" xfId="0">
      <alignment horizontal="left" vertical="center" wrapText="1"/>
    </xf>
    <xf numFmtId="0" fontId="21" fillId="12" borderId="1" applyAlignment="1" pivotButton="0" quotePrefix="0" xfId="0">
      <alignment horizontal="left" vertical="center" wrapText="1"/>
    </xf>
    <xf numFmtId="0" fontId="22" fillId="12" borderId="1" applyAlignment="1" pivotButton="0" quotePrefix="0" xfId="0">
      <alignment horizontal="left" vertical="center" wrapText="1"/>
    </xf>
    <xf numFmtId="0" fontId="17" fillId="10" borderId="1" applyAlignment="1" pivotButton="0" quotePrefix="0" xfId="0">
      <alignment horizontal="center" vertical="center" wrapText="1"/>
    </xf>
    <xf numFmtId="0" fontId="3" fillId="15" borderId="1" applyAlignment="1" pivotButton="0" quotePrefix="0" xfId="0">
      <alignment horizontal="center" vertical="center" wrapText="1"/>
    </xf>
    <xf numFmtId="0" fontId="4" fillId="15" borderId="1" applyAlignment="1" pivotButton="0" quotePrefix="0" xfId="0">
      <alignment horizontal="left" vertical="center" wrapText="1"/>
    </xf>
    <xf numFmtId="0" fontId="5" fillId="15" borderId="1" applyAlignment="1" pivotButton="0" quotePrefix="0" xfId="0">
      <alignment horizontal="left" vertical="center" wrapText="1"/>
    </xf>
    <xf numFmtId="0" fontId="3" fillId="15" borderId="1" applyAlignment="1" pivotButton="0" quotePrefix="0" xfId="0">
      <alignment horizontal="left" vertical="center" wrapText="1"/>
    </xf>
    <xf numFmtId="0" fontId="5" fillId="15" borderId="1" applyAlignment="1" pivotButton="0" quotePrefix="0" xfId="0">
      <alignment horizontal="center" vertical="center" wrapText="1"/>
    </xf>
    <xf numFmtId="0" fontId="7" fillId="15" borderId="1" applyAlignment="1" pivotButton="0" quotePrefix="0" xfId="0">
      <alignment horizontal="center" vertical="center" wrapText="1"/>
    </xf>
    <xf numFmtId="0" fontId="8" fillId="15" borderId="1" applyAlignment="1" pivotButton="0" quotePrefix="0" xfId="0">
      <alignment horizontal="left" vertical="center" wrapText="1"/>
    </xf>
    <xf numFmtId="0" fontId="23" fillId="16" borderId="1" applyAlignment="1" pivotButton="0" quotePrefix="0" xfId="0">
      <alignment horizontal="center" vertical="center" wrapText="1"/>
    </xf>
    <xf numFmtId="0" fontId="15" fillId="17" borderId="1" applyAlignment="1" pivotButton="0" quotePrefix="0" xfId="0">
      <alignment horizontal="left" vertical="center" wrapText="1"/>
    </xf>
    <xf numFmtId="0" fontId="17" fillId="8" borderId="1" applyAlignment="1" pivotButton="0" quotePrefix="0" xfId="0">
      <alignment horizontal="center" vertical="center" wrapText="1"/>
    </xf>
    <xf numFmtId="0" fontId="10" fillId="12" borderId="1" applyAlignment="1" pivotButton="0" quotePrefix="0" xfId="0">
      <alignment horizontal="center" vertical="center" wrapText="1"/>
    </xf>
    <xf numFmtId="0" fontId="17" fillId="5" borderId="1" applyAlignment="1" pivotButton="0" quotePrefix="0" xfId="0">
      <alignment horizontal="center" vertical="center" wrapText="1"/>
    </xf>
    <xf numFmtId="0" fontId="10" fillId="15" borderId="1" applyAlignment="1" pivotButton="0" quotePrefix="0" xfId="0">
      <alignment horizontal="center" vertical="center" wrapText="1"/>
    </xf>
    <xf numFmtId="0" fontId="24" fillId="15" borderId="1" applyAlignment="1" pivotButton="0" quotePrefix="0" xfId="0">
      <alignment horizontal="center" vertical="center" wrapText="1"/>
    </xf>
    <xf numFmtId="0" fontId="25" fillId="18" borderId="1" applyAlignment="1" pivotButton="0" quotePrefix="0" xfId="0">
      <alignment horizontal="left" vertical="center" wrapText="1"/>
    </xf>
    <xf numFmtId="0" fontId="26" fillId="12" borderId="1" applyAlignment="1" pivotButton="0" quotePrefix="0" xfId="0">
      <alignment horizontal="center" vertical="center" wrapText="1"/>
    </xf>
    <xf numFmtId="0" fontId="27" fillId="19" borderId="1" applyAlignment="1" pivotButton="0" quotePrefix="0" xfId="0">
      <alignment horizontal="left" vertical="center" wrapText="1"/>
    </xf>
    <xf numFmtId="0" fontId="26" fillId="15" borderId="1" applyAlignment="1" pivotButton="0" quotePrefix="0" xfId="0">
      <alignment horizontal="center" vertical="center" wrapText="1"/>
    </xf>
    <xf numFmtId="0" fontId="28" fillId="20" borderId="1" applyAlignment="1" pivotButton="0" quotePrefix="0" xfId="0">
      <alignment horizontal="left" vertical="center" wrapText="1"/>
    </xf>
    <xf numFmtId="0" fontId="29" fillId="21" borderId="1" applyAlignment="1" pivotButton="0" quotePrefix="0" xfId="0">
      <alignment horizontal="center" vertical="center" wrapText="1"/>
    </xf>
    <xf numFmtId="0" fontId="17" fillId="22" borderId="1" applyAlignment="1" pivotButton="0" quotePrefix="0" xfId="0">
      <alignment horizontal="center" vertical="center" wrapText="1"/>
    </xf>
    <xf numFmtId="0" fontId="24" fillId="12" borderId="1" applyAlignment="1" pivotButton="0" quotePrefix="0" xfId="0">
      <alignment horizontal="center" vertical="center" wrapText="1"/>
    </xf>
    <xf numFmtId="0" fontId="30" fillId="14" borderId="1" applyAlignment="1" pivotButton="0" quotePrefix="0" xfId="0">
      <alignment horizontal="center" vertical="center" wrapText="1"/>
    </xf>
    <xf numFmtId="0" fontId="29" fillId="21" borderId="1" applyAlignment="1" pivotButton="0" quotePrefix="0" xfId="0">
      <alignment horizontal="left" vertical="center" wrapText="1"/>
    </xf>
    <xf numFmtId="0" fontId="31" fillId="17" borderId="1" applyAlignment="1" pivotButton="0" quotePrefix="0" xfId="0">
      <alignment horizontal="center" vertical="center" wrapText="1"/>
    </xf>
    <xf numFmtId="0" fontId="0" fillId="8" borderId="1" pivotButton="0" quotePrefix="0" xfId="0"/>
    <xf numFmtId="0" fontId="2" fillId="8" borderId="1" applyAlignment="1" pivotButton="0" quotePrefix="0" xfId="0">
      <alignment horizontal="left" vertical="center"/>
    </xf>
    <xf numFmtId="0" fontId="7" fillId="15" borderId="1" applyAlignment="1" pivotButton="0" quotePrefix="0" xfId="0">
      <alignment horizontal="left" vertical="center" wrapText="1"/>
    </xf>
    <xf numFmtId="0" fontId="5" fillId="17" borderId="1" applyAlignment="1" pivotButton="0" quotePrefix="0" xfId="0">
      <alignment horizontal="left" vertical="center" wrapText="1"/>
    </xf>
    <xf numFmtId="0" fontId="5" fillId="17" borderId="1" applyAlignment="1" pivotButton="0" quotePrefix="0" xfId="0">
      <alignment horizontal="center" vertical="center" wrapText="1"/>
    </xf>
    <xf numFmtId="0" fontId="3" fillId="17" borderId="1" applyAlignment="1" pivotButton="0" quotePrefix="0" xfId="0">
      <alignment horizontal="left" vertical="center" wrapText="1"/>
    </xf>
    <xf numFmtId="0" fontId="11" fillId="17" borderId="1" applyAlignment="1" pivotButton="0" quotePrefix="0" xfId="0">
      <alignment horizontal="left" vertical="center" wrapText="1"/>
    </xf>
    <xf numFmtId="0" fontId="12" fillId="17" borderId="1" applyAlignment="1" pivotButton="0" quotePrefix="0" xfId="0">
      <alignment horizontal="left" vertical="center" wrapText="1"/>
    </xf>
    <xf numFmtId="0" fontId="13" fillId="17" borderId="1" applyAlignment="1" pivotButton="0" quotePrefix="0" xfId="0">
      <alignment horizontal="left" vertical="center" wrapText="1"/>
    </xf>
    <xf numFmtId="0" fontId="14" fillId="17" borderId="1" applyAlignment="1" pivotButton="0" quotePrefix="0" xfId="0">
      <alignment horizontal="left" vertical="center" wrapText="1"/>
    </xf>
    <xf numFmtId="0" fontId="16" fillId="17" borderId="1" applyAlignment="1" pivotButton="0" quotePrefix="0" xfId="0">
      <alignment horizontal="left" vertical="center" wrapText="1"/>
    </xf>
    <xf numFmtId="0" fontId="9" fillId="17" borderId="1" applyAlignment="1" pivotButton="0" quotePrefix="0" xfId="0">
      <alignment horizontal="left" vertical="center" wrapText="1"/>
    </xf>
    <xf numFmtId="0" fontId="18" fillId="17" borderId="1" applyAlignment="1" pivotButton="0" quotePrefix="0" xfId="0">
      <alignment horizontal="left" vertical="center" wrapText="1"/>
    </xf>
    <xf numFmtId="0" fontId="19" fillId="17" borderId="1" applyAlignment="1" pivotButton="0" quotePrefix="0" xfId="0">
      <alignment horizontal="left" vertical="center" wrapText="1"/>
    </xf>
    <xf numFmtId="0" fontId="20" fillId="17" borderId="1" applyAlignment="1" pivotButton="0" quotePrefix="0" xfId="0">
      <alignment horizontal="left" vertical="center" wrapText="1"/>
    </xf>
    <xf numFmtId="0" fontId="21" fillId="17" borderId="1" applyAlignment="1" pivotButton="0" quotePrefix="0" xfId="0">
      <alignment horizontal="left" vertical="center" wrapText="1"/>
    </xf>
    <xf numFmtId="0" fontId="22" fillId="17" borderId="1" applyAlignment="1" pivotButton="0" quotePrefix="0" xfId="0">
      <alignment horizontal="left" vertical="center" wrapText="1"/>
    </xf>
    <xf numFmtId="0" fontId="3" fillId="17" borderId="1" applyAlignment="1" pivotButton="0" quotePrefix="0" xfId="0">
      <alignment horizontal="center" vertical="center" wrapText="1"/>
    </xf>
    <xf numFmtId="0" fontId="7" fillId="17" borderId="1" applyAlignment="1" pivotButton="0" quotePrefix="0" xfId="0">
      <alignment horizontal="left" vertical="center" wrapText="1"/>
    </xf>
    <xf numFmtId="0" fontId="7" fillId="17" borderId="1" applyAlignment="1" pivotButton="0" quotePrefix="0" xfId="0">
      <alignment horizontal="center" vertical="center" wrapText="1"/>
    </xf>
    <xf numFmtId="0" fontId="8" fillId="17" borderId="1" applyAlignment="1" pivotButton="0" quotePrefix="0" xfId="0">
      <alignment horizontal="left" vertical="center" wrapText="1"/>
    </xf>
    <xf numFmtId="0" fontId="10" fillId="17" borderId="1" applyAlignment="1" pivotButton="0" quotePrefix="0" xfId="0">
      <alignment horizontal="center" vertical="center" wrapText="1"/>
    </xf>
    <xf numFmtId="0" fontId="32" fillId="18" borderId="1" applyAlignment="1" pivotButton="0" quotePrefix="0" xfId="0">
      <alignment horizontal="left" vertical="center" wrapText="1"/>
    </xf>
    <xf numFmtId="0" fontId="33" fillId="23" borderId="1" applyAlignment="1" pivotButton="0" quotePrefix="0" xfId="0">
      <alignment horizontal="center" vertical="center" wrapText="1"/>
    </xf>
    <xf numFmtId="0" fontId="26" fillId="17" borderId="1" applyAlignment="1" pivotButton="0" quotePrefix="0" xfId="0">
      <alignment horizontal="center" vertical="center" wrapText="1"/>
    </xf>
    <xf numFmtId="0" fontId="32" fillId="18" borderId="1" applyAlignment="1" pivotButton="0" quotePrefix="0" xfId="0">
      <alignment horizontal="center" vertical="center" wrapText="1"/>
    </xf>
    <xf numFmtId="0" fontId="24" fillId="17" borderId="1" applyAlignment="1" pivotButton="0" quotePrefix="0" xfId="0">
      <alignment horizontal="center" vertical="center" wrapText="1"/>
    </xf>
    <xf numFmtId="0" fontId="0" fillId="7" borderId="1" pivotButton="0" quotePrefix="0" xfId="0"/>
    <xf numFmtId="0" fontId="2" fillId="7" borderId="1" applyAlignment="1" pivotButton="0" quotePrefix="0" xfId="0">
      <alignment horizontal="left" vertical="center"/>
    </xf>
    <xf numFmtId="0" fontId="3" fillId="18" borderId="1" applyAlignment="1" pivotButton="0" quotePrefix="0" xfId="0">
      <alignment horizontal="center" vertical="center" wrapText="1"/>
    </xf>
    <xf numFmtId="0" fontId="34" fillId="18" borderId="1" applyAlignment="1" pivotButton="0" quotePrefix="0" xfId="0">
      <alignment horizontal="left" vertical="center" wrapText="1"/>
    </xf>
    <xf numFmtId="0" fontId="5" fillId="18" borderId="1" applyAlignment="1" pivotButton="0" quotePrefix="0" xfId="0">
      <alignment horizontal="left" vertical="center" wrapText="1"/>
    </xf>
    <xf numFmtId="0" fontId="3" fillId="18" borderId="1" applyAlignment="1" pivotButton="0" quotePrefix="0" xfId="0">
      <alignment horizontal="left" vertical="center" wrapText="1"/>
    </xf>
    <xf numFmtId="0" fontId="5" fillId="18" borderId="1" applyAlignment="1" pivotButton="0" quotePrefix="0" xfId="0">
      <alignment horizontal="center" vertical="center" wrapText="1"/>
    </xf>
    <xf numFmtId="0" fontId="24" fillId="18" borderId="1" applyAlignment="1" pivotButton="0" quotePrefix="0" xfId="0">
      <alignment horizontal="center" vertical="center" wrapText="1"/>
    </xf>
    <xf numFmtId="0" fontId="8" fillId="18" borderId="1" applyAlignment="1" pivotButton="0" quotePrefix="0" xfId="0">
      <alignment horizontal="left" vertical="center" wrapText="1"/>
    </xf>
    <xf numFmtId="0" fontId="11" fillId="18" borderId="1" applyAlignment="1" pivotButton="0" quotePrefix="0" xfId="0">
      <alignment horizontal="left" vertical="center" wrapText="1"/>
    </xf>
    <xf numFmtId="0" fontId="12" fillId="18" borderId="1" applyAlignment="1" pivotButton="0" quotePrefix="0" xfId="0">
      <alignment horizontal="left" vertical="center" wrapText="1"/>
    </xf>
    <xf numFmtId="0" fontId="13" fillId="18" borderId="1" applyAlignment="1" pivotButton="0" quotePrefix="0" xfId="0">
      <alignment horizontal="left" vertical="center" wrapText="1"/>
    </xf>
    <xf numFmtId="0" fontId="14" fillId="18" borderId="1" applyAlignment="1" pivotButton="0" quotePrefix="0" xfId="0">
      <alignment horizontal="left" vertical="center" wrapText="1"/>
    </xf>
    <xf numFmtId="0" fontId="15" fillId="18" borderId="1" applyAlignment="1" pivotButton="0" quotePrefix="0" xfId="0">
      <alignment horizontal="left" vertical="center" wrapText="1"/>
    </xf>
    <xf numFmtId="0" fontId="16" fillId="18" borderId="1" applyAlignment="1" pivotButton="0" quotePrefix="0" xfId="0">
      <alignment horizontal="left" vertical="center" wrapText="1"/>
    </xf>
    <xf numFmtId="0" fontId="9" fillId="18" borderId="1" applyAlignment="1" pivotButton="0" quotePrefix="0" xfId="0">
      <alignment horizontal="left" vertical="center" wrapText="1"/>
    </xf>
    <xf numFmtId="0" fontId="18" fillId="18" borderId="1" applyAlignment="1" pivotButton="0" quotePrefix="0" xfId="0">
      <alignment horizontal="left" vertical="center" wrapText="1"/>
    </xf>
    <xf numFmtId="0" fontId="19" fillId="18" borderId="1" applyAlignment="1" pivotButton="0" quotePrefix="0" xfId="0">
      <alignment horizontal="left" vertical="center" wrapText="1"/>
    </xf>
    <xf numFmtId="0" fontId="20" fillId="18" borderId="1" applyAlignment="1" pivotButton="0" quotePrefix="0" xfId="0">
      <alignment horizontal="left" vertical="center" wrapText="1"/>
    </xf>
    <xf numFmtId="0" fontId="21" fillId="18" borderId="1" applyAlignment="1" pivotButton="0" quotePrefix="0" xfId="0">
      <alignment horizontal="left" vertical="center" wrapText="1"/>
    </xf>
    <xf numFmtId="0" fontId="22" fillId="18" borderId="1" applyAlignment="1" pivotButton="0" quotePrefix="0" xfId="0">
      <alignment horizontal="left" vertical="center" wrapText="1"/>
    </xf>
    <xf numFmtId="0" fontId="34" fillId="15" borderId="1" applyAlignment="1" pivotButton="0" quotePrefix="0" xfId="0">
      <alignment horizontal="left" vertical="center" wrapText="1"/>
    </xf>
    <xf numFmtId="0" fontId="26" fillId="18" borderId="1" applyAlignment="1" pivotButton="0" quotePrefix="0" xfId="0">
      <alignment horizontal="center" vertical="center" wrapText="1"/>
    </xf>
    <xf numFmtId="0" fontId="0" fillId="24" borderId="1" pivotButton="0" quotePrefix="0" xfId="0"/>
    <xf numFmtId="0" fontId="2" fillId="24" borderId="1" applyAlignment="1" pivotButton="0" quotePrefix="0" xfId="0">
      <alignment horizontal="left" vertical="center"/>
    </xf>
    <xf numFmtId="0" fontId="3" fillId="25" borderId="1" applyAlignment="1" pivotButton="0" quotePrefix="0" xfId="0">
      <alignment horizontal="center" vertical="center" wrapText="1"/>
    </xf>
    <xf numFmtId="0" fontId="35" fillId="25" borderId="1" applyAlignment="1" pivotButton="0" quotePrefix="0" xfId="0">
      <alignment horizontal="left" vertical="center" wrapText="1"/>
    </xf>
    <xf numFmtId="0" fontId="5" fillId="25" borderId="1" applyAlignment="1" pivotButton="0" quotePrefix="0" xfId="0">
      <alignment horizontal="left" vertical="center" wrapText="1"/>
    </xf>
    <xf numFmtId="0" fontId="3" fillId="25" borderId="1" applyAlignment="1" pivotButton="0" quotePrefix="0" xfId="0">
      <alignment horizontal="left" vertical="center" wrapText="1"/>
    </xf>
    <xf numFmtId="0" fontId="5" fillId="25" borderId="1" applyAlignment="1" pivotButton="0" quotePrefix="0" xfId="0">
      <alignment horizontal="center" vertical="center" wrapText="1"/>
    </xf>
    <xf numFmtId="0" fontId="10" fillId="25" borderId="1" applyAlignment="1" pivotButton="0" quotePrefix="0" xfId="0">
      <alignment horizontal="center" vertical="center" wrapText="1"/>
    </xf>
    <xf numFmtId="0" fontId="8" fillId="25" borderId="1" applyAlignment="1" pivotButton="0" quotePrefix="0" xfId="0">
      <alignment horizontal="left" vertical="center" wrapText="1"/>
    </xf>
    <xf numFmtId="0" fontId="11" fillId="25" borderId="1" applyAlignment="1" pivotButton="0" quotePrefix="0" xfId="0">
      <alignment horizontal="left" vertical="center" wrapText="1"/>
    </xf>
    <xf numFmtId="0" fontId="12" fillId="25" borderId="1" applyAlignment="1" pivotButton="0" quotePrefix="0" xfId="0">
      <alignment horizontal="left" vertical="center" wrapText="1"/>
    </xf>
    <xf numFmtId="0" fontId="13" fillId="25" borderId="1" applyAlignment="1" pivotButton="0" quotePrefix="0" xfId="0">
      <alignment horizontal="left" vertical="center" wrapText="1"/>
    </xf>
    <xf numFmtId="0" fontId="14" fillId="25" borderId="1" applyAlignment="1" pivotButton="0" quotePrefix="0" xfId="0">
      <alignment horizontal="left" vertical="center" wrapText="1"/>
    </xf>
    <xf numFmtId="0" fontId="15" fillId="25" borderId="1" applyAlignment="1" pivotButton="0" quotePrefix="0" xfId="0">
      <alignment horizontal="left" vertical="center" wrapText="1"/>
    </xf>
    <xf numFmtId="0" fontId="16" fillId="25" borderId="1" applyAlignment="1" pivotButton="0" quotePrefix="0" xfId="0">
      <alignment horizontal="left" vertical="center" wrapText="1"/>
    </xf>
    <xf numFmtId="0" fontId="9" fillId="25" borderId="1" applyAlignment="1" pivotButton="0" quotePrefix="0" xfId="0">
      <alignment horizontal="left" vertical="center" wrapText="1"/>
    </xf>
    <xf numFmtId="0" fontId="18" fillId="25" borderId="1" applyAlignment="1" pivotButton="0" quotePrefix="0" xfId="0">
      <alignment horizontal="left" vertical="center" wrapText="1"/>
    </xf>
    <xf numFmtId="0" fontId="19" fillId="25" borderId="1" applyAlignment="1" pivotButton="0" quotePrefix="0" xfId="0">
      <alignment horizontal="left" vertical="center" wrapText="1"/>
    </xf>
    <xf numFmtId="0" fontId="20" fillId="25" borderId="1" applyAlignment="1" pivotButton="0" quotePrefix="0" xfId="0">
      <alignment horizontal="left" vertical="center" wrapText="1"/>
    </xf>
    <xf numFmtId="0" fontId="21" fillId="25" borderId="1" applyAlignment="1" pivotButton="0" quotePrefix="0" xfId="0">
      <alignment horizontal="left" vertical="center" wrapText="1"/>
    </xf>
    <xf numFmtId="0" fontId="22" fillId="25" borderId="1" applyAlignment="1" pivotButton="0" quotePrefix="0" xfId="0">
      <alignment horizontal="left" vertical="center" wrapText="1"/>
    </xf>
    <xf numFmtId="0" fontId="35" fillId="15" borderId="1" applyAlignment="1" pivotButton="0" quotePrefix="0" xfId="0">
      <alignment horizontal="left" vertical="center" wrapText="1"/>
    </xf>
    <xf numFmtId="0" fontId="7" fillId="25" borderId="1" applyAlignment="1" pivotButton="0" quotePrefix="0" xfId="0">
      <alignment horizontal="center" vertical="center" wrapText="1"/>
    </xf>
    <xf numFmtId="0" fontId="24" fillId="25" borderId="1" applyAlignment="1" pivotButton="0" quotePrefix="0" xfId="0">
      <alignment horizontal="center" vertical="center" wrapText="1"/>
    </xf>
    <xf numFmtId="0" fontId="0" fillId="26" borderId="1" pivotButton="0" quotePrefix="0" xfId="0"/>
    <xf numFmtId="0" fontId="2" fillId="26" borderId="1" applyAlignment="1" pivotButton="0" quotePrefix="0" xfId="0">
      <alignment horizontal="left" vertical="center"/>
    </xf>
    <xf numFmtId="0" fontId="3" fillId="27" borderId="1" applyAlignment="1" pivotButton="0" quotePrefix="0" xfId="0">
      <alignment horizontal="center" vertical="center" wrapText="1"/>
    </xf>
    <xf numFmtId="0" fontId="36" fillId="27" borderId="1" applyAlignment="1" pivotButton="0" quotePrefix="0" xfId="0">
      <alignment horizontal="left" vertical="center" wrapText="1"/>
    </xf>
    <xf numFmtId="0" fontId="5" fillId="27" borderId="1" applyAlignment="1" pivotButton="0" quotePrefix="0" xfId="0">
      <alignment horizontal="left" vertical="center" wrapText="1"/>
    </xf>
    <xf numFmtId="0" fontId="3" fillId="27" borderId="1" applyAlignment="1" pivotButton="0" quotePrefix="0" xfId="0">
      <alignment horizontal="left" vertical="center" wrapText="1"/>
    </xf>
    <xf numFmtId="0" fontId="5" fillId="27" borderId="1" applyAlignment="1" pivotButton="0" quotePrefix="0" xfId="0">
      <alignment horizontal="center" vertical="center" wrapText="1"/>
    </xf>
    <xf numFmtId="0" fontId="24" fillId="27" borderId="1" applyAlignment="1" pivotButton="0" quotePrefix="0" xfId="0">
      <alignment horizontal="center" vertical="center" wrapText="1"/>
    </xf>
    <xf numFmtId="0" fontId="8" fillId="27" borderId="1" applyAlignment="1" pivotButton="0" quotePrefix="0" xfId="0">
      <alignment horizontal="left" vertical="center" wrapText="1"/>
    </xf>
    <xf numFmtId="0" fontId="11" fillId="27" borderId="1" applyAlignment="1" pivotButton="0" quotePrefix="0" xfId="0">
      <alignment horizontal="left" vertical="center" wrapText="1"/>
    </xf>
    <xf numFmtId="0" fontId="12" fillId="27" borderId="1" applyAlignment="1" pivotButton="0" quotePrefix="0" xfId="0">
      <alignment horizontal="left" vertical="center" wrapText="1"/>
    </xf>
    <xf numFmtId="0" fontId="13" fillId="27" borderId="1" applyAlignment="1" pivotButton="0" quotePrefix="0" xfId="0">
      <alignment horizontal="left" vertical="center" wrapText="1"/>
    </xf>
    <xf numFmtId="0" fontId="14" fillId="27" borderId="1" applyAlignment="1" pivotButton="0" quotePrefix="0" xfId="0">
      <alignment horizontal="left" vertical="center" wrapText="1"/>
    </xf>
    <xf numFmtId="0" fontId="15" fillId="27" borderId="1" applyAlignment="1" pivotButton="0" quotePrefix="0" xfId="0">
      <alignment horizontal="left" vertical="center" wrapText="1"/>
    </xf>
    <xf numFmtId="0" fontId="16" fillId="27" borderId="1" applyAlignment="1" pivotButton="0" quotePrefix="0" xfId="0">
      <alignment horizontal="left" vertical="center" wrapText="1"/>
    </xf>
    <xf numFmtId="0" fontId="9" fillId="27" borderId="1" applyAlignment="1" pivotButton="0" quotePrefix="0" xfId="0">
      <alignment horizontal="left" vertical="center" wrapText="1"/>
    </xf>
    <xf numFmtId="0" fontId="18" fillId="27" borderId="1" applyAlignment="1" pivotButton="0" quotePrefix="0" xfId="0">
      <alignment horizontal="left" vertical="center" wrapText="1"/>
    </xf>
    <xf numFmtId="0" fontId="19" fillId="27" borderId="1" applyAlignment="1" pivotButton="0" quotePrefix="0" xfId="0">
      <alignment horizontal="left" vertical="center" wrapText="1"/>
    </xf>
    <xf numFmtId="0" fontId="20" fillId="27" borderId="1" applyAlignment="1" pivotButton="0" quotePrefix="0" xfId="0">
      <alignment horizontal="left" vertical="center" wrapText="1"/>
    </xf>
    <xf numFmtId="0" fontId="21" fillId="27" borderId="1" applyAlignment="1" pivotButton="0" quotePrefix="0" xfId="0">
      <alignment horizontal="left" vertical="center" wrapText="1"/>
    </xf>
    <xf numFmtId="0" fontId="22" fillId="27" borderId="1" applyAlignment="1" pivotButton="0" quotePrefix="0" xfId="0">
      <alignment horizontal="left" vertical="center" wrapText="1"/>
    </xf>
    <xf numFmtId="0" fontId="36" fillId="15" borderId="1" applyAlignment="1" pivotButton="0" quotePrefix="0" xfId="0">
      <alignment horizontal="left" vertical="center" wrapText="1"/>
    </xf>
    <xf numFmtId="0" fontId="26" fillId="27" borderId="1" applyAlignment="1" pivotButton="0" quotePrefix="0" xfId="0">
      <alignment horizontal="center" vertical="center" wrapText="1"/>
    </xf>
    <xf numFmtId="0" fontId="0" fillId="28" borderId="1" pivotButton="0" quotePrefix="0" xfId="0"/>
    <xf numFmtId="0" fontId="2" fillId="28" borderId="1" applyAlignment="1" pivotButton="0" quotePrefix="0" xfId="0">
      <alignment horizontal="left" vertical="center"/>
    </xf>
    <xf numFmtId="0" fontId="3" fillId="23" borderId="1" applyAlignment="1" pivotButton="0" quotePrefix="0" xfId="0">
      <alignment horizontal="center" vertical="center" wrapText="1"/>
    </xf>
    <xf numFmtId="0" fontId="37" fillId="23" borderId="1" applyAlignment="1" pivotButton="0" quotePrefix="0" xfId="0">
      <alignment horizontal="left" vertical="center" wrapText="1"/>
    </xf>
    <xf numFmtId="0" fontId="5" fillId="23" borderId="1" applyAlignment="1" pivotButton="0" quotePrefix="0" xfId="0">
      <alignment horizontal="left" vertical="center" wrapText="1"/>
    </xf>
    <xf numFmtId="0" fontId="3" fillId="23" borderId="1" applyAlignment="1" pivotButton="0" quotePrefix="0" xfId="0">
      <alignment horizontal="left" vertical="center" wrapText="1"/>
    </xf>
    <xf numFmtId="0" fontId="5" fillId="23" borderId="1" applyAlignment="1" pivotButton="0" quotePrefix="0" xfId="0">
      <alignment horizontal="center" vertical="center" wrapText="1"/>
    </xf>
    <xf numFmtId="0" fontId="10" fillId="23" borderId="1" applyAlignment="1" pivotButton="0" quotePrefix="0" xfId="0">
      <alignment horizontal="center" vertical="center" wrapText="1"/>
    </xf>
    <xf numFmtId="0" fontId="8" fillId="23" borderId="1" applyAlignment="1" pivotButton="0" quotePrefix="0" xfId="0">
      <alignment horizontal="left" vertical="center" wrapText="1"/>
    </xf>
    <xf numFmtId="0" fontId="11" fillId="23" borderId="1" applyAlignment="1" pivotButton="0" quotePrefix="0" xfId="0">
      <alignment horizontal="left" vertical="center" wrapText="1"/>
    </xf>
    <xf numFmtId="0" fontId="12" fillId="23" borderId="1" applyAlignment="1" pivotButton="0" quotePrefix="0" xfId="0">
      <alignment horizontal="left" vertical="center" wrapText="1"/>
    </xf>
    <xf numFmtId="0" fontId="13" fillId="23" borderId="1" applyAlignment="1" pivotButton="0" quotePrefix="0" xfId="0">
      <alignment horizontal="left" vertical="center" wrapText="1"/>
    </xf>
    <xf numFmtId="0" fontId="14" fillId="23" borderId="1" applyAlignment="1" pivotButton="0" quotePrefix="0" xfId="0">
      <alignment horizontal="left" vertical="center" wrapText="1"/>
    </xf>
    <xf numFmtId="0" fontId="15" fillId="23" borderId="1" applyAlignment="1" pivotButton="0" quotePrefix="0" xfId="0">
      <alignment horizontal="left" vertical="center" wrapText="1"/>
    </xf>
    <xf numFmtId="0" fontId="16" fillId="23" borderId="1" applyAlignment="1" pivotButton="0" quotePrefix="0" xfId="0">
      <alignment horizontal="left" vertical="center" wrapText="1"/>
    </xf>
    <xf numFmtId="0" fontId="9" fillId="23" borderId="1" applyAlignment="1" pivotButton="0" quotePrefix="0" xfId="0">
      <alignment horizontal="left" vertical="center" wrapText="1"/>
    </xf>
    <xf numFmtId="0" fontId="18" fillId="23" borderId="1" applyAlignment="1" pivotButton="0" quotePrefix="0" xfId="0">
      <alignment horizontal="left" vertical="center" wrapText="1"/>
    </xf>
    <xf numFmtId="0" fontId="19" fillId="23" borderId="1" applyAlignment="1" pivotButton="0" quotePrefix="0" xfId="0">
      <alignment horizontal="left" vertical="center" wrapText="1"/>
    </xf>
    <xf numFmtId="0" fontId="20" fillId="23" borderId="1" applyAlignment="1" pivotButton="0" quotePrefix="0" xfId="0">
      <alignment horizontal="left" vertical="center" wrapText="1"/>
    </xf>
    <xf numFmtId="0" fontId="21" fillId="23" borderId="1" applyAlignment="1" pivotButton="0" quotePrefix="0" xfId="0">
      <alignment horizontal="left" vertical="center" wrapText="1"/>
    </xf>
    <xf numFmtId="0" fontId="22" fillId="23" borderId="1" applyAlignment="1" pivotButton="0" quotePrefix="0" xfId="0">
      <alignment horizontal="left" vertical="center" wrapText="1"/>
    </xf>
    <xf numFmtId="0" fontId="37" fillId="15" borderId="1" applyAlignment="1" pivotButton="0" quotePrefix="0" xfId="0">
      <alignment horizontal="left" vertical="center" wrapText="1"/>
    </xf>
    <xf numFmtId="0" fontId="24" fillId="23" borderId="1" applyAlignment="1" pivotButton="0" quotePrefix="0" xfId="0">
      <alignment horizontal="center" vertical="center" wrapText="1"/>
    </xf>
    <xf numFmtId="0" fontId="0" fillId="9" borderId="1" pivotButton="0" quotePrefix="0" xfId="0"/>
    <xf numFmtId="0" fontId="2" fillId="9" borderId="1" applyAlignment="1" pivotButton="0" quotePrefix="0" xfId="0">
      <alignment horizontal="left" vertical="center"/>
    </xf>
    <xf numFmtId="0" fontId="38" fillId="15" borderId="1" applyAlignment="1" pivotButton="0" quotePrefix="0" xfId="0">
      <alignment horizontal="left" vertical="center" wrapText="1"/>
    </xf>
    <xf numFmtId="0" fontId="5" fillId="14" borderId="1" applyAlignment="1" pivotButton="0" quotePrefix="0" xfId="0">
      <alignment horizontal="left" vertical="center" wrapText="1"/>
    </xf>
    <xf numFmtId="0" fontId="5" fillId="14" borderId="1" applyAlignment="1" pivotButton="0" quotePrefix="0" xfId="0">
      <alignment horizontal="center" vertical="center" wrapText="1"/>
    </xf>
    <xf numFmtId="0" fontId="3" fillId="14" borderId="1" applyAlignment="1" pivotButton="0" quotePrefix="0" xfId="0">
      <alignment horizontal="left" vertical="center" wrapText="1"/>
    </xf>
    <xf numFmtId="0" fontId="11" fillId="14" borderId="1" applyAlignment="1" pivotButton="0" quotePrefix="0" xfId="0">
      <alignment horizontal="left" vertical="center" wrapText="1"/>
    </xf>
    <xf numFmtId="0" fontId="12" fillId="14" borderId="1" applyAlignment="1" pivotButton="0" quotePrefix="0" xfId="0">
      <alignment horizontal="left" vertical="center" wrapText="1"/>
    </xf>
    <xf numFmtId="0" fontId="13" fillId="14" borderId="1" applyAlignment="1" pivotButton="0" quotePrefix="0" xfId="0">
      <alignment horizontal="left" vertical="center" wrapText="1"/>
    </xf>
    <xf numFmtId="0" fontId="14" fillId="14" borderId="1" applyAlignment="1" pivotButton="0" quotePrefix="0" xfId="0">
      <alignment horizontal="left" vertical="center" wrapText="1"/>
    </xf>
    <xf numFmtId="0" fontId="15" fillId="14" borderId="1" applyAlignment="1" pivotButton="0" quotePrefix="0" xfId="0">
      <alignment horizontal="left" vertical="center" wrapText="1"/>
    </xf>
    <xf numFmtId="0" fontId="16" fillId="14" borderId="1" applyAlignment="1" pivotButton="0" quotePrefix="0" xfId="0">
      <alignment horizontal="left" vertical="center" wrapText="1"/>
    </xf>
    <xf numFmtId="0" fontId="18" fillId="14" borderId="1" applyAlignment="1" pivotButton="0" quotePrefix="0" xfId="0">
      <alignment horizontal="left" vertical="center" wrapText="1"/>
    </xf>
    <xf numFmtId="0" fontId="19" fillId="14" borderId="1" applyAlignment="1" pivotButton="0" quotePrefix="0" xfId="0">
      <alignment horizontal="left" vertical="center" wrapText="1"/>
    </xf>
    <xf numFmtId="0" fontId="20" fillId="14" borderId="1" applyAlignment="1" pivotButton="0" quotePrefix="0" xfId="0">
      <alignment horizontal="left" vertical="center" wrapText="1"/>
    </xf>
    <xf numFmtId="0" fontId="21" fillId="14" borderId="1" applyAlignment="1" pivotButton="0" quotePrefix="0" xfId="0">
      <alignment horizontal="left" vertical="center" wrapText="1"/>
    </xf>
    <xf numFmtId="0" fontId="22" fillId="14" borderId="1" applyAlignment="1" pivotButton="0" quotePrefix="0" xfId="0">
      <alignment horizontal="left" vertical="center" wrapText="1"/>
    </xf>
    <xf numFmtId="0" fontId="3" fillId="14" borderId="1" applyAlignment="1" pivotButton="0" quotePrefix="0" xfId="0">
      <alignment horizontal="center" vertical="center" wrapText="1"/>
    </xf>
    <xf numFmtId="0" fontId="38" fillId="14" borderId="1" applyAlignment="1" pivotButton="0" quotePrefix="0" xfId="0">
      <alignment horizontal="left" vertical="center" wrapText="1"/>
    </xf>
    <xf numFmtId="0" fontId="10" fillId="14" borderId="1" applyAlignment="1" pivotButton="0" quotePrefix="0" xfId="0">
      <alignment horizontal="center" vertical="center" wrapText="1"/>
    </xf>
    <xf numFmtId="0" fontId="8" fillId="14" borderId="1" applyAlignment="1" pivotButton="0" quotePrefix="0" xfId="0">
      <alignment horizontal="left" vertical="center" wrapText="1"/>
    </xf>
    <xf numFmtId="0" fontId="24" fillId="14" borderId="1" applyAlignment="1" pivotButton="0" quotePrefix="0" xfId="0">
      <alignment horizontal="center" vertical="center" wrapText="1"/>
    </xf>
    <xf numFmtId="0" fontId="26" fillId="14" borderId="1" applyAlignment="1" pivotButton="0" quotePrefix="0" xfId="0">
      <alignment horizontal="center" vertical="center" wrapText="1"/>
    </xf>
    <xf numFmtId="0" fontId="0" fillId="11" borderId="1" pivotButton="0" quotePrefix="0" xfId="0"/>
    <xf numFmtId="0" fontId="2" fillId="11" borderId="1" applyAlignment="1" pivotButton="0" quotePrefix="0" xfId="0">
      <alignment horizontal="left" vertical="center"/>
    </xf>
    <xf numFmtId="0" fontId="3" fillId="20" borderId="1" applyAlignment="1" pivotButton="0" quotePrefix="0" xfId="0">
      <alignment horizontal="center" vertical="center" wrapText="1"/>
    </xf>
    <xf numFmtId="0" fontId="22" fillId="20" borderId="1" applyAlignment="1" pivotButton="0" quotePrefix="0" xfId="0">
      <alignment horizontal="left" vertical="center" wrapText="1"/>
    </xf>
    <xf numFmtId="0" fontId="5" fillId="20" borderId="1" applyAlignment="1" pivotButton="0" quotePrefix="0" xfId="0">
      <alignment horizontal="left" vertical="center" wrapText="1"/>
    </xf>
    <xf numFmtId="0" fontId="3" fillId="20" borderId="1" applyAlignment="1" pivotButton="0" quotePrefix="0" xfId="0">
      <alignment horizontal="left" vertical="center" wrapText="1"/>
    </xf>
    <xf numFmtId="0" fontId="5" fillId="20" borderId="1" applyAlignment="1" pivotButton="0" quotePrefix="0" xfId="0">
      <alignment horizontal="center" vertical="center" wrapText="1"/>
    </xf>
    <xf numFmtId="0" fontId="24" fillId="20" borderId="1" applyAlignment="1" pivotButton="0" quotePrefix="0" xfId="0">
      <alignment horizontal="center" vertical="center" wrapText="1"/>
    </xf>
    <xf numFmtId="0" fontId="8" fillId="20" borderId="1" applyAlignment="1" pivotButton="0" quotePrefix="0" xfId="0">
      <alignment horizontal="left" vertical="center" wrapText="1"/>
    </xf>
    <xf numFmtId="0" fontId="11" fillId="20" borderId="1" applyAlignment="1" pivotButton="0" quotePrefix="0" xfId="0">
      <alignment horizontal="left" vertical="center" wrapText="1"/>
    </xf>
    <xf numFmtId="0" fontId="12" fillId="20" borderId="1" applyAlignment="1" pivotButton="0" quotePrefix="0" xfId="0">
      <alignment horizontal="left" vertical="center" wrapText="1"/>
    </xf>
    <xf numFmtId="0" fontId="13" fillId="20" borderId="1" applyAlignment="1" pivotButton="0" quotePrefix="0" xfId="0">
      <alignment horizontal="left" vertical="center" wrapText="1"/>
    </xf>
    <xf numFmtId="0" fontId="14" fillId="20" borderId="1" applyAlignment="1" pivotButton="0" quotePrefix="0" xfId="0">
      <alignment horizontal="left" vertical="center" wrapText="1"/>
    </xf>
    <xf numFmtId="0" fontId="15" fillId="20" borderId="1" applyAlignment="1" pivotButton="0" quotePrefix="0" xfId="0">
      <alignment horizontal="left" vertical="center" wrapText="1"/>
    </xf>
    <xf numFmtId="0" fontId="16" fillId="20" borderId="1" applyAlignment="1" pivotButton="0" quotePrefix="0" xfId="0">
      <alignment horizontal="left" vertical="center" wrapText="1"/>
    </xf>
    <xf numFmtId="0" fontId="9" fillId="20" borderId="1" applyAlignment="1" pivotButton="0" quotePrefix="0" xfId="0">
      <alignment horizontal="left" vertical="center" wrapText="1"/>
    </xf>
    <xf numFmtId="0" fontId="18" fillId="20" borderId="1" applyAlignment="1" pivotButton="0" quotePrefix="0" xfId="0">
      <alignment horizontal="left" vertical="center" wrapText="1"/>
    </xf>
    <xf numFmtId="0" fontId="19" fillId="20" borderId="1" applyAlignment="1" pivotButton="0" quotePrefix="0" xfId="0">
      <alignment horizontal="left" vertical="center" wrapText="1"/>
    </xf>
    <xf numFmtId="0" fontId="20" fillId="20" borderId="1" applyAlignment="1" pivotButton="0" quotePrefix="0" xfId="0">
      <alignment horizontal="left" vertical="center" wrapText="1"/>
    </xf>
    <xf numFmtId="0" fontId="21" fillId="20" borderId="1" applyAlignment="1" pivotButton="0" quotePrefix="0" xfId="0">
      <alignment horizontal="left" vertical="center" wrapText="1"/>
    </xf>
    <xf numFmtId="0" fontId="19" fillId="29" borderId="1" applyAlignment="1" pivotButton="0" quotePrefix="0" xfId="0">
      <alignment horizontal="left" vertical="center" wrapText="1"/>
    </xf>
    <xf numFmtId="0" fontId="22" fillId="15" borderId="1" applyAlignment="1" pivotButton="0" quotePrefix="0" xfId="0">
      <alignment horizontal="left" vertical="center" wrapText="1"/>
    </xf>
    <xf numFmtId="0" fontId="0" fillId="30" borderId="1" pivotButton="0" quotePrefix="0" xfId="0"/>
    <xf numFmtId="0" fontId="2" fillId="30" borderId="1" applyAlignment="1" pivotButton="0" quotePrefix="0" xfId="0">
      <alignment horizontal="left" vertical="center"/>
    </xf>
    <xf numFmtId="0" fontId="3" fillId="31" borderId="1" applyAlignment="1" pivotButton="0" quotePrefix="0" xfId="0">
      <alignment horizontal="center" vertical="center" wrapText="1"/>
    </xf>
    <xf numFmtId="0" fontId="39" fillId="31" borderId="1" applyAlignment="1" pivotButton="0" quotePrefix="0" xfId="0">
      <alignment horizontal="left" vertical="center" wrapText="1"/>
    </xf>
    <xf numFmtId="0" fontId="5" fillId="31" borderId="1" applyAlignment="1" pivotButton="0" quotePrefix="0" xfId="0">
      <alignment horizontal="left" vertical="center" wrapText="1"/>
    </xf>
    <xf numFmtId="0" fontId="3" fillId="31" borderId="1" applyAlignment="1" pivotButton="0" quotePrefix="0" xfId="0">
      <alignment horizontal="left" vertical="center" wrapText="1"/>
    </xf>
    <xf numFmtId="0" fontId="5" fillId="31" borderId="1" applyAlignment="1" pivotButton="0" quotePrefix="0" xfId="0">
      <alignment horizontal="center" vertical="center" wrapText="1"/>
    </xf>
    <xf numFmtId="0" fontId="24" fillId="31" borderId="1" applyAlignment="1" pivotButton="0" quotePrefix="0" xfId="0">
      <alignment horizontal="center" vertical="center" wrapText="1"/>
    </xf>
    <xf numFmtId="0" fontId="8" fillId="31" borderId="1" applyAlignment="1" pivotButton="0" quotePrefix="0" xfId="0">
      <alignment horizontal="left" vertical="center" wrapText="1"/>
    </xf>
    <xf numFmtId="0" fontId="11" fillId="31" borderId="1" applyAlignment="1" pivotButton="0" quotePrefix="0" xfId="0">
      <alignment horizontal="left" vertical="center" wrapText="1"/>
    </xf>
    <xf numFmtId="0" fontId="12" fillId="31" borderId="1" applyAlignment="1" pivotButton="0" quotePrefix="0" xfId="0">
      <alignment horizontal="left" vertical="center" wrapText="1"/>
    </xf>
    <xf numFmtId="0" fontId="13" fillId="31" borderId="1" applyAlignment="1" pivotButton="0" quotePrefix="0" xfId="0">
      <alignment horizontal="left" vertical="center" wrapText="1"/>
    </xf>
    <xf numFmtId="0" fontId="14" fillId="31" borderId="1" applyAlignment="1" pivotButton="0" quotePrefix="0" xfId="0">
      <alignment horizontal="left" vertical="center" wrapText="1"/>
    </xf>
    <xf numFmtId="0" fontId="15" fillId="31" borderId="1" applyAlignment="1" pivotButton="0" quotePrefix="0" xfId="0">
      <alignment horizontal="left" vertical="center" wrapText="1"/>
    </xf>
    <xf numFmtId="0" fontId="16" fillId="31" borderId="1" applyAlignment="1" pivotButton="0" quotePrefix="0" xfId="0">
      <alignment horizontal="left" vertical="center" wrapText="1"/>
    </xf>
    <xf numFmtId="0" fontId="9" fillId="31" borderId="1" applyAlignment="1" pivotButton="0" quotePrefix="0" xfId="0">
      <alignment horizontal="left" vertical="center" wrapText="1"/>
    </xf>
    <xf numFmtId="0" fontId="18" fillId="31" borderId="1" applyAlignment="1" pivotButton="0" quotePrefix="0" xfId="0">
      <alignment horizontal="left" vertical="center" wrapText="1"/>
    </xf>
    <xf numFmtId="0" fontId="19" fillId="31" borderId="1" applyAlignment="1" pivotButton="0" quotePrefix="0" xfId="0">
      <alignment horizontal="left" vertical="center" wrapText="1"/>
    </xf>
    <xf numFmtId="0" fontId="20" fillId="31" borderId="1" applyAlignment="1" pivotButton="0" quotePrefix="0" xfId="0">
      <alignment horizontal="left" vertical="center" wrapText="1"/>
    </xf>
    <xf numFmtId="0" fontId="21" fillId="31" borderId="1" applyAlignment="1" pivotButton="0" quotePrefix="0" xfId="0">
      <alignment horizontal="left" vertical="center" wrapText="1"/>
    </xf>
    <xf numFmtId="0" fontId="22" fillId="31" borderId="1" applyAlignment="1" pivotButton="0" quotePrefix="0" xfId="0">
      <alignment horizontal="left" vertical="center" wrapText="1"/>
    </xf>
    <xf numFmtId="0" fontId="19" fillId="32" borderId="1" applyAlignment="1" pivotButton="0" quotePrefix="0" xfId="0">
      <alignment horizontal="left" vertical="center" wrapText="1"/>
    </xf>
    <xf numFmtId="0" fontId="39" fillId="15" borderId="1" applyAlignment="1" pivotButton="0" quotePrefix="0" xfId="0">
      <alignment horizontal="left" vertical="center" wrapText="1"/>
    </xf>
    <xf numFmtId="0" fontId="0" fillId="33" borderId="1" pivotButton="0" quotePrefix="0" xfId="0"/>
    <xf numFmtId="0" fontId="2" fillId="33" borderId="1" applyAlignment="1" pivotButton="0" quotePrefix="0" xfId="0">
      <alignment horizontal="left" vertical="center"/>
    </xf>
    <xf numFmtId="0" fontId="3" fillId="34" borderId="1" applyAlignment="1" pivotButton="0" quotePrefix="0" xfId="0">
      <alignment horizontal="center" vertical="center" wrapText="1"/>
    </xf>
    <xf numFmtId="0" fontId="40" fillId="34" borderId="1" applyAlignment="1" pivotButton="0" quotePrefix="0" xfId="0">
      <alignment horizontal="left" vertical="center" wrapText="1"/>
    </xf>
    <xf numFmtId="0" fontId="5" fillId="34" borderId="1" applyAlignment="1" pivotButton="0" quotePrefix="0" xfId="0">
      <alignment horizontal="left" vertical="center" wrapText="1"/>
    </xf>
    <xf numFmtId="0" fontId="3" fillId="34" borderId="1" applyAlignment="1" pivotButton="0" quotePrefix="0" xfId="0">
      <alignment horizontal="left" vertical="center" wrapText="1"/>
    </xf>
    <xf numFmtId="0" fontId="5" fillId="34" borderId="1" applyAlignment="1" pivotButton="0" quotePrefix="0" xfId="0">
      <alignment horizontal="center" vertical="center" wrapText="1"/>
    </xf>
    <xf numFmtId="0" fontId="24" fillId="34" borderId="1" applyAlignment="1" pivotButton="0" quotePrefix="0" xfId="0">
      <alignment horizontal="center" vertical="center" wrapText="1"/>
    </xf>
    <xf numFmtId="0" fontId="8" fillId="34" borderId="1" applyAlignment="1" pivotButton="0" quotePrefix="0" xfId="0">
      <alignment horizontal="left" vertical="center" wrapText="1"/>
    </xf>
    <xf numFmtId="0" fontId="11" fillId="34" borderId="1" applyAlignment="1" pivotButton="0" quotePrefix="0" xfId="0">
      <alignment horizontal="left" vertical="center" wrapText="1"/>
    </xf>
    <xf numFmtId="0" fontId="12" fillId="34" borderId="1" applyAlignment="1" pivotButton="0" quotePrefix="0" xfId="0">
      <alignment horizontal="left" vertical="center" wrapText="1"/>
    </xf>
    <xf numFmtId="0" fontId="13" fillId="34" borderId="1" applyAlignment="1" pivotButton="0" quotePrefix="0" xfId="0">
      <alignment horizontal="left" vertical="center" wrapText="1"/>
    </xf>
    <xf numFmtId="0" fontId="14" fillId="34" borderId="1" applyAlignment="1" pivotButton="0" quotePrefix="0" xfId="0">
      <alignment horizontal="left" vertical="center" wrapText="1"/>
    </xf>
    <xf numFmtId="0" fontId="15" fillId="34" borderId="1" applyAlignment="1" pivotButton="0" quotePrefix="0" xfId="0">
      <alignment horizontal="left" vertical="center" wrapText="1"/>
    </xf>
    <xf numFmtId="0" fontId="16" fillId="34" borderId="1" applyAlignment="1" pivotButton="0" quotePrefix="0" xfId="0">
      <alignment horizontal="left" vertical="center" wrapText="1"/>
    </xf>
    <xf numFmtId="0" fontId="9" fillId="34" borderId="1" applyAlignment="1" pivotButton="0" quotePrefix="0" xfId="0">
      <alignment horizontal="left" vertical="center" wrapText="1"/>
    </xf>
    <xf numFmtId="0" fontId="18" fillId="34" borderId="1" applyAlignment="1" pivotButton="0" quotePrefix="0" xfId="0">
      <alignment horizontal="left" vertical="center" wrapText="1"/>
    </xf>
    <xf numFmtId="0" fontId="19" fillId="34" borderId="1" applyAlignment="1" pivotButton="0" quotePrefix="0" xfId="0">
      <alignment horizontal="left" vertical="center" wrapText="1"/>
    </xf>
    <xf numFmtId="0" fontId="20" fillId="34" borderId="1" applyAlignment="1" pivotButton="0" quotePrefix="0" xfId="0">
      <alignment horizontal="left" vertical="center" wrapText="1"/>
    </xf>
    <xf numFmtId="0" fontId="21" fillId="34" borderId="1" applyAlignment="1" pivotButton="0" quotePrefix="0" xfId="0">
      <alignment horizontal="left" vertical="center" wrapText="1"/>
    </xf>
    <xf numFmtId="0" fontId="22" fillId="34" borderId="1" applyAlignment="1" pivotButton="0" quotePrefix="0" xfId="0">
      <alignment horizontal="left" vertical="center" wrapText="1"/>
    </xf>
    <xf numFmtId="0" fontId="40" fillId="15" borderId="1" applyAlignment="1" pivotButton="0" quotePrefix="0" xfId="0">
      <alignment horizontal="left" vertical="center" wrapText="1"/>
    </xf>
    <xf numFmtId="0" fontId="0" fillId="35" borderId="1" pivotButton="0" quotePrefix="0" xfId="0"/>
    <xf numFmtId="0" fontId="2" fillId="35" borderId="1" applyAlignment="1" pivotButton="0" quotePrefix="0" xfId="0">
      <alignment horizontal="left" vertical="center"/>
    </xf>
    <xf numFmtId="0" fontId="3" fillId="36" borderId="1" applyAlignment="1" pivotButton="0" quotePrefix="0" xfId="0">
      <alignment horizontal="center" vertical="center" wrapText="1"/>
    </xf>
    <xf numFmtId="0" fontId="41" fillId="36" borderId="1" applyAlignment="1" pivotButton="0" quotePrefix="0" xfId="0">
      <alignment horizontal="left" vertical="center" wrapText="1"/>
    </xf>
    <xf numFmtId="0" fontId="5" fillId="36" borderId="1" applyAlignment="1" pivotButton="0" quotePrefix="0" xfId="0">
      <alignment horizontal="left" vertical="center" wrapText="1"/>
    </xf>
    <xf numFmtId="0" fontId="3" fillId="36" borderId="1" applyAlignment="1" pivotButton="0" quotePrefix="0" xfId="0">
      <alignment horizontal="left" vertical="center" wrapText="1"/>
    </xf>
    <xf numFmtId="0" fontId="5" fillId="36" borderId="1" applyAlignment="1" pivotButton="0" quotePrefix="0" xfId="0">
      <alignment horizontal="center" vertical="center" wrapText="1"/>
    </xf>
    <xf numFmtId="0" fontId="24" fillId="36" borderId="1" applyAlignment="1" pivotButton="0" quotePrefix="0" xfId="0">
      <alignment horizontal="center" vertical="center" wrapText="1"/>
    </xf>
    <xf numFmtId="0" fontId="8" fillId="36" borderId="1" applyAlignment="1" pivotButton="0" quotePrefix="0" xfId="0">
      <alignment horizontal="left" vertical="center" wrapText="1"/>
    </xf>
    <xf numFmtId="0" fontId="11" fillId="36" borderId="1" applyAlignment="1" pivotButton="0" quotePrefix="0" xfId="0">
      <alignment horizontal="left" vertical="center" wrapText="1"/>
    </xf>
    <xf numFmtId="0" fontId="12" fillId="36" borderId="1" applyAlignment="1" pivotButton="0" quotePrefix="0" xfId="0">
      <alignment horizontal="left" vertical="center" wrapText="1"/>
    </xf>
    <xf numFmtId="0" fontId="13" fillId="36" borderId="1" applyAlignment="1" pivotButton="0" quotePrefix="0" xfId="0">
      <alignment horizontal="left" vertical="center" wrapText="1"/>
    </xf>
    <xf numFmtId="0" fontId="14" fillId="36" borderId="1" applyAlignment="1" pivotButton="0" quotePrefix="0" xfId="0">
      <alignment horizontal="left" vertical="center" wrapText="1"/>
    </xf>
    <xf numFmtId="0" fontId="15" fillId="36" borderId="1" applyAlignment="1" pivotButton="0" quotePrefix="0" xfId="0">
      <alignment horizontal="left" vertical="center" wrapText="1"/>
    </xf>
    <xf numFmtId="0" fontId="16" fillId="36" borderId="1" applyAlignment="1" pivotButton="0" quotePrefix="0" xfId="0">
      <alignment horizontal="left" vertical="center" wrapText="1"/>
    </xf>
    <xf numFmtId="0" fontId="9" fillId="36" borderId="1" applyAlignment="1" pivotButton="0" quotePrefix="0" xfId="0">
      <alignment horizontal="left" vertical="center" wrapText="1"/>
    </xf>
    <xf numFmtId="0" fontId="18" fillId="36" borderId="1" applyAlignment="1" pivotButton="0" quotePrefix="0" xfId="0">
      <alignment horizontal="left" vertical="center" wrapText="1"/>
    </xf>
    <xf numFmtId="0" fontId="19" fillId="36" borderId="1" applyAlignment="1" pivotButton="0" quotePrefix="0" xfId="0">
      <alignment horizontal="left" vertical="center" wrapText="1"/>
    </xf>
    <xf numFmtId="0" fontId="20" fillId="36" borderId="1" applyAlignment="1" pivotButton="0" quotePrefix="0" xfId="0">
      <alignment horizontal="left" vertical="center" wrapText="1"/>
    </xf>
    <xf numFmtId="0" fontId="21" fillId="36" borderId="1" applyAlignment="1" pivotButton="0" quotePrefix="0" xfId="0">
      <alignment horizontal="left" vertical="center" wrapText="1"/>
    </xf>
    <xf numFmtId="0" fontId="22" fillId="36" borderId="1" applyAlignment="1" pivotButton="0" quotePrefix="0" xfId="0">
      <alignment horizontal="left" vertical="center" wrapText="1"/>
    </xf>
    <xf numFmtId="0" fontId="41" fillId="15" borderId="1" applyAlignment="1" pivotButton="0" quotePrefix="0" xfId="0">
      <alignment horizontal="left" vertical="center" wrapText="1"/>
    </xf>
    <xf numFmtId="0" fontId="0" fillId="22" borderId="1" pivotButton="0" quotePrefix="0" xfId="0"/>
    <xf numFmtId="0" fontId="2" fillId="22" borderId="1" applyAlignment="1" pivotButton="0" quotePrefix="0" xfId="0">
      <alignment horizontal="left" vertical="center"/>
    </xf>
    <xf numFmtId="0" fontId="3" fillId="37" borderId="1" applyAlignment="1" pivotButton="0" quotePrefix="0" xfId="0">
      <alignment horizontal="center" vertical="center" wrapText="1"/>
    </xf>
    <xf numFmtId="0" fontId="42" fillId="37" borderId="1" applyAlignment="1" pivotButton="0" quotePrefix="0" xfId="0">
      <alignment horizontal="left" vertical="center" wrapText="1"/>
    </xf>
    <xf numFmtId="0" fontId="5" fillId="37" borderId="1" applyAlignment="1" pivotButton="0" quotePrefix="0" xfId="0">
      <alignment horizontal="left" vertical="center" wrapText="1"/>
    </xf>
    <xf numFmtId="0" fontId="3" fillId="37" borderId="1" applyAlignment="1" pivotButton="0" quotePrefix="0" xfId="0">
      <alignment horizontal="left" vertical="center" wrapText="1"/>
    </xf>
    <xf numFmtId="0" fontId="5" fillId="37" borderId="1" applyAlignment="1" pivotButton="0" quotePrefix="0" xfId="0">
      <alignment horizontal="center" vertical="center" wrapText="1"/>
    </xf>
    <xf numFmtId="0" fontId="24" fillId="37" borderId="1" applyAlignment="1" pivotButton="0" quotePrefix="0" xfId="0">
      <alignment horizontal="center" vertical="center" wrapText="1"/>
    </xf>
    <xf numFmtId="0" fontId="8" fillId="37" borderId="1" applyAlignment="1" pivotButton="0" quotePrefix="0" xfId="0">
      <alignment horizontal="left" vertical="center" wrapText="1"/>
    </xf>
    <xf numFmtId="0" fontId="11" fillId="37" borderId="1" applyAlignment="1" pivotButton="0" quotePrefix="0" xfId="0">
      <alignment horizontal="left" vertical="center" wrapText="1"/>
    </xf>
    <xf numFmtId="0" fontId="12" fillId="37" borderId="1" applyAlignment="1" pivotButton="0" quotePrefix="0" xfId="0">
      <alignment horizontal="left" vertical="center" wrapText="1"/>
    </xf>
    <xf numFmtId="0" fontId="13" fillId="37" borderId="1" applyAlignment="1" pivotButton="0" quotePrefix="0" xfId="0">
      <alignment horizontal="left" vertical="center" wrapText="1"/>
    </xf>
    <xf numFmtId="0" fontId="14" fillId="37" borderId="1" applyAlignment="1" pivotButton="0" quotePrefix="0" xfId="0">
      <alignment horizontal="left" vertical="center" wrapText="1"/>
    </xf>
    <xf numFmtId="0" fontId="15" fillId="37" borderId="1" applyAlignment="1" pivotButton="0" quotePrefix="0" xfId="0">
      <alignment horizontal="left" vertical="center" wrapText="1"/>
    </xf>
    <xf numFmtId="0" fontId="16" fillId="37" borderId="1" applyAlignment="1" pivotButton="0" quotePrefix="0" xfId="0">
      <alignment horizontal="left" vertical="center" wrapText="1"/>
    </xf>
    <xf numFmtId="0" fontId="9" fillId="37" borderId="1" applyAlignment="1" pivotButton="0" quotePrefix="0" xfId="0">
      <alignment horizontal="left" vertical="center" wrapText="1"/>
    </xf>
    <xf numFmtId="0" fontId="18" fillId="37" borderId="1" applyAlignment="1" pivotButton="0" quotePrefix="0" xfId="0">
      <alignment horizontal="left" vertical="center" wrapText="1"/>
    </xf>
    <xf numFmtId="0" fontId="19" fillId="37" borderId="1" applyAlignment="1" pivotButton="0" quotePrefix="0" xfId="0">
      <alignment horizontal="left" vertical="center" wrapText="1"/>
    </xf>
    <xf numFmtId="0" fontId="20" fillId="37" borderId="1" applyAlignment="1" pivotButton="0" quotePrefix="0" xfId="0">
      <alignment horizontal="left" vertical="center" wrapText="1"/>
    </xf>
    <xf numFmtId="0" fontId="21" fillId="37" borderId="1" applyAlignment="1" pivotButton="0" quotePrefix="0" xfId="0">
      <alignment horizontal="left" vertical="center" wrapText="1"/>
    </xf>
    <xf numFmtId="0" fontId="22" fillId="37" borderId="1" applyAlignment="1" pivotButton="0" quotePrefix="0" xfId="0">
      <alignment horizontal="left" vertical="center" wrapText="1"/>
    </xf>
    <xf numFmtId="0" fontId="42" fillId="15" borderId="1" applyAlignment="1" pivotButton="0" quotePrefix="0" xfId="0">
      <alignment horizontal="left" vertical="center" wrapText="1"/>
    </xf>
    <xf numFmtId="0" fontId="0" fillId="38" borderId="1" pivotButton="0" quotePrefix="0" xfId="0"/>
    <xf numFmtId="0" fontId="2" fillId="38" borderId="1" applyAlignment="1" pivotButton="0" quotePrefix="0" xfId="0">
      <alignment horizontal="left" vertical="center"/>
    </xf>
    <xf numFmtId="0" fontId="3" fillId="39" borderId="1" applyAlignment="1" pivotButton="0" quotePrefix="0" xfId="0">
      <alignment horizontal="center" vertical="center" wrapText="1"/>
    </xf>
    <xf numFmtId="0" fontId="43" fillId="39" borderId="1" applyAlignment="1" pivotButton="0" quotePrefix="0" xfId="0">
      <alignment horizontal="left" vertical="center" wrapText="1"/>
    </xf>
    <xf numFmtId="0" fontId="5" fillId="39" borderId="1" applyAlignment="1" pivotButton="0" quotePrefix="0" xfId="0">
      <alignment horizontal="left" vertical="center" wrapText="1"/>
    </xf>
    <xf numFmtId="0" fontId="3" fillId="39" borderId="1" applyAlignment="1" pivotButton="0" quotePrefix="0" xfId="0">
      <alignment horizontal="left" vertical="center" wrapText="1"/>
    </xf>
    <xf numFmtId="0" fontId="5" fillId="39" borderId="1" applyAlignment="1" pivotButton="0" quotePrefix="0" xfId="0">
      <alignment horizontal="center" vertical="center" wrapText="1"/>
    </xf>
    <xf numFmtId="0" fontId="24" fillId="39" borderId="1" applyAlignment="1" pivotButton="0" quotePrefix="0" xfId="0">
      <alignment horizontal="center" vertical="center" wrapText="1"/>
    </xf>
    <xf numFmtId="0" fontId="8" fillId="39" borderId="1" applyAlignment="1" pivotButton="0" quotePrefix="0" xfId="0">
      <alignment horizontal="left" vertical="center" wrapText="1"/>
    </xf>
    <xf numFmtId="0" fontId="11" fillId="39" borderId="1" applyAlignment="1" pivotButton="0" quotePrefix="0" xfId="0">
      <alignment horizontal="left" vertical="center" wrapText="1"/>
    </xf>
    <xf numFmtId="0" fontId="12" fillId="39" borderId="1" applyAlignment="1" pivotButton="0" quotePrefix="0" xfId="0">
      <alignment horizontal="left" vertical="center" wrapText="1"/>
    </xf>
    <xf numFmtId="0" fontId="13" fillId="39" borderId="1" applyAlignment="1" pivotButton="0" quotePrefix="0" xfId="0">
      <alignment horizontal="left" vertical="center" wrapText="1"/>
    </xf>
    <xf numFmtId="0" fontId="14" fillId="39" borderId="1" applyAlignment="1" pivotButton="0" quotePrefix="0" xfId="0">
      <alignment horizontal="left" vertical="center" wrapText="1"/>
    </xf>
    <xf numFmtId="0" fontId="15" fillId="39" borderId="1" applyAlignment="1" pivotButton="0" quotePrefix="0" xfId="0">
      <alignment horizontal="left" vertical="center" wrapText="1"/>
    </xf>
    <xf numFmtId="0" fontId="16" fillId="39" borderId="1" applyAlignment="1" pivotButton="0" quotePrefix="0" xfId="0">
      <alignment horizontal="left" vertical="center" wrapText="1"/>
    </xf>
    <xf numFmtId="0" fontId="9" fillId="39" borderId="1" applyAlignment="1" pivotButton="0" quotePrefix="0" xfId="0">
      <alignment horizontal="left" vertical="center" wrapText="1"/>
    </xf>
    <xf numFmtId="0" fontId="18" fillId="39" borderId="1" applyAlignment="1" pivotButton="0" quotePrefix="0" xfId="0">
      <alignment horizontal="left" vertical="center" wrapText="1"/>
    </xf>
    <xf numFmtId="0" fontId="19" fillId="39" borderId="1" applyAlignment="1" pivotButton="0" quotePrefix="0" xfId="0">
      <alignment horizontal="left" vertical="center" wrapText="1"/>
    </xf>
    <xf numFmtId="0" fontId="20" fillId="39" borderId="1" applyAlignment="1" pivotButton="0" quotePrefix="0" xfId="0">
      <alignment horizontal="left" vertical="center" wrapText="1"/>
    </xf>
    <xf numFmtId="0" fontId="21" fillId="39" borderId="1" applyAlignment="1" pivotButton="0" quotePrefix="0" xfId="0">
      <alignment horizontal="left" vertical="center" wrapText="1"/>
    </xf>
    <xf numFmtId="0" fontId="22" fillId="39" borderId="1" applyAlignment="1" pivotButton="0" quotePrefix="0" xfId="0">
      <alignment horizontal="left" vertical="center" wrapText="1"/>
    </xf>
    <xf numFmtId="0" fontId="43" fillId="15" borderId="1" applyAlignment="1" pivotButton="0" quotePrefix="0" xfId="0">
      <alignment horizontal="left" vertical="center" wrapText="1"/>
    </xf>
    <xf numFmtId="0" fontId="0" fillId="40" borderId="1" pivotButton="0" quotePrefix="0" xfId="0"/>
    <xf numFmtId="0" fontId="2" fillId="40" borderId="1" applyAlignment="1" pivotButton="0" quotePrefix="0" xfId="0">
      <alignment horizontal="left" vertical="center"/>
    </xf>
    <xf numFmtId="0" fontId="3" fillId="41" borderId="1" applyAlignment="1" pivotButton="0" quotePrefix="0" xfId="0">
      <alignment horizontal="center" vertical="center" wrapText="1"/>
    </xf>
    <xf numFmtId="0" fontId="44" fillId="41" borderId="1" applyAlignment="1" pivotButton="0" quotePrefix="0" xfId="0">
      <alignment horizontal="left" vertical="center" wrapText="1"/>
    </xf>
    <xf numFmtId="0" fontId="5" fillId="41" borderId="1" applyAlignment="1" pivotButton="0" quotePrefix="0" xfId="0">
      <alignment horizontal="left" vertical="center" wrapText="1"/>
    </xf>
    <xf numFmtId="0" fontId="3" fillId="41" borderId="1" applyAlignment="1" pivotButton="0" quotePrefix="0" xfId="0">
      <alignment horizontal="left" vertical="center" wrapText="1"/>
    </xf>
    <xf numFmtId="0" fontId="5" fillId="41" borderId="1" applyAlignment="1" pivotButton="0" quotePrefix="0" xfId="0">
      <alignment horizontal="center" vertical="center" wrapText="1"/>
    </xf>
    <xf numFmtId="0" fontId="24" fillId="41" borderId="1" applyAlignment="1" pivotButton="0" quotePrefix="0" xfId="0">
      <alignment horizontal="center" vertical="center" wrapText="1"/>
    </xf>
    <xf numFmtId="0" fontId="8" fillId="41" borderId="1" applyAlignment="1" pivotButton="0" quotePrefix="0" xfId="0">
      <alignment horizontal="left" vertical="center" wrapText="1"/>
    </xf>
    <xf numFmtId="0" fontId="11" fillId="41" borderId="1" applyAlignment="1" pivotButton="0" quotePrefix="0" xfId="0">
      <alignment horizontal="left" vertical="center" wrapText="1"/>
    </xf>
    <xf numFmtId="0" fontId="12" fillId="41" borderId="1" applyAlignment="1" pivotButton="0" quotePrefix="0" xfId="0">
      <alignment horizontal="left" vertical="center" wrapText="1"/>
    </xf>
    <xf numFmtId="0" fontId="13" fillId="41" borderId="1" applyAlignment="1" pivotButton="0" quotePrefix="0" xfId="0">
      <alignment horizontal="left" vertical="center" wrapText="1"/>
    </xf>
    <xf numFmtId="0" fontId="14" fillId="41" borderId="1" applyAlignment="1" pivotButton="0" quotePrefix="0" xfId="0">
      <alignment horizontal="left" vertical="center" wrapText="1"/>
    </xf>
    <xf numFmtId="0" fontId="15" fillId="41" borderId="1" applyAlignment="1" pivotButton="0" quotePrefix="0" xfId="0">
      <alignment horizontal="left" vertical="center" wrapText="1"/>
    </xf>
    <xf numFmtId="0" fontId="16" fillId="41" borderId="1" applyAlignment="1" pivotButton="0" quotePrefix="0" xfId="0">
      <alignment horizontal="left" vertical="center" wrapText="1"/>
    </xf>
    <xf numFmtId="0" fontId="9" fillId="41" borderId="1" applyAlignment="1" pivotButton="0" quotePrefix="0" xfId="0">
      <alignment horizontal="left" vertical="center" wrapText="1"/>
    </xf>
    <xf numFmtId="0" fontId="18" fillId="41" borderId="1" applyAlignment="1" pivotButton="0" quotePrefix="0" xfId="0">
      <alignment horizontal="left" vertical="center" wrapText="1"/>
    </xf>
    <xf numFmtId="0" fontId="19" fillId="41" borderId="1" applyAlignment="1" pivotButton="0" quotePrefix="0" xfId="0">
      <alignment horizontal="left" vertical="center" wrapText="1"/>
    </xf>
    <xf numFmtId="0" fontId="20" fillId="41" borderId="1" applyAlignment="1" pivotButton="0" quotePrefix="0" xfId="0">
      <alignment horizontal="left" vertical="center" wrapText="1"/>
    </xf>
    <xf numFmtId="0" fontId="21" fillId="41" borderId="1" applyAlignment="1" pivotButton="0" quotePrefix="0" xfId="0">
      <alignment horizontal="left" vertical="center" wrapText="1"/>
    </xf>
    <xf numFmtId="0" fontId="22" fillId="41" borderId="1" applyAlignment="1" pivotButton="0" quotePrefix="0" xfId="0">
      <alignment horizontal="left" vertical="center" wrapText="1"/>
    </xf>
    <xf numFmtId="0" fontId="44" fillId="15" borderId="1" applyAlignment="1" pivotButton="0" quotePrefix="0" xfId="0">
      <alignment horizontal="left" vertical="center" wrapText="1"/>
    </xf>
    <xf numFmtId="0" fontId="0" fillId="6" borderId="1" pivotButton="0" quotePrefix="0" xfId="0"/>
    <xf numFmtId="0" fontId="2" fillId="6" borderId="1" applyAlignment="1" pivotButton="0" quotePrefix="0" xfId="0">
      <alignment horizontal="left" vertical="center"/>
    </xf>
    <xf numFmtId="0" fontId="3" fillId="42" borderId="1" applyAlignment="1" pivotButton="0" quotePrefix="0" xfId="0">
      <alignment horizontal="center" vertical="center" wrapText="1"/>
    </xf>
    <xf numFmtId="0" fontId="45" fillId="42" borderId="1" applyAlignment="1" pivotButton="0" quotePrefix="0" xfId="0">
      <alignment horizontal="left" vertical="center" wrapText="1"/>
    </xf>
    <xf numFmtId="0" fontId="5" fillId="42" borderId="1" applyAlignment="1" pivotButton="0" quotePrefix="0" xfId="0">
      <alignment horizontal="left" vertical="center" wrapText="1"/>
    </xf>
    <xf numFmtId="0" fontId="3" fillId="42" borderId="1" applyAlignment="1" pivotButton="0" quotePrefix="0" xfId="0">
      <alignment horizontal="left" vertical="center" wrapText="1"/>
    </xf>
    <xf numFmtId="0" fontId="5" fillId="42" borderId="1" applyAlignment="1" pivotButton="0" quotePrefix="0" xfId="0">
      <alignment horizontal="center" vertical="center" wrapText="1"/>
    </xf>
    <xf numFmtId="0" fontId="24" fillId="42" borderId="1" applyAlignment="1" pivotButton="0" quotePrefix="0" xfId="0">
      <alignment horizontal="center" vertical="center" wrapText="1"/>
    </xf>
    <xf numFmtId="0" fontId="8" fillId="42" borderId="1" applyAlignment="1" pivotButton="0" quotePrefix="0" xfId="0">
      <alignment horizontal="left" vertical="center" wrapText="1"/>
    </xf>
    <xf numFmtId="0" fontId="11" fillId="42" borderId="1" applyAlignment="1" pivotButton="0" quotePrefix="0" xfId="0">
      <alignment horizontal="left" vertical="center" wrapText="1"/>
    </xf>
    <xf numFmtId="0" fontId="12" fillId="42" borderId="1" applyAlignment="1" pivotButton="0" quotePrefix="0" xfId="0">
      <alignment horizontal="left" vertical="center" wrapText="1"/>
    </xf>
    <xf numFmtId="0" fontId="13" fillId="42" borderId="1" applyAlignment="1" pivotButton="0" quotePrefix="0" xfId="0">
      <alignment horizontal="left" vertical="center" wrapText="1"/>
    </xf>
    <xf numFmtId="0" fontId="14" fillId="42" borderId="1" applyAlignment="1" pivotButton="0" quotePrefix="0" xfId="0">
      <alignment horizontal="left" vertical="center" wrapText="1"/>
    </xf>
    <xf numFmtId="0" fontId="15" fillId="42" borderId="1" applyAlignment="1" pivotButton="0" quotePrefix="0" xfId="0">
      <alignment horizontal="left" vertical="center" wrapText="1"/>
    </xf>
    <xf numFmtId="0" fontId="16" fillId="42" borderId="1" applyAlignment="1" pivotButton="0" quotePrefix="0" xfId="0">
      <alignment horizontal="left" vertical="center" wrapText="1"/>
    </xf>
    <xf numFmtId="0" fontId="9" fillId="42" borderId="1" applyAlignment="1" pivotButton="0" quotePrefix="0" xfId="0">
      <alignment horizontal="left" vertical="center" wrapText="1"/>
    </xf>
    <xf numFmtId="0" fontId="18" fillId="42" borderId="1" applyAlignment="1" pivotButton="0" quotePrefix="0" xfId="0">
      <alignment horizontal="left" vertical="center" wrapText="1"/>
    </xf>
    <xf numFmtId="0" fontId="19" fillId="42" borderId="1" applyAlignment="1" pivotButton="0" quotePrefix="0" xfId="0">
      <alignment horizontal="left" vertical="center" wrapText="1"/>
    </xf>
    <xf numFmtId="0" fontId="20" fillId="42" borderId="1" applyAlignment="1" pivotButton="0" quotePrefix="0" xfId="0">
      <alignment horizontal="left" vertical="center" wrapText="1"/>
    </xf>
    <xf numFmtId="0" fontId="21" fillId="42" borderId="1" applyAlignment="1" pivotButton="0" quotePrefix="0" xfId="0">
      <alignment horizontal="left" vertical="center" wrapText="1"/>
    </xf>
    <xf numFmtId="0" fontId="22" fillId="42" borderId="1" applyAlignment="1" pivotButton="0" quotePrefix="0" xfId="0">
      <alignment horizontal="left" vertical="center" wrapText="1"/>
    </xf>
    <xf numFmtId="0" fontId="45" fillId="15" borderId="1" applyAlignment="1" pivotButton="0" quotePrefix="0" xfId="0">
      <alignment horizontal="left" vertical="center" wrapText="1"/>
    </xf>
    <xf numFmtId="0" fontId="0" fillId="43" borderId="1" pivotButton="0" quotePrefix="0" xfId="0"/>
    <xf numFmtId="0" fontId="2" fillId="43" borderId="1" applyAlignment="1" pivotButton="0" quotePrefix="0" xfId="0">
      <alignment horizontal="left" vertical="center"/>
    </xf>
    <xf numFmtId="0" fontId="3" fillId="44" borderId="1" applyAlignment="1" pivotButton="0" quotePrefix="0" xfId="0">
      <alignment horizontal="center" vertical="center" wrapText="1"/>
    </xf>
    <xf numFmtId="0" fontId="46" fillId="44" borderId="1" applyAlignment="1" pivotButton="0" quotePrefix="0" xfId="0">
      <alignment horizontal="left" vertical="center" wrapText="1"/>
    </xf>
    <xf numFmtId="0" fontId="5" fillId="44" borderId="1" applyAlignment="1" pivotButton="0" quotePrefix="0" xfId="0">
      <alignment horizontal="left" vertical="center" wrapText="1"/>
    </xf>
    <xf numFmtId="0" fontId="3" fillId="44" borderId="1" applyAlignment="1" pivotButton="0" quotePrefix="0" xfId="0">
      <alignment horizontal="left" vertical="center" wrapText="1"/>
    </xf>
    <xf numFmtId="0" fontId="5" fillId="44" borderId="1" applyAlignment="1" pivotButton="0" quotePrefix="0" xfId="0">
      <alignment horizontal="center" vertical="center" wrapText="1"/>
    </xf>
    <xf numFmtId="0" fontId="24" fillId="44" borderId="1" applyAlignment="1" pivotButton="0" quotePrefix="0" xfId="0">
      <alignment horizontal="center" vertical="center" wrapText="1"/>
    </xf>
    <xf numFmtId="0" fontId="8" fillId="44" borderId="1" applyAlignment="1" pivotButton="0" quotePrefix="0" xfId="0">
      <alignment horizontal="left" vertical="center" wrapText="1"/>
    </xf>
    <xf numFmtId="0" fontId="11" fillId="44" borderId="1" applyAlignment="1" pivotButton="0" quotePrefix="0" xfId="0">
      <alignment horizontal="left" vertical="center" wrapText="1"/>
    </xf>
    <xf numFmtId="0" fontId="12" fillId="44" borderId="1" applyAlignment="1" pivotButton="0" quotePrefix="0" xfId="0">
      <alignment horizontal="left" vertical="center" wrapText="1"/>
    </xf>
    <xf numFmtId="0" fontId="13" fillId="44" borderId="1" applyAlignment="1" pivotButton="0" quotePrefix="0" xfId="0">
      <alignment horizontal="left" vertical="center" wrapText="1"/>
    </xf>
    <xf numFmtId="0" fontId="14" fillId="44" borderId="1" applyAlignment="1" pivotButton="0" quotePrefix="0" xfId="0">
      <alignment horizontal="left" vertical="center" wrapText="1"/>
    </xf>
    <xf numFmtId="0" fontId="15" fillId="44" borderId="1" applyAlignment="1" pivotButton="0" quotePrefix="0" xfId="0">
      <alignment horizontal="left" vertical="center" wrapText="1"/>
    </xf>
    <xf numFmtId="0" fontId="16" fillId="44" borderId="1" applyAlignment="1" pivotButton="0" quotePrefix="0" xfId="0">
      <alignment horizontal="left" vertical="center" wrapText="1"/>
    </xf>
    <xf numFmtId="0" fontId="9" fillId="44" borderId="1" applyAlignment="1" pivotButton="0" quotePrefix="0" xfId="0">
      <alignment horizontal="left" vertical="center" wrapText="1"/>
    </xf>
    <xf numFmtId="0" fontId="18" fillId="44" borderId="1" applyAlignment="1" pivotButton="0" quotePrefix="0" xfId="0">
      <alignment horizontal="left" vertical="center" wrapText="1"/>
    </xf>
    <xf numFmtId="0" fontId="19" fillId="44" borderId="1" applyAlignment="1" pivotButton="0" quotePrefix="0" xfId="0">
      <alignment horizontal="left" vertical="center" wrapText="1"/>
    </xf>
    <xf numFmtId="0" fontId="20" fillId="44" borderId="1" applyAlignment="1" pivotButton="0" quotePrefix="0" xfId="0">
      <alignment horizontal="left" vertical="center" wrapText="1"/>
    </xf>
    <xf numFmtId="0" fontId="21" fillId="44" borderId="1" applyAlignment="1" pivotButton="0" quotePrefix="0" xfId="0">
      <alignment horizontal="left" vertical="center" wrapText="1"/>
    </xf>
    <xf numFmtId="0" fontId="22" fillId="44" borderId="1" applyAlignment="1" pivotButton="0" quotePrefix="0" xfId="0">
      <alignment horizontal="left" vertical="center" wrapText="1"/>
    </xf>
    <xf numFmtId="0" fontId="46" fillId="15" borderId="1" applyAlignment="1" pivotButton="0" quotePrefix="0" xfId="0">
      <alignment horizontal="left" vertical="center" wrapText="1"/>
    </xf>
    <xf numFmtId="0" fontId="0" fillId="45" borderId="1" pivotButton="0" quotePrefix="0" xfId="0"/>
    <xf numFmtId="0" fontId="2" fillId="45" borderId="1" applyAlignment="1" pivotButton="0" quotePrefix="0" xfId="0">
      <alignment horizontal="left" vertical="center"/>
    </xf>
    <xf numFmtId="0" fontId="47" fillId="17" borderId="1" applyAlignment="1" pivotButton="0" quotePrefix="0" xfId="0">
      <alignment horizontal="left" vertical="center" wrapText="1"/>
    </xf>
    <xf numFmtId="0" fontId="47" fillId="15" borderId="1" applyAlignment="1" pivotButton="0" quotePrefix="0" xfId="0">
      <alignment horizontal="left" vertical="center" wrapText="1"/>
    </xf>
    <xf numFmtId="0" fontId="48" fillId="17" borderId="1" applyAlignment="1" pivotButton="0" quotePrefix="0" xfId="0">
      <alignment horizontal="left" vertical="center" wrapText="1"/>
    </xf>
    <xf numFmtId="0" fontId="49" fillId="23" borderId="1" applyAlignment="1" pivotButton="0" quotePrefix="0" xfId="0">
      <alignment horizontal="left" vertical="center" wrapText="1"/>
    </xf>
    <xf numFmtId="0" fontId="50" fillId="18" borderId="1" applyAlignment="1" pivotButton="0" quotePrefix="0" xfId="0">
      <alignment horizontal="left" vertical="center" wrapText="1"/>
    </xf>
    <xf numFmtId="0" fontId="10" fillId="18" borderId="1" applyAlignment="1" pivotButton="0" quotePrefix="0" xfId="0">
      <alignment horizontal="center" vertical="center" wrapText="1"/>
    </xf>
    <xf numFmtId="0" fontId="51" fillId="27" borderId="1" applyAlignment="1" pivotButton="0" quotePrefix="0" xfId="0">
      <alignment horizontal="left" vertical="center" wrapText="1"/>
    </xf>
    <xf numFmtId="0" fontId="52" fillId="20" borderId="1" applyAlignment="1" pivotButton="0" quotePrefix="0" xfId="0">
      <alignment horizontal="left" vertical="center" wrapText="1"/>
    </xf>
    <xf numFmtId="0" fontId="53" fillId="31" borderId="1" applyAlignment="1" pivotButton="0" quotePrefix="0" xfId="0">
      <alignment horizontal="left" vertical="center" wrapText="1"/>
    </xf>
    <xf numFmtId="0" fontId="54" fillId="34" borderId="1" applyAlignment="1" pivotButton="0" quotePrefix="0" xfId="0">
      <alignment horizontal="left" vertical="center" wrapText="1"/>
    </xf>
    <xf numFmtId="0" fontId="55" fillId="36" borderId="1" applyAlignment="1" pivotButton="0" quotePrefix="0" xfId="0">
      <alignment horizontal="left" vertical="center" wrapText="1"/>
    </xf>
    <xf numFmtId="0" fontId="56" fillId="37" borderId="1" applyAlignment="1" pivotButton="0" quotePrefix="0" xfId="0">
      <alignment horizontal="left" vertical="center" wrapText="1"/>
    </xf>
    <xf numFmtId="0" fontId="57" fillId="39" borderId="1" applyAlignment="1" pivotButton="0" quotePrefix="0" xfId="0">
      <alignment horizontal="left" vertical="center" wrapText="1"/>
    </xf>
    <xf numFmtId="0" fontId="58" fillId="41" borderId="1" applyAlignment="1" pivotButton="0" quotePrefix="0" xfId="0">
      <alignment horizontal="left" vertical="center" wrapText="1"/>
    </xf>
    <xf numFmtId="0" fontId="59" fillId="44" borderId="1" applyAlignment="1" pivotButton="0" quotePrefix="0" xfId="0">
      <alignment horizontal="left" vertical="center" wrapText="1"/>
    </xf>
    <xf numFmtId="0" fontId="16" fillId="15" borderId="1" applyAlignment="1" pivotButton="0" quotePrefix="0" xfId="0">
      <alignment horizontal="left" vertical="center" wrapText="1"/>
    </xf>
    <xf numFmtId="0" fontId="16" fillId="46" borderId="1" applyAlignment="1" pivotButton="0" quotePrefix="0" xfId="0">
      <alignment horizontal="left" vertical="center" wrapText="1"/>
    </xf>
    <xf numFmtId="0" fontId="3" fillId="46" borderId="1" applyAlignment="1" pivotButton="0" quotePrefix="0" xfId="0">
      <alignment horizontal="left" vertical="center" wrapText="1"/>
    </xf>
    <xf numFmtId="0" fontId="5" fillId="46" borderId="1" applyAlignment="1" pivotButton="0" quotePrefix="0" xfId="0">
      <alignment horizontal="left" vertical="center" wrapText="1"/>
    </xf>
    <xf numFmtId="0" fontId="5" fillId="46" borderId="1" applyAlignment="1" pivotButton="0" quotePrefix="0" xfId="0">
      <alignment horizontal="center" vertical="center" wrapText="1"/>
    </xf>
    <xf numFmtId="0" fontId="60" fillId="15" borderId="1" applyAlignment="1" pivotButton="0" quotePrefix="0" xfId="0">
      <alignment horizontal="left" vertical="center" wrapText="1"/>
    </xf>
    <xf numFmtId="0" fontId="1" fillId="8" borderId="1" applyAlignment="1" pivotButton="0" quotePrefix="0" xfId="0">
      <alignment horizontal="center" vertical="center"/>
    </xf>
    <xf numFmtId="0" fontId="10" fillId="13" borderId="1" applyAlignment="1" pivotButton="0" quotePrefix="0" xfId="0">
      <alignment horizontal="center" vertical="center"/>
    </xf>
    <xf numFmtId="0" fontId="12" fillId="15" borderId="1" applyAlignment="1" pivotButton="0" quotePrefix="0" xfId="0">
      <alignment horizontal="left" vertical="center" wrapText="1"/>
    </xf>
    <xf numFmtId="0" fontId="3" fillId="46" borderId="1" applyAlignment="1" pivotButton="0" quotePrefix="0" xfId="0">
      <alignment horizontal="center" vertical="center" wrapText="1"/>
    </xf>
    <xf numFmtId="0" fontId="60" fillId="46" borderId="1" applyAlignment="1" pivotButton="0" quotePrefix="0" xfId="0">
      <alignment horizontal="left" vertical="center" wrapText="1"/>
    </xf>
    <xf numFmtId="0" fontId="12" fillId="46" borderId="1" applyAlignment="1" pivotButton="0" quotePrefix="0" xfId="0">
      <alignment horizontal="left" vertical="center" wrapText="1"/>
    </xf>
    <xf numFmtId="0" fontId="61" fillId="18" borderId="1" applyAlignment="1" pivotButton="0" quotePrefix="0" xfId="0">
      <alignment horizontal="center" vertical="center"/>
    </xf>
    <xf numFmtId="0" fontId="1" fillId="47" borderId="1" applyAlignment="1" pivotButton="0" quotePrefix="0" xfId="0">
      <alignment horizontal="center" vertical="center"/>
    </xf>
    <xf numFmtId="0" fontId="62" fillId="15" borderId="1" applyAlignment="1" pivotButton="0" quotePrefix="0" xfId="0">
      <alignment horizontal="left" vertical="center" wrapText="1"/>
    </xf>
    <xf numFmtId="0" fontId="13" fillId="15" borderId="1" applyAlignment="1" pivotButton="0" quotePrefix="0" xfId="0">
      <alignment horizontal="left" vertical="center" wrapText="1"/>
    </xf>
    <xf numFmtId="0" fontId="62" fillId="25" borderId="1" applyAlignment="1" pivotButton="0" quotePrefix="0" xfId="0">
      <alignment horizontal="left" vertical="center" wrapText="1"/>
    </xf>
    <xf numFmtId="0" fontId="62" fillId="17" borderId="1" applyAlignment="1" pivotButton="0" quotePrefix="0" xfId="0">
      <alignment horizontal="left" vertical="center" wrapText="1"/>
    </xf>
    <xf numFmtId="0" fontId="62" fillId="12" borderId="1" applyAlignment="1" pivotButton="0" quotePrefix="0" xfId="0">
      <alignment horizontal="left" vertical="center" wrapText="1"/>
    </xf>
    <xf numFmtId="0" fontId="62" fillId="14" borderId="1" applyAlignment="1" pivotButton="0" quotePrefix="0" xfId="0">
      <alignment horizontal="left" vertical="center" wrapText="1"/>
    </xf>
    <xf numFmtId="0" fontId="62" fillId="23" borderId="1" applyAlignment="1" pivotButton="0" quotePrefix="0" xfId="0">
      <alignment horizontal="left" vertical="center" wrapText="1"/>
    </xf>
    <xf numFmtId="0" fontId="1" fillId="48" borderId="1" applyAlignment="1" pivotButton="0" quotePrefix="0" xfId="0">
      <alignment horizontal="center" vertical="center"/>
    </xf>
    <xf numFmtId="0" fontId="62" fillId="42" borderId="1" applyAlignment="1" pivotButton="0" quotePrefix="0" xfId="0">
      <alignment horizontal="left" vertical="center" wrapText="1"/>
    </xf>
    <xf numFmtId="0" fontId="62" fillId="20" borderId="1" applyAlignment="1" pivotButton="0" quotePrefix="0" xfId="0">
      <alignment horizontal="left" vertical="center" wrapText="1"/>
    </xf>
    <xf numFmtId="0" fontId="62" fillId="34" borderId="1" applyAlignment="1" pivotButton="0" quotePrefix="0" xfId="0">
      <alignment horizontal="left" vertical="center" wrapText="1"/>
    </xf>
    <xf numFmtId="0" fontId="62" fillId="18" borderId="1" applyAlignment="1" pivotButton="0" quotePrefix="0" xfId="0">
      <alignment horizontal="left" vertical="center" wrapText="1"/>
    </xf>
    <xf numFmtId="0" fontId="62" fillId="37" borderId="1" applyAlignment="1" pivotButton="0" quotePrefix="0" xfId="0">
      <alignment horizontal="left" vertical="center" wrapText="1"/>
    </xf>
    <xf numFmtId="0" fontId="62" fillId="36" borderId="1" applyAlignment="1" pivotButton="0" quotePrefix="0" xfId="0">
      <alignment horizontal="left" vertical="center" wrapText="1"/>
    </xf>
    <xf numFmtId="0" fontId="62" fillId="44" borderId="1" applyAlignment="1" pivotButton="0" quotePrefix="0" xfId="0">
      <alignment horizontal="left" vertical="center" wrapText="1"/>
    </xf>
    <xf numFmtId="0" fontId="62" fillId="27" borderId="1" applyAlignment="1" pivotButton="0" quotePrefix="0" xfId="0">
      <alignment horizontal="left" vertical="center" wrapText="1"/>
    </xf>
    <xf numFmtId="0" fontId="1" fillId="49" borderId="1" applyAlignment="1" pivotButton="0" quotePrefix="0" xfId="0">
      <alignment horizontal="center" vertical="center"/>
    </xf>
    <xf numFmtId="0" fontId="16" fillId="50" borderId="1" applyAlignment="1" pivotButton="0" quotePrefix="0" xfId="0">
      <alignment horizontal="left" vertical="center" wrapText="1"/>
    </xf>
    <xf numFmtId="0" fontId="5" fillId="50" borderId="1" applyAlignment="1" pivotButton="0" quotePrefix="0" xfId="0">
      <alignment horizontal="left" vertical="center" wrapText="1"/>
    </xf>
    <xf numFmtId="0" fontId="64" fillId="50" borderId="1" applyAlignment="1" pivotButton="0" quotePrefix="0" xfId="0">
      <alignment horizontal="left" vertical="center" wrapText="1"/>
    </xf>
    <xf numFmtId="0" fontId="15" fillId="50" borderId="1" applyAlignment="1" pivotButton="0" quotePrefix="0" xfId="0">
      <alignment horizontal="left" vertical="center" wrapText="1"/>
    </xf>
    <xf numFmtId="0" fontId="42" fillId="37" borderId="1" applyAlignment="1" pivotButton="0" quotePrefix="0" xfId="0">
      <alignment horizontal="center" vertical="center" wrapText="1"/>
    </xf>
    <xf numFmtId="0" fontId="65" fillId="50" borderId="1" applyAlignment="1" pivotButton="0" quotePrefix="0" xfId="0">
      <alignment horizontal="left" vertical="center" wrapText="1"/>
    </xf>
    <xf numFmtId="0" fontId="64" fillId="15" borderId="1" applyAlignment="1" pivotButton="0" quotePrefix="0" xfId="0">
      <alignment horizontal="left" vertical="center" wrapText="1"/>
    </xf>
    <xf numFmtId="0" fontId="15" fillId="15" borderId="1" applyAlignment="1" pivotButton="0" quotePrefix="0" xfId="0">
      <alignment horizontal="left" vertical="center" wrapText="1"/>
    </xf>
    <xf numFmtId="0" fontId="65" fillId="15" borderId="1" applyAlignment="1" pivotButton="0" quotePrefix="0" xfId="0">
      <alignment horizontal="left" vertical="center" wrapText="1"/>
    </xf>
    <xf numFmtId="0" fontId="1" fillId="45" borderId="1" applyAlignment="1" pivotButton="0" quotePrefix="0" xfId="0">
      <alignment horizontal="center" vertical="center" wrapText="1"/>
    </xf>
    <xf numFmtId="0" fontId="3" fillId="51" borderId="1" applyAlignment="1" pivotButton="0" quotePrefix="0" xfId="0">
      <alignment horizontal="center" vertical="center" wrapText="1"/>
    </xf>
    <xf numFmtId="0" fontId="16" fillId="51" borderId="1" applyAlignment="1" pivotButton="0" quotePrefix="0" xfId="0">
      <alignment horizontal="left" vertical="center" wrapText="1"/>
    </xf>
    <xf numFmtId="0" fontId="3" fillId="51" borderId="1" applyAlignment="1" pivotButton="0" quotePrefix="0" xfId="0">
      <alignment horizontal="left" vertical="center" wrapText="1"/>
    </xf>
    <xf numFmtId="0" fontId="5" fillId="51" borderId="1" applyAlignment="1" pivotButton="0" quotePrefix="0" xfId="0">
      <alignment horizontal="left" vertical="center" wrapText="1"/>
    </xf>
    <xf numFmtId="0" fontId="17" fillId="8" borderId="1" applyAlignment="1" pivotButton="0" quotePrefix="0" xfId="0">
      <alignment horizontal="center" vertical="center"/>
    </xf>
    <xf numFmtId="0" fontId="16" fillId="51" borderId="1" applyAlignment="1" pivotButton="0" quotePrefix="0" xfId="0">
      <alignment horizontal="center" vertical="center" wrapText="1"/>
    </xf>
    <xf numFmtId="0" fontId="8" fillId="51" borderId="1" applyAlignment="1" pivotButton="0" quotePrefix="0" xfId="0">
      <alignment horizontal="left" vertical="center" wrapText="1"/>
    </xf>
    <xf numFmtId="0" fontId="50" fillId="51" borderId="1" applyAlignment="1" pivotButton="0" quotePrefix="0" xfId="0">
      <alignment horizontal="left" vertical="center" wrapText="1"/>
    </xf>
    <xf numFmtId="0" fontId="17" fillId="47" borderId="1" applyAlignment="1" pivotButton="0" quotePrefix="0" xfId="0">
      <alignment horizontal="center" vertical="center" wrapText="1"/>
    </xf>
    <xf numFmtId="0" fontId="16" fillId="15" borderId="1" applyAlignment="1" pivotButton="0" quotePrefix="0" xfId="0">
      <alignment horizontal="center" vertical="center" wrapText="1"/>
    </xf>
    <xf numFmtId="0" fontId="50" fillId="15" borderId="1" applyAlignment="1" pivotButton="0" quotePrefix="0" xfId="0">
      <alignment horizontal="left" vertical="center" wrapText="1"/>
    </xf>
    <xf numFmtId="0" fontId="17" fillId="52" borderId="1" applyAlignment="1" pivotButton="0" quotePrefix="0" xfId="0">
      <alignment horizontal="center" vertical="center" wrapText="1"/>
    </xf>
    <xf numFmtId="0" fontId="17" fillId="53" borderId="1" applyAlignment="1" pivotButton="0" quotePrefix="0" xfId="0">
      <alignment horizontal="center" vertical="center" wrapText="1"/>
    </xf>
    <xf numFmtId="0" fontId="17" fillId="54" borderId="1" applyAlignment="1" pivotButton="0" quotePrefix="0" xfId="0">
      <alignment horizontal="center" vertical="center" wrapText="1"/>
    </xf>
    <xf numFmtId="0" fontId="17" fillId="47" borderId="1" applyAlignment="1" pivotButton="0" quotePrefix="0" xfId="0">
      <alignment horizontal="center" vertical="center"/>
    </xf>
    <xf numFmtId="0" fontId="17" fillId="7" borderId="1" applyAlignment="1" pivotButton="0" quotePrefix="0" xfId="0">
      <alignment horizontal="center" vertical="center" wrapText="1"/>
    </xf>
    <xf numFmtId="0" fontId="17" fillId="48" borderId="1" applyAlignment="1" pivotButton="0" quotePrefix="0" xfId="0">
      <alignment horizontal="center" vertical="center"/>
    </xf>
    <xf numFmtId="0" fontId="17" fillId="2" borderId="1" applyAlignment="1" pivotButton="0" quotePrefix="0" xfId="0">
      <alignment horizontal="center" vertical="center" wrapText="1"/>
    </xf>
    <xf numFmtId="0" fontId="17" fillId="3" borderId="1" applyAlignment="1" pivotButton="0" quotePrefix="0" xfId="0">
      <alignment horizontal="center" vertical="center" wrapText="1"/>
    </xf>
    <xf numFmtId="0" fontId="17" fillId="6" borderId="1" applyAlignment="1" pivotButton="0" quotePrefix="0" xfId="0">
      <alignment horizontal="center" vertical="center" wrapText="1"/>
    </xf>
    <xf numFmtId="0" fontId="17" fillId="38" borderId="1" applyAlignment="1" pivotButton="0" quotePrefix="0" xfId="0">
      <alignment horizontal="center" vertical="center" wrapText="1"/>
    </xf>
    <xf numFmtId="0" fontId="17" fillId="40" borderId="1" applyAlignment="1" pivotButton="0" quotePrefix="0" xfId="0">
      <alignment horizontal="center" vertical="center" wrapText="1"/>
    </xf>
    <xf numFmtId="0" fontId="17" fillId="28" borderId="1" applyAlignment="1" pivotButton="0" quotePrefix="0" xfId="0">
      <alignment horizontal="center" vertical="center" wrapText="1"/>
    </xf>
    <xf numFmtId="0" fontId="2" fillId="9" borderId="1" applyAlignment="1" pivotButton="0" quotePrefix="0" xfId="0">
      <alignment horizontal="center" vertical="center" wrapText="1"/>
    </xf>
    <xf numFmtId="0" fontId="66" fillId="15" borderId="1" applyAlignment="1" pivotButton="0" quotePrefix="0" xfId="0">
      <alignment horizontal="left" vertical="center" wrapText="1"/>
    </xf>
    <xf numFmtId="0" fontId="67" fillId="15" borderId="1" applyAlignment="1" pivotButton="0" quotePrefix="0" xfId="0">
      <alignment horizontal="left" vertical="center" wrapText="1"/>
    </xf>
    <xf numFmtId="0" fontId="68" fillId="15" borderId="1" applyAlignment="1" pivotButton="0" quotePrefix="0" xfId="0">
      <alignment horizontal="left" vertical="center" wrapText="1"/>
    </xf>
    <xf numFmtId="0" fontId="38" fillId="15" borderId="1" applyAlignment="1" pivotButton="0" quotePrefix="0" xfId="0">
      <alignment horizontal="center" vertical="center" wrapText="1"/>
    </xf>
    <xf numFmtId="0" fontId="69" fillId="15" borderId="1" applyAlignment="1" pivotButton="0" quotePrefix="0" xfId="0">
      <alignment horizontal="left" vertical="center" wrapText="1"/>
    </xf>
    <xf numFmtId="0" fontId="70" fillId="15" borderId="1" applyAlignment="1" pivotButton="0" quotePrefix="0" xfId="0">
      <alignment horizontal="left" vertical="center" wrapText="1"/>
    </xf>
    <xf numFmtId="0" fontId="2" fillId="8" borderId="1" applyAlignment="1" pivotButton="0" quotePrefix="0" xfId="0">
      <alignment horizontal="center" vertical="center" wrapText="1"/>
    </xf>
    <xf numFmtId="0" fontId="66" fillId="46" borderId="1" applyAlignment="1" pivotButton="0" quotePrefix="0" xfId="0">
      <alignment horizontal="left" vertical="center" wrapText="1"/>
    </xf>
    <xf numFmtId="0" fontId="67" fillId="46" borderId="1" applyAlignment="1" pivotButton="0" quotePrefix="0" xfId="0">
      <alignment horizontal="left" vertical="center" wrapText="1"/>
    </xf>
    <xf numFmtId="0" fontId="68" fillId="46" borderId="1" applyAlignment="1" pivotButton="0" quotePrefix="0" xfId="0">
      <alignment horizontal="left" vertical="center" wrapText="1"/>
    </xf>
    <xf numFmtId="0" fontId="64" fillId="46" borderId="1" applyAlignment="1" pivotButton="0" quotePrefix="0" xfId="0">
      <alignment horizontal="left" vertical="center" wrapText="1"/>
    </xf>
    <xf numFmtId="0" fontId="7" fillId="46" borderId="1" applyAlignment="1" pivotButton="0" quotePrefix="0" xfId="0">
      <alignment horizontal="center" vertical="center" wrapText="1"/>
    </xf>
    <xf numFmtId="0" fontId="69" fillId="46" borderId="1" applyAlignment="1" pivotButton="0" quotePrefix="0" xfId="0">
      <alignment horizontal="left" vertical="center" wrapText="1"/>
    </xf>
    <xf numFmtId="0" fontId="70" fillId="46" borderId="1" applyAlignment="1" pivotButton="0" quotePrefix="0" xfId="0">
      <alignment horizontal="left" vertical="center" wrapText="1"/>
    </xf>
    <xf numFmtId="0" fontId="2" fillId="4" borderId="1" applyAlignment="1" pivotButton="0" quotePrefix="0" xfId="0">
      <alignment horizontal="center" vertical="center" wrapText="1"/>
    </xf>
    <xf numFmtId="0" fontId="4" fillId="15" borderId="1" applyAlignment="1" pivotButton="0" quotePrefix="0" xfId="0">
      <alignment horizontal="center" vertical="center" wrapText="1"/>
    </xf>
    <xf numFmtId="0" fontId="2" fillId="7" borderId="1" applyAlignment="1" pivotButton="0" quotePrefix="0" xfId="0">
      <alignment horizontal="center" vertical="center" wrapText="1"/>
    </xf>
    <xf numFmtId="0" fontId="34" fillId="46" borderId="1" applyAlignment="1" pivotButton="0" quotePrefix="0" xfId="0">
      <alignment horizontal="center" vertical="center" wrapText="1"/>
    </xf>
    <xf numFmtId="0" fontId="2" fillId="6" borderId="1" applyAlignment="1" pivotButton="0" quotePrefix="0" xfId="0">
      <alignment horizontal="center" vertical="center" wrapText="1"/>
    </xf>
    <xf numFmtId="0" fontId="45" fillId="15" borderId="1" applyAlignment="1" pivotButton="0" quotePrefix="0" xfId="0">
      <alignment horizontal="center" vertical="center" wrapText="1"/>
    </xf>
    <xf numFmtId="0" fontId="72" fillId="12" borderId="1" applyAlignment="1" pivotButton="0" quotePrefix="0" xfId="0">
      <alignment horizontal="center" vertical="center" wrapText="1"/>
    </xf>
    <xf numFmtId="0" fontId="21" fillId="15" borderId="1" applyAlignment="1" pivotButton="0" quotePrefix="0" xfId="0">
      <alignment horizontal="left" vertical="center" wrapText="1"/>
    </xf>
    <xf numFmtId="0" fontId="21" fillId="46" borderId="1" applyAlignment="1" pivotButton="0" quotePrefix="0" xfId="0">
      <alignment horizontal="left" vertical="center" wrapText="1"/>
    </xf>
    <xf numFmtId="0" fontId="4" fillId="46" borderId="1" applyAlignment="1" pivotButton="0" quotePrefix="0" xfId="0">
      <alignment horizontal="left" vertical="center" wrapText="1"/>
    </xf>
    <xf numFmtId="0" fontId="47" fillId="46" borderId="1" applyAlignment="1" pivotButton="0" quotePrefix="0" xfId="0">
      <alignment horizontal="left" vertical="center" wrapText="1"/>
    </xf>
    <xf numFmtId="0" fontId="7" fillId="46" borderId="1" applyAlignment="1" pivotButton="0" quotePrefix="0" xfId="0">
      <alignment horizontal="left" vertical="center" wrapText="1"/>
    </xf>
    <xf numFmtId="0" fontId="73" fillId="14" borderId="1" applyAlignment="1" pivotButton="0" quotePrefix="0" xfId="0">
      <alignment horizontal="center" vertical="center" wrapText="1"/>
    </xf>
    <xf numFmtId="0" fontId="28" fillId="15" borderId="1" applyAlignment="1" pivotButton="0" quotePrefix="0" xfId="0">
      <alignment horizontal="left" vertical="center" wrapText="1"/>
    </xf>
    <xf numFmtId="0" fontId="28" fillId="46" borderId="1" applyAlignment="1" pivotButton="0" quotePrefix="0" xfId="0">
      <alignment horizontal="left" vertical="center" wrapText="1"/>
    </xf>
    <xf numFmtId="0" fontId="44" fillId="46" borderId="1" applyAlignment="1" pivotButton="0" quotePrefix="0" xfId="0">
      <alignment horizontal="left" vertical="center" wrapText="1"/>
    </xf>
    <xf numFmtId="0" fontId="34" fillId="46" borderId="1" applyAlignment="1" pivotButton="0" quotePrefix="0" xfId="0">
      <alignment horizontal="left" vertical="center" wrapText="1"/>
    </xf>
    <xf numFmtId="0" fontId="45" fillId="46" borderId="1" applyAlignment="1" pivotButton="0" quotePrefix="0" xfId="0">
      <alignment horizontal="left" vertical="center" wrapText="1"/>
    </xf>
    <xf numFmtId="0" fontId="6" fillId="13" borderId="1" applyAlignment="1" pivotButton="0" quotePrefix="0" xfId="0">
      <alignment horizontal="center" vertical="center"/>
    </xf>
    <xf numFmtId="0" fontId="74" fillId="46" borderId="1" applyAlignment="1" pivotButton="0" quotePrefix="0" xfId="0">
      <alignment horizontal="center" vertical="center"/>
    </xf>
    <xf numFmtId="0" fontId="28" fillId="55" borderId="1" applyAlignment="1" pivotButton="0" quotePrefix="0" xfId="0">
      <alignment horizontal="left" vertical="center" wrapText="1"/>
    </xf>
    <xf numFmtId="0" fontId="1" fillId="26" borderId="1" applyAlignment="1" pivotButton="0" quotePrefix="0" xfId="0">
      <alignment horizontal="center" vertical="center"/>
    </xf>
    <xf numFmtId="0" fontId="1" fillId="24" borderId="1" applyAlignment="1" pivotButton="0" quotePrefix="0" xfId="0">
      <alignment horizontal="center" vertical="center" wrapText="1"/>
    </xf>
    <xf numFmtId="0" fontId="1" fillId="56" borderId="1" applyAlignment="1" pivotButton="0" quotePrefix="0" xfId="0">
      <alignment horizontal="center" vertical="center" wrapText="1"/>
    </xf>
    <xf numFmtId="0" fontId="1" fillId="28" borderId="1" applyAlignment="1" pivotButton="0" quotePrefix="0" xfId="0">
      <alignment horizontal="center" vertical="center" wrapText="1"/>
    </xf>
    <xf numFmtId="0" fontId="1" fillId="57" borderId="1" applyAlignment="1" pivotButton="0" quotePrefix="0" xfId="0">
      <alignment horizontal="center" vertical="center" wrapText="1"/>
    </xf>
    <xf numFmtId="0" fontId="1" fillId="30" borderId="1" applyAlignment="1" pivotButton="0" quotePrefix="0" xfId="0">
      <alignment horizontal="center" vertical="center" wrapText="1"/>
    </xf>
    <xf numFmtId="0" fontId="1" fillId="33" borderId="1" applyAlignment="1" pivotButton="0" quotePrefix="0" xfId="0">
      <alignment horizontal="center" vertical="center" wrapText="1"/>
    </xf>
    <xf numFmtId="0" fontId="1" fillId="35" borderId="1" applyAlignment="1" pivotButton="0" quotePrefix="0" xfId="0">
      <alignment horizontal="center" vertical="center" wrapText="1"/>
    </xf>
    <xf numFmtId="0" fontId="1" fillId="22" borderId="1" applyAlignment="1" pivotButton="0" quotePrefix="0" xfId="0">
      <alignment horizontal="center" vertical="center" wrapText="1"/>
    </xf>
    <xf numFmtId="0" fontId="1" fillId="38" borderId="1" applyAlignment="1" pivotButton="0" quotePrefix="0" xfId="0">
      <alignment horizontal="center" vertical="center" wrapText="1"/>
    </xf>
    <xf numFmtId="0" fontId="1" fillId="40" borderId="1" applyAlignment="1" pivotButton="0" quotePrefix="0" xfId="0">
      <alignment horizontal="center" vertical="center" wrapText="1"/>
    </xf>
    <xf numFmtId="0" fontId="1" fillId="43" borderId="1" applyAlignment="1" pivotButton="0" quotePrefix="0" xfId="0">
      <alignment horizontal="center" vertical="center" wrapText="1"/>
    </xf>
    <xf numFmtId="0" fontId="1" fillId="4" borderId="1" applyAlignment="1" pivotButton="0" quotePrefix="0" xfId="0">
      <alignment horizontal="center" vertical="center"/>
    </xf>
    <xf numFmtId="0" fontId="75" fillId="58" borderId="1" applyAlignment="1" pivotButton="0" quotePrefix="0" xfId="0">
      <alignment horizontal="center" vertical="center"/>
    </xf>
    <xf numFmtId="0" fontId="1" fillId="7" borderId="1" applyAlignment="1" pivotButton="0" quotePrefix="0" xfId="0">
      <alignment horizontal="center" vertical="center"/>
    </xf>
    <xf numFmtId="0" fontId="76" fillId="15" borderId="1" applyAlignment="1" pivotButton="0" quotePrefix="0" xfId="0">
      <alignment horizontal="left" vertical="center" wrapText="1"/>
    </xf>
    <xf numFmtId="0" fontId="17" fillId="59" borderId="1" applyAlignment="1" pivotButton="0" quotePrefix="0" xfId="0">
      <alignment horizontal="center" vertical="center" wrapText="1"/>
    </xf>
    <xf numFmtId="0" fontId="76" fillId="51" borderId="1" applyAlignment="1" pivotButton="0" quotePrefix="0" xfId="0">
      <alignment horizontal="left" vertical="center" wrapText="1"/>
    </xf>
    <xf numFmtId="0" fontId="13" fillId="51" borderId="1" applyAlignment="1" pivotButton="0" quotePrefix="0" xfId="0">
      <alignment horizontal="left" vertical="center" wrapText="1"/>
    </xf>
    <xf numFmtId="0" fontId="5" fillId="51" borderId="1" applyAlignment="1" pivotButton="0" quotePrefix="0" xfId="0">
      <alignment horizontal="center" vertical="center" wrapText="1"/>
    </xf>
    <xf numFmtId="0" fontId="69" fillId="51" borderId="1" applyAlignment="1" pivotButton="0" quotePrefix="0" xfId="0">
      <alignment horizontal="left" vertical="center" wrapText="1"/>
    </xf>
    <xf numFmtId="0" fontId="12" fillId="51" borderId="1" applyAlignment="1" pivotButton="0" quotePrefix="0" xfId="0">
      <alignment horizontal="left" vertical="center" wrapText="1"/>
    </xf>
    <xf numFmtId="0" fontId="17" fillId="60" borderId="1" applyAlignment="1" pivotButton="0" quotePrefix="0" xfId="0">
      <alignment horizontal="center" vertical="center" wrapText="1"/>
    </xf>
    <xf numFmtId="0" fontId="17" fillId="26" borderId="1" applyAlignment="1" pivotButton="0" quotePrefix="0" xfId="0">
      <alignment horizontal="center" vertical="center" wrapText="1"/>
    </xf>
    <xf numFmtId="0" fontId="17" fillId="57" borderId="1" applyAlignment="1" pivotButton="0" quotePrefix="0" xfId="0">
      <alignment horizontal="center" vertical="center" wrapText="1"/>
    </xf>
    <xf numFmtId="0" fontId="17" fillId="24" borderId="1" applyAlignment="1" pivotButton="0" quotePrefix="0" xfId="0">
      <alignment horizontal="center" vertical="center" wrapText="1"/>
    </xf>
    <xf numFmtId="0" fontId="17" fillId="35" borderId="1" applyAlignment="1" pivotButton="0" quotePrefix="0" xfId="0">
      <alignment horizontal="center" vertical="center" wrapText="1"/>
    </xf>
    <xf numFmtId="0" fontId="17" fillId="33" borderId="1" applyAlignment="1" pivotButton="0" quotePrefix="0" xfId="0">
      <alignment horizontal="center" vertical="center" wrapText="1"/>
    </xf>
    <xf numFmtId="0" fontId="17" fillId="30" borderId="1" applyAlignment="1" pivotButton="0" quotePrefix="0" xfId="0">
      <alignment horizontal="center" vertical="center" wrapText="1"/>
    </xf>
    <xf numFmtId="0" fontId="4" fillId="12" borderId="1" applyAlignment="1" pivotButton="0" quotePrefix="0" xfId="0">
      <alignment horizontal="center" vertical="center" wrapText="1"/>
    </xf>
    <xf numFmtId="0" fontId="20" fillId="15" borderId="1" applyAlignment="1" pivotButton="0" quotePrefix="0" xfId="0">
      <alignment horizontal="left" vertical="center" wrapText="1"/>
    </xf>
    <xf numFmtId="0" fontId="38" fillId="61" borderId="1" applyAlignment="1" pivotButton="0" quotePrefix="0" xfId="0">
      <alignment horizontal="center" vertical="center" wrapText="1"/>
    </xf>
    <xf numFmtId="0" fontId="3" fillId="61" borderId="1" applyAlignment="1" pivotButton="0" quotePrefix="0" xfId="0">
      <alignment horizontal="left" vertical="center" wrapText="1"/>
    </xf>
    <xf numFmtId="0" fontId="76" fillId="61" borderId="1" applyAlignment="1" pivotButton="0" quotePrefix="0" xfId="0">
      <alignment horizontal="left" vertical="center" wrapText="1"/>
    </xf>
    <xf numFmtId="0" fontId="12" fillId="61" borderId="1" applyAlignment="1" pivotButton="0" quotePrefix="0" xfId="0">
      <alignment horizontal="left" vertical="center" wrapText="1"/>
    </xf>
    <xf numFmtId="0" fontId="69" fillId="61" borderId="1" applyAlignment="1" pivotButton="0" quotePrefix="0" xfId="0">
      <alignment horizontal="left" vertical="center" wrapText="1"/>
    </xf>
    <xf numFmtId="0" fontId="13" fillId="61" borderId="1" applyAlignment="1" pivotButton="0" quotePrefix="0" xfId="0">
      <alignment horizontal="left" vertical="center" wrapText="1"/>
    </xf>
    <xf numFmtId="0" fontId="5" fillId="61" borderId="1" applyAlignment="1" pivotButton="0" quotePrefix="0" xfId="0">
      <alignment horizontal="center" vertical="center" wrapText="1"/>
    </xf>
    <xf numFmtId="0" fontId="20" fillId="61" borderId="1" applyAlignment="1" pivotButton="0" quotePrefix="0" xfId="0">
      <alignment horizontal="left" vertical="center" wrapText="1"/>
    </xf>
    <xf numFmtId="0" fontId="21" fillId="29" borderId="1" applyAlignment="1" pivotButton="0" quotePrefix="0" xfId="0">
      <alignment horizontal="left" vertical="center" wrapText="1"/>
    </xf>
    <xf numFmtId="0" fontId="77" fillId="18" borderId="1" applyAlignment="1" pivotButton="0" quotePrefix="0" xfId="0">
      <alignment horizontal="left" vertical="center" wrapText="1"/>
    </xf>
    <xf numFmtId="0" fontId="67" fillId="13" borderId="1" applyAlignment="1" pivotButton="0" quotePrefix="0" xfId="0">
      <alignment horizontal="left" vertical="center" wrapText="1"/>
    </xf>
    <xf numFmtId="0" fontId="78" fillId="62" borderId="1" applyAlignment="1" pivotButton="0" quotePrefix="0" xfId="0">
      <alignment horizontal="left" vertical="center" wrapText="1"/>
    </xf>
    <xf numFmtId="0" fontId="66" fillId="29" borderId="1" applyAlignment="1" pivotButton="0" quotePrefix="0" xfId="0">
      <alignment horizontal="center" vertical="center" wrapText="1"/>
    </xf>
    <xf numFmtId="0" fontId="34" fillId="63" borderId="1" applyAlignment="1" pivotButton="0" quotePrefix="0" xfId="0">
      <alignment horizontal="left" vertical="center" wrapText="1"/>
    </xf>
    <xf numFmtId="0" fontId="20" fillId="63" borderId="1" applyAlignment="1" pivotButton="0" quotePrefix="0" xfId="0">
      <alignment horizontal="left" vertical="center" wrapText="1"/>
    </xf>
    <xf numFmtId="0" fontId="81" fillId="65" borderId="0" pivotButton="0" quotePrefix="0" xfId="0"/>
    <xf numFmtId="0" fontId="82" fillId="0" borderId="0" pivotButton="0" quotePrefix="0" xfId="0"/>
    <xf numFmtId="0" fontId="82" fillId="66" borderId="0" pivotButton="0" quotePrefix="0" xfId="0"/>
    <xf numFmtId="0" fontId="82" fillId="66" borderId="0" applyAlignment="1" pivotButton="0" quotePrefix="0" xfId="0">
      <alignment horizontal="center"/>
    </xf>
    <xf numFmtId="0" fontId="83" fillId="0" borderId="0" pivotButton="0" quotePrefix="0" xfId="0"/>
    <xf numFmtId="0" fontId="83" fillId="0" borderId="0" applyAlignment="1" pivotButton="0" quotePrefix="0" xfId="0">
      <alignment horizontal="center"/>
    </xf>
    <xf numFmtId="0" fontId="84" fillId="0" borderId="0" pivotButton="0" quotePrefix="0" xfId="0"/>
    <xf numFmtId="0" fontId="85" fillId="0" borderId="0" pivotButton="0" quotePrefix="0" xfId="0"/>
    <xf numFmtId="3" fontId="83" fillId="0" borderId="0" applyAlignment="1" pivotButton="0" quotePrefix="0" xfId="0">
      <alignment horizontal="center"/>
    </xf>
    <xf numFmtId="0" fontId="86" fillId="0" borderId="0" pivotButton="0" quotePrefix="0" xfId="0"/>
    <xf numFmtId="0" fontId="87" fillId="0" borderId="0" applyAlignment="1" pivotButton="0" quotePrefix="0" xfId="0">
      <alignment horizontal="center"/>
    </xf>
    <xf numFmtId="0" fontId="88" fillId="0" borderId="0" pivotButton="0" quotePrefix="0" xfId="0"/>
    <xf numFmtId="0" fontId="89" fillId="0" borderId="0" pivotButton="0" quotePrefix="0" xfId="0"/>
    <xf numFmtId="0" fontId="89" fillId="0" borderId="0" applyAlignment="1" pivotButton="0" quotePrefix="0" xfId="0">
      <alignment horizontal="center"/>
    </xf>
    <xf numFmtId="0" fontId="90" fillId="0" borderId="0" applyAlignment="1" pivotButton="0" quotePrefix="0" xfId="0">
      <alignment horizontal="center"/>
    </xf>
    <xf numFmtId="0" fontId="91" fillId="0" borderId="0" pivotButton="0" quotePrefix="0" xfId="0"/>
    <xf numFmtId="0" fontId="92" fillId="0" borderId="0" applyAlignment="1" pivotButton="0" quotePrefix="0" xfId="0">
      <alignment horizontal="center"/>
    </xf>
    <xf numFmtId="164" fontId="83" fillId="0" borderId="0" applyAlignment="1" pivotButton="0" quotePrefix="0" xfId="0">
      <alignment horizontal="center"/>
    </xf>
    <xf numFmtId="0" fontId="93" fillId="66" borderId="0" pivotButton="0" quotePrefix="0" xfId="0"/>
    <xf numFmtId="0" fontId="0" fillId="0" borderId="0" applyAlignment="1" pivotButton="0" quotePrefix="0" xfId="0">
      <alignment horizontal="center"/>
    </xf>
    <xf numFmtId="0" fontId="94" fillId="0" borderId="0" pivotButton="0" quotePrefix="0" xfId="0"/>
    <xf numFmtId="0" fontId="94" fillId="0" borderId="0" applyAlignment="1" pivotButton="0" quotePrefix="0" xfId="0">
      <alignment horizontal="center"/>
    </xf>
    <xf numFmtId="1" fontId="94" fillId="0" borderId="0" applyAlignment="1" pivotButton="0" quotePrefix="0" xfId="0">
      <alignment horizontal="center"/>
    </xf>
    <xf numFmtId="0" fontId="94" fillId="66" borderId="0" pivotButton="0" quotePrefix="0" xfId="0"/>
    <xf numFmtId="0" fontId="95" fillId="67" borderId="0" applyAlignment="1" pivotButton="0" quotePrefix="0" xfId="0">
      <alignment horizontal="center"/>
    </xf>
    <xf numFmtId="0" fontId="95" fillId="68" borderId="0" applyAlignment="1" pivotButton="0" quotePrefix="0" xfId="0">
      <alignment horizontal="center"/>
    </xf>
    <xf numFmtId="0" fontId="96" fillId="69" borderId="0" applyAlignment="1" pivotButton="0" quotePrefix="0" xfId="0">
      <alignment horizontal="center"/>
    </xf>
    <xf numFmtId="0" fontId="95" fillId="70" borderId="0" applyAlignment="1" pivotButton="0" quotePrefix="0" xfId="0">
      <alignment horizontal="center"/>
    </xf>
    <xf numFmtId="0" fontId="94" fillId="66" borderId="0" applyAlignment="1" pivotButton="0" quotePrefix="0" xfId="0">
      <alignment horizontal="center"/>
    </xf>
    <xf numFmtId="0" fontId="94" fillId="64" borderId="0" pivotButton="0" quotePrefix="0" xfId="0"/>
    <xf numFmtId="165" fontId="0" fillId="0" borderId="0" applyAlignment="1" pivotButton="0" quotePrefix="0" xfId="0">
      <alignment horizontal="center"/>
    </xf>
    <xf numFmtId="0" fontId="94" fillId="64" borderId="0" applyAlignment="1" pivotButton="0" quotePrefix="0" xfId="0">
      <alignment horizontal="center"/>
    </xf>
    <xf numFmtId="0" fontId="97" fillId="0" borderId="0" pivotButton="0" quotePrefix="0" xfId="0"/>
    <xf numFmtId="0" fontId="97" fillId="0" borderId="0" applyAlignment="1" pivotButton="0" quotePrefix="0" xfId="0">
      <alignment horizontal="center"/>
    </xf>
    <xf numFmtId="0" fontId="94" fillId="71" borderId="0" pivotButton="0" quotePrefix="0" xfId="0"/>
    <xf numFmtId="0" fontId="94" fillId="71" borderId="0" applyAlignment="1" pivotButton="0" quotePrefix="0" xfId="0">
      <alignment horizontal="center"/>
    </xf>
    <xf numFmtId="164" fontId="0" fillId="0" borderId="0" applyAlignment="1" pivotButton="0" quotePrefix="0" xfId="0">
      <alignment horizontal="center"/>
    </xf>
    <xf numFmtId="164" fontId="94" fillId="0" borderId="0" applyAlignment="1" pivotButton="0" quotePrefix="0" xfId="0">
      <alignment horizontal="center"/>
    </xf>
    <xf numFmtId="164" fontId="94" fillId="64" borderId="0" applyAlignment="1" pivotButton="0" quotePrefix="0" xfId="0">
      <alignment horizontal="center"/>
    </xf>
    <xf numFmtId="164" fontId="97" fillId="64" borderId="0" applyAlignment="1" pivotButton="0" quotePrefix="0" xfId="0">
      <alignment horizontal="center"/>
    </xf>
    <xf numFmtId="0" fontId="79" fillId="64" borderId="0" pivotButton="0" quotePrefix="0" xfId="0"/>
    <xf numFmtId="0" fontId="80" fillId="64" borderId="0" pivotButton="0" quotePrefix="0" xfId="0"/>
    <xf numFmtId="0" fontId="81" fillId="65" borderId="0" pivotButton="0" quotePrefix="0" xfId="0"/>
    <xf numFmtId="0" fontId="100" fillId="0" borderId="0" pivotButton="0" quotePrefix="0" xfId="0"/>
    <xf numFmtId="0" fontId="101" fillId="0" borderId="0" applyAlignment="1" pivotButton="0" quotePrefix="0" xfId="0">
      <alignment horizontal="center"/>
    </xf>
    <xf numFmtId="0" fontId="102" fillId="0" borderId="0" applyAlignment="1" pivotButton="0" quotePrefix="0" xfId="0">
      <alignment horizontal="center"/>
    </xf>
    <xf numFmtId="3" fontId="102" fillId="0" borderId="0" applyAlignment="1" pivotButton="0" quotePrefix="0" xfId="0">
      <alignment horizontal="center"/>
    </xf>
    <xf numFmtId="0" fontId="103" fillId="0" borderId="0" applyAlignment="1" pivotButton="0" quotePrefix="0" xfId="0">
      <alignment horizontal="center"/>
    </xf>
    <xf numFmtId="0" fontId="104" fillId="0" borderId="0" applyAlignment="1" pivotButton="0" quotePrefix="0" xfId="0">
      <alignment horizontal="center"/>
    </xf>
    <xf numFmtId="0" fontId="105" fillId="0" borderId="0" applyAlignment="1" pivotButton="0" quotePrefix="0" xfId="0">
      <alignment horizontal="center"/>
    </xf>
    <xf numFmtId="164" fontId="103" fillId="0" borderId="0" applyAlignment="1" pivotButton="0" quotePrefix="0" xfId="0">
      <alignment horizontal="center"/>
    </xf>
    <xf numFmtId="0" fontId="98" fillId="65" borderId="0" pivotButton="0" quotePrefix="0" xfId="0"/>
    <xf numFmtId="0" fontId="99" fillId="65" borderId="0" pivotButton="0" quotePrefix="0" xfId="0"/>
    <xf numFmtId="0" fontId="95" fillId="65" borderId="0" pivotButton="0" quotePrefix="0" xfId="0"/>
    <xf numFmtId="0" fontId="95" fillId="65" borderId="0" applyAlignment="1" pivotButton="0" quotePrefix="0" xfId="0">
      <alignment horizontal="center"/>
    </xf>
    <xf numFmtId="166" fontId="0" fillId="0" borderId="0" pivotButton="0" quotePrefix="0" xfId="0"/>
    <xf numFmtId="0" fontId="106" fillId="65" borderId="0" pivotButton="0" quotePrefix="0" xfId="0"/>
    <xf numFmtId="0" fontId="107" fillId="64" borderId="0" pivotButton="0" quotePrefix="0" xfId="0"/>
    <xf numFmtId="0" fontId="108" fillId="73" borderId="0" pivotButton="0" quotePrefix="0" xfId="0"/>
    <xf numFmtId="0" fontId="109" fillId="0" borderId="0" applyAlignment="1" pivotButton="0" quotePrefix="0" xfId="0">
      <alignment horizontal="center"/>
    </xf>
    <xf numFmtId="3" fontId="110" fillId="0" borderId="0" applyAlignment="1" pivotButton="0" quotePrefix="0" xfId="0">
      <alignment horizontal="center"/>
    </xf>
    <xf numFmtId="0" fontId="81" fillId="72" borderId="0" pivotButton="0" quotePrefix="0" xfId="0"/>
    <xf numFmtId="0" fontId="111" fillId="0" borderId="0" pivotButton="0" quotePrefix="0" xfId="0"/>
    <xf numFmtId="0" fontId="113" fillId="0" borderId="0" pivotButton="0" quotePrefix="0" xfId="0"/>
    <xf numFmtId="0" fontId="113" fillId="0" borderId="0" applyAlignment="1" pivotButton="0" quotePrefix="0" xfId="0">
      <alignment horizontal="center"/>
    </xf>
    <xf numFmtId="164" fontId="113" fillId="0" borderId="0" applyAlignment="1" pivotButton="0" quotePrefix="0" xfId="0">
      <alignment horizontal="center"/>
    </xf>
    <xf numFmtId="164" fontId="87" fillId="0" borderId="0" applyAlignment="1" pivotButton="0" quotePrefix="0" xfId="0">
      <alignment horizontal="center"/>
    </xf>
    <xf numFmtId="0" fontId="114" fillId="0" borderId="0" pivotButton="0" quotePrefix="0" xfId="0"/>
    <xf numFmtId="0" fontId="114" fillId="64" borderId="0" pivotButton="0" quotePrefix="0" xfId="0"/>
    <xf numFmtId="164" fontId="114" fillId="64" borderId="0" applyAlignment="1" pivotButton="0" quotePrefix="0" xfId="0">
      <alignment horizontal="center"/>
    </xf>
    <xf numFmtId="0" fontId="115" fillId="0" borderId="0" pivotButton="0" quotePrefix="0" xfId="0"/>
    <xf numFmtId="0" fontId="116" fillId="0" borderId="0" pivotButton="0" quotePrefix="0" xfId="0"/>
    <xf numFmtId="0" fontId="117" fillId="0" borderId="0" pivotButton="0" quotePrefix="0" xfId="0"/>
    <xf numFmtId="0" fontId="112" fillId="65" borderId="0" pivotButton="0" quotePrefix="0" xfId="0"/>
    <xf numFmtId="0" fontId="119" fillId="0" borderId="0" pivotButton="0" quotePrefix="0" xfId="0"/>
    <xf numFmtId="16" fontId="120" fillId="0" borderId="0" applyAlignment="1" pivotButton="0" quotePrefix="0" xfId="0">
      <alignment horizontal="center"/>
    </xf>
    <xf numFmtId="0" fontId="120" fillId="0" borderId="0" applyAlignment="1" pivotButton="0" quotePrefix="0" xfId="0">
      <alignment horizontal="center"/>
    </xf>
    <xf numFmtId="0" fontId="115" fillId="0" borderId="0" applyAlignment="1" pivotButton="0" quotePrefix="0" xfId="0">
      <alignment horizontal="center"/>
    </xf>
    <xf numFmtId="16" fontId="116" fillId="0" borderId="0" applyAlignment="1" pivotButton="0" quotePrefix="0" xfId="0">
      <alignment horizontal="center"/>
    </xf>
    <xf numFmtId="16" fontId="113" fillId="0" borderId="0" applyAlignment="1" pivotButton="0" quotePrefix="0" xfId="0">
      <alignment horizontal="center"/>
    </xf>
    <xf numFmtId="16" fontId="97" fillId="0" borderId="0" applyAlignment="1" pivotButton="0" quotePrefix="0" xfId="0">
      <alignment horizontal="center"/>
    </xf>
    <xf numFmtId="164" fontId="79" fillId="64" borderId="0" applyAlignment="1" pivotButton="0" quotePrefix="0" xfId="0">
      <alignment horizontal="center"/>
    </xf>
    <xf numFmtId="0" fontId="121" fillId="0" borderId="0" pivotButton="0" quotePrefix="0" xfId="0"/>
    <xf numFmtId="0" fontId="122" fillId="0" borderId="0" pivotButton="0" quotePrefix="0" xfId="0"/>
    <xf numFmtId="0" fontId="123" fillId="0" borderId="0" pivotButton="0" quotePrefix="0" xfId="0"/>
    <xf numFmtId="0" fontId="124" fillId="0" borderId="0" pivotButton="0" quotePrefix="0" xfId="0"/>
    <xf numFmtId="0" fontId="95" fillId="72" borderId="0" applyAlignment="1" pivotButton="0" quotePrefix="0" xfId="0">
      <alignment horizontal="center"/>
    </xf>
    <xf numFmtId="0" fontId="119" fillId="0" borderId="0" applyAlignment="1" pivotButton="0" quotePrefix="0" xfId="0">
      <alignment horizontal="center"/>
    </xf>
    <xf numFmtId="0" fontId="125" fillId="0" borderId="0" applyAlignment="1" pivotButton="0" quotePrefix="0" xfId="0">
      <alignment horizontal="center"/>
    </xf>
    <xf numFmtId="0" fontId="126" fillId="0" borderId="0" applyAlignment="1" pivotButton="0" quotePrefix="0" xfId="0">
      <alignment horizontal="center"/>
    </xf>
    <xf numFmtId="0" fontId="127" fillId="0" borderId="0" applyAlignment="1" pivotButton="0" quotePrefix="0" xfId="0">
      <alignment horizontal="center"/>
    </xf>
    <xf numFmtId="0" fontId="128" fillId="0" borderId="0" pivotButton="0" quotePrefix="0" xfId="0"/>
    <xf numFmtId="164" fontId="110" fillId="0" borderId="0" applyAlignment="1" pivotButton="0" quotePrefix="0" xfId="0">
      <alignment horizontal="center"/>
    </xf>
    <xf numFmtId="0" fontId="129" fillId="0" borderId="0" pivotButton="0" quotePrefix="0" xfId="0"/>
    <xf numFmtId="0" fontId="0" fillId="0" borderId="0" pivotButton="0" quotePrefix="1" xfId="0"/>
    <xf numFmtId="0" fontId="112" fillId="72" borderId="0" pivotButton="0" quotePrefix="0" xfId="0"/>
    <xf numFmtId="0" fontId="99" fillId="72" borderId="0" pivotButton="0" quotePrefix="0" xfId="0"/>
    <xf numFmtId="0" fontId="118" fillId="65" borderId="0" pivotButton="0" quotePrefix="0" xfId="0"/>
    <xf numFmtId="0" fontId="118" fillId="72" borderId="0" pivotButton="0" quotePrefix="0" xfId="0"/>
    <xf numFmtId="0" fontId="131" fillId="0" borderId="0" pivotButton="0" quotePrefix="0" xfId="0"/>
    <xf numFmtId="0" fontId="132" fillId="0" borderId="0" pivotButton="0" quotePrefix="0" xfId="0"/>
    <xf numFmtId="0" fontId="130" fillId="72" borderId="0" pivotButton="0" quotePrefix="0" xfId="0"/>
    <xf numFmtId="0" fontId="1" fillId="72" borderId="2" applyAlignment="1" pivotButton="0" quotePrefix="0" xfId="0">
      <alignment horizontal="center" vertical="center" wrapText="1"/>
    </xf>
    <xf numFmtId="9" fontId="0" fillId="0" borderId="0" applyAlignment="1" pivotButton="0" quotePrefix="0" xfId="0">
      <alignment horizontal="center"/>
    </xf>
    <xf numFmtId="0" fontId="133" fillId="0" borderId="0" applyAlignment="1" pivotButton="0" quotePrefix="0" xfId="0">
      <alignment horizontal="center"/>
    </xf>
    <xf numFmtId="0" fontId="134" fillId="0" borderId="0" pivotButton="0" quotePrefix="0" xfId="0"/>
    <xf numFmtId="0" fontId="112" fillId="72" borderId="0" applyAlignment="1" pivotButton="0" quotePrefix="0" xfId="0">
      <alignment vertical="top" wrapText="1"/>
    </xf>
    <xf numFmtId="0" fontId="99" fillId="72" borderId="0" applyAlignment="1" pivotButton="0" quotePrefix="0" xfId="0">
      <alignment vertical="top" wrapText="1"/>
    </xf>
    <xf numFmtId="0" fontId="0" fillId="0" borderId="0" applyAlignment="1" pivotButton="0" quotePrefix="0" xfId="0">
      <alignment vertical="top" wrapText="1"/>
    </xf>
    <xf numFmtId="0" fontId="81" fillId="65" borderId="0" applyAlignment="1" pivotButton="0" quotePrefix="0" xfId="0">
      <alignment vertical="top" wrapText="1"/>
    </xf>
    <xf numFmtId="0" fontId="82" fillId="66" borderId="0" applyAlignment="1" pivotButton="0" quotePrefix="0" xfId="0">
      <alignment horizontal="center" vertical="top" wrapText="1"/>
    </xf>
    <xf numFmtId="0" fontId="82" fillId="66" borderId="0" applyAlignment="1" pivotButton="0" quotePrefix="0" xfId="0">
      <alignment vertical="top" wrapText="1"/>
    </xf>
    <xf numFmtId="0" fontId="0" fillId="0" borderId="0" applyAlignment="1" pivotButton="0" quotePrefix="0" xfId="0">
      <alignment horizontal="center" vertical="top" wrapText="1"/>
    </xf>
    <xf numFmtId="0" fontId="81" fillId="65" borderId="0" applyAlignment="1" pivotButton="0" quotePrefix="0" xfId="0">
      <alignment horizontal="center" vertical="top" wrapText="1"/>
    </xf>
    <xf numFmtId="0" fontId="94" fillId="66" borderId="0" applyAlignment="1" pivotButton="0" quotePrefix="0" xfId="0">
      <alignment horizontal="center" vertical="top" wrapText="1"/>
    </xf>
    <xf numFmtId="0" fontId="94" fillId="66" borderId="0" applyAlignment="1" pivotButton="0" quotePrefix="0" xfId="0">
      <alignment vertical="top" wrapText="1"/>
    </xf>
    <xf numFmtId="0" fontId="117" fillId="0" borderId="0" applyAlignment="1" pivotButton="0" quotePrefix="0" xfId="0">
      <alignment vertical="top" wrapText="1"/>
    </xf>
    <xf numFmtId="0" fontId="120" fillId="0" borderId="0" applyAlignment="1" pivotButton="0" quotePrefix="0" xfId="0">
      <alignment vertical="top" wrapText="1"/>
    </xf>
    <xf numFmtId="0" fontId="135" fillId="0" borderId="0" applyAlignment="1" pivotButton="0" quotePrefix="0" xfId="0">
      <alignment vertical="top" wrapText="1"/>
    </xf>
    <xf numFmtId="0" fontId="136" fillId="0" borderId="0" applyAlignment="1" pivotButton="0" quotePrefix="0" xfId="0">
      <alignment vertical="top" wrapText="1"/>
    </xf>
    <xf numFmtId="0" fontId="137" fillId="0" borderId="0" applyAlignment="1" pivotButton="0" quotePrefix="0" xfId="0">
      <alignment vertical="top" wrapText="1"/>
    </xf>
    <xf numFmtId="0" fontId="94" fillId="76" borderId="0" applyAlignment="1" pivotButton="0" quotePrefix="0" xfId="0">
      <alignment vertical="top" wrapText="1"/>
    </xf>
    <xf numFmtId="0" fontId="94" fillId="74" borderId="0" applyAlignment="1" pivotButton="0" quotePrefix="0" xfId="0">
      <alignment vertical="top" wrapText="1"/>
    </xf>
    <xf numFmtId="0" fontId="94" fillId="75" borderId="0" applyAlignment="1" pivotButton="0" quotePrefix="0" xfId="0">
      <alignment vertical="top" wrapText="1"/>
    </xf>
    <xf numFmtId="0" fontId="94" fillId="77" borderId="0" applyAlignment="1" pivotButton="0" quotePrefix="0" xfId="0">
      <alignment vertical="top" wrapText="1"/>
    </xf>
    <xf numFmtId="0" fontId="94" fillId="76" borderId="0" applyAlignment="1" pivotButton="0" quotePrefix="0" xfId="0">
      <alignment horizontal="center" vertical="top" wrapText="1"/>
    </xf>
    <xf numFmtId="0" fontId="94" fillId="74" borderId="0" applyAlignment="1" pivotButton="0" quotePrefix="0" xfId="0">
      <alignment horizontal="center" vertical="top" wrapText="1"/>
    </xf>
    <xf numFmtId="0" fontId="94" fillId="75" borderId="0" applyAlignment="1" pivotButton="0" quotePrefix="0" xfId="0">
      <alignment horizontal="center" vertical="top" wrapText="1"/>
    </xf>
    <xf numFmtId="0" fontId="94" fillId="77" borderId="0" applyAlignment="1" pivotButton="0" quotePrefix="0" xfId="0">
      <alignment horizontal="center" vertical="top" wrapText="1"/>
    </xf>
    <xf numFmtId="0" fontId="94" fillId="0" borderId="0" applyAlignment="1" pivotButton="0" quotePrefix="0" xfId="0">
      <alignment horizontal="center" vertical="top" wrapText="1"/>
    </xf>
    <xf numFmtId="0" fontId="81" fillId="72" borderId="0" applyAlignment="1" pivotButton="0" quotePrefix="0" xfId="0">
      <alignment vertical="top" wrapText="1"/>
    </xf>
    <xf numFmtId="0" fontId="95" fillId="72" borderId="0" applyAlignment="1" pivotButton="0" quotePrefix="0" xfId="0">
      <alignment horizontal="center" vertical="top" wrapText="1"/>
    </xf>
    <xf numFmtId="0" fontId="95" fillId="72" borderId="0" applyAlignment="1" pivotButton="0" quotePrefix="0" xfId="0">
      <alignment vertical="top" wrapText="1"/>
    </xf>
    <xf numFmtId="0" fontId="138" fillId="78" borderId="0" applyAlignment="1" pivotButton="0" quotePrefix="0" xfId="0">
      <alignment horizontal="left" vertical="center" wrapText="1"/>
    </xf>
    <xf numFmtId="0" fontId="139" fillId="79" borderId="3" applyAlignment="1" pivotButton="0" quotePrefix="0" xfId="0">
      <alignment horizontal="left" vertical="center" wrapText="1"/>
    </xf>
    <xf numFmtId="0" fontId="140" fillId="79" borderId="3" applyAlignment="1" pivotButton="0" quotePrefix="0" xfId="0">
      <alignment horizontal="center" vertical="center" wrapText="1"/>
    </xf>
    <xf numFmtId="0" fontId="141" fillId="80" borderId="3" applyAlignment="1" pivotButton="0" quotePrefix="0" xfId="0">
      <alignment horizontal="left" vertical="center" wrapText="1"/>
    </xf>
    <xf numFmtId="0" fontId="141" fillId="81" borderId="3" applyAlignment="1" pivotButton="0" quotePrefix="0" xfId="0">
      <alignment horizontal="left" vertical="center" wrapText="1"/>
    </xf>
    <xf numFmtId="0" fontId="141" fillId="82" borderId="3" applyAlignment="1" pivotButton="0" quotePrefix="0" xfId="0">
      <alignment horizontal="left" vertical="center" wrapText="1"/>
    </xf>
    <xf numFmtId="0" fontId="141" fillId="83" borderId="3" applyAlignment="1" pivotButton="0" quotePrefix="0" xfId="0">
      <alignment horizontal="left" vertical="center" wrapText="1"/>
    </xf>
    <xf numFmtId="0" fontId="139" fillId="84" borderId="3" applyAlignment="1" pivotButton="0" quotePrefix="0" xfId="0">
      <alignment horizontal="left" vertical="center" wrapText="1"/>
    </xf>
    <xf numFmtId="0" fontId="140" fillId="84" borderId="3" applyAlignment="1" pivotButton="0" quotePrefix="0" xfId="0">
      <alignment horizontal="center" vertical="center" wrapText="1"/>
    </xf>
    <xf numFmtId="0" fontId="141" fillId="85" borderId="3" applyAlignment="1" pivotButton="0" quotePrefix="0" xfId="0">
      <alignment horizontal="left" vertical="center" wrapText="1"/>
    </xf>
    <xf numFmtId="0" fontId="139" fillId="86" borderId="3" applyAlignment="1" pivotButton="0" quotePrefix="0" xfId="0">
      <alignment horizontal="left" vertical="center" wrapText="1"/>
    </xf>
    <xf numFmtId="0" fontId="140" fillId="86" borderId="3" applyAlignment="1" pivotButton="0" quotePrefix="0" xfId="0">
      <alignment horizontal="center" vertical="center" wrapText="1"/>
    </xf>
    <xf numFmtId="0" fontId="141" fillId="87" borderId="3" applyAlignment="1" pivotButton="0" quotePrefix="0" xfId="0">
      <alignment horizontal="left" vertical="center" wrapText="1"/>
    </xf>
    <xf numFmtId="0" fontId="141" fillId="88" borderId="3" applyAlignment="1" pivotButton="0" quotePrefix="0" xfId="0">
      <alignment horizontal="left" vertical="center" wrapText="1"/>
    </xf>
    <xf numFmtId="0" fontId="139" fillId="89" borderId="3" applyAlignment="1" pivotButton="0" quotePrefix="0" xfId="0">
      <alignment horizontal="left" vertical="center" wrapText="1"/>
    </xf>
    <xf numFmtId="0" fontId="140" fillId="89" borderId="3" applyAlignment="1" pivotButton="0" quotePrefix="0" xfId="0">
      <alignment horizontal="center" vertical="center" wrapText="1"/>
    </xf>
    <xf numFmtId="0" fontId="139" fillId="90" borderId="3" applyAlignment="1" pivotButton="0" quotePrefix="0" xfId="0">
      <alignment horizontal="left" vertical="center" wrapText="1"/>
    </xf>
    <xf numFmtId="0" fontId="140" fillId="90" borderId="3" applyAlignment="1" pivotButton="0" quotePrefix="0" xfId="0">
      <alignment horizontal="center" vertical="center" wrapText="1"/>
    </xf>
    <xf numFmtId="0" fontId="139" fillId="91" borderId="3" applyAlignment="1" pivotButton="0" quotePrefix="0" xfId="0">
      <alignment horizontal="left" vertical="center" wrapText="1"/>
    </xf>
    <xf numFmtId="0" fontId="140" fillId="91" borderId="3" applyAlignment="1" pivotButton="0" quotePrefix="0" xfId="0">
      <alignment horizontal="center" vertical="center" wrapText="1"/>
    </xf>
    <xf numFmtId="0" fontId="139" fillId="92" borderId="3" applyAlignment="1" pivotButton="0" quotePrefix="0" xfId="0">
      <alignment horizontal="left" vertical="center" wrapText="1"/>
    </xf>
    <xf numFmtId="0" fontId="140" fillId="92" borderId="3" applyAlignment="1" pivotButton="0" quotePrefix="0" xfId="0">
      <alignment horizontal="center" vertical="center" wrapText="1"/>
    </xf>
    <xf numFmtId="0" fontId="142" fillId="93" borderId="0" applyAlignment="1" pivotButton="0" quotePrefix="0" xfId="0">
      <alignment horizontal="left" vertical="center" wrapText="1"/>
    </xf>
    <xf numFmtId="0" fontId="140" fillId="94" borderId="3" applyAlignment="1" pivotButton="0" quotePrefix="0" xfId="0">
      <alignment horizontal="center" vertical="center" wrapText="1"/>
    </xf>
    <xf numFmtId="0" fontId="141" fillId="95" borderId="3" applyAlignment="1" pivotButton="0" quotePrefix="0" xfId="0">
      <alignment horizontal="left" vertical="center" wrapText="1"/>
    </xf>
    <xf numFmtId="0" fontId="139" fillId="96" borderId="3" applyAlignment="1" pivotButton="0" quotePrefix="0" xfId="0">
      <alignment horizontal="left" vertical="center" wrapText="1"/>
    </xf>
    <xf numFmtId="0" fontId="142" fillId="97" borderId="0" applyAlignment="1" pivotButton="0" quotePrefix="0" xfId="0">
      <alignment horizontal="left" vertical="center" wrapText="1"/>
    </xf>
    <xf numFmtId="0" fontId="140" fillId="97" borderId="3" applyAlignment="1" pivotButton="0" quotePrefix="0" xfId="0">
      <alignment horizontal="center" vertical="center" wrapText="1"/>
    </xf>
    <xf numFmtId="0" fontId="140" fillId="79" borderId="0" applyAlignment="1" pivotButton="0" quotePrefix="0" xfId="0">
      <alignment horizontal="center" vertical="center" wrapText="1"/>
    </xf>
    <xf numFmtId="0" fontId="141" fillId="0" borderId="3" pivotButton="0" quotePrefix="0" xfId="0"/>
    <xf numFmtId="0" fontId="141" fillId="83" borderId="3" applyAlignment="1" pivotButton="0" quotePrefix="0" xfId="0">
      <alignment horizontal="center" vertical="center" wrapText="1"/>
    </xf>
    <xf numFmtId="0" fontId="141" fillId="85" borderId="3" applyAlignment="1" pivotButton="0" quotePrefix="0" xfId="0">
      <alignment horizontal="center" vertical="center" wrapText="1"/>
    </xf>
    <xf numFmtId="0" fontId="141" fillId="98" borderId="3" applyAlignment="1" pivotButton="0" quotePrefix="0" xfId="0">
      <alignment horizontal="center" vertical="center" wrapText="1"/>
    </xf>
    <xf numFmtId="0" fontId="143" fillId="0" borderId="0" pivotButton="0" quotePrefix="0" xfId="0"/>
    <xf numFmtId="0" fontId="142" fillId="79" borderId="0" applyAlignment="1" pivotButton="0" quotePrefix="0" xfId="0">
      <alignment horizontal="left" vertical="center" wrapText="1"/>
    </xf>
    <xf numFmtId="0" fontId="139" fillId="79" borderId="8" applyAlignment="1" pivotButton="0" quotePrefix="0" xfId="0">
      <alignment horizontal="left" vertical="center" wrapText="1"/>
    </xf>
    <xf numFmtId="0" fontId="140" fillId="106" borderId="3" applyAlignment="1" pivotButton="0" quotePrefix="0" xfId="0">
      <alignment horizontal="center" vertical="center" wrapText="1"/>
    </xf>
    <xf numFmtId="0" fontId="146" fillId="103" borderId="3" applyAlignment="1" pivotButton="0" quotePrefix="0" xfId="0">
      <alignment horizontal="left" vertical="center" wrapText="1"/>
    </xf>
    <xf numFmtId="0" fontId="146" fillId="104" borderId="3" applyAlignment="1" pivotButton="0" quotePrefix="0" xfId="0">
      <alignment horizontal="left" vertical="center" wrapText="1"/>
    </xf>
    <xf numFmtId="0" fontId="146" fillId="105" borderId="3" applyAlignment="1" pivotButton="0" quotePrefix="0" xfId="0">
      <alignment horizontal="left" vertical="center" wrapText="1"/>
    </xf>
    <xf numFmtId="0" fontId="139" fillId="86" borderId="8" applyAlignment="1" pivotButton="0" quotePrefix="0" xfId="0">
      <alignment horizontal="left" vertical="center" wrapText="1"/>
    </xf>
    <xf numFmtId="0" fontId="146" fillId="107" borderId="3" applyAlignment="1" pivotButton="0" quotePrefix="0" xfId="0">
      <alignment horizontal="left" vertical="center" wrapText="1"/>
    </xf>
    <xf numFmtId="0" fontId="145" fillId="0" borderId="0" pivotButton="0" quotePrefix="0" xfId="0"/>
    <xf numFmtId="0" fontId="144" fillId="79" borderId="0" applyAlignment="1" pivotButton="0" quotePrefix="0" xfId="0">
      <alignment horizontal="center" vertical="center" wrapText="1"/>
    </xf>
    <xf numFmtId="0" fontId="140" fillId="79" borderId="3" applyAlignment="1" pivotButton="0" quotePrefix="0" xfId="0">
      <alignment horizontal="left" vertical="center" wrapText="1"/>
    </xf>
    <xf numFmtId="0" fontId="145" fillId="78" borderId="3" applyAlignment="1" pivotButton="0" quotePrefix="0" xfId="0">
      <alignment horizontal="left" vertical="center" wrapText="1"/>
    </xf>
    <xf numFmtId="0" fontId="140" fillId="80" borderId="3" applyAlignment="1" pivotButton="0" quotePrefix="0" xfId="0">
      <alignment horizontal="left" vertical="center" wrapText="1"/>
    </xf>
    <xf numFmtId="0" fontId="140" fillId="99" borderId="3" applyAlignment="1" pivotButton="0" quotePrefix="0" xfId="0">
      <alignment horizontal="left" vertical="center" wrapText="1"/>
    </xf>
    <xf numFmtId="0" fontId="140" fillId="86" borderId="3" applyAlignment="1" pivotButton="0" quotePrefix="0" xfId="0">
      <alignment horizontal="left" vertical="center" wrapText="1"/>
    </xf>
    <xf numFmtId="0" fontId="140" fillId="90" borderId="3" applyAlignment="1" pivotButton="0" quotePrefix="0" xfId="0">
      <alignment horizontal="left" vertical="center" wrapText="1"/>
    </xf>
    <xf numFmtId="0" fontId="140" fillId="91" borderId="3" applyAlignment="1" pivotButton="0" quotePrefix="0" xfId="0">
      <alignment horizontal="left" vertical="center" wrapText="1"/>
    </xf>
    <xf numFmtId="0" fontId="140" fillId="100" borderId="3" applyAlignment="1" pivotButton="0" quotePrefix="0" xfId="0">
      <alignment horizontal="left" vertical="center" wrapText="1"/>
    </xf>
    <xf numFmtId="0" fontId="140" fillId="92" borderId="3" applyAlignment="1" pivotButton="0" quotePrefix="0" xfId="0">
      <alignment horizontal="left" vertical="center" wrapText="1"/>
    </xf>
    <xf numFmtId="0" fontId="140" fillId="101" borderId="3" applyAlignment="1" pivotButton="0" quotePrefix="0" xfId="0">
      <alignment horizontal="left" vertical="center" wrapText="1"/>
    </xf>
    <xf numFmtId="0" fontId="140" fillId="89" borderId="3" applyAlignment="1" pivotButton="0" quotePrefix="0" xfId="0">
      <alignment horizontal="left" vertical="center" wrapText="1"/>
    </xf>
    <xf numFmtId="0" fontId="140" fillId="102" borderId="3" applyAlignment="1" pivotButton="0" quotePrefix="0" xfId="0">
      <alignment horizontal="center" vertical="center" wrapText="1"/>
    </xf>
    <xf numFmtId="0" fontId="146" fillId="103" borderId="3" applyAlignment="1" pivotButton="0" quotePrefix="0" xfId="0">
      <alignment horizontal="center" vertical="center" wrapText="1"/>
    </xf>
    <xf numFmtId="0" fontId="146" fillId="104" borderId="3" applyAlignment="1" pivotButton="0" quotePrefix="0" xfId="0">
      <alignment horizontal="center" vertical="center" wrapText="1"/>
    </xf>
    <xf numFmtId="0" fontId="146" fillId="105" borderId="3" applyAlignment="1" pivotButton="0" quotePrefix="0" xfId="0">
      <alignment horizontal="center" vertical="center" wrapText="1"/>
    </xf>
    <xf numFmtId="0" fontId="139" fillId="92" borderId="8" applyAlignment="1" pivotButton="0" quotePrefix="0" xfId="0">
      <alignment horizontal="left" vertical="center" wrapText="1"/>
    </xf>
    <xf numFmtId="0" fontId="146" fillId="0" borderId="0" pivotButton="0" quotePrefix="0" xfId="0"/>
    <xf numFmtId="0" fontId="0" fillId="0" borderId="6" pivotButton="0" quotePrefix="0" xfId="0"/>
    <xf numFmtId="0" fontId="0" fillId="0" borderId="7" pivotButton="0" quotePrefix="0" xfId="0"/>
    <xf numFmtId="0" fontId="142" fillId="100" borderId="0" applyAlignment="1" pivotButton="0" quotePrefix="0" xfId="0">
      <alignment horizontal="left" vertical="center" wrapText="1"/>
    </xf>
    <xf numFmtId="0" fontId="139" fillId="108" borderId="8" applyAlignment="1" pivotButton="0" quotePrefix="0" xfId="0">
      <alignment horizontal="left" vertical="center" wrapText="1"/>
    </xf>
    <xf numFmtId="0" fontId="147" fillId="0" borderId="0" pivotButton="0" quotePrefix="0" xfId="0"/>
    <xf numFmtId="0" fontId="139" fillId="100" borderId="8" applyAlignment="1" pivotButton="0" quotePrefix="0" xfId="0">
      <alignment horizontal="left" vertical="center" wrapText="1"/>
    </xf>
    <xf numFmtId="0" fontId="139" fillId="101" borderId="8" applyAlignment="1" pivotButton="0" quotePrefix="0" xfId="0">
      <alignment horizontal="left" vertical="center" wrapText="1"/>
    </xf>
    <xf numFmtId="0" fontId="139" fillId="109" borderId="8" applyAlignment="1" pivotButton="0" quotePrefix="0" xfId="0">
      <alignment horizontal="left" vertical="center" wrapText="1"/>
    </xf>
    <xf numFmtId="0" fontId="139" fillId="110" borderId="8" applyAlignment="1" pivotButton="0" quotePrefix="0" xfId="0">
      <alignment horizontal="left" vertical="center" wrapText="1"/>
    </xf>
    <xf numFmtId="0" fontId="139" fillId="111" borderId="8" applyAlignment="1" pivotButton="0" quotePrefix="0" xfId="0">
      <alignment horizontal="left" vertical="center" wrapText="1"/>
    </xf>
    <xf numFmtId="0" fontId="139" fillId="112" borderId="8" applyAlignment="1" pivotButton="0" quotePrefix="0" xfId="0">
      <alignment horizontal="left" vertical="center" wrapText="1"/>
    </xf>
    <xf numFmtId="0" fontId="139" fillId="91" borderId="8" applyAlignment="1" pivotButton="0" quotePrefix="0" xfId="0">
      <alignment horizontal="left" vertical="center" wrapText="1"/>
    </xf>
    <xf numFmtId="0" fontId="139" fillId="113" borderId="8" applyAlignment="1" pivotButton="0" quotePrefix="0" xfId="0">
      <alignment horizontal="left" vertical="center" wrapText="1"/>
    </xf>
    <xf numFmtId="0" fontId="142" fillId="91" borderId="0" applyAlignment="1" pivotButton="0" quotePrefix="0" xfId="0">
      <alignment horizontal="left" vertical="center" wrapText="1"/>
    </xf>
    <xf numFmtId="0" fontId="142" fillId="101" borderId="0" applyAlignment="1" pivotButton="0" quotePrefix="0" xfId="0">
      <alignment horizontal="left" vertical="center" wrapText="1"/>
    </xf>
    <xf numFmtId="0" fontId="140" fillId="114" borderId="3" applyAlignment="1" pivotButton="0" quotePrefix="0" xfId="0">
      <alignment horizontal="center" vertical="center" wrapText="1"/>
    </xf>
    <xf numFmtId="0" fontId="146" fillId="115" borderId="3" applyAlignment="1" pivotButton="0" quotePrefix="0" xfId="0">
      <alignment horizontal="left" vertical="center" wrapText="1"/>
    </xf>
    <xf numFmtId="0" fontId="146" fillId="81" borderId="3" applyAlignment="1" pivotButton="0" quotePrefix="0" xfId="0">
      <alignment horizontal="left" vertical="center" wrapText="1"/>
    </xf>
    <xf numFmtId="0" fontId="146" fillId="116" borderId="3" applyAlignment="1" pivotButton="0" quotePrefix="0" xfId="0">
      <alignment horizontal="left" vertical="center" wrapText="1"/>
    </xf>
    <xf numFmtId="0" fontId="146" fillId="117" borderId="3" applyAlignment="1" pivotButton="0" quotePrefix="0" xfId="0">
      <alignment horizontal="left" vertical="center" wrapText="1"/>
    </xf>
    <xf numFmtId="0" fontId="140" fillId="118" borderId="3" applyAlignment="1" pivotButton="0" quotePrefix="0" xfId="0">
      <alignment horizontal="center" vertical="center" wrapText="1"/>
    </xf>
    <xf numFmtId="0" fontId="146" fillId="88" borderId="3" applyAlignment="1" pivotButton="0" quotePrefix="0" xfId="0">
      <alignment horizontal="center" vertical="center" wrapText="1"/>
    </xf>
    <xf numFmtId="0" fontId="142" fillId="108" borderId="0" applyAlignment="1" pivotButton="0" quotePrefix="0" xfId="0">
      <alignment horizontal="left" vertical="center" wrapText="1"/>
    </xf>
    <xf numFmtId="0" fontId="140" fillId="119" borderId="3" applyAlignment="1" pivotButton="0" quotePrefix="0" xfId="0">
      <alignment horizontal="center" vertical="center" wrapText="1"/>
    </xf>
    <xf numFmtId="0" fontId="140" fillId="120" borderId="3" applyAlignment="1" pivotButton="0" quotePrefix="0" xfId="0">
      <alignment horizontal="center" vertical="center" wrapText="1"/>
    </xf>
    <xf numFmtId="0" fontId="146" fillId="87" borderId="3" applyAlignment="1" pivotButton="0" quotePrefix="0" xfId="0">
      <alignment horizontal="left" vertical="center" wrapText="1"/>
    </xf>
    <xf numFmtId="0" fontId="146" fillId="88" borderId="3" applyAlignment="1" pivotButton="0" quotePrefix="0" xfId="0">
      <alignment horizontal="left" vertical="center" wrapText="1"/>
    </xf>
    <xf numFmtId="0" fontId="139" fillId="120" borderId="8" applyAlignment="1" pivotButton="0" quotePrefix="0" xfId="0">
      <alignment horizontal="left" vertical="center" wrapText="1"/>
    </xf>
    <xf numFmtId="0" fontId="140" fillId="121" borderId="3" applyAlignment="1" pivotButton="0" quotePrefix="0" xfId="0">
      <alignment horizontal="center" vertical="center" wrapText="1"/>
    </xf>
    <xf numFmtId="0" fontId="146" fillId="0" borderId="3" pivotButton="0" quotePrefix="0" xfId="0"/>
    <xf numFmtId="0" fontId="146" fillId="83" borderId="3" applyAlignment="1" pivotButton="0" quotePrefix="0" xfId="0">
      <alignment horizontal="center" vertical="center" wrapText="1"/>
    </xf>
    <xf numFmtId="0" fontId="146" fillId="85" borderId="3" applyAlignment="1" pivotButton="0" quotePrefix="0" xfId="0">
      <alignment horizontal="center" vertical="center" wrapText="1"/>
    </xf>
    <xf numFmtId="0" fontId="0" fillId="0" borderId="3" pivotButton="0" quotePrefix="0" xfId="0"/>
    <xf numFmtId="0" fontId="146" fillId="98" borderId="3" applyAlignment="1" pivotButton="0" quotePrefix="0" xfId="0">
      <alignment horizontal="center" vertical="center" wrapText="1"/>
    </xf>
    <xf numFmtId="0" fontId="142" fillId="89" borderId="0" applyAlignment="1" pivotButton="0" quotePrefix="0" xfId="0">
      <alignment horizontal="left" vertical="center" wrapText="1"/>
    </xf>
    <xf numFmtId="0" fontId="146" fillId="122" borderId="3" applyAlignment="1" pivotButton="0" quotePrefix="0" xfId="0">
      <alignment horizontal="left" vertical="center" wrapText="1"/>
    </xf>
    <xf numFmtId="0" fontId="146" fillId="123" borderId="3" applyAlignment="1" pivotButton="0" quotePrefix="0" xfId="0">
      <alignment horizontal="left" vertical="center" wrapText="1"/>
    </xf>
    <xf numFmtId="0" fontId="139" fillId="89" borderId="8" applyAlignment="1" pivotButton="0" quotePrefix="0" xfId="0">
      <alignment horizontal="left" vertical="center" wrapText="1"/>
    </xf>
    <xf numFmtId="0" fontId="140" fillId="124" borderId="3" applyAlignment="1" pivotButton="0" quotePrefix="0" xfId="0">
      <alignment horizontal="center" vertical="center" wrapText="1"/>
    </xf>
    <xf numFmtId="0" fontId="145" fillId="0" borderId="3" pivotButton="0" quotePrefix="0" xfId="0"/>
    <xf numFmtId="0" fontId="148" fillId="125" borderId="3" applyAlignment="1" pivotButton="0" quotePrefix="0" xfId="0">
      <alignment horizontal="center" vertical="center" wrapText="1"/>
    </xf>
    <xf numFmtId="0" fontId="149" fillId="126" borderId="3" applyAlignment="1" pivotButton="0" quotePrefix="0" xfId="0">
      <alignment horizontal="center" vertical="center" wrapText="1"/>
    </xf>
    <xf numFmtId="0" fontId="148" fillId="85" borderId="3" applyAlignment="1" pivotButton="0" quotePrefix="0" xfId="0">
      <alignment horizontal="center" vertical="center" wrapText="1"/>
    </xf>
    <xf numFmtId="0" fontId="148" fillId="83" borderId="3" applyAlignment="1" pivotButton="0" quotePrefix="0" xfId="0">
      <alignment horizontal="center" vertical="center" wrapText="1"/>
    </xf>
  </cellXfs>
  <cellStyles count="1">
    <cellStyle name="Normal" xfId="0" builtinId="0"/>
  </cellStyles>
  <dxfs count="15">
    <dxf>
      <font>
        <color rgb="FFC62828"/>
      </font>
      <fill>
        <patternFill patternType="solid">
          <fgColor indexed="64"/>
          <bgColor rgb="FFFFEBEE"/>
        </patternFill>
      </fill>
    </dxf>
    <dxf>
      <font>
        <color rgb="FFE65100"/>
      </font>
      <fill>
        <patternFill patternType="solid">
          <fgColor indexed="64"/>
          <bgColor rgb="FFFFF3E0"/>
        </patternFill>
      </fill>
    </dxf>
    <dxf>
      <font>
        <color rgb="FF2E7D32"/>
      </font>
      <fill>
        <patternFill patternType="solid">
          <fgColor indexed="64"/>
          <bgColor rgb="FFE8F5E9"/>
        </patternFill>
      </fill>
    </dxf>
    <dxf>
      <font>
        <color rgb="FFFFFFFF"/>
      </font>
      <fill>
        <patternFill patternType="solid">
          <fgColor indexed="64"/>
          <bgColor rgb="FFF57C00"/>
        </patternFill>
      </fill>
    </dxf>
    <dxf>
      <font>
        <b val="1"/>
        <color rgb="FFFFFFFF"/>
      </font>
      <fill>
        <patternFill patternType="solid">
          <fgColor indexed="64"/>
          <bgColor rgb="FFD32F2F"/>
        </patternFill>
      </fill>
    </dxf>
    <dxf>
      <font>
        <color rgb="FF1B5E20"/>
      </font>
      <fill>
        <patternFill patternType="solid">
          <fgColor indexed="64"/>
          <bgColor rgb="FFC8E6C9"/>
        </patternFill>
      </fill>
    </dxf>
    <dxf>
      <font>
        <b val="1"/>
        <color rgb="FFFFFFFF"/>
      </font>
      <fill>
        <patternFill patternType="solid">
          <fgColor indexed="64"/>
          <bgColor rgb="FFD32F2F"/>
        </patternFill>
      </fill>
    </dxf>
    <dxf>
      <font>
        <color rgb="FFFFFFFF"/>
      </font>
      <fill>
        <patternFill patternType="solid">
          <fgColor indexed="64"/>
          <bgColor rgb="FF4CAF50"/>
        </patternFill>
      </fill>
    </dxf>
    <dxf>
      <fill>
        <patternFill patternType="solid">
          <fgColor indexed="64"/>
          <bgColor rgb="FFFFF9C4"/>
        </patternFill>
      </fill>
    </dxf>
    <dxf>
      <font>
        <color rgb="FFFFFFFF"/>
      </font>
      <fill>
        <patternFill patternType="solid">
          <fgColor indexed="64"/>
          <bgColor rgb="FFF57C00"/>
        </patternFill>
      </fill>
    </dxf>
    <dxf>
      <font>
        <b val="1"/>
        <color rgb="FFFFFFFF"/>
      </font>
      <fill>
        <patternFill patternType="solid">
          <fgColor indexed="64"/>
          <bgColor rgb="FFD32F2F"/>
        </patternFill>
      </fill>
    </dxf>
    <dxf>
      <font>
        <color rgb="FFFFFFFF"/>
      </font>
      <fill>
        <patternFill patternType="solid">
          <fgColor indexed="64"/>
          <bgColor rgb="FF4CAF50"/>
        </patternFill>
      </fill>
    </dxf>
    <dxf>
      <font>
        <color rgb="FF000000"/>
      </font>
      <fill>
        <patternFill patternType="solid">
          <fgColor indexed="64"/>
          <bgColor rgb="FFFFF9C4"/>
        </patternFill>
      </fill>
    </dxf>
    <dxf>
      <font>
        <color rgb="FFFFFFFF"/>
      </font>
      <fill>
        <patternFill patternType="solid">
          <fgColor indexed="64"/>
          <bgColor rgb="FFF57C00"/>
        </patternFill>
      </fill>
    </dxf>
    <dxf>
      <font>
        <b val="1"/>
        <color rgb="FFFFFFFF"/>
      </font>
      <fill>
        <patternFill patternType="solid">
          <fgColor indexed="64"/>
          <bgColor rgb="FFD32F2F"/>
        </patternFill>
      </fill>
    </dxf>
  </dxfs>
  <tableStyles count="0" defaultTableStyle="TableStyleMedium2" defaultPivotStyle="PivotStyleLight16"/>
  <colors>
    <indexedColors>
      <rgbColor rgb="FF000000"/>
      <rgbColor rgb="FFFFFFFF"/>
      <rgbColor rgb="FFFAFAFA"/>
      <rgbColor rgb="FFF5F5F6"/>
      <rgbColor rgb="FF005F6B"/>
      <rgbColor rgb="FFF5F5E1"/>
      <rgbColor rgb="FFF4F6FA"/>
      <rgbColor rgb="FFF0FFF4"/>
      <rgbColor rgb="FF8B0000"/>
      <rgbColor rgb="FF165922"/>
      <rgbColor rgb="FF3B2D87"/>
      <rgbColor rgb="FF856404"/>
      <rgbColor rgb="FF4A4A00"/>
      <rgbColor rgb="FF1D6FA3"/>
      <rgbColor rgb="FFCCCCCC"/>
      <rgbColor rgb="FF444444"/>
      <rgbColor rgb="FFE6EFF7"/>
      <rgbColor rgb="FF7A5500"/>
      <rgbColor rgb="FFFFF8E1"/>
      <rgbColor rgb="FFE1F5F5"/>
      <rgbColor rgb="FF5A2A7A"/>
      <rgbColor rgb="FFEEEDFE"/>
      <rgbColor rgb="FF1A6FAF"/>
      <rgbColor rgb="FFD1ECF1"/>
      <rgbColor rgb="FF084F49"/>
      <rgbColor rgb="FFF8F9FA"/>
      <rgbColor rgb="FFEAF5E1"/>
      <rgbColor rgb="FFF0F8FF"/>
      <rgbColor rgb="FF2A4A1A"/>
      <rgbColor rgb="FF7A1A0A"/>
      <rgbColor rgb="FF0D6E44"/>
      <rgbColor rgb="FF0C513F"/>
      <rgbColor rgb="FF1A5000"/>
      <rgbColor rgb="FFE1F5EE"/>
      <rgbColor rgb="FFD4EDDA"/>
      <rgbColor rgb="FFFFF3CD"/>
      <rgbColor rgb="FFE0EBF0"/>
      <rgbColor rgb="FFF3E6F5"/>
      <rgbColor rgb="FFE6E9F5"/>
      <rgbColor rgb="FFFCEBEB"/>
      <rgbColor rgb="FF2B4D8C"/>
      <rgbColor rgb="FFF3F2F2"/>
      <rgbColor rgb="FFE6F5E3"/>
      <rgbColor rgb="FFFCECEC"/>
      <rgbColor rgb="FFFFF8E6"/>
      <rgbColor rgb="FFC26500"/>
      <rgbColor rgb="FF5F5E5A"/>
      <rgbColor rgb="FFE6F0F8"/>
      <rgbColor rgb="FF003344"/>
      <rgbColor rgb="FF2B8336"/>
      <rgbColor rgb="FF1B2C3E"/>
      <rgbColor rgb="FF533F03"/>
      <rgbColor rgb="FFAE160B"/>
      <rgbColor rgb="FF5A3A00"/>
      <rgbColor rgb="FF2B3A8B"/>
      <rgbColor rgb="FF3D3D3D"/>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styles" Target="styles.xml" Id="rId47" /><Relationship Type="http://schemas.openxmlformats.org/officeDocument/2006/relationships/theme" Target="theme/theme1.xml" Id="rId48" /></Relationships>
</file>

<file path=xl/charts/chart1.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r>
              <a:rPr lang="en-US"/>
              <a:t>HC IoT Relevance Distribution</a:t>
            </a:r>
          </a:p>
        </rich>
      </tx>
      <overlay val="0"/>
      <spPr>
        <a:noFill/>
        <a:ln>
          <a:noFill/>
          <a:prstDash val="solid"/>
        </a:ln>
      </spPr>
      <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r>
            <a:t>None</a:t>
          </a:r>
          <a:endParaRPr lang="en-US"/>
        </a:p>
      </txPr>
    </title>
    <plotArea>
      <layout/>
      <doughnutChart>
        <varyColors val="1"/>
        <ser>
          <idx val="0"/>
          <order val="0"/>
          <tx>
            <strRef>
              <f>'Executive Command Centre'!$B$9</f>
              <strCache>
                <ptCount val="1"/>
                <pt idx="0">
                  <v>Count</v>
                </pt>
              </strCache>
            </strRef>
          </tx>
          <spPr>
            <a:ln>
              <a:prstDash val="solid"/>
            </a:ln>
          </spPr>
          <dPt>
            <idx val="0"/>
            <bubble3D val="0"/>
            <spPr>
              <a:solidFill>
                <a:schemeClr val="accent1"/>
              </a:solidFill>
              <a:ln w="19050">
                <a:solidFill>
                  <a:schemeClr val="lt1"/>
                </a:solidFill>
                <a:prstDash val="solid"/>
              </a:ln>
            </spPr>
          </dPt>
          <dPt>
            <idx val="1"/>
            <bubble3D val="0"/>
            <spPr>
              <a:solidFill>
                <a:schemeClr val="accent2"/>
              </a:solidFill>
              <a:ln w="19050">
                <a:solidFill>
                  <a:schemeClr val="lt1"/>
                </a:solidFill>
                <a:prstDash val="solid"/>
              </a:ln>
            </spPr>
          </dPt>
          <dPt>
            <idx val="2"/>
            <bubble3D val="0"/>
            <spPr>
              <a:solidFill>
                <a:schemeClr val="accent3"/>
              </a:solidFill>
              <a:ln w="19050">
                <a:solidFill>
                  <a:schemeClr val="lt1"/>
                </a:solidFill>
                <a:prstDash val="solid"/>
              </a:ln>
            </spPr>
          </dPt>
          <dPt>
            <idx val="3"/>
            <bubble3D val="0"/>
            <spPr>
              <a:solidFill>
                <a:schemeClr val="accent4"/>
              </a:solidFill>
              <a:ln w="19050">
                <a:solidFill>
                  <a:schemeClr val="lt1"/>
                </a:solidFill>
                <a:prstDash val="solid"/>
              </a:ln>
            </spPr>
          </dPt>
          <cat>
            <strRef>
              <f>'Executive Command Centre'!$A$10:$A$13</f>
              <strCache>
                <ptCount val="4"/>
                <pt idx="0">
                  <v>HIGHEST</v>
                </pt>
                <pt idx="1">
                  <v>HIGH</v>
                </pt>
                <pt idx="2">
                  <v>MODERATE</v>
                </pt>
                <pt idx="3">
                  <v>LOW</v>
                </pt>
              </strCache>
            </strRef>
          </cat>
          <val>
            <numRef>
              <f>'Executive Command Centre'!$B$10:$B$13</f>
              <numCache>
                <formatCode>General</formatCode>
                <ptCount val="4"/>
                <pt idx="0">
                  <v>139</v>
                </pt>
                <pt idx="1">
                  <v>78</v>
                </pt>
                <pt idx="2">
                  <v>120</v>
                </pt>
                <pt idx="3">
                  <v>114</v>
                </pt>
              </numCache>
            </numRef>
          </val>
        </ser>
        <dLbls>
          <showLegendKey val="0"/>
          <showVal val="0"/>
          <showCatName val="0"/>
          <showSerName val="0"/>
          <showPercent val="0"/>
          <showBubbleSize val="0"/>
          <showLeaderLines val="1"/>
        </dLbls>
        <firstSliceAng val="0"/>
        <holeSize val="75"/>
      </doughnutChart>
    </plotArea>
    <legend>
      <legendPos val="b"/>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2.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r>
              <a:rPr lang="en-US"/>
              <a:t>Regulatory Velocity (Framework Freshness)</a:t>
            </a:r>
          </a:p>
        </rich>
      </tx>
      <overlay val="0"/>
      <spPr>
        <a:noFill/>
        <a:ln>
          <a:noFill/>
          <a:prstDash val="solid"/>
        </a:ln>
      </spPr>
      <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clustered"/>
        <varyColors val="0"/>
        <ser>
          <idx val="0"/>
          <order val="0"/>
          <tx>
            <strRef>
              <f>'Executive Command Centre'!$E$9</f>
              <strCache>
                <ptCount val="1"/>
                <pt idx="0">
                  <v>Count</v>
                </pt>
              </strCache>
            </strRef>
          </tx>
          <spPr>
            <a:solidFill>
              <a:schemeClr val="accent1"/>
            </a:solidFill>
            <a:ln>
              <a:noFill/>
              <a:prstDash val="solid"/>
            </a:ln>
          </spPr>
          <invertIfNegative val="0"/>
          <cat>
            <strRef>
              <f>'Executive Command Centre'!$D$10:$D$13</f>
              <strCache>
                <ptCount val="4"/>
                <pt idx="0">
                  <v>2024-2026 (Fresh)</v>
                </pt>
                <pt idx="1">
                  <v>2021-2023 (Maturing)</v>
                </pt>
                <pt idx="2">
                  <v>2018-2020 (Aging)</v>
                </pt>
                <pt idx="3">
                  <v>Pre-2018 (Legacy)</v>
                </pt>
              </strCache>
            </strRef>
          </cat>
          <val>
            <numRef>
              <f>'Executive Command Centre'!$E$10:$E$13</f>
              <numCache>
                <formatCode>General</formatCode>
                <ptCount val="4"/>
                <pt idx="0">
                  <v>9</v>
                </pt>
                <pt idx="1">
                  <v>84</v>
                </pt>
                <pt idx="2">
                  <v>170</v>
                </pt>
                <pt idx="3">
                  <v>63</v>
                </pt>
              </numCache>
            </numRef>
          </val>
        </ser>
        <dLbls>
          <showLegendKey val="0"/>
          <showVal val="0"/>
          <showCatName val="0"/>
          <showSerName val="0"/>
          <showPercent val="0"/>
          <showBubbleSize val="0"/>
        </dLbls>
        <gapWidth val="219"/>
        <overlap val="-27"/>
        <axId val="1236321423"/>
        <axId val="1236322863"/>
      </barChart>
      <catAx>
        <axId val="1236321423"/>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236322863"/>
        <crosses val="autoZero"/>
        <auto val="1"/>
        <lblAlgn val="ctr"/>
        <lblOffset val="100"/>
        <noMultiLvlLbl val="0"/>
      </catAx>
      <valAx>
        <axId val="1236322863"/>
        <scaling>
          <orientation val="minMax"/>
        </scaling>
        <delete val="0"/>
        <axPos val="l"/>
        <majorGridlines>
          <spPr>
            <a:l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236321423"/>
        <crosses val="autoZero"/>
        <crossBetween val="between"/>
      </valAx>
    </plotArea>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3.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r>
              <a:rPr lang="en-US"/>
              <a:t>GRC Maturity: Current vs Target (Level 1-5)</a:t>
            </a:r>
          </a:p>
        </rich>
      </tx>
      <overlay val="0"/>
      <spPr>
        <a:noFill/>
        <a:ln>
          <a:noFill/>
          <a:prstDash val="solid"/>
        </a:ln>
      </spPr>
      <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bar"/>
        <grouping val="clustered"/>
        <varyColors val="0"/>
        <ser>
          <idx val="0"/>
          <order val="0"/>
          <tx>
            <strRef>
              <f>'Executive Command Centre'!$B$17</f>
              <strCache>
                <ptCount val="1"/>
                <pt idx="0">
                  <v>Current</v>
                </pt>
              </strCache>
            </strRef>
          </tx>
          <spPr>
            <a:solidFill>
              <a:schemeClr val="accent1"/>
            </a:solidFill>
            <a:ln>
              <a:noFill/>
              <a:prstDash val="solid"/>
            </a:ln>
          </spPr>
          <invertIfNegative val="0"/>
          <cat>
            <strRef>
              <f>'Executive Command Centre'!$A$18:$A$26</f>
              <strCache>
                <ptCount val="9"/>
                <pt idx="0">
                  <v>Governance</v>
                </pt>
                <pt idx="1">
                  <v>Cybersecurity</v>
                </pt>
                <pt idx="2">
                  <v>Privacy (PDPL)</v>
                </pt>
                <pt idx="3">
                  <v>Risk Mgmt</v>
                </pt>
                <pt idx="4">
                  <v>Compliance</v>
                </pt>
                <pt idx="5">
                  <v>Supply Chain</v>
                </pt>
                <pt idx="6">
                  <v>OT/CNI (OTCC)</v>
                </pt>
                <pt idx="7">
                  <v>Incident Response</v>
                </pt>
                <pt idx="8">
                  <v>Saudisation</v>
                </pt>
              </strCache>
            </strRef>
          </cat>
          <val>
            <numRef>
              <f>'Executive Command Centre'!$B$18:$B$26</f>
              <numCache>
                <formatCode>0.0</formatCode>
                <ptCount val="9"/>
                <pt idx="0">
                  <v>1.5</v>
                </pt>
                <pt idx="1">
                  <v>2</v>
                </pt>
                <pt idx="2">
                  <v>1</v>
                </pt>
                <pt idx="3">
                  <v>2</v>
                </pt>
                <pt idx="4">
                  <v>1.5</v>
                </pt>
                <pt idx="5">
                  <v>1</v>
                </pt>
                <pt idx="6">
                  <v>1.5</v>
                </pt>
                <pt idx="7">
                  <v>1.5</v>
                </pt>
                <pt idx="8">
                  <v>2.5</v>
                </pt>
              </numCache>
            </numRef>
          </val>
        </ser>
        <ser>
          <idx val="1"/>
          <order val="1"/>
          <tx>
            <strRef>
              <f>'Executive Command Centre'!$C$17</f>
              <strCache>
                <ptCount val="1"/>
                <pt idx="0">
                  <v>Target</v>
                </pt>
              </strCache>
            </strRef>
          </tx>
          <spPr>
            <a:solidFill>
              <a:schemeClr val="accent2"/>
            </a:solidFill>
            <a:ln>
              <a:noFill/>
              <a:prstDash val="solid"/>
            </a:ln>
          </spPr>
          <invertIfNegative val="0"/>
          <cat>
            <strRef>
              <f>'Executive Command Centre'!$A$18:$A$26</f>
              <strCache>
                <ptCount val="9"/>
                <pt idx="0">
                  <v>Governance</v>
                </pt>
                <pt idx="1">
                  <v>Cybersecurity</v>
                </pt>
                <pt idx="2">
                  <v>Privacy (PDPL)</v>
                </pt>
                <pt idx="3">
                  <v>Risk Mgmt</v>
                </pt>
                <pt idx="4">
                  <v>Compliance</v>
                </pt>
                <pt idx="5">
                  <v>Supply Chain</v>
                </pt>
                <pt idx="6">
                  <v>OT/CNI (OTCC)</v>
                </pt>
                <pt idx="7">
                  <v>Incident Response</v>
                </pt>
                <pt idx="8">
                  <v>Saudisation</v>
                </pt>
              </strCache>
            </strRef>
          </cat>
          <val>
            <numRef>
              <f>'Executive Command Centre'!$C$18:$C$26</f>
              <numCache>
                <formatCode>General</formatCode>
                <ptCount val="9"/>
                <pt idx="0">
                  <v>3</v>
                </pt>
                <pt idx="1">
                  <v>3</v>
                </pt>
                <pt idx="2">
                  <v>3</v>
                </pt>
                <pt idx="3">
                  <v>3</v>
                </pt>
                <pt idx="4">
                  <v>3</v>
                </pt>
                <pt idx="5">
                  <v>3</v>
                </pt>
                <pt idx="6">
                  <v>3</v>
                </pt>
                <pt idx="7">
                  <v>3</v>
                </pt>
                <pt idx="8">
                  <v>3</v>
                </pt>
              </numCache>
            </numRef>
          </val>
        </ser>
        <dLbls>
          <showLegendKey val="0"/>
          <showVal val="0"/>
          <showCatName val="0"/>
          <showSerName val="0"/>
          <showPercent val="0"/>
          <showBubbleSize val="0"/>
        </dLbls>
        <gapWidth val="182"/>
        <axId val="1566836815"/>
        <axId val="1566837295"/>
      </barChart>
      <catAx>
        <axId val="1566836815"/>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566837295"/>
        <crosses val="autoZero"/>
        <auto val="1"/>
        <lblAlgn val="ctr"/>
        <lblOffset val="100"/>
        <noMultiLvlLbl val="0"/>
      </catAx>
      <valAx>
        <axId val="1566837295"/>
        <scaling>
          <orientation val="minMax"/>
        </scaling>
        <delete val="0"/>
        <axPos val="b"/>
        <majorGridlines>
          <spPr>
            <a:ln w="9525" cap="flat" cmpd="sng" algn="ctr">
              <a:solidFill>
                <a:schemeClr val="tx1">
                  <a:lumMod val="15000"/>
                  <a:lumOff val="85000"/>
                </a:schemeClr>
              </a:solidFill>
              <a:prstDash val="solid"/>
              <a:round/>
            </a:ln>
          </spPr>
        </majorGridlines>
        <numFmt formatCode="0.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566836815"/>
        <crosses val="autoZero"/>
        <crossBetween val="between"/>
      </valAx>
    </plotArea>
    <legend>
      <legendPos val="b"/>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4.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r>
              <a:rPr lang="en-US"/>
              <a:t>Top 10 Regulators by Power Index</a:t>
            </a:r>
          </a:p>
        </rich>
      </tx>
      <overlay val="0"/>
      <spPr>
        <a:noFill/>
        <a:ln>
          <a:noFill/>
          <a:prstDash val="solid"/>
        </a:ln>
      </spPr>
      <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bar"/>
        <grouping val="clustered"/>
        <varyColors val="0"/>
        <ser>
          <idx val="0"/>
          <order val="0"/>
          <tx>
            <strRef>
              <f>'Executive Command Centre'!$E$17</f>
              <strCache>
                <ptCount val="1"/>
                <pt idx="0">
                  <v>Power Index</v>
                </pt>
              </strCache>
            </strRef>
          </tx>
          <spPr>
            <a:solidFill>
              <a:schemeClr val="accent1"/>
            </a:solidFill>
            <a:ln>
              <a:noFill/>
              <a:prstDash val="solid"/>
            </a:ln>
          </spPr>
          <invertIfNegative val="0"/>
          <cat>
            <strRef>
              <f>'Executive Command Centre'!$D$18:$D$27</f>
              <strCache>
                <ptCount val="10"/>
                <pt idx="0">
                  <v>MOH</v>
                </pt>
                <pt idx="1">
                  <v>SDAIA</v>
                </pt>
                <pt idx="2">
                  <v>MOH</v>
                </pt>
                <pt idx="3">
                  <v>SFDA</v>
                </pt>
                <pt idx="4">
                  <v>CST</v>
                </pt>
                <pt idx="5">
                  <v>SAMA</v>
                </pt>
                <pt idx="6">
                  <v>CCHI</v>
                </pt>
                <pt idx="7">
                  <v>CBAHI</v>
                </pt>
                <pt idx="8">
                  <v>NHIC</v>
                </pt>
                <pt idx="9">
                  <v>SCFHS</v>
                </pt>
              </strCache>
            </strRef>
          </cat>
          <val>
            <numRef>
              <f>'Executive Command Centre'!$E$18:$E$27</f>
              <numCache>
                <formatCode>General</formatCode>
                <ptCount val="10"/>
                <pt idx="0">
                  <v>80</v>
                </pt>
                <pt idx="1">
                  <v>70</v>
                </pt>
                <pt idx="2">
                  <v>67</v>
                </pt>
                <pt idx="3">
                  <v>63</v>
                </pt>
                <pt idx="4">
                  <v>50</v>
                </pt>
                <pt idx="5">
                  <v>50</v>
                </pt>
                <pt idx="6">
                  <v>50</v>
                </pt>
                <pt idx="7">
                  <v>50</v>
                </pt>
                <pt idx="8">
                  <v>50</v>
                </pt>
                <pt idx="9">
                  <v>50</v>
                </pt>
              </numCache>
            </numRef>
          </val>
        </ser>
        <dLbls>
          <showLegendKey val="0"/>
          <showVal val="0"/>
          <showCatName val="0"/>
          <showSerName val="0"/>
          <showPercent val="0"/>
          <showBubbleSize val="0"/>
        </dLbls>
        <gapWidth val="182"/>
        <axId val="1636956079"/>
        <axId val="1636954639"/>
      </barChart>
      <catAx>
        <axId val="1636956079"/>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636954639"/>
        <crosses val="autoZero"/>
        <auto val="1"/>
        <lblAlgn val="ctr"/>
        <lblOffset val="100"/>
        <noMultiLvlLbl val="0"/>
      </catAx>
      <valAx>
        <axId val="1636954639"/>
        <scaling>
          <orientation val="minMax"/>
        </scaling>
        <delete val="0"/>
        <axPos val="b"/>
        <majorGridlines>
          <spPr>
            <a:l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1636956079"/>
        <crosses val="autoZero"/>
        <crossBetween val="between"/>
      </valAx>
    </plotArea>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5.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200" b="1" i="0" strike="noStrike" kern="1200" spc="0" baseline="0">
                <a:solidFill>
                  <a:schemeClr val="tx1">
                    <a:lumMod val="65000"/>
                    <a:lumOff val="35000"/>
                  </a:schemeClr>
                </a:solidFill>
                <a:latin typeface="+mn-lt"/>
                <a:ea typeface="+mn-ea"/>
                <a:cs typeface="+mn-cs"/>
              </a:defRPr>
            </a:pPr>
            <a:r>
              <a:rPr lang="en-US"/>
              <a:t>KSA GRC Maturity vs Global (Scale 1-5)</a:t>
            </a:r>
          </a:p>
        </rich>
      </tx>
      <overlay val="0"/>
      <spPr>
        <a:noFill/>
        <a:ln>
          <a:noFill/>
          <a:prstDash val="solid"/>
        </a:ln>
      </spPr>
      <txPr>
        <a:bodyPr rot="0" spcFirstLastPara="1" vertOverflow="ellipsis" vert="horz" wrap="square" anchor="ctr" anchorCtr="1"/>
        <a:lstStyle/>
        <a:p>
          <a:pPr>
            <a:defRPr sz="12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bar"/>
        <grouping val="clustered"/>
        <varyColors val="0"/>
        <ser>
          <idx val="0"/>
          <order val="0"/>
          <tx>
            <strRef>
              <f>'Global GRC Benchmark'!$B$17</f>
              <strCache>
                <ptCount val="1"/>
                <pt idx="0">
                  <v>🇸🇦 KSA Score</v>
                </pt>
              </strCache>
            </strRef>
          </tx>
          <spPr>
            <a:solidFill>
              <a:schemeClr val="accent1"/>
            </a:solidFill>
            <a:ln>
              <a:noFill/>
              <a:prstDash val="solid"/>
            </a:ln>
          </spPr>
          <invertIfNegative val="0"/>
          <cat>
            <strRef>
              <f>'Global GRC Benchmark'!$A$18:$A$26</f>
              <strCache>
                <ptCount val="9"/>
                <pt idx="0">
                  <v>Cybersecurity Regulation Depth</v>
                </pt>
                <pt idx="1">
                  <v>Data Privacy Maturity</v>
                </pt>
                <pt idx="2">
                  <v>OT/CNI Cyber Controls</v>
                </pt>
                <pt idx="3">
                  <v>Cloud Security Governance</v>
                </pt>
                <pt idx="4">
                  <v>AI Governance</v>
                </pt>
                <pt idx="5">
                  <v>Medical Device Regulation</v>
                </pt>
                <pt idx="6">
                  <v>Regulatory Coverage Breadth</v>
                </pt>
                <pt idx="7">
                  <v>Cross-Sector Integration</v>
                </pt>
                <pt idx="8">
                  <v>Enforcement Maturity</v>
                </pt>
              </strCache>
            </strRef>
          </cat>
          <val>
            <numRef>
              <f>'Global GRC Benchmark'!$B$18:$B$26</f>
              <numCache>
                <formatCode>0.0</formatCode>
                <ptCount val="9"/>
                <pt idx="0">
                  <v>4.5</v>
                </pt>
                <pt idx="1">
                  <v>2.5</v>
                </pt>
                <pt idx="2">
                  <v>4</v>
                </pt>
                <pt idx="3">
                  <v>3.5</v>
                </pt>
                <pt idx="4">
                  <v>2</v>
                </pt>
                <pt idx="5">
                  <v>3.5</v>
                </pt>
                <pt idx="6">
                  <v>5</v>
                </pt>
                <pt idx="7">
                  <v>3</v>
                </pt>
                <pt idx="8">
                  <v>2</v>
                </pt>
              </numCache>
            </numRef>
          </val>
        </ser>
        <ser>
          <idx val="1"/>
          <order val="1"/>
          <tx>
            <strRef>
              <f>'Global GRC Benchmark'!$C$17</f>
              <strCache>
                <ptCount val="1"/>
                <pt idx="0">
                  <v>Global Avg</v>
                </pt>
              </strCache>
            </strRef>
          </tx>
          <spPr>
            <a:solidFill>
              <a:schemeClr val="accent2"/>
            </a:solidFill>
            <a:ln>
              <a:noFill/>
              <a:prstDash val="solid"/>
            </a:ln>
          </spPr>
          <invertIfNegative val="0"/>
          <cat>
            <strRef>
              <f>'Global GRC Benchmark'!$A$18:$A$26</f>
              <strCache>
                <ptCount val="9"/>
                <pt idx="0">
                  <v>Cybersecurity Regulation Depth</v>
                </pt>
                <pt idx="1">
                  <v>Data Privacy Maturity</v>
                </pt>
                <pt idx="2">
                  <v>OT/CNI Cyber Controls</v>
                </pt>
                <pt idx="3">
                  <v>Cloud Security Governance</v>
                </pt>
                <pt idx="4">
                  <v>AI Governance</v>
                </pt>
                <pt idx="5">
                  <v>Medical Device Regulation</v>
                </pt>
                <pt idx="6">
                  <v>Regulatory Coverage Breadth</v>
                </pt>
                <pt idx="7">
                  <v>Cross-Sector Integration</v>
                </pt>
                <pt idx="8">
                  <v>Enforcement Maturity</v>
                </pt>
              </strCache>
            </strRef>
          </cat>
          <val>
            <numRef>
              <f>'Global GRC Benchmark'!$C$18:$C$26</f>
              <numCache>
                <formatCode>0.0</formatCode>
                <ptCount val="9"/>
                <pt idx="0">
                  <v>3.5</v>
                </pt>
                <pt idx="1">
                  <v>3.5</v>
                </pt>
                <pt idx="2">
                  <v>3</v>
                </pt>
                <pt idx="3">
                  <v>3.5</v>
                </pt>
                <pt idx="4">
                  <v>2.5</v>
                </pt>
                <pt idx="5">
                  <v>3.5</v>
                </pt>
                <pt idx="6">
                  <v>3</v>
                </pt>
                <pt idx="7">
                  <v>3</v>
                </pt>
                <pt idx="8">
                  <v>3.5</v>
                </pt>
              </numCache>
            </numRef>
          </val>
        </ser>
        <ser>
          <idx val="2"/>
          <order val="2"/>
          <tx>
            <strRef>
              <f>'Global GRC Benchmark'!$D$17</f>
              <strCache>
                <ptCount val="1"/>
                <pt idx="0">
                  <v>Global Best</v>
                </pt>
              </strCache>
            </strRef>
          </tx>
          <spPr>
            <a:solidFill>
              <a:schemeClr val="accent3"/>
            </a:solidFill>
            <a:ln>
              <a:noFill/>
              <a:prstDash val="solid"/>
            </a:ln>
          </spPr>
          <invertIfNegative val="0"/>
          <cat>
            <strRef>
              <f>'Global GRC Benchmark'!$A$18:$A$26</f>
              <strCache>
                <ptCount val="9"/>
                <pt idx="0">
                  <v>Cybersecurity Regulation Depth</v>
                </pt>
                <pt idx="1">
                  <v>Data Privacy Maturity</v>
                </pt>
                <pt idx="2">
                  <v>OT/CNI Cyber Controls</v>
                </pt>
                <pt idx="3">
                  <v>Cloud Security Governance</v>
                </pt>
                <pt idx="4">
                  <v>AI Governance</v>
                </pt>
                <pt idx="5">
                  <v>Medical Device Regulation</v>
                </pt>
                <pt idx="6">
                  <v>Regulatory Coverage Breadth</v>
                </pt>
                <pt idx="7">
                  <v>Cross-Sector Integration</v>
                </pt>
                <pt idx="8">
                  <v>Enforcement Maturity</v>
                </pt>
              </strCache>
            </strRef>
          </cat>
          <val>
            <numRef>
              <f>'Global GRC Benchmark'!$D$18:$D$26</f>
              <numCache>
                <formatCode>0.0</formatCode>
                <ptCount val="9"/>
                <pt idx="0">
                  <v>4.5</v>
                </pt>
                <pt idx="1">
                  <v>5</v>
                </pt>
                <pt idx="2">
                  <v>4.5</v>
                </pt>
                <pt idx="3">
                  <v>4.5</v>
                </pt>
                <pt idx="4">
                  <v>4</v>
                </pt>
                <pt idx="5">
                  <v>5</v>
                </pt>
                <pt idx="6">
                  <v>4</v>
                </pt>
                <pt idx="7">
                  <v>4</v>
                </pt>
                <pt idx="8">
                  <v>5</v>
                </pt>
              </numCache>
            </numRef>
          </val>
        </ser>
        <dLbls>
          <showLegendKey val="0"/>
          <showVal val="0"/>
          <showCatName val="0"/>
          <showSerName val="0"/>
          <showPercent val="0"/>
          <showBubbleSize val="0"/>
        </dLbls>
        <gapWidth val="182"/>
        <axId val="924734399"/>
        <axId val="924734879"/>
      </barChart>
      <catAx>
        <axId val="924734399"/>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924734879"/>
        <crosses val="autoZero"/>
        <auto val="1"/>
        <lblAlgn val="ctr"/>
        <lblOffset val="100"/>
        <noMultiLvlLbl val="0"/>
      </catAx>
      <valAx>
        <axId val="924734879"/>
        <scaling>
          <orientation val="minMax"/>
        </scaling>
        <delete val="0"/>
        <axPos val="b"/>
        <majorGridlines>
          <spPr>
            <a:ln w="9525" cap="flat" cmpd="sng" algn="ctr">
              <a:solidFill>
                <a:schemeClr val="tx1">
                  <a:lumMod val="15000"/>
                  <a:lumOff val="85000"/>
                </a:schemeClr>
              </a:solidFill>
              <a:prstDash val="solid"/>
              <a:round/>
            </a:ln>
          </spPr>
        </majorGridlines>
        <numFmt formatCode="0.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crossAx val="924734399"/>
        <crosses val="autoZero"/>
        <crossBetween val="between"/>
      </valAx>
    </plotArea>
    <legend>
      <legendPos val="b"/>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_rels/drawing2.xml.rels><Relationships xmlns="http://schemas.openxmlformats.org/package/2006/relationships"><Relationship Type="http://schemas.openxmlformats.org/officeDocument/2006/relationships/chart" Target="/xl/charts/chart5.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0</col>
      <colOff>0</colOff>
      <row>27</row>
      <rowOff>0</rowOff>
    </from>
    <to>
      <col>0</col>
      <colOff>4445000</colOff>
      <row>46</row>
      <rowOff>117475</rowOff>
    </to>
    <graphicFrame>
      <nvGraphicFramePr>
        <cNvPr id="1" name="Chart 1"/>
        <cNvGraphicFramePr/>
      </nvGraphicFramePr>
      <xfrm/>
      <a:graphic>
        <a:graphicData uri="http://schemas.openxmlformats.org/drawingml/2006/chart">
          <c:chart r:id="rId1"/>
        </a:graphicData>
      </a:graphic>
    </graphicFrame>
    <clientData/>
  </twoCellAnchor>
  <twoCellAnchor>
    <from>
      <col>3</col>
      <colOff>0</colOff>
      <row>27</row>
      <rowOff>0</rowOff>
    </from>
    <to>
      <col>3</col>
      <colOff>4826000</colOff>
      <row>46</row>
      <rowOff>117475</rowOff>
    </to>
    <graphicFrame>
      <nvGraphicFramePr>
        <cNvPr id="2" name="Chart 2"/>
        <cNvGraphicFramePr/>
      </nvGraphicFramePr>
      <xfrm/>
      <a:graphic>
        <a:graphicData uri="http://schemas.openxmlformats.org/drawingml/2006/chart">
          <c:chart r:id="rId2"/>
        </a:graphicData>
      </a:graphic>
    </graphicFrame>
    <clientData/>
  </twoCellAnchor>
  <twoCellAnchor>
    <from>
      <col>0</col>
      <colOff>0</colOff>
      <row>45</row>
      <rowOff>0</rowOff>
    </from>
    <to>
      <col>2</col>
      <colOff>109537</colOff>
      <row>66</row>
      <rowOff>9525</rowOff>
    </to>
    <graphicFrame>
      <nvGraphicFramePr>
        <cNvPr id="3" name="Chart 3"/>
        <cNvGraphicFramePr/>
      </nvGraphicFramePr>
      <xfrm/>
      <a:graphic>
        <a:graphicData uri="http://schemas.openxmlformats.org/drawingml/2006/chart">
          <c:chart r:id="rId3"/>
        </a:graphicData>
      </a:graphic>
    </graphicFrame>
    <clientData/>
  </twoCellAnchor>
  <twoCellAnchor>
    <from>
      <col>3</col>
      <colOff>0</colOff>
      <row>45</row>
      <rowOff>0</rowOff>
    </from>
    <to>
      <col>3</col>
      <colOff>4826000</colOff>
      <row>66</row>
      <rowOff>9525</rowOff>
    </to>
    <graphicFrame>
      <nvGraphicFramePr>
        <cNvPr id="4" name="Chart 4"/>
        <cNvGraphicFramePr/>
      </nvGraphicFramePr>
      <xfrm/>
      <a:graphic>
        <a:graphicData uri="http://schemas.openxmlformats.org/drawingml/2006/chart">
          <c:chart r:id="rId4"/>
        </a:graphicData>
      </a:graphic>
    </graphicFrame>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0</col>
      <colOff>0</colOff>
      <row>48</row>
      <rowOff>0</rowOff>
    </from>
    <to>
      <col>2</col>
      <colOff>2157412</colOff>
      <row>72</row>
      <rowOff>101600</rowOff>
    </to>
    <graphicFrame>
      <nvGraphicFramePr>
        <cNvPr id="1" name="Chart 1"/>
        <cNvGraphicFramePr/>
      </nvGraphicFramePr>
      <xfrm/>
      <a:graphic>
        <a:graphicData uri="http://schemas.openxmlformats.org/drawingml/2006/chart">
          <c:chart r:id="rId1"/>
        </a:graphicData>
      </a:graphic>
    </graphicFrame>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2.xml.rels><Relationships xmlns="http://schemas.openxmlformats.org/package/2006/relationships"><Relationship Type="http://schemas.openxmlformats.org/officeDocument/2006/relationships/drawing" Target="/xl/drawings/drawing1.xml" Id="rId1" /></Relationships>
</file>

<file path=xl/worksheets/_rels/sheet26.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P85"/>
  <sheetViews>
    <sheetView showGridLines="0" workbookViewId="0">
      <selection activeCell="A1" sqref="A1"/>
    </sheetView>
  </sheetViews>
  <sheetFormatPr baseColWidth="8" defaultRowHeight="15"/>
  <cols>
    <col width="14" customWidth="1" min="1" max="1"/>
    <col width="42" customWidth="1" min="2" max="2"/>
    <col width="32" customWidth="1" min="3" max="3"/>
    <col width="22" customWidth="1" min="4" max="4"/>
    <col width="8" customWidth="1" min="5" max="5"/>
    <col width="12" customWidth="1" min="6" max="6"/>
    <col width="14" customWidth="1" min="7" max="7"/>
    <col width="14" customWidth="1" min="8" max="8"/>
    <col width="44" customWidth="1" min="9" max="9"/>
    <col width="20" customWidth="1" min="10" max="10"/>
    <col width="16" customWidth="1" min="11" max="11"/>
    <col width="28" customWidth="1" min="12" max="12"/>
    <col width="18" customWidth="1" min="13" max="13"/>
    <col width="22" customWidth="1" min="14" max="14"/>
    <col width="38" customWidth="1" min="15" max="15"/>
    <col width="10" customWidth="1" min="16" max="16"/>
  </cols>
  <sheetData>
    <row r="1" ht="28" customHeight="1">
      <c r="A1" s="739" t="inlineStr">
        <is>
          <t>🇸🇦  KSA GRC REGULATOR MASTER CATALOGUE  ·  Local (60+) + International (15) = 75+ Active Regulators in KSA</t>
        </is>
      </c>
    </row>
    <row r="2" ht="18" customHeight="1">
      <c r="A2" s="740" t="inlineStr">
        <is>
          <t xml:space="preserve">  LOCAL REGULATORS  ·  Tier 1 (Primary) + Tier 2 (Sector) + Tier 3 (Specialised)</t>
        </is>
      </c>
    </row>
    <row r="3" ht="30" customHeight="1">
      <c r="A3" s="741" t="inlineStr">
        <is>
          <t>Code</t>
        </is>
      </c>
      <c r="B3" s="741" t="inlineStr">
        <is>
          <t>Name (EN)</t>
        </is>
      </c>
      <c r="C3" s="741" t="inlineStr">
        <is>
          <t>Name (AR)</t>
        </is>
      </c>
      <c r="D3" s="741" t="inlineStr">
        <is>
          <t>Sector Group</t>
        </is>
      </c>
      <c r="E3" s="741" t="inlineStr">
        <is>
          <t>Tier</t>
        </is>
      </c>
      <c r="F3" s="741" t="inlineStr">
        <is>
          <t>Own Frameworks</t>
        </is>
      </c>
      <c r="G3" s="741" t="inlineStr">
        <is>
          <t>Power Index (0-100)</t>
        </is>
      </c>
      <c r="H3" s="741" t="inlineStr">
        <is>
          <t>Enforcement</t>
        </is>
      </c>
      <c r="I3" s="741" t="inlineStr">
        <is>
          <t>Key Frameworks</t>
        </is>
      </c>
      <c r="J3" s="741" t="inlineStr">
        <is>
          <t>Mandatory for</t>
        </is>
      </c>
      <c r="K3" s="741" t="inlineStr">
        <is>
          <t>Saudisation?</t>
        </is>
      </c>
      <c r="L3" s="741" t="inlineStr">
        <is>
          <t>Website</t>
        </is>
      </c>
      <c r="M3" s="741" t="inlineStr">
        <is>
          <t>Sectors Covered</t>
        </is>
      </c>
      <c r="N3" s="741" t="inlineStr">
        <is>
          <t>Annual Compliance Cost (Est.)</t>
        </is>
      </c>
      <c r="O3" s="741" t="inlineStr">
        <is>
          <t>Notes</t>
        </is>
      </c>
      <c r="P3" s="741" t="inlineStr"/>
    </row>
    <row r="4">
      <c r="A4" s="742" t="inlineStr">
        <is>
          <t>NCA</t>
        </is>
      </c>
      <c r="B4" s="742" t="inlineStr">
        <is>
          <t>National Cybersecurity Authority</t>
        </is>
      </c>
      <c r="C4" s="742" t="inlineStr">
        <is>
          <t>الهيئة الوطنية للأمن السيبراني</t>
        </is>
      </c>
      <c r="D4" s="742" t="inlineStr">
        <is>
          <t>Cybersecurity</t>
        </is>
      </c>
      <c r="E4" s="742" t="inlineStr">
        <is>
          <t>🔴 T1</t>
        </is>
      </c>
      <c r="F4" s="742" t="n">
        <v>7</v>
      </c>
      <c r="G4" s="742" t="n">
        <v>98</v>
      </c>
      <c r="H4" s="742" t="inlineStr">
        <is>
          <t>MANDATORY</t>
        </is>
      </c>
      <c r="I4" s="742" t="inlineStr">
        <is>
          <t>-</t>
        </is>
      </c>
      <c r="J4" s="742" t="inlineStr">
        <is>
          <t>Sector-dependent</t>
        </is>
      </c>
      <c r="K4" s="742" t="inlineStr">
        <is>
          <t>Yes (where applicable)</t>
        </is>
      </c>
      <c r="L4" s="742" t="inlineStr">
        <is>
          <t>https://nca.gov.sa</t>
        </is>
      </c>
      <c r="M4" s="742" t="inlineStr">
        <is>
          <t>-</t>
        </is>
      </c>
      <c r="N4" s="742" t="inlineStr">
        <is>
          <t>-</t>
        </is>
      </c>
      <c r="O4" s="742" t="inlineStr">
        <is>
          <t>Issues ECC, OTCC, CCC, DCC, CSCC</t>
        </is>
      </c>
      <c r="P4" s="742" t="inlineStr"/>
    </row>
    <row r="5">
      <c r="A5" s="742" t="inlineStr">
        <is>
          <t>SDAIA</t>
        </is>
      </c>
      <c r="B5" s="742" t="inlineStr">
        <is>
          <t>Saudi Data &amp; AI Authority</t>
        </is>
      </c>
      <c r="C5" s="742" t="inlineStr">
        <is>
          <t>هيئة البيانات والذكاء الاصطناعي</t>
        </is>
      </c>
      <c r="D5" s="742" t="inlineStr">
        <is>
          <t>Data/AI</t>
        </is>
      </c>
      <c r="E5" s="742" t="inlineStr">
        <is>
          <t>🔴 T1</t>
        </is>
      </c>
      <c r="F5" s="742" t="n">
        <v>5</v>
      </c>
      <c r="G5" s="742" t="n">
        <v>95</v>
      </c>
      <c r="H5" s="742" t="inlineStr">
        <is>
          <t>MANDATORY</t>
        </is>
      </c>
      <c r="I5" s="742" t="inlineStr">
        <is>
          <t>-</t>
        </is>
      </c>
      <c r="J5" s="742" t="inlineStr">
        <is>
          <t>Sector-dependent</t>
        </is>
      </c>
      <c r="K5" s="742" t="inlineStr">
        <is>
          <t>Yes (where applicable)</t>
        </is>
      </c>
      <c r="L5" s="742" t="inlineStr">
        <is>
          <t>https://sdaia.gov.sa</t>
        </is>
      </c>
      <c r="M5" s="742" t="inlineStr">
        <is>
          <t>-</t>
        </is>
      </c>
      <c r="N5" s="742" t="inlineStr">
        <is>
          <t>-</t>
        </is>
      </c>
      <c r="O5" s="742" t="inlineStr">
        <is>
          <t>PDPL regulator, AI strategy</t>
        </is>
      </c>
      <c r="P5" s="742" t="inlineStr"/>
    </row>
    <row r="6">
      <c r="A6" s="742" t="inlineStr">
        <is>
          <t>SAMA</t>
        </is>
      </c>
      <c r="B6" s="742" t="inlineStr">
        <is>
          <t>Saudi Arabian Monetary Authority</t>
        </is>
      </c>
      <c r="C6" s="742" t="inlineStr">
        <is>
          <t>البنك المركزي السعودي</t>
        </is>
      </c>
      <c r="D6" s="742" t="inlineStr">
        <is>
          <t>Financial</t>
        </is>
      </c>
      <c r="E6" s="742" t="inlineStr">
        <is>
          <t>🔴 T1</t>
        </is>
      </c>
      <c r="F6" s="742" t="n">
        <v>8</v>
      </c>
      <c r="G6" s="742" t="n">
        <v>98</v>
      </c>
      <c r="H6" s="742" t="inlineStr">
        <is>
          <t>MANDATORY</t>
        </is>
      </c>
      <c r="I6" s="742" t="inlineStr">
        <is>
          <t>-</t>
        </is>
      </c>
      <c r="J6" s="742" t="inlineStr">
        <is>
          <t>Sector-dependent</t>
        </is>
      </c>
      <c r="K6" s="742" t="inlineStr">
        <is>
          <t>Yes (where applicable)</t>
        </is>
      </c>
      <c r="L6" s="742" t="inlineStr">
        <is>
          <t>https://sama.gov.sa</t>
        </is>
      </c>
      <c r="M6" s="742" t="inlineStr">
        <is>
          <t>-</t>
        </is>
      </c>
      <c r="N6" s="742" t="inlineStr">
        <is>
          <t>-</t>
        </is>
      </c>
      <c r="O6" s="742" t="inlineStr">
        <is>
          <t>Banks, insurance, payments, fintechs</t>
        </is>
      </c>
      <c r="P6" s="742" t="inlineStr"/>
    </row>
    <row r="7">
      <c r="A7" s="742" t="inlineStr">
        <is>
          <t>CMA</t>
        </is>
      </c>
      <c r="B7" s="742" t="inlineStr">
        <is>
          <t>Capital Market Authority</t>
        </is>
      </c>
      <c r="C7" s="742" t="inlineStr">
        <is>
          <t>هيئة السوق المالية</t>
        </is>
      </c>
      <c r="D7" s="742" t="inlineStr">
        <is>
          <t>Capital Markets</t>
        </is>
      </c>
      <c r="E7" s="742" t="inlineStr">
        <is>
          <t>🔴 T1</t>
        </is>
      </c>
      <c r="F7" s="742" t="n">
        <v>5</v>
      </c>
      <c r="G7" s="742" t="n">
        <v>90</v>
      </c>
      <c r="H7" s="742" t="inlineStr">
        <is>
          <t>MANDATORY</t>
        </is>
      </c>
      <c r="I7" s="742" t="inlineStr">
        <is>
          <t>-</t>
        </is>
      </c>
      <c r="J7" s="742" t="inlineStr">
        <is>
          <t>Sector-dependent</t>
        </is>
      </c>
      <c r="K7" s="742" t="inlineStr">
        <is>
          <t>Yes (where applicable)</t>
        </is>
      </c>
      <c r="L7" s="742" t="inlineStr">
        <is>
          <t>https://cma.org.sa</t>
        </is>
      </c>
      <c r="M7" s="742" t="inlineStr">
        <is>
          <t>-</t>
        </is>
      </c>
      <c r="N7" s="742" t="inlineStr">
        <is>
          <t>-</t>
        </is>
      </c>
      <c r="O7" s="742" t="inlineStr">
        <is>
          <t>Tadawul, listed cos, investment funds</t>
        </is>
      </c>
      <c r="P7" s="742" t="inlineStr"/>
    </row>
    <row r="8">
      <c r="A8" s="742" t="inlineStr">
        <is>
          <t>CITC</t>
        </is>
      </c>
      <c r="B8" s="742" t="inlineStr">
        <is>
          <t>Communications &amp; IT Commission</t>
        </is>
      </c>
      <c r="C8" s="742" t="inlineStr">
        <is>
          <t>هيئة الاتصالات وتقنية المعلومات</t>
        </is>
      </c>
      <c r="D8" s="742" t="inlineStr">
        <is>
          <t>ICT/Telecom</t>
        </is>
      </c>
      <c r="E8" s="742" t="inlineStr">
        <is>
          <t>🔴 T1</t>
        </is>
      </c>
      <c r="F8" s="742" t="n">
        <v>4</v>
      </c>
      <c r="G8" s="742" t="n">
        <v>88</v>
      </c>
      <c r="H8" s="742" t="inlineStr">
        <is>
          <t>MANDATORY</t>
        </is>
      </c>
      <c r="I8" s="742" t="inlineStr">
        <is>
          <t>-</t>
        </is>
      </c>
      <c r="J8" s="742" t="inlineStr">
        <is>
          <t>Sector-dependent</t>
        </is>
      </c>
      <c r="K8" s="742" t="inlineStr">
        <is>
          <t>Yes (where applicable)</t>
        </is>
      </c>
      <c r="L8" s="742" t="inlineStr">
        <is>
          <t>https://citc.gov.sa</t>
        </is>
      </c>
      <c r="M8" s="742" t="inlineStr">
        <is>
          <t>-</t>
        </is>
      </c>
      <c r="N8" s="742" t="inlineStr">
        <is>
          <t>-</t>
        </is>
      </c>
      <c r="O8" s="742" t="inlineStr">
        <is>
          <t>Telecom licensing, digital services</t>
        </is>
      </c>
      <c r="P8" s="742" t="inlineStr"/>
    </row>
    <row r="9">
      <c r="A9" s="742" t="inlineStr">
        <is>
          <t>SFDA</t>
        </is>
      </c>
      <c r="B9" s="742" t="inlineStr">
        <is>
          <t>Saudi Food &amp; Drug Authority</t>
        </is>
      </c>
      <c r="C9" s="742" t="inlineStr">
        <is>
          <t>الهيئة العامة للغذاء والدواء</t>
        </is>
      </c>
      <c r="D9" s="742" t="inlineStr">
        <is>
          <t>Healthcare/Pharma</t>
        </is>
      </c>
      <c r="E9" s="742" t="inlineStr">
        <is>
          <t>🔴 T1</t>
        </is>
      </c>
      <c r="F9" s="742" t="n">
        <v>6</v>
      </c>
      <c r="G9" s="742" t="n">
        <v>87</v>
      </c>
      <c r="H9" s="742" t="inlineStr">
        <is>
          <t>MANDATORY</t>
        </is>
      </c>
      <c r="I9" s="742" t="inlineStr">
        <is>
          <t>-</t>
        </is>
      </c>
      <c r="J9" s="742" t="inlineStr">
        <is>
          <t>Sector-dependent</t>
        </is>
      </c>
      <c r="K9" s="742" t="inlineStr">
        <is>
          <t>Yes (where applicable)</t>
        </is>
      </c>
      <c r="L9" s="742" t="inlineStr">
        <is>
          <t>https://sfda.gov.sa</t>
        </is>
      </c>
      <c r="M9" s="742" t="inlineStr">
        <is>
          <t>-</t>
        </is>
      </c>
      <c r="N9" s="742" t="inlineStr">
        <is>
          <t>-</t>
        </is>
      </c>
      <c r="O9" s="742" t="inlineStr">
        <is>
          <t>Medical devices, pharma, food safety</t>
        </is>
      </c>
      <c r="P9" s="742" t="inlineStr"/>
    </row>
    <row r="10">
      <c r="A10" s="742" t="inlineStr">
        <is>
          <t>MOH</t>
        </is>
      </c>
      <c r="B10" s="742" t="inlineStr">
        <is>
          <t>Ministry of Health</t>
        </is>
      </c>
      <c r="C10" s="742" t="inlineStr">
        <is>
          <t>وزارة الصحة</t>
        </is>
      </c>
      <c r="D10" s="742" t="inlineStr">
        <is>
          <t>Healthcare</t>
        </is>
      </c>
      <c r="E10" s="742" t="inlineStr">
        <is>
          <t>🔴 T1</t>
        </is>
      </c>
      <c r="F10" s="742" t="n">
        <v>5</v>
      </c>
      <c r="G10" s="742" t="n">
        <v>85</v>
      </c>
      <c r="H10" s="742" t="inlineStr">
        <is>
          <t>MANDATORY</t>
        </is>
      </c>
      <c r="I10" s="742" t="inlineStr">
        <is>
          <t>-</t>
        </is>
      </c>
      <c r="J10" s="742" t="inlineStr">
        <is>
          <t>Sector-dependent</t>
        </is>
      </c>
      <c r="K10" s="742" t="inlineStr">
        <is>
          <t>Yes (where applicable)</t>
        </is>
      </c>
      <c r="L10" s="742" t="inlineStr">
        <is>
          <t>https://moh.gov.sa</t>
        </is>
      </c>
      <c r="M10" s="742" t="inlineStr">
        <is>
          <t>-</t>
        </is>
      </c>
      <c r="N10" s="742" t="inlineStr">
        <is>
          <t>-</t>
        </is>
      </c>
      <c r="O10" s="742" t="inlineStr">
        <is>
          <t>Hospital standards, HIS, patient data</t>
        </is>
      </c>
      <c r="P10" s="742" t="inlineStr"/>
    </row>
    <row r="11">
      <c r="A11" s="742" t="inlineStr">
        <is>
          <t>ZATCA</t>
        </is>
      </c>
      <c r="B11" s="742" t="inlineStr">
        <is>
          <t>Zakat, Tax &amp; Customs Authority</t>
        </is>
      </c>
      <c r="C11" s="742" t="inlineStr">
        <is>
          <t>هيئة الزكاة والضريبة والجمارك</t>
        </is>
      </c>
      <c r="D11" s="742" t="inlineStr">
        <is>
          <t>Tax/Customs</t>
        </is>
      </c>
      <c r="E11" s="742" t="inlineStr">
        <is>
          <t>🔴 T1</t>
        </is>
      </c>
      <c r="F11" s="742" t="n">
        <v>4</v>
      </c>
      <c r="G11" s="742" t="n">
        <v>90</v>
      </c>
      <c r="H11" s="742" t="inlineStr">
        <is>
          <t>MANDATORY</t>
        </is>
      </c>
      <c r="I11" s="742" t="inlineStr">
        <is>
          <t>-</t>
        </is>
      </c>
      <c r="J11" s="742" t="inlineStr">
        <is>
          <t>Sector-dependent</t>
        </is>
      </c>
      <c r="K11" s="742" t="inlineStr">
        <is>
          <t>Yes (where applicable)</t>
        </is>
      </c>
      <c r="L11" s="742" t="inlineStr">
        <is>
          <t>https://zatca.gov.sa</t>
        </is>
      </c>
      <c r="M11" s="742" t="inlineStr">
        <is>
          <t>-</t>
        </is>
      </c>
      <c r="N11" s="742" t="inlineStr">
        <is>
          <t>-</t>
        </is>
      </c>
      <c r="O11" s="742" t="inlineStr">
        <is>
          <t>VAT, e-invoicing (Fatoorah), customs</t>
        </is>
      </c>
      <c r="P11" s="742" t="inlineStr"/>
    </row>
    <row r="12">
      <c r="A12" s="742" t="inlineStr">
        <is>
          <t>MHRSD</t>
        </is>
      </c>
      <c r="B12" s="742" t="inlineStr">
        <is>
          <t>Ministry of HR &amp; Social Development</t>
        </is>
      </c>
      <c r="C12" s="742" t="inlineStr">
        <is>
          <t>وزارة الموارد البشرية والتنمية الاجتماعية</t>
        </is>
      </c>
      <c r="D12" s="742" t="inlineStr">
        <is>
          <t>Labour</t>
        </is>
      </c>
      <c r="E12" s="742" t="inlineStr">
        <is>
          <t>🔴 T1</t>
        </is>
      </c>
      <c r="F12" s="742" t="n">
        <v>3</v>
      </c>
      <c r="G12" s="742" t="n">
        <v>80</v>
      </c>
      <c r="H12" s="742" t="inlineStr">
        <is>
          <t>MANDATORY</t>
        </is>
      </c>
      <c r="I12" s="742" t="inlineStr">
        <is>
          <t>-</t>
        </is>
      </c>
      <c r="J12" s="742" t="inlineStr">
        <is>
          <t>Sector-dependent</t>
        </is>
      </c>
      <c r="K12" s="742" t="inlineStr">
        <is>
          <t>Yes (where applicable)</t>
        </is>
      </c>
      <c r="L12" s="742" t="inlineStr">
        <is>
          <t>https://mhrsd.gov.sa</t>
        </is>
      </c>
      <c r="M12" s="742" t="inlineStr">
        <is>
          <t>-</t>
        </is>
      </c>
      <c r="N12" s="742" t="inlineStr">
        <is>
          <t>-</t>
        </is>
      </c>
      <c r="O12" s="742" t="inlineStr">
        <is>
          <t>Nitaqat, Saudisation, labour contracts</t>
        </is>
      </c>
      <c r="P12" s="742" t="inlineStr"/>
    </row>
    <row r="13">
      <c r="A13" s="742" t="inlineStr">
        <is>
          <t>MOI</t>
        </is>
      </c>
      <c r="B13" s="742" t="inlineStr">
        <is>
          <t>Ministry of Interior</t>
        </is>
      </c>
      <c r="C13" s="742" t="inlineStr">
        <is>
          <t>وزارة الداخلية</t>
        </is>
      </c>
      <c r="D13" s="742" t="inlineStr">
        <is>
          <t>Security/CNI</t>
        </is>
      </c>
      <c r="E13" s="742" t="inlineStr">
        <is>
          <t>🔴 T1</t>
        </is>
      </c>
      <c r="F13" s="742" t="n">
        <v>2</v>
      </c>
      <c r="G13" s="742" t="n">
        <v>95</v>
      </c>
      <c r="H13" s="742" t="inlineStr">
        <is>
          <t>MANDATORY</t>
        </is>
      </c>
      <c r="I13" s="742" t="inlineStr">
        <is>
          <t>-</t>
        </is>
      </c>
      <c r="J13" s="742" t="inlineStr">
        <is>
          <t>Sector-dependent</t>
        </is>
      </c>
      <c r="K13" s="742" t="inlineStr">
        <is>
          <t>Yes (where applicable)</t>
        </is>
      </c>
      <c r="L13" s="742" t="inlineStr">
        <is>
          <t>https://moi.gov.sa</t>
        </is>
      </c>
      <c r="M13" s="742" t="inlineStr">
        <is>
          <t>-</t>
        </is>
      </c>
      <c r="N13" s="742" t="inlineStr">
        <is>
          <t>-</t>
        </is>
      </c>
      <c r="O13" s="742" t="inlineStr">
        <is>
          <t>CNI protection, national security</t>
        </is>
      </c>
      <c r="P13" s="742" t="inlineStr"/>
    </row>
    <row r="14">
      <c r="A14" s="743" t="inlineStr">
        <is>
          <t>CCHI</t>
        </is>
      </c>
      <c r="B14" s="743" t="inlineStr">
        <is>
          <t>Council of Cooperative Health Insurance</t>
        </is>
      </c>
      <c r="C14" s="743" t="inlineStr">
        <is>
          <t>مجلس الضمان الصحي التعاوني</t>
        </is>
      </c>
      <c r="D14" s="743" t="inlineStr">
        <is>
          <t>Healthcare Insurance</t>
        </is>
      </c>
      <c r="E14" s="743" t="inlineStr">
        <is>
          <t>🟠 T2</t>
        </is>
      </c>
      <c r="F14" s="743" t="n">
        <v>3</v>
      </c>
      <c r="G14" s="743" t="n">
        <v>82</v>
      </c>
      <c r="H14" s="743" t="inlineStr">
        <is>
          <t>MANDATORY</t>
        </is>
      </c>
      <c r="I14" s="743" t="inlineStr">
        <is>
          <t>-</t>
        </is>
      </c>
      <c r="J14" s="743" t="inlineStr">
        <is>
          <t>Sector-dependent</t>
        </is>
      </c>
      <c r="K14" s="743" t="inlineStr">
        <is>
          <t>Yes (where applicable)</t>
        </is>
      </c>
      <c r="L14" s="743" t="inlineStr">
        <is>
          <t>https://cchi.gov.sa</t>
        </is>
      </c>
      <c r="M14" s="743" t="inlineStr">
        <is>
          <t>-</t>
        </is>
      </c>
      <c r="N14" s="743" t="inlineStr">
        <is>
          <t>-</t>
        </is>
      </c>
      <c r="O14" s="743" t="inlineStr">
        <is>
          <t>Health insurance mandates</t>
        </is>
      </c>
      <c r="P14" s="743" t="inlineStr"/>
    </row>
    <row r="15">
      <c r="A15" s="743" t="inlineStr">
        <is>
          <t>CBAHI</t>
        </is>
      </c>
      <c r="B15" s="743" t="inlineStr">
        <is>
          <t>Central Board for Accreditation of HCI</t>
        </is>
      </c>
      <c r="C15" s="743" t="inlineStr">
        <is>
          <t>المركز السعودي لاعتماد المنشآت الصحية</t>
        </is>
      </c>
      <c r="D15" s="743" t="inlineStr">
        <is>
          <t>Healthcare Accred.</t>
        </is>
      </c>
      <c r="E15" s="743" t="inlineStr">
        <is>
          <t>🟠 T2</t>
        </is>
      </c>
      <c r="F15" s="743" t="n">
        <v>3</v>
      </c>
      <c r="G15" s="743" t="n">
        <v>78</v>
      </c>
      <c r="H15" s="743" t="inlineStr">
        <is>
          <t>MANDATORY</t>
        </is>
      </c>
      <c r="I15" s="743" t="inlineStr">
        <is>
          <t>-</t>
        </is>
      </c>
      <c r="J15" s="743" t="inlineStr">
        <is>
          <t>Sector-dependent</t>
        </is>
      </c>
      <c r="K15" s="743" t="inlineStr">
        <is>
          <t>Yes (where applicable)</t>
        </is>
      </c>
      <c r="L15" s="743" t="inlineStr">
        <is>
          <t>https://cbahi.gov.sa</t>
        </is>
      </c>
      <c r="M15" s="743" t="inlineStr">
        <is>
          <t>-</t>
        </is>
      </c>
      <c r="N15" s="743" t="inlineStr">
        <is>
          <t>-</t>
        </is>
      </c>
      <c r="O15" s="743" t="inlineStr">
        <is>
          <t>Hospital accreditation standards</t>
        </is>
      </c>
      <c r="P15" s="743" t="inlineStr"/>
    </row>
    <row r="16">
      <c r="A16" s="743" t="inlineStr">
        <is>
          <t>GAHAR</t>
        </is>
      </c>
      <c r="B16" s="743" t="inlineStr">
        <is>
          <t>General Authority for Healthcare Accreditation &amp; Research</t>
        </is>
      </c>
      <c r="C16" s="743" t="inlineStr">
        <is>
          <t>الهيئة العامة للاعتماد وتقييم المنشآت الصحية</t>
        </is>
      </c>
      <c r="D16" s="743" t="inlineStr">
        <is>
          <t>Healthcare</t>
        </is>
      </c>
      <c r="E16" s="743" t="inlineStr">
        <is>
          <t>🟠 T2</t>
        </is>
      </c>
      <c r="F16" s="743" t="n">
        <v>2</v>
      </c>
      <c r="G16" s="743" t="n">
        <v>75</v>
      </c>
      <c r="H16" s="743" t="inlineStr">
        <is>
          <t>MANDATORY</t>
        </is>
      </c>
      <c r="I16" s="743" t="inlineStr">
        <is>
          <t>-</t>
        </is>
      </c>
      <c r="J16" s="743" t="inlineStr">
        <is>
          <t>Sector-dependent</t>
        </is>
      </c>
      <c r="K16" s="743" t="inlineStr">
        <is>
          <t>Yes (where applicable)</t>
        </is>
      </c>
      <c r="L16" s="743" t="inlineStr">
        <is>
          <t>https://gahar.gov.sa</t>
        </is>
      </c>
      <c r="M16" s="743" t="inlineStr">
        <is>
          <t>-</t>
        </is>
      </c>
      <c r="N16" s="743" t="inlineStr">
        <is>
          <t>-</t>
        </is>
      </c>
      <c r="O16" s="743" t="inlineStr">
        <is>
          <t>Quality &amp; patient safety</t>
        </is>
      </c>
      <c r="P16" s="743" t="inlineStr"/>
    </row>
    <row r="17">
      <c r="A17" s="743" t="inlineStr">
        <is>
          <t>SCA</t>
        </is>
      </c>
      <c r="B17" s="743" t="inlineStr">
        <is>
          <t>Saudi Contractors Authority</t>
        </is>
      </c>
      <c r="C17" s="743" t="inlineStr">
        <is>
          <t>هيئة المقاولين</t>
        </is>
      </c>
      <c r="D17" s="743" t="inlineStr">
        <is>
          <t>Construction</t>
        </is>
      </c>
      <c r="E17" s="743" t="inlineStr">
        <is>
          <t>🟠 T2</t>
        </is>
      </c>
      <c r="F17" s="743" t="n">
        <v>2</v>
      </c>
      <c r="G17" s="743" t="n">
        <v>55</v>
      </c>
      <c r="H17" s="743" t="inlineStr">
        <is>
          <t>MANDATORY</t>
        </is>
      </c>
      <c r="I17" s="743" t="inlineStr">
        <is>
          <t>-</t>
        </is>
      </c>
      <c r="J17" s="743" t="inlineStr">
        <is>
          <t>Sector-dependent</t>
        </is>
      </c>
      <c r="K17" s="743" t="inlineStr">
        <is>
          <t>Yes (where applicable)</t>
        </is>
      </c>
      <c r="L17" s="743" t="inlineStr"/>
      <c r="M17" s="743" t="inlineStr">
        <is>
          <t>-</t>
        </is>
      </c>
      <c r="N17" s="743" t="inlineStr">
        <is>
          <t>-</t>
        </is>
      </c>
      <c r="O17" s="743" t="inlineStr"/>
      <c r="P17" s="743" t="inlineStr"/>
    </row>
    <row r="18">
      <c r="A18" s="743" t="inlineStr">
        <is>
          <t>NCSC</t>
        </is>
      </c>
      <c r="B18" s="743" t="inlineStr">
        <is>
          <t>National Cybersecurity Committee (Ops)</t>
        </is>
      </c>
      <c r="C18" s="743" t="inlineStr">
        <is>
          <t>اللجنة الوطنية للأمن السيبراني</t>
        </is>
      </c>
      <c r="D18" s="743" t="inlineStr">
        <is>
          <t>Cybersecurity Ops</t>
        </is>
      </c>
      <c r="E18" s="743" t="inlineStr">
        <is>
          <t>🟠 T2</t>
        </is>
      </c>
      <c r="F18" s="743" t="n">
        <v>1</v>
      </c>
      <c r="G18" s="743" t="n">
        <v>70</v>
      </c>
      <c r="H18" s="743" t="inlineStr">
        <is>
          <t>MANDATORY</t>
        </is>
      </c>
      <c r="I18" s="743" t="inlineStr">
        <is>
          <t>-</t>
        </is>
      </c>
      <c r="J18" s="743" t="inlineStr">
        <is>
          <t>Sector-dependent</t>
        </is>
      </c>
      <c r="K18" s="743" t="inlineStr">
        <is>
          <t>Yes (where applicable)</t>
        </is>
      </c>
      <c r="L18" s="743" t="inlineStr"/>
      <c r="M18" s="743" t="inlineStr">
        <is>
          <t>-</t>
        </is>
      </c>
      <c r="N18" s="743" t="inlineStr">
        <is>
          <t>-</t>
        </is>
      </c>
      <c r="O18" s="743" t="inlineStr">
        <is>
          <t>Coordinates with NCA</t>
        </is>
      </c>
      <c r="P18" s="743" t="inlineStr"/>
    </row>
    <row r="19">
      <c r="A19" s="743" t="inlineStr">
        <is>
          <t>NDMO</t>
        </is>
      </c>
      <c r="B19" s="743" t="inlineStr">
        <is>
          <t>National Data Management Office</t>
        </is>
      </c>
      <c r="C19" s="743" t="inlineStr">
        <is>
          <t>مكتب إدارة البيانات الوطني</t>
        </is>
      </c>
      <c r="D19" s="743" t="inlineStr">
        <is>
          <t>Data Gov.</t>
        </is>
      </c>
      <c r="E19" s="743" t="inlineStr">
        <is>
          <t>🟠 T2</t>
        </is>
      </c>
      <c r="F19" s="743" t="n">
        <v>2</v>
      </c>
      <c r="G19" s="743" t="n">
        <v>72</v>
      </c>
      <c r="H19" s="743" t="inlineStr">
        <is>
          <t>MANDATORY</t>
        </is>
      </c>
      <c r="I19" s="743" t="inlineStr">
        <is>
          <t>-</t>
        </is>
      </c>
      <c r="J19" s="743" t="inlineStr">
        <is>
          <t>Sector-dependent</t>
        </is>
      </c>
      <c r="K19" s="743" t="inlineStr">
        <is>
          <t>Yes (where applicable)</t>
        </is>
      </c>
      <c r="L19" s="743" t="inlineStr">
        <is>
          <t>https://ndmo.gov.sa</t>
        </is>
      </c>
      <c r="M19" s="743" t="inlineStr">
        <is>
          <t>-</t>
        </is>
      </c>
      <c r="N19" s="743" t="inlineStr">
        <is>
          <t>-</t>
        </is>
      </c>
      <c r="O19" s="743" t="inlineStr">
        <is>
          <t>Data governance policy (under SDAIA)</t>
        </is>
      </c>
      <c r="P19" s="743" t="inlineStr"/>
    </row>
    <row r="20">
      <c r="A20" s="743" t="inlineStr">
        <is>
          <t>MISA</t>
        </is>
      </c>
      <c r="B20" s="743" t="inlineStr">
        <is>
          <t>Ministry of Investment</t>
        </is>
      </c>
      <c r="C20" s="743" t="inlineStr">
        <is>
          <t>وزارة الاستثمار</t>
        </is>
      </c>
      <c r="D20" s="743" t="inlineStr">
        <is>
          <t>Investment</t>
        </is>
      </c>
      <c r="E20" s="743" t="inlineStr">
        <is>
          <t>🟠 T2</t>
        </is>
      </c>
      <c r="F20" s="743" t="n">
        <v>1</v>
      </c>
      <c r="G20" s="743" t="n">
        <v>65</v>
      </c>
      <c r="H20" s="743" t="inlineStr">
        <is>
          <t>MANDATORY</t>
        </is>
      </c>
      <c r="I20" s="743" t="inlineStr">
        <is>
          <t>-</t>
        </is>
      </c>
      <c r="J20" s="743" t="inlineStr">
        <is>
          <t>Sector-dependent</t>
        </is>
      </c>
      <c r="K20" s="743" t="inlineStr">
        <is>
          <t>Yes (where applicable)</t>
        </is>
      </c>
      <c r="L20" s="743" t="inlineStr">
        <is>
          <t>https://misa.gov.sa</t>
        </is>
      </c>
      <c r="M20" s="743" t="inlineStr">
        <is>
          <t>-</t>
        </is>
      </c>
      <c r="N20" s="743" t="inlineStr">
        <is>
          <t>-</t>
        </is>
      </c>
      <c r="O20" s="743" t="inlineStr">
        <is>
          <t>Foreign investment, economic zones</t>
        </is>
      </c>
      <c r="P20" s="743" t="inlineStr"/>
    </row>
    <row r="21">
      <c r="A21" s="743" t="inlineStr">
        <is>
          <t>DGA</t>
        </is>
      </c>
      <c r="B21" s="743" t="inlineStr">
        <is>
          <t>Digital Government Authority</t>
        </is>
      </c>
      <c r="C21" s="743" t="inlineStr">
        <is>
          <t>هيئة الحكومة الرقمية</t>
        </is>
      </c>
      <c r="D21" s="743" t="inlineStr">
        <is>
          <t>Digital Gov.</t>
        </is>
      </c>
      <c r="E21" s="743" t="inlineStr">
        <is>
          <t>🟠 T2</t>
        </is>
      </c>
      <c r="F21" s="743" t="n">
        <v>3</v>
      </c>
      <c r="G21" s="743" t="n">
        <v>78</v>
      </c>
      <c r="H21" s="743" t="inlineStr">
        <is>
          <t>MANDATORY</t>
        </is>
      </c>
      <c r="I21" s="743" t="inlineStr">
        <is>
          <t>-</t>
        </is>
      </c>
      <c r="J21" s="743" t="inlineStr">
        <is>
          <t>Sector-dependent</t>
        </is>
      </c>
      <c r="K21" s="743" t="inlineStr">
        <is>
          <t>Yes (where applicable)</t>
        </is>
      </c>
      <c r="L21" s="743" t="inlineStr">
        <is>
          <t>https://dga.gov.sa</t>
        </is>
      </c>
      <c r="M21" s="743" t="inlineStr">
        <is>
          <t>-</t>
        </is>
      </c>
      <c r="N21" s="743" t="inlineStr">
        <is>
          <t>-</t>
        </is>
      </c>
      <c r="O21" s="743" t="inlineStr">
        <is>
          <t>Gov cloud, digital transformation</t>
        </is>
      </c>
      <c r="P21" s="743" t="inlineStr"/>
    </row>
    <row r="22">
      <c r="A22" s="743" t="inlineStr">
        <is>
          <t>MCIT</t>
        </is>
      </c>
      <c r="B22" s="743" t="inlineStr">
        <is>
          <t>Ministry of Communications &amp; IT</t>
        </is>
      </c>
      <c r="C22" s="743" t="inlineStr">
        <is>
          <t>وزارة الاتصالات وتقنية المعلومات</t>
        </is>
      </c>
      <c r="D22" s="743" t="inlineStr">
        <is>
          <t>ICT</t>
        </is>
      </c>
      <c r="E22" s="743" t="inlineStr">
        <is>
          <t>🟠 T2</t>
        </is>
      </c>
      <c r="F22" s="743" t="n">
        <v>3</v>
      </c>
      <c r="G22" s="743" t="n">
        <v>75</v>
      </c>
      <c r="H22" s="743" t="inlineStr">
        <is>
          <t>MANDATORY</t>
        </is>
      </c>
      <c r="I22" s="743" t="inlineStr">
        <is>
          <t>-</t>
        </is>
      </c>
      <c r="J22" s="743" t="inlineStr">
        <is>
          <t>Sector-dependent</t>
        </is>
      </c>
      <c r="K22" s="743" t="inlineStr">
        <is>
          <t>Yes (where applicable)</t>
        </is>
      </c>
      <c r="L22" s="743" t="inlineStr">
        <is>
          <t>https://mcit.gov.sa</t>
        </is>
      </c>
      <c r="M22" s="743" t="inlineStr">
        <is>
          <t>-</t>
        </is>
      </c>
      <c r="N22" s="743" t="inlineStr">
        <is>
          <t>-</t>
        </is>
      </c>
      <c r="O22" s="743" t="inlineStr">
        <is>
          <t>Digital economy strategy</t>
        </is>
      </c>
      <c r="P22" s="743" t="inlineStr"/>
    </row>
    <row r="23">
      <c r="A23" s="743" t="inlineStr">
        <is>
          <t>MOE_ED</t>
        </is>
      </c>
      <c r="B23" s="743" t="inlineStr">
        <is>
          <t>Ministry of Education</t>
        </is>
      </c>
      <c r="C23" s="743" t="inlineStr">
        <is>
          <t>وزارة التعليم</t>
        </is>
      </c>
      <c r="D23" s="743" t="inlineStr">
        <is>
          <t>Education</t>
        </is>
      </c>
      <c r="E23" s="743" t="inlineStr">
        <is>
          <t>🟠 T2</t>
        </is>
      </c>
      <c r="F23" s="743" t="n">
        <v>2</v>
      </c>
      <c r="G23" s="743" t="n">
        <v>60</v>
      </c>
      <c r="H23" s="743" t="inlineStr">
        <is>
          <t>MANDATORY</t>
        </is>
      </c>
      <c r="I23" s="743" t="inlineStr">
        <is>
          <t>-</t>
        </is>
      </c>
      <c r="J23" s="743" t="inlineStr">
        <is>
          <t>Sector-dependent</t>
        </is>
      </c>
      <c r="K23" s="743" t="inlineStr">
        <is>
          <t>Yes (where applicable)</t>
        </is>
      </c>
      <c r="L23" s="743" t="inlineStr">
        <is>
          <t>https://moe.gov.sa</t>
        </is>
      </c>
      <c r="M23" s="743" t="inlineStr">
        <is>
          <t>-</t>
        </is>
      </c>
      <c r="N23" s="743" t="inlineStr">
        <is>
          <t>-</t>
        </is>
      </c>
      <c r="O23" s="743" t="inlineStr">
        <is>
          <t>EdTech, student data protection</t>
        </is>
      </c>
      <c r="P23" s="743" t="inlineStr"/>
    </row>
    <row r="24">
      <c r="A24" s="743" t="inlineStr">
        <is>
          <t>MOJ</t>
        </is>
      </c>
      <c r="B24" s="743" t="inlineStr">
        <is>
          <t>Ministry of Justice</t>
        </is>
      </c>
      <c r="C24" s="743" t="inlineStr">
        <is>
          <t>وزارة العدل</t>
        </is>
      </c>
      <c r="D24" s="743" t="inlineStr">
        <is>
          <t>Legal</t>
        </is>
      </c>
      <c r="E24" s="743" t="inlineStr">
        <is>
          <t>🟠 T2</t>
        </is>
      </c>
      <c r="F24" s="743" t="n">
        <v>2</v>
      </c>
      <c r="G24" s="743" t="n">
        <v>70</v>
      </c>
      <c r="H24" s="743" t="inlineStr">
        <is>
          <t>MANDATORY</t>
        </is>
      </c>
      <c r="I24" s="743" t="inlineStr">
        <is>
          <t>-</t>
        </is>
      </c>
      <c r="J24" s="743" t="inlineStr">
        <is>
          <t>Sector-dependent</t>
        </is>
      </c>
      <c r="K24" s="743" t="inlineStr">
        <is>
          <t>Yes (where applicable)</t>
        </is>
      </c>
      <c r="L24" s="743" t="inlineStr">
        <is>
          <t>https://moj.gov.sa</t>
        </is>
      </c>
      <c r="M24" s="743" t="inlineStr">
        <is>
          <t>-</t>
        </is>
      </c>
      <c r="N24" s="743" t="inlineStr">
        <is>
          <t>-</t>
        </is>
      </c>
      <c r="O24" s="743" t="inlineStr">
        <is>
          <t>Electronic transactions, Notary</t>
        </is>
      </c>
      <c r="P24" s="743" t="inlineStr"/>
    </row>
    <row r="25">
      <c r="A25" s="743" t="inlineStr">
        <is>
          <t>MOF</t>
        </is>
      </c>
      <c r="B25" s="743" t="inlineStr">
        <is>
          <t>Ministry of Finance</t>
        </is>
      </c>
      <c r="C25" s="743" t="inlineStr">
        <is>
          <t>وزارة المالية</t>
        </is>
      </c>
      <c r="D25" s="743" t="inlineStr">
        <is>
          <t>Public Finance</t>
        </is>
      </c>
      <c r="E25" s="743" t="inlineStr">
        <is>
          <t>🟠 T2</t>
        </is>
      </c>
      <c r="F25" s="743" t="n">
        <v>2</v>
      </c>
      <c r="G25" s="743" t="n">
        <v>75</v>
      </c>
      <c r="H25" s="743" t="inlineStr">
        <is>
          <t>MANDATORY</t>
        </is>
      </c>
      <c r="I25" s="743" t="inlineStr">
        <is>
          <t>-</t>
        </is>
      </c>
      <c r="J25" s="743" t="inlineStr">
        <is>
          <t>Sector-dependent</t>
        </is>
      </c>
      <c r="K25" s="743" t="inlineStr">
        <is>
          <t>Yes (where applicable)</t>
        </is>
      </c>
      <c r="L25" s="743" t="inlineStr">
        <is>
          <t>https://mof.gov.sa</t>
        </is>
      </c>
      <c r="M25" s="743" t="inlineStr">
        <is>
          <t>-</t>
        </is>
      </c>
      <c r="N25" s="743" t="inlineStr">
        <is>
          <t>-</t>
        </is>
      </c>
      <c r="O25" s="743" t="inlineStr">
        <is>
          <t>Gov procurement, IPSAS</t>
        </is>
      </c>
      <c r="P25" s="743" t="inlineStr"/>
    </row>
    <row r="26">
      <c r="A26" s="743" t="inlineStr">
        <is>
          <t>ECRA</t>
        </is>
      </c>
      <c r="B26" s="743" t="inlineStr">
        <is>
          <t>Electricity &amp; Cogeneration Regulatory Authority</t>
        </is>
      </c>
      <c r="C26" s="743" t="inlineStr">
        <is>
          <t>هيئة تنظيم الكهرباء</t>
        </is>
      </c>
      <c r="D26" s="743" t="inlineStr">
        <is>
          <t>Energy</t>
        </is>
      </c>
      <c r="E26" s="743" t="inlineStr">
        <is>
          <t>🟠 T2</t>
        </is>
      </c>
      <c r="F26" s="743" t="n">
        <v>3</v>
      </c>
      <c r="G26" s="743" t="n">
        <v>72</v>
      </c>
      <c r="H26" s="743" t="inlineStr">
        <is>
          <t>MANDATORY</t>
        </is>
      </c>
      <c r="I26" s="743" t="inlineStr">
        <is>
          <t>-</t>
        </is>
      </c>
      <c r="J26" s="743" t="inlineStr">
        <is>
          <t>Sector-dependent</t>
        </is>
      </c>
      <c r="K26" s="743" t="inlineStr">
        <is>
          <t>Yes (where applicable)</t>
        </is>
      </c>
      <c r="L26" s="743" t="inlineStr">
        <is>
          <t>https://ecra.gov.sa</t>
        </is>
      </c>
      <c r="M26" s="743" t="inlineStr">
        <is>
          <t>-</t>
        </is>
      </c>
      <c r="N26" s="743" t="inlineStr">
        <is>
          <t>-</t>
        </is>
      </c>
      <c r="O26" s="743" t="inlineStr">
        <is>
          <t>Power grid, renewable energy</t>
        </is>
      </c>
      <c r="P26" s="743" t="inlineStr"/>
    </row>
    <row r="27">
      <c r="A27" s="743" t="inlineStr">
        <is>
          <t>NCPD</t>
        </is>
      </c>
      <c r="B27" s="743" t="inlineStr">
        <is>
          <t>National Center for Privatization &amp; PPP</t>
        </is>
      </c>
      <c r="C27" s="743" t="inlineStr">
        <is>
          <t>المركز الوطني للتخصيص والشراكة</t>
        </is>
      </c>
      <c r="D27" s="743" t="inlineStr">
        <is>
          <t>PPP/Privatisation</t>
        </is>
      </c>
      <c r="E27" s="743" t="inlineStr">
        <is>
          <t>🟠 T2</t>
        </is>
      </c>
      <c r="F27" s="743" t="n">
        <v>1</v>
      </c>
      <c r="G27" s="743" t="n">
        <v>58</v>
      </c>
      <c r="H27" s="743" t="inlineStr">
        <is>
          <t>MANDATORY</t>
        </is>
      </c>
      <c r="I27" s="743" t="inlineStr">
        <is>
          <t>-</t>
        </is>
      </c>
      <c r="J27" s="743" t="inlineStr">
        <is>
          <t>Sector-dependent</t>
        </is>
      </c>
      <c r="K27" s="743" t="inlineStr">
        <is>
          <t>Yes (where applicable)</t>
        </is>
      </c>
      <c r="L27" s="743" t="inlineStr"/>
      <c r="M27" s="743" t="inlineStr">
        <is>
          <t>-</t>
        </is>
      </c>
      <c r="N27" s="743" t="inlineStr">
        <is>
          <t>-</t>
        </is>
      </c>
      <c r="O27" s="743" t="inlineStr"/>
      <c r="P27" s="743" t="inlineStr"/>
    </row>
    <row r="28">
      <c r="A28" s="743" t="inlineStr">
        <is>
          <t>GAC</t>
        </is>
      </c>
      <c r="B28" s="743" t="inlineStr">
        <is>
          <t>General Authority of Customs</t>
        </is>
      </c>
      <c r="C28" s="743" t="inlineStr">
        <is>
          <t>الهيئة العامة للجمارك</t>
        </is>
      </c>
      <c r="D28" s="743" t="inlineStr">
        <is>
          <t>Customs</t>
        </is>
      </c>
      <c r="E28" s="743" t="inlineStr">
        <is>
          <t>🟠 T2</t>
        </is>
      </c>
      <c r="F28" s="743" t="n">
        <v>2</v>
      </c>
      <c r="G28" s="743" t="n">
        <v>70</v>
      </c>
      <c r="H28" s="743" t="inlineStr">
        <is>
          <t>MANDATORY</t>
        </is>
      </c>
      <c r="I28" s="743" t="inlineStr">
        <is>
          <t>-</t>
        </is>
      </c>
      <c r="J28" s="743" t="inlineStr">
        <is>
          <t>Sector-dependent</t>
        </is>
      </c>
      <c r="K28" s="743" t="inlineStr">
        <is>
          <t>Yes (where applicable)</t>
        </is>
      </c>
      <c r="L28" s="743" t="inlineStr">
        <is>
          <t>https://gca.gov.sa</t>
        </is>
      </c>
      <c r="M28" s="743" t="inlineStr">
        <is>
          <t>-</t>
        </is>
      </c>
      <c r="N28" s="743" t="inlineStr">
        <is>
          <t>-</t>
        </is>
      </c>
      <c r="O28" s="743" t="inlineStr">
        <is>
          <t>Trade compliance, AEO</t>
        </is>
      </c>
      <c r="P28" s="743" t="inlineStr"/>
    </row>
    <row r="29">
      <c r="A29" s="743" t="inlineStr">
        <is>
          <t>GOSI</t>
        </is>
      </c>
      <c r="B29" s="743" t="inlineStr">
        <is>
          <t>General Organisation for Social Insurance</t>
        </is>
      </c>
      <c r="C29" s="743" t="inlineStr">
        <is>
          <t>المؤسسة العامة للتأمينات الاجتماعية</t>
        </is>
      </c>
      <c r="D29" s="743" t="inlineStr">
        <is>
          <t>Social Insurance</t>
        </is>
      </c>
      <c r="E29" s="743" t="inlineStr">
        <is>
          <t>🟠 T2</t>
        </is>
      </c>
      <c r="F29" s="743" t="n">
        <v>2</v>
      </c>
      <c r="G29" s="743" t="n">
        <v>68</v>
      </c>
      <c r="H29" s="743" t="inlineStr">
        <is>
          <t>MANDATORY</t>
        </is>
      </c>
      <c r="I29" s="743" t="inlineStr">
        <is>
          <t>-</t>
        </is>
      </c>
      <c r="J29" s="743" t="inlineStr">
        <is>
          <t>Sector-dependent</t>
        </is>
      </c>
      <c r="K29" s="743" t="inlineStr">
        <is>
          <t>Yes (where applicable)</t>
        </is>
      </c>
      <c r="L29" s="743" t="inlineStr">
        <is>
          <t>https://gosi.gov.sa</t>
        </is>
      </c>
      <c r="M29" s="743" t="inlineStr">
        <is>
          <t>-</t>
        </is>
      </c>
      <c r="N29" s="743" t="inlineStr">
        <is>
          <t>-</t>
        </is>
      </c>
      <c r="O29" s="743" t="inlineStr">
        <is>
          <t>Pension, work injury</t>
        </is>
      </c>
      <c r="P29" s="743" t="inlineStr"/>
    </row>
    <row r="30">
      <c r="A30" s="743" t="inlineStr">
        <is>
          <t>ETEC</t>
        </is>
      </c>
      <c r="B30" s="743" t="inlineStr">
        <is>
          <t>Education Evaluation &amp; Training Accreditation Commission</t>
        </is>
      </c>
      <c r="C30" s="743" t="inlineStr">
        <is>
          <t>المركز الوطني للتقويم والاعتماد الأكاديمي</t>
        </is>
      </c>
      <c r="D30" s="743" t="inlineStr">
        <is>
          <t>Education Accred.</t>
        </is>
      </c>
      <c r="E30" s="743" t="inlineStr">
        <is>
          <t>🟠 T2</t>
        </is>
      </c>
      <c r="F30" s="743" t="n">
        <v>2</v>
      </c>
      <c r="G30" s="743" t="n">
        <v>55</v>
      </c>
      <c r="H30" s="743" t="inlineStr">
        <is>
          <t>MANDATORY</t>
        </is>
      </c>
      <c r="I30" s="743" t="inlineStr">
        <is>
          <t>-</t>
        </is>
      </c>
      <c r="J30" s="743" t="inlineStr">
        <is>
          <t>Sector-dependent</t>
        </is>
      </c>
      <c r="K30" s="743" t="inlineStr">
        <is>
          <t>Yes (where applicable)</t>
        </is>
      </c>
      <c r="L30" s="743" t="inlineStr"/>
      <c r="M30" s="743" t="inlineStr">
        <is>
          <t>-</t>
        </is>
      </c>
      <c r="N30" s="743" t="inlineStr">
        <is>
          <t>-</t>
        </is>
      </c>
      <c r="O30" s="743" t="inlineStr"/>
      <c r="P30" s="743" t="inlineStr"/>
    </row>
    <row r="31">
      <c r="A31" s="743" t="inlineStr">
        <is>
          <t>SCFHS</t>
        </is>
      </c>
      <c r="B31" s="743" t="inlineStr">
        <is>
          <t>Saudi Commission for Health Specialties</t>
        </is>
      </c>
      <c r="C31" s="743" t="inlineStr">
        <is>
          <t>الهيئة السعودية للتخصصات الصحية</t>
        </is>
      </c>
      <c r="D31" s="743" t="inlineStr">
        <is>
          <t>Health Workforce</t>
        </is>
      </c>
      <c r="E31" s="743" t="inlineStr">
        <is>
          <t>🟠 T2</t>
        </is>
      </c>
      <c r="F31" s="743" t="n">
        <v>2</v>
      </c>
      <c r="G31" s="743" t="n">
        <v>62</v>
      </c>
      <c r="H31" s="743" t="inlineStr">
        <is>
          <t>MANDATORY</t>
        </is>
      </c>
      <c r="I31" s="743" t="inlineStr">
        <is>
          <t>-</t>
        </is>
      </c>
      <c r="J31" s="743" t="inlineStr">
        <is>
          <t>Sector-dependent</t>
        </is>
      </c>
      <c r="K31" s="743" t="inlineStr">
        <is>
          <t>Yes (where applicable)</t>
        </is>
      </c>
      <c r="L31" s="743" t="inlineStr">
        <is>
          <t>https://scfhs.org.sa</t>
        </is>
      </c>
      <c r="M31" s="743" t="inlineStr">
        <is>
          <t>-</t>
        </is>
      </c>
      <c r="N31" s="743" t="inlineStr">
        <is>
          <t>-</t>
        </is>
      </c>
      <c r="O31" s="743" t="inlineStr">
        <is>
          <t>Health professional licensing</t>
        </is>
      </c>
      <c r="P31" s="743" t="inlineStr"/>
    </row>
    <row r="32">
      <c r="A32" s="743" t="inlineStr">
        <is>
          <t>SCTH</t>
        </is>
      </c>
      <c r="B32" s="743" t="inlineStr">
        <is>
          <t>Saudi Commission for Tourism &amp; National Heritage</t>
        </is>
      </c>
      <c r="C32" s="743" t="inlineStr">
        <is>
          <t>الهيئة السعودية للسياحة</t>
        </is>
      </c>
      <c r="D32" s="743" t="inlineStr">
        <is>
          <t>Tourism</t>
        </is>
      </c>
      <c r="E32" s="743" t="inlineStr">
        <is>
          <t>🟠 T2</t>
        </is>
      </c>
      <c r="F32" s="743" t="n">
        <v>1</v>
      </c>
      <c r="G32" s="743" t="n">
        <v>45</v>
      </c>
      <c r="H32" s="743" t="inlineStr">
        <is>
          <t>MANDATORY</t>
        </is>
      </c>
      <c r="I32" s="743" t="inlineStr">
        <is>
          <t>-</t>
        </is>
      </c>
      <c r="J32" s="743" t="inlineStr">
        <is>
          <t>Sector-dependent</t>
        </is>
      </c>
      <c r="K32" s="743" t="inlineStr">
        <is>
          <t>Yes (where applicable)</t>
        </is>
      </c>
      <c r="L32" s="743" t="inlineStr"/>
      <c r="M32" s="743" t="inlineStr">
        <is>
          <t>-</t>
        </is>
      </c>
      <c r="N32" s="743" t="inlineStr">
        <is>
          <t>-</t>
        </is>
      </c>
      <c r="O32" s="743" t="inlineStr"/>
      <c r="P32" s="743" t="inlineStr"/>
    </row>
    <row r="33">
      <c r="A33" s="743" t="inlineStr">
        <is>
          <t>GACA</t>
        </is>
      </c>
      <c r="B33" s="743" t="inlineStr">
        <is>
          <t>General Authority of Civil Aviation</t>
        </is>
      </c>
      <c r="C33" s="743" t="inlineStr">
        <is>
          <t>الهيئة العامة للطيران المدني</t>
        </is>
      </c>
      <c r="D33" s="743" t="inlineStr">
        <is>
          <t>Aviation</t>
        </is>
      </c>
      <c r="E33" s="743" t="inlineStr">
        <is>
          <t>🟠 T2</t>
        </is>
      </c>
      <c r="F33" s="743" t="n">
        <v>3</v>
      </c>
      <c r="G33" s="743" t="n">
        <v>78</v>
      </c>
      <c r="H33" s="743" t="inlineStr">
        <is>
          <t>MANDATORY</t>
        </is>
      </c>
      <c r="I33" s="743" t="inlineStr">
        <is>
          <t>-</t>
        </is>
      </c>
      <c r="J33" s="743" t="inlineStr">
        <is>
          <t>Sector-dependent</t>
        </is>
      </c>
      <c r="K33" s="743" t="inlineStr">
        <is>
          <t>Yes (where applicable)</t>
        </is>
      </c>
      <c r="L33" s="743" t="inlineStr">
        <is>
          <t>https://gaca.gov.sa</t>
        </is>
      </c>
      <c r="M33" s="743" t="inlineStr">
        <is>
          <t>-</t>
        </is>
      </c>
      <c r="N33" s="743" t="inlineStr">
        <is>
          <t>-</t>
        </is>
      </c>
      <c r="O33" s="743" t="inlineStr">
        <is>
          <t>ICAO compliance, aviation safety</t>
        </is>
      </c>
      <c r="P33" s="743" t="inlineStr"/>
    </row>
    <row r="34">
      <c r="A34" s="743" t="inlineStr">
        <is>
          <t>MAWANI</t>
        </is>
      </c>
      <c r="B34" s="743" t="inlineStr">
        <is>
          <t>Saudi Ports Authority</t>
        </is>
      </c>
      <c r="C34" s="743" t="inlineStr">
        <is>
          <t>الهيئة العامة للموانئ</t>
        </is>
      </c>
      <c r="D34" s="743" t="inlineStr">
        <is>
          <t>Maritime/Ports</t>
        </is>
      </c>
      <c r="E34" s="743" t="inlineStr">
        <is>
          <t>🟠 T2</t>
        </is>
      </c>
      <c r="F34" s="743" t="n">
        <v>2</v>
      </c>
      <c r="G34" s="743" t="n">
        <v>62</v>
      </c>
      <c r="H34" s="743" t="inlineStr">
        <is>
          <t>MANDATORY</t>
        </is>
      </c>
      <c r="I34" s="743" t="inlineStr">
        <is>
          <t>-</t>
        </is>
      </c>
      <c r="J34" s="743" t="inlineStr">
        <is>
          <t>Sector-dependent</t>
        </is>
      </c>
      <c r="K34" s="743" t="inlineStr">
        <is>
          <t>Yes (where applicable)</t>
        </is>
      </c>
      <c r="L34" s="743" t="inlineStr">
        <is>
          <t>https://mawani.gov.sa</t>
        </is>
      </c>
      <c r="M34" s="743" t="inlineStr">
        <is>
          <t>-</t>
        </is>
      </c>
      <c r="N34" s="743" t="inlineStr">
        <is>
          <t>-</t>
        </is>
      </c>
      <c r="O34" s="743" t="inlineStr">
        <is>
          <t>Port operations, trade</t>
        </is>
      </c>
      <c r="P34" s="743" t="inlineStr"/>
    </row>
    <row r="35">
      <c r="A35" s="743" t="inlineStr">
        <is>
          <t>MOT</t>
        </is>
      </c>
      <c r="B35" s="743" t="inlineStr">
        <is>
          <t>Ministry of Transport</t>
        </is>
      </c>
      <c r="C35" s="743" t="inlineStr">
        <is>
          <t>وزارة النقل</t>
        </is>
      </c>
      <c r="D35" s="743" t="inlineStr">
        <is>
          <t>Transport</t>
        </is>
      </c>
      <c r="E35" s="743" t="inlineStr">
        <is>
          <t>🟠 T2</t>
        </is>
      </c>
      <c r="F35" s="743" t="n">
        <v>2</v>
      </c>
      <c r="G35" s="743" t="n">
        <v>65</v>
      </c>
      <c r="H35" s="743" t="inlineStr">
        <is>
          <t>MANDATORY</t>
        </is>
      </c>
      <c r="I35" s="743" t="inlineStr">
        <is>
          <t>-</t>
        </is>
      </c>
      <c r="J35" s="743" t="inlineStr">
        <is>
          <t>Sector-dependent</t>
        </is>
      </c>
      <c r="K35" s="743" t="inlineStr">
        <is>
          <t>Yes (where applicable)</t>
        </is>
      </c>
      <c r="L35" s="743" t="inlineStr">
        <is>
          <t>https://mot.gov.sa</t>
        </is>
      </c>
      <c r="M35" s="743" t="inlineStr">
        <is>
          <t>-</t>
        </is>
      </c>
      <c r="N35" s="743" t="inlineStr">
        <is>
          <t>-</t>
        </is>
      </c>
      <c r="O35" s="743" t="inlineStr">
        <is>
          <t>Road, rail, logistics</t>
        </is>
      </c>
      <c r="P35" s="743" t="inlineStr"/>
    </row>
    <row r="36">
      <c r="A36" s="743" t="inlineStr">
        <is>
          <t>WERA</t>
        </is>
      </c>
      <c r="B36" s="743" t="inlineStr">
        <is>
          <t>Water &amp; Electricity Regulatory Authority</t>
        </is>
      </c>
      <c r="C36" s="743" t="inlineStr">
        <is>
          <t>الهيئة التنظيمية للمياه والكهرباء</t>
        </is>
      </c>
      <c r="D36" s="743" t="inlineStr">
        <is>
          <t>Water/Energy</t>
        </is>
      </c>
      <c r="E36" s="743" t="inlineStr">
        <is>
          <t>🟠 T2</t>
        </is>
      </c>
      <c r="F36" s="743" t="n">
        <v>2</v>
      </c>
      <c r="G36" s="743" t="n">
        <v>65</v>
      </c>
      <c r="H36" s="743" t="inlineStr">
        <is>
          <t>MANDATORY</t>
        </is>
      </c>
      <c r="I36" s="743" t="inlineStr">
        <is>
          <t>-</t>
        </is>
      </c>
      <c r="J36" s="743" t="inlineStr">
        <is>
          <t>Sector-dependent</t>
        </is>
      </c>
      <c r="K36" s="743" t="inlineStr">
        <is>
          <t>Yes (where applicable)</t>
        </is>
      </c>
      <c r="L36" s="743" t="inlineStr">
        <is>
          <t>https://wera.gov.sa</t>
        </is>
      </c>
      <c r="M36" s="743" t="inlineStr">
        <is>
          <t>-</t>
        </is>
      </c>
      <c r="N36" s="743" t="inlineStr">
        <is>
          <t>-</t>
        </is>
      </c>
      <c r="O36" s="743" t="inlineStr">
        <is>
          <t>Utility regulation</t>
        </is>
      </c>
      <c r="P36" s="743" t="inlineStr"/>
    </row>
    <row r="37">
      <c r="A37" s="743" t="inlineStr">
        <is>
          <t>NHC</t>
        </is>
      </c>
      <c r="B37" s="743" t="inlineStr">
        <is>
          <t>National Housing Company</t>
        </is>
      </c>
      <c r="C37" s="743" t="inlineStr">
        <is>
          <t>الشركة الوطنية للإسكان</t>
        </is>
      </c>
      <c r="D37" s="743" t="inlineStr">
        <is>
          <t>Real Estate</t>
        </is>
      </c>
      <c r="E37" s="743" t="inlineStr">
        <is>
          <t>🟠 T2</t>
        </is>
      </c>
      <c r="F37" s="743" t="n">
        <v>1</v>
      </c>
      <c r="G37" s="743" t="n">
        <v>50</v>
      </c>
      <c r="H37" s="743" t="inlineStr">
        <is>
          <t>MANDATORY</t>
        </is>
      </c>
      <c r="I37" s="743" t="inlineStr">
        <is>
          <t>-</t>
        </is>
      </c>
      <c r="J37" s="743" t="inlineStr">
        <is>
          <t>Sector-dependent</t>
        </is>
      </c>
      <c r="K37" s="743" t="inlineStr">
        <is>
          <t>Yes (where applicable)</t>
        </is>
      </c>
      <c r="L37" s="743" t="inlineStr"/>
      <c r="M37" s="743" t="inlineStr">
        <is>
          <t>-</t>
        </is>
      </c>
      <c r="N37" s="743" t="inlineStr">
        <is>
          <t>-</t>
        </is>
      </c>
      <c r="O37" s="743" t="inlineStr"/>
      <c r="P37" s="743" t="inlineStr"/>
    </row>
    <row r="38">
      <c r="A38" s="743" t="inlineStr">
        <is>
          <t>MOMRAH</t>
        </is>
      </c>
      <c r="B38" s="743" t="inlineStr">
        <is>
          <t>Ministry of Municipal &amp; Rural Affairs &amp; Housing</t>
        </is>
      </c>
      <c r="C38" s="743" t="inlineStr">
        <is>
          <t>وزارة الشؤون البلدية والقروية والإسكان</t>
        </is>
      </c>
      <c r="D38" s="743" t="inlineStr">
        <is>
          <t>Municipal</t>
        </is>
      </c>
      <c r="E38" s="743" t="inlineStr">
        <is>
          <t>🟠 T2</t>
        </is>
      </c>
      <c r="F38" s="743" t="n">
        <v>2</v>
      </c>
      <c r="G38" s="743" t="n">
        <v>55</v>
      </c>
      <c r="H38" s="743" t="inlineStr">
        <is>
          <t>MANDATORY</t>
        </is>
      </c>
      <c r="I38" s="743" t="inlineStr">
        <is>
          <t>-</t>
        </is>
      </c>
      <c r="J38" s="743" t="inlineStr">
        <is>
          <t>Sector-dependent</t>
        </is>
      </c>
      <c r="K38" s="743" t="inlineStr">
        <is>
          <t>Yes (where applicable)</t>
        </is>
      </c>
      <c r="L38" s="743" t="inlineStr"/>
      <c r="M38" s="743" t="inlineStr">
        <is>
          <t>-</t>
        </is>
      </c>
      <c r="N38" s="743" t="inlineStr">
        <is>
          <t>-</t>
        </is>
      </c>
      <c r="O38" s="743" t="inlineStr"/>
      <c r="P38" s="743" t="inlineStr"/>
    </row>
    <row r="39">
      <c r="A39" s="743" t="inlineStr">
        <is>
          <t>GASTAT</t>
        </is>
      </c>
      <c r="B39" s="743" t="inlineStr">
        <is>
          <t>General Authority for Statistics</t>
        </is>
      </c>
      <c r="C39" s="743" t="inlineStr">
        <is>
          <t>الهيئة العامة للإحصاء</t>
        </is>
      </c>
      <c r="D39" s="743" t="inlineStr">
        <is>
          <t>Statistics</t>
        </is>
      </c>
      <c r="E39" s="743" t="inlineStr">
        <is>
          <t>🟠 T2</t>
        </is>
      </c>
      <c r="F39" s="743" t="n">
        <v>1</v>
      </c>
      <c r="G39" s="743" t="n">
        <v>48</v>
      </c>
      <c r="H39" s="743" t="inlineStr">
        <is>
          <t>MANDATORY</t>
        </is>
      </c>
      <c r="I39" s="743" t="inlineStr">
        <is>
          <t>-</t>
        </is>
      </c>
      <c r="J39" s="743" t="inlineStr">
        <is>
          <t>Sector-dependent</t>
        </is>
      </c>
      <c r="K39" s="743" t="inlineStr">
        <is>
          <t>Yes (where applicable)</t>
        </is>
      </c>
      <c r="L39" s="743" t="inlineStr">
        <is>
          <t>https://stats.gov.sa</t>
        </is>
      </c>
      <c r="M39" s="743" t="inlineStr">
        <is>
          <t>-</t>
        </is>
      </c>
      <c r="N39" s="743" t="inlineStr">
        <is>
          <t>-</t>
        </is>
      </c>
      <c r="O39" s="743" t="inlineStr">
        <is>
          <t>Data sharing, national statistics</t>
        </is>
      </c>
      <c r="P39" s="743" t="inlineStr"/>
    </row>
    <row r="40">
      <c r="A40" s="743" t="inlineStr">
        <is>
          <t>NAZAHA</t>
        </is>
      </c>
      <c r="B40" s="743" t="inlineStr">
        <is>
          <t>National Anti-Corruption Commission</t>
        </is>
      </c>
      <c r="C40" s="743" t="inlineStr">
        <is>
          <t>هيئة الرقابة ومكافحة الفساد – نزاهة</t>
        </is>
      </c>
      <c r="D40" s="743" t="inlineStr">
        <is>
          <t>Anti-Corruption</t>
        </is>
      </c>
      <c r="E40" s="743" t="inlineStr">
        <is>
          <t>🟠 T2</t>
        </is>
      </c>
      <c r="F40" s="743" t="n">
        <v>2</v>
      </c>
      <c r="G40" s="743" t="n">
        <v>82</v>
      </c>
      <c r="H40" s="743" t="inlineStr">
        <is>
          <t>MANDATORY</t>
        </is>
      </c>
      <c r="I40" s="743" t="inlineStr">
        <is>
          <t>-</t>
        </is>
      </c>
      <c r="J40" s="743" t="inlineStr">
        <is>
          <t>Sector-dependent</t>
        </is>
      </c>
      <c r="K40" s="743" t="inlineStr">
        <is>
          <t>Yes (where applicable)</t>
        </is>
      </c>
      <c r="L40" s="743" t="inlineStr">
        <is>
          <t>https://nazaha.gov.sa</t>
        </is>
      </c>
      <c r="M40" s="743" t="inlineStr">
        <is>
          <t>-</t>
        </is>
      </c>
      <c r="N40" s="743" t="inlineStr">
        <is>
          <t>-</t>
        </is>
      </c>
      <c r="O40" s="743" t="inlineStr">
        <is>
          <t>Whistleblowing, integrity</t>
        </is>
      </c>
      <c r="P40" s="743" t="inlineStr"/>
    </row>
    <row r="41">
      <c r="A41" s="744" t="inlineStr">
        <is>
          <t>NCWCD</t>
        </is>
      </c>
      <c r="B41" s="744" t="inlineStr">
        <is>
          <t>National Centre for Wildlife Conservation</t>
        </is>
      </c>
      <c r="C41" s="744" t="inlineStr">
        <is>
          <t>المركز الوطني لتنمية الحياة الفطرية</t>
        </is>
      </c>
      <c r="D41" s="744" t="inlineStr">
        <is>
          <t>Environment</t>
        </is>
      </c>
      <c r="E41" s="744" t="inlineStr">
        <is>
          <t>🟡 T3</t>
        </is>
      </c>
      <c r="F41" s="744" t="n">
        <v>1</v>
      </c>
      <c r="G41" s="744" t="n">
        <v>35</v>
      </c>
      <c r="H41" s="744" t="inlineStr">
        <is>
          <t>MANDATORY</t>
        </is>
      </c>
      <c r="I41" s="744" t="inlineStr">
        <is>
          <t>-</t>
        </is>
      </c>
      <c r="J41" s="744" t="inlineStr">
        <is>
          <t>Sector-dependent</t>
        </is>
      </c>
      <c r="K41" s="744" t="inlineStr">
        <is>
          <t>Yes (where applicable)</t>
        </is>
      </c>
      <c r="L41" s="744" t="inlineStr"/>
      <c r="M41" s="744" t="inlineStr">
        <is>
          <t>-</t>
        </is>
      </c>
      <c r="N41" s="744" t="inlineStr">
        <is>
          <t>-</t>
        </is>
      </c>
      <c r="O41" s="744" t="inlineStr"/>
      <c r="P41" s="744" t="inlineStr"/>
    </row>
    <row r="42">
      <c r="A42" s="744" t="inlineStr">
        <is>
          <t>GCAM</t>
        </is>
      </c>
      <c r="B42" s="744" t="inlineStr">
        <is>
          <t>General Commission for Audiovisual Media</t>
        </is>
      </c>
      <c r="C42" s="744" t="inlineStr">
        <is>
          <t>هيئة الأفلام</t>
        </is>
      </c>
      <c r="D42" s="744" t="inlineStr">
        <is>
          <t>Media</t>
        </is>
      </c>
      <c r="E42" s="744" t="inlineStr">
        <is>
          <t>🟡 T3</t>
        </is>
      </c>
      <c r="F42" s="744" t="n">
        <v>1</v>
      </c>
      <c r="G42" s="744" t="n">
        <v>42</v>
      </c>
      <c r="H42" s="744" t="inlineStr">
        <is>
          <t>MANDATORY</t>
        </is>
      </c>
      <c r="I42" s="744" t="inlineStr">
        <is>
          <t>-</t>
        </is>
      </c>
      <c r="J42" s="744" t="inlineStr">
        <is>
          <t>Sector-dependent</t>
        </is>
      </c>
      <c r="K42" s="744" t="inlineStr">
        <is>
          <t>Yes (where applicable)</t>
        </is>
      </c>
      <c r="L42" s="744" t="inlineStr"/>
      <c r="M42" s="744" t="inlineStr">
        <is>
          <t>-</t>
        </is>
      </c>
      <c r="N42" s="744" t="inlineStr">
        <is>
          <t>-</t>
        </is>
      </c>
      <c r="O42" s="744" t="inlineStr">
        <is>
          <t>Content regulations</t>
        </is>
      </c>
      <c r="P42" s="744" t="inlineStr"/>
    </row>
    <row r="43">
      <c r="A43" s="744" t="inlineStr">
        <is>
          <t>SMEA</t>
        </is>
      </c>
      <c r="B43" s="744" t="inlineStr">
        <is>
          <t>Small &amp; Medium Enterprises Authority</t>
        </is>
      </c>
      <c r="C43" s="744" t="inlineStr">
        <is>
          <t>هيئة المنشآت الصغيرة والمتوسطة</t>
        </is>
      </c>
      <c r="D43" s="744" t="inlineStr">
        <is>
          <t>SME</t>
        </is>
      </c>
      <c r="E43" s="744" t="inlineStr">
        <is>
          <t>🟡 T3</t>
        </is>
      </c>
      <c r="F43" s="744" t="n">
        <v>1</v>
      </c>
      <c r="G43" s="744" t="n">
        <v>48</v>
      </c>
      <c r="H43" s="744" t="inlineStr">
        <is>
          <t>MANDATORY</t>
        </is>
      </c>
      <c r="I43" s="744" t="inlineStr">
        <is>
          <t>-</t>
        </is>
      </c>
      <c r="J43" s="744" t="inlineStr">
        <is>
          <t>Sector-dependent</t>
        </is>
      </c>
      <c r="K43" s="744" t="inlineStr">
        <is>
          <t>Yes (where applicable)</t>
        </is>
      </c>
      <c r="L43" s="744" t="inlineStr">
        <is>
          <t>https://monshaat.gov.sa</t>
        </is>
      </c>
      <c r="M43" s="744" t="inlineStr">
        <is>
          <t>-</t>
        </is>
      </c>
      <c r="N43" s="744" t="inlineStr">
        <is>
          <t>-</t>
        </is>
      </c>
      <c r="O43" s="744" t="inlineStr">
        <is>
          <t>SME enabling, simplified compliance</t>
        </is>
      </c>
      <c r="P43" s="744" t="inlineStr"/>
    </row>
    <row r="44">
      <c r="A44" s="743" t="inlineStr">
        <is>
          <t>SASO</t>
        </is>
      </c>
      <c r="B44" s="743" t="inlineStr">
        <is>
          <t>Saudi Standards, Metrology &amp; Quality Org.</t>
        </is>
      </c>
      <c r="C44" s="743" t="inlineStr">
        <is>
          <t>المؤسسة العربية السعودية للمواصفات والمقاييس</t>
        </is>
      </c>
      <c r="D44" s="743" t="inlineStr">
        <is>
          <t>Standards</t>
        </is>
      </c>
      <c r="E44" s="743" t="inlineStr">
        <is>
          <t>🟠 T2</t>
        </is>
      </c>
      <c r="F44" s="743" t="n">
        <v>4</v>
      </c>
      <c r="G44" s="743" t="n">
        <v>68</v>
      </c>
      <c r="H44" s="743" t="inlineStr">
        <is>
          <t>MANDATORY</t>
        </is>
      </c>
      <c r="I44" s="743" t="inlineStr">
        <is>
          <t>-</t>
        </is>
      </c>
      <c r="J44" s="743" t="inlineStr">
        <is>
          <t>Sector-dependent</t>
        </is>
      </c>
      <c r="K44" s="743" t="inlineStr">
        <is>
          <t>Yes (where applicable)</t>
        </is>
      </c>
      <c r="L44" s="743" t="inlineStr">
        <is>
          <t>https://saso.gov.sa</t>
        </is>
      </c>
      <c r="M44" s="743" t="inlineStr">
        <is>
          <t>-</t>
        </is>
      </c>
      <c r="N44" s="743" t="inlineStr">
        <is>
          <t>-</t>
        </is>
      </c>
      <c r="O44" s="743" t="inlineStr">
        <is>
          <t>Product standards, halal, conformity</t>
        </is>
      </c>
      <c r="P44" s="743" t="inlineStr"/>
    </row>
    <row r="45">
      <c r="A45" s="743" t="inlineStr">
        <is>
          <t>PIF</t>
        </is>
      </c>
      <c r="B45" s="743" t="inlineStr">
        <is>
          <t>Public Investment Fund</t>
        </is>
      </c>
      <c r="C45" s="743" t="inlineStr">
        <is>
          <t>صندوق الاستثمارات العامة</t>
        </is>
      </c>
      <c r="D45" s="743" t="inlineStr">
        <is>
          <t>Sovereign Investment</t>
        </is>
      </c>
      <c r="E45" s="743" t="inlineStr">
        <is>
          <t>🟠 T2</t>
        </is>
      </c>
      <c r="F45" s="743" t="n">
        <v>1</v>
      </c>
      <c r="G45" s="743" t="n">
        <v>75</v>
      </c>
      <c r="H45" s="743" t="inlineStr">
        <is>
          <t>MANDATORY</t>
        </is>
      </c>
      <c r="I45" s="743" t="inlineStr">
        <is>
          <t>-</t>
        </is>
      </c>
      <c r="J45" s="743" t="inlineStr">
        <is>
          <t>Sector-dependent</t>
        </is>
      </c>
      <c r="K45" s="743" t="inlineStr">
        <is>
          <t>Yes (where applicable)</t>
        </is>
      </c>
      <c r="L45" s="743" t="inlineStr">
        <is>
          <t>https://pif.gov.sa</t>
        </is>
      </c>
      <c r="M45" s="743" t="inlineStr">
        <is>
          <t>-</t>
        </is>
      </c>
      <c r="N45" s="743" t="inlineStr">
        <is>
          <t>-</t>
        </is>
      </c>
      <c r="O45" s="743" t="inlineStr">
        <is>
          <t>Giga-project compliance</t>
        </is>
      </c>
      <c r="P45" s="743" t="inlineStr"/>
    </row>
    <row r="46">
      <c r="A46" s="744" t="inlineStr">
        <is>
          <t>SIDF</t>
        </is>
      </c>
      <c r="B46" s="744" t="inlineStr">
        <is>
          <t>Saudi Industrial Development Fund</t>
        </is>
      </c>
      <c r="C46" s="744" t="inlineStr">
        <is>
          <t>صندوق التنمية الصناعية السعودية</t>
        </is>
      </c>
      <c r="D46" s="744" t="inlineStr">
        <is>
          <t>Industry Finance</t>
        </is>
      </c>
      <c r="E46" s="744" t="inlineStr">
        <is>
          <t>🟡 T3</t>
        </is>
      </c>
      <c r="F46" s="744" t="n">
        <v>1</v>
      </c>
      <c r="G46" s="744" t="n">
        <v>52</v>
      </c>
      <c r="H46" s="744" t="inlineStr">
        <is>
          <t>MANDATORY</t>
        </is>
      </c>
      <c r="I46" s="744" t="inlineStr">
        <is>
          <t>-</t>
        </is>
      </c>
      <c r="J46" s="744" t="inlineStr">
        <is>
          <t>Sector-dependent</t>
        </is>
      </c>
      <c r="K46" s="744" t="inlineStr">
        <is>
          <t>Yes (where applicable)</t>
        </is>
      </c>
      <c r="L46" s="744" t="inlineStr"/>
      <c r="M46" s="744" t="inlineStr">
        <is>
          <t>-</t>
        </is>
      </c>
      <c r="N46" s="744" t="inlineStr">
        <is>
          <t>-</t>
        </is>
      </c>
      <c r="O46" s="744" t="inlineStr"/>
      <c r="P46" s="744" t="inlineStr"/>
    </row>
    <row r="47">
      <c r="A47" s="744" t="inlineStr">
        <is>
          <t>SIMAH</t>
        </is>
      </c>
      <c r="B47" s="744" t="inlineStr">
        <is>
          <t>Saudi Credit Bureau</t>
        </is>
      </c>
      <c r="C47" s="744" t="inlineStr">
        <is>
          <t>الشركة السعودية للمعلومات الائتمانية</t>
        </is>
      </c>
      <c r="D47" s="744" t="inlineStr">
        <is>
          <t>Credit</t>
        </is>
      </c>
      <c r="E47" s="744" t="inlineStr">
        <is>
          <t>🟡 T3</t>
        </is>
      </c>
      <c r="F47" s="744" t="n">
        <v>1</v>
      </c>
      <c r="G47" s="744" t="n">
        <v>55</v>
      </c>
      <c r="H47" s="744" t="inlineStr">
        <is>
          <t>MANDATORY</t>
        </is>
      </c>
      <c r="I47" s="744" t="inlineStr">
        <is>
          <t>-</t>
        </is>
      </c>
      <c r="J47" s="744" t="inlineStr">
        <is>
          <t>Sector-dependent</t>
        </is>
      </c>
      <c r="K47" s="744" t="inlineStr">
        <is>
          <t>Yes (where applicable)</t>
        </is>
      </c>
      <c r="L47" s="744" t="inlineStr">
        <is>
          <t>https://simah.com</t>
        </is>
      </c>
      <c r="M47" s="744" t="inlineStr">
        <is>
          <t>-</t>
        </is>
      </c>
      <c r="N47" s="744" t="inlineStr">
        <is>
          <t>-</t>
        </is>
      </c>
      <c r="O47" s="744" t="inlineStr">
        <is>
          <t>Credit reporting, SAMA oversight</t>
        </is>
      </c>
      <c r="P47" s="744" t="inlineStr"/>
    </row>
    <row r="48">
      <c r="A48" s="743" t="inlineStr">
        <is>
          <t>TADAWUL</t>
        </is>
      </c>
      <c r="B48" s="743" t="inlineStr">
        <is>
          <t>Saudi Exchange</t>
        </is>
      </c>
      <c r="C48" s="743" t="inlineStr">
        <is>
          <t>تداول السعودية</t>
        </is>
      </c>
      <c r="D48" s="743" t="inlineStr">
        <is>
          <t>Capital Markets Exchange</t>
        </is>
      </c>
      <c r="E48" s="743" t="inlineStr">
        <is>
          <t>🟠 T2</t>
        </is>
      </c>
      <c r="F48" s="743" t="n">
        <v>3</v>
      </c>
      <c r="G48" s="743" t="n">
        <v>72</v>
      </c>
      <c r="H48" s="743" t="inlineStr">
        <is>
          <t>MANDATORY</t>
        </is>
      </c>
      <c r="I48" s="743" t="inlineStr">
        <is>
          <t>-</t>
        </is>
      </c>
      <c r="J48" s="743" t="inlineStr">
        <is>
          <t>Sector-dependent</t>
        </is>
      </c>
      <c r="K48" s="743" t="inlineStr">
        <is>
          <t>Yes (where applicable)</t>
        </is>
      </c>
      <c r="L48" s="743" t="inlineStr">
        <is>
          <t>https://saudiexchange.sa</t>
        </is>
      </c>
      <c r="M48" s="743" t="inlineStr">
        <is>
          <t>-</t>
        </is>
      </c>
      <c r="N48" s="743" t="inlineStr">
        <is>
          <t>-</t>
        </is>
      </c>
      <c r="O48" s="743" t="inlineStr">
        <is>
          <t>Listing requirements, disclosure</t>
        </is>
      </c>
      <c r="P48" s="743" t="inlineStr"/>
    </row>
    <row r="49">
      <c r="A49" s="744" t="inlineStr">
        <is>
          <t>TVTC</t>
        </is>
      </c>
      <c r="B49" s="744" t="inlineStr">
        <is>
          <t>Technical &amp; Vocational Training Corporation</t>
        </is>
      </c>
      <c r="C49" s="744" t="inlineStr">
        <is>
          <t>المؤسسة العامة للتدريب التقني والمهني</t>
        </is>
      </c>
      <c r="D49" s="744" t="inlineStr">
        <is>
          <t>Vocational Training</t>
        </is>
      </c>
      <c r="E49" s="744" t="inlineStr">
        <is>
          <t>🟡 T3</t>
        </is>
      </c>
      <c r="F49" s="744" t="n">
        <v>1</v>
      </c>
      <c r="G49" s="744" t="n">
        <v>40</v>
      </c>
      <c r="H49" s="744" t="inlineStr">
        <is>
          <t>MANDATORY</t>
        </is>
      </c>
      <c r="I49" s="744" t="inlineStr">
        <is>
          <t>-</t>
        </is>
      </c>
      <c r="J49" s="744" t="inlineStr">
        <is>
          <t>Sector-dependent</t>
        </is>
      </c>
      <c r="K49" s="744" t="inlineStr">
        <is>
          <t>Yes (where applicable)</t>
        </is>
      </c>
      <c r="L49" s="744" t="inlineStr"/>
      <c r="M49" s="744" t="inlineStr">
        <is>
          <t>-</t>
        </is>
      </c>
      <c r="N49" s="744" t="inlineStr">
        <is>
          <t>-</t>
        </is>
      </c>
      <c r="O49" s="744" t="inlineStr"/>
      <c r="P49" s="744" t="inlineStr"/>
    </row>
    <row r="50">
      <c r="A50" s="744" t="inlineStr">
        <is>
          <t>HRDF</t>
        </is>
      </c>
      <c r="B50" s="744" t="inlineStr">
        <is>
          <t>Human Resources Development Fund</t>
        </is>
      </c>
      <c r="C50" s="744" t="inlineStr">
        <is>
          <t>صندوق تنمية الموارد البشرية</t>
        </is>
      </c>
      <c r="D50" s="744" t="inlineStr">
        <is>
          <t>Workforce Dev.</t>
        </is>
      </c>
      <c r="E50" s="744" t="inlineStr">
        <is>
          <t>🟡 T3</t>
        </is>
      </c>
      <c r="F50" s="744" t="n">
        <v>1</v>
      </c>
      <c r="G50" s="744" t="n">
        <v>42</v>
      </c>
      <c r="H50" s="744" t="inlineStr">
        <is>
          <t>MANDATORY</t>
        </is>
      </c>
      <c r="I50" s="744" t="inlineStr">
        <is>
          <t>-</t>
        </is>
      </c>
      <c r="J50" s="744" t="inlineStr">
        <is>
          <t>Sector-dependent</t>
        </is>
      </c>
      <c r="K50" s="744" t="inlineStr">
        <is>
          <t>Yes (where applicable)</t>
        </is>
      </c>
      <c r="L50" s="744" t="inlineStr"/>
      <c r="M50" s="744" t="inlineStr">
        <is>
          <t>-</t>
        </is>
      </c>
      <c r="N50" s="744" t="inlineStr">
        <is>
          <t>-</t>
        </is>
      </c>
      <c r="O50" s="744" t="inlineStr">
        <is>
          <t>Saudisation programs</t>
        </is>
      </c>
      <c r="P50" s="744" t="inlineStr"/>
    </row>
    <row r="51">
      <c r="A51" s="743" t="inlineStr">
        <is>
          <t>KACARE</t>
        </is>
      </c>
      <c r="B51" s="743" t="inlineStr">
        <is>
          <t>King Abdullah City for Atomic &amp; Renewable Energy</t>
        </is>
      </c>
      <c r="C51" s="743" t="inlineStr">
        <is>
          <t>مدينة الملك عبدالله للطاقة الذرية والمتجددة</t>
        </is>
      </c>
      <c r="D51" s="743" t="inlineStr">
        <is>
          <t>Nuclear/Renewable</t>
        </is>
      </c>
      <c r="E51" s="743" t="inlineStr">
        <is>
          <t>🟠 T2</t>
        </is>
      </c>
      <c r="F51" s="743" t="n">
        <v>3</v>
      </c>
      <c r="G51" s="743" t="n">
        <v>70</v>
      </c>
      <c r="H51" s="743" t="inlineStr">
        <is>
          <t>MANDATORY</t>
        </is>
      </c>
      <c r="I51" s="743" t="inlineStr">
        <is>
          <t>-</t>
        </is>
      </c>
      <c r="J51" s="743" t="inlineStr">
        <is>
          <t>Sector-dependent</t>
        </is>
      </c>
      <c r="K51" s="743" t="inlineStr">
        <is>
          <t>Yes (where applicable)</t>
        </is>
      </c>
      <c r="L51" s="743" t="inlineStr">
        <is>
          <t>https://kacare.gov.sa</t>
        </is>
      </c>
      <c r="M51" s="743" t="inlineStr">
        <is>
          <t>-</t>
        </is>
      </c>
      <c r="N51" s="743" t="inlineStr">
        <is>
          <t>-</t>
        </is>
      </c>
      <c r="O51" s="743" t="inlineStr">
        <is>
          <t>Nuclear safety, renewable standards</t>
        </is>
      </c>
      <c r="P51" s="743" t="inlineStr"/>
    </row>
    <row r="52">
      <c r="A52" s="744" t="inlineStr">
        <is>
          <t>NCEL</t>
        </is>
      </c>
      <c r="B52" s="744" t="inlineStr">
        <is>
          <t>National Centre for Environmental Lab</t>
        </is>
      </c>
      <c r="C52" s="744" t="inlineStr">
        <is>
          <t>المركز الوطني للرقابة على الالتزام البيئي</t>
        </is>
      </c>
      <c r="D52" s="744" t="inlineStr">
        <is>
          <t>Environment</t>
        </is>
      </c>
      <c r="E52" s="744" t="inlineStr">
        <is>
          <t>🟡 T3</t>
        </is>
      </c>
      <c r="F52" s="744" t="n">
        <v>2</v>
      </c>
      <c r="G52" s="744" t="n">
        <v>45</v>
      </c>
      <c r="H52" s="744" t="inlineStr">
        <is>
          <t>MANDATORY</t>
        </is>
      </c>
      <c r="I52" s="744" t="inlineStr">
        <is>
          <t>-</t>
        </is>
      </c>
      <c r="J52" s="744" t="inlineStr">
        <is>
          <t>Sector-dependent</t>
        </is>
      </c>
      <c r="K52" s="744" t="inlineStr">
        <is>
          <t>Yes (where applicable)</t>
        </is>
      </c>
      <c r="L52" s="744" t="inlineStr"/>
      <c r="M52" s="744" t="inlineStr">
        <is>
          <t>-</t>
        </is>
      </c>
      <c r="N52" s="744" t="inlineStr">
        <is>
          <t>-</t>
        </is>
      </c>
      <c r="O52" s="744" t="inlineStr"/>
      <c r="P52" s="744" t="inlineStr"/>
    </row>
    <row r="53">
      <c r="A53" s="743" t="inlineStr">
        <is>
          <t>MEWA</t>
        </is>
      </c>
      <c r="B53" s="743" t="inlineStr">
        <is>
          <t>Ministry of Environment, Water &amp; Agriculture</t>
        </is>
      </c>
      <c r="C53" s="743" t="inlineStr">
        <is>
          <t>وزارة البيئة والمياه والزراعة</t>
        </is>
      </c>
      <c r="D53" s="743" t="inlineStr">
        <is>
          <t>Environment/Agriculture</t>
        </is>
      </c>
      <c r="E53" s="743" t="inlineStr">
        <is>
          <t>🟠 T2</t>
        </is>
      </c>
      <c r="F53" s="743" t="n">
        <v>2</v>
      </c>
      <c r="G53" s="743" t="n">
        <v>55</v>
      </c>
      <c r="H53" s="743" t="inlineStr">
        <is>
          <t>MANDATORY</t>
        </is>
      </c>
      <c r="I53" s="743" t="inlineStr">
        <is>
          <t>-</t>
        </is>
      </c>
      <c r="J53" s="743" t="inlineStr">
        <is>
          <t>Sector-dependent</t>
        </is>
      </c>
      <c r="K53" s="743" t="inlineStr">
        <is>
          <t>Yes (where applicable)</t>
        </is>
      </c>
      <c r="L53" s="743" t="inlineStr"/>
      <c r="M53" s="743" t="inlineStr">
        <is>
          <t>-</t>
        </is>
      </c>
      <c r="N53" s="743" t="inlineStr">
        <is>
          <t>-</t>
        </is>
      </c>
      <c r="O53" s="743" t="inlineStr"/>
      <c r="P53" s="743" t="inlineStr"/>
    </row>
    <row r="54">
      <c r="A54" s="743" t="inlineStr">
        <is>
          <t>MODON</t>
        </is>
      </c>
      <c r="B54" s="743" t="inlineStr">
        <is>
          <t>Saudi Authority for Industrial Cities &amp; Tech Zones</t>
        </is>
      </c>
      <c r="C54" s="743" t="inlineStr">
        <is>
          <t>المدن الصناعية ومناطق التقنية</t>
        </is>
      </c>
      <c r="D54" s="743" t="inlineStr">
        <is>
          <t>Industrial Zones</t>
        </is>
      </c>
      <c r="E54" s="743" t="inlineStr">
        <is>
          <t>🟠 T2</t>
        </is>
      </c>
      <c r="F54" s="743" t="n">
        <v>2</v>
      </c>
      <c r="G54" s="743" t="n">
        <v>58</v>
      </c>
      <c r="H54" s="743" t="inlineStr">
        <is>
          <t>MANDATORY</t>
        </is>
      </c>
      <c r="I54" s="743" t="inlineStr">
        <is>
          <t>-</t>
        </is>
      </c>
      <c r="J54" s="743" t="inlineStr">
        <is>
          <t>Sector-dependent</t>
        </is>
      </c>
      <c r="K54" s="743" t="inlineStr">
        <is>
          <t>Yes (where applicable)</t>
        </is>
      </c>
      <c r="L54" s="743" t="inlineStr">
        <is>
          <t>https://modon.gov.sa</t>
        </is>
      </c>
      <c r="M54" s="743" t="inlineStr">
        <is>
          <t>-</t>
        </is>
      </c>
      <c r="N54" s="743" t="inlineStr">
        <is>
          <t>-</t>
        </is>
      </c>
      <c r="O54" s="743" t="inlineStr">
        <is>
          <t>Industrial city compliance</t>
        </is>
      </c>
      <c r="P54" s="743" t="inlineStr"/>
    </row>
    <row r="55">
      <c r="A55" s="743" t="inlineStr">
        <is>
          <t>RCJY</t>
        </is>
      </c>
      <c r="B55" s="743" t="inlineStr">
        <is>
          <t>Royal Commission for Jubail &amp; Yanbu</t>
        </is>
      </c>
      <c r="C55" s="743" t="inlineStr">
        <is>
          <t>الهيئة الملكية للجبيل وينبع</t>
        </is>
      </c>
      <c r="D55" s="743" t="inlineStr">
        <is>
          <t>Special Industrial</t>
        </is>
      </c>
      <c r="E55" s="743" t="inlineStr">
        <is>
          <t>🟠 T2</t>
        </is>
      </c>
      <c r="F55" s="743" t="n">
        <v>2</v>
      </c>
      <c r="G55" s="743" t="n">
        <v>60</v>
      </c>
      <c r="H55" s="743" t="inlineStr">
        <is>
          <t>MANDATORY</t>
        </is>
      </c>
      <c r="I55" s="743" t="inlineStr">
        <is>
          <t>-</t>
        </is>
      </c>
      <c r="J55" s="743" t="inlineStr">
        <is>
          <t>Sector-dependent</t>
        </is>
      </c>
      <c r="K55" s="743" t="inlineStr">
        <is>
          <t>Yes (where applicable)</t>
        </is>
      </c>
      <c r="L55" s="743" t="inlineStr">
        <is>
          <t>https://rcjy.gov.sa</t>
        </is>
      </c>
      <c r="M55" s="743" t="inlineStr">
        <is>
          <t>-</t>
        </is>
      </c>
      <c r="N55" s="743" t="inlineStr">
        <is>
          <t>-</t>
        </is>
      </c>
      <c r="O55" s="743" t="inlineStr">
        <is>
          <t>Industrial zone standards</t>
        </is>
      </c>
      <c r="P55" s="743" t="inlineStr"/>
    </row>
    <row r="56">
      <c r="A56" s="743" t="inlineStr">
        <is>
          <t>NEOM</t>
        </is>
      </c>
      <c r="B56" s="743" t="inlineStr">
        <is>
          <t>NEOM Company</t>
        </is>
      </c>
      <c r="C56" s="743" t="inlineStr">
        <is>
          <t>نيوم</t>
        </is>
      </c>
      <c r="D56" s="743" t="inlineStr">
        <is>
          <t>Giga Projects</t>
        </is>
      </c>
      <c r="E56" s="743" t="inlineStr">
        <is>
          <t>🟠 T2</t>
        </is>
      </c>
      <c r="F56" s="743" t="n">
        <v>2</v>
      </c>
      <c r="G56" s="743" t="n">
        <v>65</v>
      </c>
      <c r="H56" s="743" t="inlineStr">
        <is>
          <t>MANDATORY</t>
        </is>
      </c>
      <c r="I56" s="743" t="inlineStr">
        <is>
          <t>-</t>
        </is>
      </c>
      <c r="J56" s="743" t="inlineStr">
        <is>
          <t>Sector-dependent</t>
        </is>
      </c>
      <c r="K56" s="743" t="inlineStr">
        <is>
          <t>Yes (where applicable)</t>
        </is>
      </c>
      <c r="L56" s="743" t="inlineStr">
        <is>
          <t>https://neom.com</t>
        </is>
      </c>
      <c r="M56" s="743" t="inlineStr">
        <is>
          <t>-</t>
        </is>
      </c>
      <c r="N56" s="743" t="inlineStr">
        <is>
          <t>-</t>
        </is>
      </c>
      <c r="O56" s="743" t="inlineStr">
        <is>
          <t>Smart city, technology regulations</t>
        </is>
      </c>
      <c r="P56" s="743" t="inlineStr"/>
    </row>
    <row r="57">
      <c r="A57" s="743" t="inlineStr">
        <is>
          <t>NHIC</t>
        </is>
      </c>
      <c r="B57" s="743" t="inlineStr">
        <is>
          <t>National Health Information Centre</t>
        </is>
      </c>
      <c r="C57" s="743" t="inlineStr">
        <is>
          <t>المركز الوطني للمعلومات الصحية</t>
        </is>
      </c>
      <c r="D57" s="743" t="inlineStr">
        <is>
          <t>Health Data</t>
        </is>
      </c>
      <c r="E57" s="743" t="inlineStr">
        <is>
          <t>🟠 T2</t>
        </is>
      </c>
      <c r="F57" s="743" t="n">
        <v>2</v>
      </c>
      <c r="G57" s="743" t="n">
        <v>68</v>
      </c>
      <c r="H57" s="743" t="inlineStr">
        <is>
          <t>MANDATORY</t>
        </is>
      </c>
      <c r="I57" s="743" t="inlineStr">
        <is>
          <t>-</t>
        </is>
      </c>
      <c r="J57" s="743" t="inlineStr">
        <is>
          <t>Sector-dependent</t>
        </is>
      </c>
      <c r="K57" s="743" t="inlineStr">
        <is>
          <t>Yes (where applicable)</t>
        </is>
      </c>
      <c r="L57" s="743" t="inlineStr"/>
      <c r="M57" s="743" t="inlineStr">
        <is>
          <t>-</t>
        </is>
      </c>
      <c r="N57" s="743" t="inlineStr">
        <is>
          <t>-</t>
        </is>
      </c>
      <c r="O57" s="743" t="inlineStr">
        <is>
          <t>NABIDH data exchange standards</t>
        </is>
      </c>
      <c r="P57" s="743" t="inlineStr"/>
    </row>
    <row r="58">
      <c r="A58" s="743" t="inlineStr">
        <is>
          <t>SHC_KSA</t>
        </is>
      </c>
      <c r="B58" s="743" t="inlineStr">
        <is>
          <t>Saudi Health Council</t>
        </is>
      </c>
      <c r="C58" s="743" t="inlineStr">
        <is>
          <t>المجلس الصحي السعودي</t>
        </is>
      </c>
      <c r="D58" s="743" t="inlineStr">
        <is>
          <t>Healthcare Policy</t>
        </is>
      </c>
      <c r="E58" s="743" t="inlineStr">
        <is>
          <t>🟠 T2</t>
        </is>
      </c>
      <c r="F58" s="743" t="n">
        <v>2</v>
      </c>
      <c r="G58" s="743" t="n">
        <v>65</v>
      </c>
      <c r="H58" s="743" t="inlineStr">
        <is>
          <t>MANDATORY</t>
        </is>
      </c>
      <c r="I58" s="743" t="inlineStr">
        <is>
          <t>-</t>
        </is>
      </c>
      <c r="J58" s="743" t="inlineStr">
        <is>
          <t>Sector-dependent</t>
        </is>
      </c>
      <c r="K58" s="743" t="inlineStr">
        <is>
          <t>Yes (where applicable)</t>
        </is>
      </c>
      <c r="L58" s="743" t="inlineStr"/>
      <c r="M58" s="743" t="inlineStr">
        <is>
          <t>-</t>
        </is>
      </c>
      <c r="N58" s="743" t="inlineStr">
        <is>
          <t>-</t>
        </is>
      </c>
      <c r="O58" s="743" t="inlineStr">
        <is>
          <t>Health strategy coordination</t>
        </is>
      </c>
      <c r="P58" s="743" t="inlineStr"/>
    </row>
    <row r="59">
      <c r="A59" s="744" t="inlineStr">
        <is>
          <t>QIWA</t>
        </is>
      </c>
      <c r="B59" s="744" t="inlineStr">
        <is>
          <t>QIWA Platform (MHRSD)</t>
        </is>
      </c>
      <c r="C59" s="744" t="inlineStr">
        <is>
          <t>منصة قوى</t>
        </is>
      </c>
      <c r="D59" s="744" t="inlineStr">
        <is>
          <t>Labour Digital</t>
        </is>
      </c>
      <c r="E59" s="744" t="inlineStr">
        <is>
          <t>🟡 T3</t>
        </is>
      </c>
      <c r="F59" s="744" t="n">
        <v>1</v>
      </c>
      <c r="G59" s="744" t="n">
        <v>60</v>
      </c>
      <c r="H59" s="744" t="inlineStr">
        <is>
          <t>MANDATORY</t>
        </is>
      </c>
      <c r="I59" s="744" t="inlineStr">
        <is>
          <t>-</t>
        </is>
      </c>
      <c r="J59" s="744" t="inlineStr">
        <is>
          <t>Sector-dependent</t>
        </is>
      </c>
      <c r="K59" s="744" t="inlineStr">
        <is>
          <t>Yes (where applicable)</t>
        </is>
      </c>
      <c r="L59" s="744" t="inlineStr">
        <is>
          <t>https://qiwa.com.sa</t>
        </is>
      </c>
      <c r="M59" s="744" t="inlineStr">
        <is>
          <t>-</t>
        </is>
      </c>
      <c r="N59" s="744" t="inlineStr">
        <is>
          <t>-</t>
        </is>
      </c>
      <c r="O59" s="744" t="inlineStr">
        <is>
          <t>Labour contract management platform</t>
        </is>
      </c>
      <c r="P59" s="744" t="inlineStr"/>
    </row>
    <row r="60">
      <c r="A60" s="744" t="inlineStr">
        <is>
          <t>YESSER</t>
        </is>
      </c>
      <c r="B60" s="744" t="inlineStr">
        <is>
          <t>Yesser – e-Government programme</t>
        </is>
      </c>
      <c r="C60" s="744" t="inlineStr">
        <is>
          <t>برنامج يسر</t>
        </is>
      </c>
      <c r="D60" s="744" t="inlineStr">
        <is>
          <t>e-Gov</t>
        </is>
      </c>
      <c r="E60" s="744" t="inlineStr">
        <is>
          <t>🟡 T3</t>
        </is>
      </c>
      <c r="F60" s="744" t="n">
        <v>2</v>
      </c>
      <c r="G60" s="744" t="n">
        <v>58</v>
      </c>
      <c r="H60" s="744" t="inlineStr">
        <is>
          <t>MANDATORY</t>
        </is>
      </c>
      <c r="I60" s="744" t="inlineStr">
        <is>
          <t>-</t>
        </is>
      </c>
      <c r="J60" s="744" t="inlineStr">
        <is>
          <t>Sector-dependent</t>
        </is>
      </c>
      <c r="K60" s="744" t="inlineStr">
        <is>
          <t>Yes (where applicable)</t>
        </is>
      </c>
      <c r="L60" s="744" t="inlineStr">
        <is>
          <t>https://yesser.gov.sa</t>
        </is>
      </c>
      <c r="M60" s="744" t="inlineStr">
        <is>
          <t>-</t>
        </is>
      </c>
      <c r="N60" s="744" t="inlineStr">
        <is>
          <t>-</t>
        </is>
      </c>
      <c r="O60" s="744" t="inlineStr">
        <is>
          <t>Interoperability, national ID</t>
        </is>
      </c>
      <c r="P60" s="744" t="inlineStr"/>
    </row>
    <row r="61">
      <c r="A61" s="744" t="inlineStr">
        <is>
          <t>SPL</t>
        </is>
      </c>
      <c r="B61" s="744" t="inlineStr">
        <is>
          <t>Saudi Post / SPL</t>
        </is>
      </c>
      <c r="C61" s="744" t="inlineStr">
        <is>
          <t>البريد السعودي</t>
        </is>
      </c>
      <c r="D61" s="744" t="inlineStr">
        <is>
          <t>Post/Logistics</t>
        </is>
      </c>
      <c r="E61" s="744" t="inlineStr">
        <is>
          <t>🟡 T3</t>
        </is>
      </c>
      <c r="F61" s="744" t="n">
        <v>1</v>
      </c>
      <c r="G61" s="744" t="n">
        <v>40</v>
      </c>
      <c r="H61" s="744" t="inlineStr">
        <is>
          <t>MANDATORY</t>
        </is>
      </c>
      <c r="I61" s="744" t="inlineStr">
        <is>
          <t>-</t>
        </is>
      </c>
      <c r="J61" s="744" t="inlineStr">
        <is>
          <t>Sector-dependent</t>
        </is>
      </c>
      <c r="K61" s="744" t="inlineStr">
        <is>
          <t>Yes (where applicable)</t>
        </is>
      </c>
      <c r="L61" s="744" t="inlineStr"/>
      <c r="M61" s="744" t="inlineStr">
        <is>
          <t>-</t>
        </is>
      </c>
      <c r="N61" s="744" t="inlineStr">
        <is>
          <t>-</t>
        </is>
      </c>
      <c r="O61" s="744" t="inlineStr"/>
      <c r="P61" s="744" t="inlineStr"/>
    </row>
    <row r="62">
      <c r="A62" s="744" t="inlineStr">
        <is>
          <t>SSC</t>
        </is>
      </c>
      <c r="B62" s="744" t="inlineStr">
        <is>
          <t>Social Security Commission</t>
        </is>
      </c>
      <c r="C62" s="744" t="inlineStr">
        <is>
          <t>هيئة الضمان الاجتماعي</t>
        </is>
      </c>
      <c r="D62" s="744" t="inlineStr">
        <is>
          <t>Social Security</t>
        </is>
      </c>
      <c r="E62" s="744" t="inlineStr">
        <is>
          <t>🟡 T3</t>
        </is>
      </c>
      <c r="F62" s="744" t="n">
        <v>1</v>
      </c>
      <c r="G62" s="744" t="n">
        <v>45</v>
      </c>
      <c r="H62" s="744" t="inlineStr">
        <is>
          <t>MANDATORY</t>
        </is>
      </c>
      <c r="I62" s="744" t="inlineStr">
        <is>
          <t>-</t>
        </is>
      </c>
      <c r="J62" s="744" t="inlineStr">
        <is>
          <t>Sector-dependent</t>
        </is>
      </c>
      <c r="K62" s="744" t="inlineStr">
        <is>
          <t>Yes (where applicable)</t>
        </is>
      </c>
      <c r="L62" s="744" t="inlineStr"/>
      <c r="M62" s="744" t="inlineStr">
        <is>
          <t>-</t>
        </is>
      </c>
      <c r="N62" s="744" t="inlineStr">
        <is>
          <t>-</t>
        </is>
      </c>
      <c r="O62" s="744" t="inlineStr"/>
      <c r="P62" s="744" t="inlineStr"/>
    </row>
    <row r="63">
      <c r="A63" s="744" t="inlineStr">
        <is>
          <t>MOIA</t>
        </is>
      </c>
      <c r="B63" s="744" t="inlineStr">
        <is>
          <t>Ministry of Islamic Affairs</t>
        </is>
      </c>
      <c r="C63" s="744" t="inlineStr">
        <is>
          <t>وزارة الشؤون الإسلامية</t>
        </is>
      </c>
      <c r="D63" s="744" t="inlineStr">
        <is>
          <t>Religious</t>
        </is>
      </c>
      <c r="E63" s="744" t="inlineStr">
        <is>
          <t>🟡 T3</t>
        </is>
      </c>
      <c r="F63" s="744" t="n">
        <v>1</v>
      </c>
      <c r="G63" s="744" t="n">
        <v>42</v>
      </c>
      <c r="H63" s="744" t="inlineStr">
        <is>
          <t>MANDATORY</t>
        </is>
      </c>
      <c r="I63" s="744" t="inlineStr">
        <is>
          <t>-</t>
        </is>
      </c>
      <c r="J63" s="744" t="inlineStr">
        <is>
          <t>Sector-dependent</t>
        </is>
      </c>
      <c r="K63" s="744" t="inlineStr">
        <is>
          <t>Yes (where applicable)</t>
        </is>
      </c>
      <c r="L63" s="744" t="inlineStr"/>
      <c r="M63" s="744" t="inlineStr">
        <is>
          <t>-</t>
        </is>
      </c>
      <c r="N63" s="744" t="inlineStr">
        <is>
          <t>-</t>
        </is>
      </c>
      <c r="O63" s="744" t="inlineStr"/>
      <c r="P63" s="744" t="inlineStr"/>
    </row>
    <row r="66" ht="18" customHeight="1">
      <c r="A66" s="745" t="inlineStr">
        <is>
          <t xml:space="preserve">  INTERNATIONAL REGULATORS / BODIES OPERATING IN KSA</t>
        </is>
      </c>
    </row>
    <row r="67" ht="30" customHeight="1">
      <c r="A67" s="716" t="inlineStr">
        <is>
          <t>Code</t>
        </is>
      </c>
      <c r="B67" s="716" t="inlineStr">
        <is>
          <t>Name (EN)</t>
        </is>
      </c>
      <c r="C67" s="716" t="inlineStr">
        <is>
          <t>Body</t>
        </is>
      </c>
      <c r="D67" s="716" t="inlineStr">
        <is>
          <t>Applies To</t>
        </is>
      </c>
      <c r="E67" s="716" t="inlineStr">
        <is>
          <t>Focal KSA Regulator</t>
        </is>
      </c>
      <c r="F67" s="716" t="inlineStr">
        <is>
          <t>Mandatory?</t>
        </is>
      </c>
      <c r="G67" s="716" t="inlineStr">
        <is>
          <t>Enforcement Mechanism</t>
        </is>
      </c>
      <c r="H67" s="716" t="inlineStr">
        <is>
          <t>Frameworks (in KSA)</t>
        </is>
      </c>
      <c r="I67" s="716" t="inlineStr">
        <is>
          <t>Controls</t>
        </is>
      </c>
      <c r="J67" s="716" t="inlineStr">
        <is>
          <t>Mutual Evaluation?</t>
        </is>
      </c>
      <c r="K67" s="716" t="inlineStr">
        <is>
          <t>KSA Status</t>
        </is>
      </c>
      <c r="L67" s="716" t="inlineStr">
        <is>
          <t>Notes</t>
        </is>
      </c>
      <c r="M67" s="716" t="inlineStr"/>
      <c r="N67" s="716" t="inlineStr"/>
      <c r="O67" s="716" t="inlineStr"/>
      <c r="P67" s="716" t="inlineStr"/>
    </row>
    <row r="68">
      <c r="A68" s="746" t="inlineStr">
        <is>
          <t>FATF</t>
        </is>
      </c>
      <c r="B68" s="746" t="inlineStr">
        <is>
          <t>Financial Action Task Force</t>
        </is>
      </c>
      <c r="C68" s="746" t="inlineStr">
        <is>
          <t>FATF</t>
        </is>
      </c>
      <c r="D68" s="746" t="inlineStr">
        <is>
          <t>ALL</t>
        </is>
      </c>
      <c r="E68" s="746" t="inlineStr">
        <is>
          <t>SAMA/FIU</t>
        </is>
      </c>
      <c r="F68" s="746" t="inlineStr">
        <is>
          <t>YES</t>
        </is>
      </c>
      <c r="G68" s="746" t="inlineStr">
        <is>
          <t>Via national law</t>
        </is>
      </c>
      <c r="H68" s="746" t="inlineStr">
        <is>
          <t>FATF-40 Recommendations · FATF VAs Standard</t>
        </is>
      </c>
      <c r="I68" s="746" t="n">
        <v>65</v>
      </c>
      <c r="J68" s="746" t="inlineStr">
        <is>
          <t>YES</t>
        </is>
      </c>
      <c r="K68" s="746" t="inlineStr">
        <is>
          <t>Active</t>
        </is>
      </c>
      <c r="L68" s="746" t="inlineStr">
        <is>
          <t>KSA is MENA-FATF member; SAMA/FIA enforce</t>
        </is>
      </c>
      <c r="M68" s="746" t="inlineStr"/>
      <c r="N68" s="746" t="inlineStr"/>
      <c r="O68" s="746" t="inlineStr"/>
      <c r="P68" s="746" t="inlineStr"/>
    </row>
    <row r="69">
      <c r="A69" s="746" t="inlineStr">
        <is>
          <t>BCBS</t>
        </is>
      </c>
      <c r="B69" s="746" t="inlineStr">
        <is>
          <t>Basel Committee on Banking Supervision</t>
        </is>
      </c>
      <c r="C69" s="746" t="inlineStr">
        <is>
          <t>BIS</t>
        </is>
      </c>
      <c r="D69" s="746" t="inlineStr">
        <is>
          <t>Banks</t>
        </is>
      </c>
      <c r="E69" s="746" t="inlineStr">
        <is>
          <t>SAMA</t>
        </is>
      </c>
      <c r="F69" s="746" t="inlineStr">
        <is>
          <t>YES</t>
        </is>
      </c>
      <c r="G69" s="746" t="inlineStr">
        <is>
          <t>Via SAMA regulations</t>
        </is>
      </c>
      <c r="H69" s="746" t="inlineStr">
        <is>
          <t>Basel III · Basel IV (phased)</t>
        </is>
      </c>
      <c r="I69" s="746" t="n">
        <v>125</v>
      </c>
      <c r="J69" s="746" t="inlineStr">
        <is>
          <t>NO</t>
        </is>
      </c>
      <c r="K69" s="746" t="inlineStr">
        <is>
          <t>Active</t>
        </is>
      </c>
      <c r="L69" s="746" t="inlineStr">
        <is>
          <t>SAMA implements via banking regulations</t>
        </is>
      </c>
      <c r="M69" s="746" t="inlineStr"/>
      <c r="N69" s="746" t="inlineStr"/>
      <c r="O69" s="746" t="inlineStr"/>
      <c r="P69" s="746" t="inlineStr"/>
    </row>
    <row r="70">
      <c r="A70" s="746" t="inlineStr">
        <is>
          <t>IOSCO</t>
        </is>
      </c>
      <c r="B70" s="746" t="inlineStr">
        <is>
          <t>IOSCO – Intl Org of Securities Commissions</t>
        </is>
      </c>
      <c r="C70" s="746" t="inlineStr">
        <is>
          <t>IOSCO</t>
        </is>
      </c>
      <c r="D70" s="746" t="inlineStr">
        <is>
          <t>Capital Markets</t>
        </is>
      </c>
      <c r="E70" s="746" t="inlineStr">
        <is>
          <t>CMA</t>
        </is>
      </c>
      <c r="F70" s="746" t="inlineStr">
        <is>
          <t>YES</t>
        </is>
      </c>
      <c r="G70" s="746" t="inlineStr">
        <is>
          <t>Via CMA rules</t>
        </is>
      </c>
      <c r="H70" s="746" t="inlineStr">
        <is>
          <t>IOSCO Principles</t>
        </is>
      </c>
      <c r="I70" s="746" t="n">
        <v>38</v>
      </c>
      <c r="J70" s="746" t="inlineStr">
        <is>
          <t>NO</t>
        </is>
      </c>
      <c r="K70" s="746" t="inlineStr">
        <is>
          <t>Active</t>
        </is>
      </c>
      <c r="L70" s="746" t="inlineStr">
        <is>
          <t>CMA is full IOSCO member</t>
        </is>
      </c>
      <c r="M70" s="746" t="inlineStr"/>
      <c r="N70" s="746" t="inlineStr"/>
      <c r="O70" s="746" t="inlineStr"/>
      <c r="P70" s="746" t="inlineStr"/>
    </row>
    <row r="71">
      <c r="A71" s="746" t="inlineStr">
        <is>
          <t>AAOIFI</t>
        </is>
      </c>
      <c r="B71" s="746" t="inlineStr">
        <is>
          <t>AAOIFI – Accounting &amp; Audit for Islamic Finance</t>
        </is>
      </c>
      <c r="C71" s="746" t="inlineStr">
        <is>
          <t>AAOIFI</t>
        </is>
      </c>
      <c r="D71" s="746" t="inlineStr">
        <is>
          <t>Islamic Finance</t>
        </is>
      </c>
      <c r="E71" s="746" t="inlineStr">
        <is>
          <t>SAMA/CMA</t>
        </is>
      </c>
      <c r="F71" s="746" t="inlineStr">
        <is>
          <t>YES</t>
        </is>
      </c>
      <c r="G71" s="746" t="inlineStr">
        <is>
          <t>SAMA endorses</t>
        </is>
      </c>
      <c r="H71" s="746" t="inlineStr">
        <is>
          <t>AAOIFI Sharia Standards</t>
        </is>
      </c>
      <c r="I71" s="746" t="n">
        <v>60</v>
      </c>
      <c r="J71" s="746" t="inlineStr">
        <is>
          <t>NO</t>
        </is>
      </c>
      <c r="K71" s="746" t="inlineStr">
        <is>
          <t>Active</t>
        </is>
      </c>
      <c r="L71" s="746" t="inlineStr">
        <is>
          <t>Mandatory for Islamic banks in KSA</t>
        </is>
      </c>
      <c r="M71" s="746" t="inlineStr"/>
      <c r="N71" s="746" t="inlineStr"/>
      <c r="O71" s="746" t="inlineStr"/>
      <c r="P71" s="746" t="inlineStr"/>
    </row>
    <row r="72">
      <c r="A72" s="746" t="inlineStr">
        <is>
          <t>IFSB</t>
        </is>
      </c>
      <c r="B72" s="746" t="inlineStr">
        <is>
          <t>IFSB – Islamic Financial Stability Board</t>
        </is>
      </c>
      <c r="C72" s="746" t="inlineStr">
        <is>
          <t>IFSB</t>
        </is>
      </c>
      <c r="D72" s="746" t="inlineStr">
        <is>
          <t>Islamic Finance</t>
        </is>
      </c>
      <c r="E72" s="746" t="inlineStr">
        <is>
          <t>SAMA</t>
        </is>
      </c>
      <c r="F72" s="746" t="inlineStr">
        <is>
          <t>YES</t>
        </is>
      </c>
      <c r="G72" s="746" t="inlineStr">
        <is>
          <t>Via SAMA</t>
        </is>
      </c>
      <c r="H72" s="746" t="inlineStr">
        <is>
          <t>IFSB Core Principles</t>
        </is>
      </c>
      <c r="I72" s="746" t="n">
        <v>29</v>
      </c>
      <c r="J72" s="746" t="inlineStr">
        <is>
          <t>NO</t>
        </is>
      </c>
      <c r="K72" s="746" t="inlineStr">
        <is>
          <t>Active</t>
        </is>
      </c>
      <c r="L72" s="746" t="inlineStr">
        <is>
          <t>Prudential standards for Islamic banking</t>
        </is>
      </c>
      <c r="M72" s="746" t="inlineStr"/>
      <c r="N72" s="746" t="inlineStr"/>
      <c r="O72" s="746" t="inlineStr"/>
      <c r="P72" s="746" t="inlineStr"/>
    </row>
    <row r="73">
      <c r="A73" s="746" t="inlineStr">
        <is>
          <t>SWIFT_BODY</t>
        </is>
      </c>
      <c r="B73" s="746" t="inlineStr">
        <is>
          <t>SWIFT – Society for Worldwide Interbank Telecom</t>
        </is>
      </c>
      <c r="C73" s="746" t="inlineStr">
        <is>
          <t>SWIFT</t>
        </is>
      </c>
      <c r="D73" s="746" t="inlineStr">
        <is>
          <t>Banks/FIs</t>
        </is>
      </c>
      <c r="E73" s="746" t="inlineStr">
        <is>
          <t>SAMA</t>
        </is>
      </c>
      <c r="F73" s="746" t="inlineStr">
        <is>
          <t>YES</t>
        </is>
      </c>
      <c r="G73" s="746" t="inlineStr">
        <is>
          <t>Technical requirement</t>
        </is>
      </c>
      <c r="H73" s="746" t="inlineStr">
        <is>
          <t>SWIFT CSP 2024</t>
        </is>
      </c>
      <c r="I73" s="746" t="n">
        <v>31</v>
      </c>
      <c r="J73" s="746" t="inlineStr">
        <is>
          <t>NO</t>
        </is>
      </c>
      <c r="K73" s="746" t="inlineStr">
        <is>
          <t>Active</t>
        </is>
      </c>
      <c r="L73" s="746" t="inlineStr">
        <is>
          <t>31 controls (23 mandatory); annual attestation</t>
        </is>
      </c>
      <c r="M73" s="746" t="inlineStr"/>
      <c r="N73" s="746" t="inlineStr"/>
      <c r="O73" s="746" t="inlineStr"/>
      <c r="P73" s="746" t="inlineStr"/>
    </row>
    <row r="74">
      <c r="A74" s="746" t="inlineStr">
        <is>
          <t>ISO_IEC</t>
        </is>
      </c>
      <c r="B74" s="746" t="inlineStr">
        <is>
          <t>ISO/IEC – International Standards Bodies</t>
        </is>
      </c>
      <c r="C74" s="746" t="inlineStr">
        <is>
          <t>ISO/IEC</t>
        </is>
      </c>
      <c r="D74" s="746" t="inlineStr">
        <is>
          <t>ALL</t>
        </is>
      </c>
      <c r="E74" s="746" t="inlineStr">
        <is>
          <t>NCA/SASO</t>
        </is>
      </c>
      <c r="F74" s="746" t="inlineStr">
        <is>
          <t>YES</t>
        </is>
      </c>
      <c r="G74" s="746" t="inlineStr">
        <is>
          <t>NCA mandates ISO 27001 for regulated sectors</t>
        </is>
      </c>
      <c r="H74" s="746" t="inlineStr">
        <is>
          <t>ISO 27001:2022 · ISO 27701 · ISO 27017 · IEC 62443</t>
        </is>
      </c>
      <c r="I74" s="746" t="n">
        <v>230</v>
      </c>
      <c r="J74" s="746" t="inlineStr">
        <is>
          <t>NO</t>
        </is>
      </c>
      <c r="K74" s="746" t="inlineStr">
        <is>
          <t>Active</t>
        </is>
      </c>
      <c r="L74" s="746" t="inlineStr">
        <is>
          <t>ISO 27001 now mandatory for NCA-regulated entities</t>
        </is>
      </c>
      <c r="M74" s="746" t="inlineStr"/>
      <c r="N74" s="746" t="inlineStr"/>
      <c r="O74" s="746" t="inlineStr"/>
      <c r="P74" s="746" t="inlineStr"/>
    </row>
    <row r="75">
      <c r="A75" s="746" t="inlineStr">
        <is>
          <t>NIST_US</t>
        </is>
      </c>
      <c r="B75" s="746" t="inlineStr">
        <is>
          <t>NIST – US National Inst. Standards &amp; Technology</t>
        </is>
      </c>
      <c r="C75" s="746" t="inlineStr">
        <is>
          <t>NIST</t>
        </is>
      </c>
      <c r="D75" s="746" t="inlineStr">
        <is>
          <t>ALL (benchmark)</t>
        </is>
      </c>
      <c r="E75" s="746" t="inlineStr">
        <is>
          <t>NCA</t>
        </is>
      </c>
      <c r="F75" s="746" t="inlineStr">
        <is>
          <t>NO (benchmark)</t>
        </is>
      </c>
      <c r="G75" s="746" t="inlineStr">
        <is>
          <t>Voluntary benchmark</t>
        </is>
      </c>
      <c r="H75" s="746" t="inlineStr">
        <is>
          <t>NIST CSF 2.0 · NIST SP 800-53</t>
        </is>
      </c>
      <c r="I75" s="746" t="n">
        <v>106</v>
      </c>
      <c r="J75" s="746" t="inlineStr">
        <is>
          <t>NO</t>
        </is>
      </c>
      <c r="K75" s="746" t="inlineStr">
        <is>
          <t>Active</t>
        </is>
      </c>
      <c r="L75" s="746" t="inlineStr">
        <is>
          <t>NCA ECC aligned to NIST; widely referenced</t>
        </is>
      </c>
      <c r="M75" s="746" t="inlineStr"/>
      <c r="N75" s="746" t="inlineStr"/>
      <c r="O75" s="746" t="inlineStr"/>
      <c r="P75" s="746" t="inlineStr"/>
    </row>
    <row r="76">
      <c r="A76" s="746" t="inlineStr">
        <is>
          <t>PCI_SSC</t>
        </is>
      </c>
      <c r="B76" s="746" t="inlineStr">
        <is>
          <t>PCI SSC – Payment Card Industry Security Council</t>
        </is>
      </c>
      <c r="C76" s="746" t="inlineStr">
        <is>
          <t>PCI SSC</t>
        </is>
      </c>
      <c r="D76" s="746" t="inlineStr">
        <is>
          <t>Payment/Cards</t>
        </is>
      </c>
      <c r="E76" s="746" t="inlineStr">
        <is>
          <t>SAMA/CITC</t>
        </is>
      </c>
      <c r="F76" s="746" t="inlineStr">
        <is>
          <t>YES</t>
        </is>
      </c>
      <c r="G76" s="746" t="inlineStr">
        <is>
          <t>Card brand requirement</t>
        </is>
      </c>
      <c r="H76" s="746" t="inlineStr">
        <is>
          <t>PCI DSS v4.0</t>
        </is>
      </c>
      <c r="I76" s="746" t="n">
        <v>300</v>
      </c>
      <c r="J76" s="746" t="inlineStr">
        <is>
          <t>NO</t>
        </is>
      </c>
      <c r="K76" s="746" t="inlineStr">
        <is>
          <t>Active</t>
        </is>
      </c>
      <c r="L76" s="746" t="inlineStr">
        <is>
          <t>Mandatory for any org accepting card payments</t>
        </is>
      </c>
      <c r="M76" s="746" t="inlineStr"/>
      <c r="N76" s="746" t="inlineStr"/>
      <c r="O76" s="746" t="inlineStr"/>
      <c r="P76" s="746" t="inlineStr"/>
    </row>
    <row r="77">
      <c r="A77" s="746" t="inlineStr">
        <is>
          <t>IASB</t>
        </is>
      </c>
      <c r="B77" s="746" t="inlineStr">
        <is>
          <t>IASB – International Accounting Standards Board</t>
        </is>
      </c>
      <c r="C77" s="746" t="inlineStr">
        <is>
          <t>IASB</t>
        </is>
      </c>
      <c r="D77" s="746" t="inlineStr">
        <is>
          <t>Listed Companies</t>
        </is>
      </c>
      <c r="E77" s="746" t="inlineStr">
        <is>
          <t>CMA/MOF</t>
        </is>
      </c>
      <c r="F77" s="746" t="inlineStr">
        <is>
          <t>YES</t>
        </is>
      </c>
      <c r="G77" s="746" t="inlineStr">
        <is>
          <t>CMA requires IFRS for listed</t>
        </is>
      </c>
      <c r="H77" s="746" t="inlineStr">
        <is>
          <t>IFRS Standards</t>
        </is>
      </c>
      <c r="I77" s="746" t="n">
        <v>0</v>
      </c>
      <c r="J77" s="746" t="inlineStr">
        <is>
          <t>NO</t>
        </is>
      </c>
      <c r="K77" s="746" t="inlineStr">
        <is>
          <t>Active</t>
        </is>
      </c>
      <c r="L77" s="746" t="inlineStr">
        <is>
          <t>All TADAWUL-listed companies must report IFRS</t>
        </is>
      </c>
      <c r="M77" s="746" t="inlineStr"/>
      <c r="N77" s="746" t="inlineStr"/>
      <c r="O77" s="746" t="inlineStr"/>
      <c r="P77" s="746" t="inlineStr"/>
    </row>
    <row r="78">
      <c r="A78" s="746" t="inlineStr">
        <is>
          <t>GCC_SEC</t>
        </is>
      </c>
      <c r="B78" s="746" t="inlineStr">
        <is>
          <t>GCC Secretariat – Gulf Cooperation Council</t>
        </is>
      </c>
      <c r="C78" s="746" t="inlineStr">
        <is>
          <t>GCC</t>
        </is>
      </c>
      <c r="D78" s="746" t="inlineStr">
        <is>
          <t>Cross-GCC</t>
        </is>
      </c>
      <c r="E78" s="746" t="inlineStr">
        <is>
          <t>MOF/SAMA</t>
        </is>
      </c>
      <c r="F78" s="746" t="inlineStr">
        <is>
          <t>YES</t>
        </is>
      </c>
      <c r="G78" s="746" t="inlineStr">
        <is>
          <t>Regional treaty obligations</t>
        </is>
      </c>
      <c r="H78" s="746" t="inlineStr">
        <is>
          <t>GCC Unified AML Framework · GCC Customs Union</t>
        </is>
      </c>
      <c r="I78" s="746" t="n">
        <v>30</v>
      </c>
      <c r="J78" s="746" t="inlineStr">
        <is>
          <t>NO</t>
        </is>
      </c>
      <c r="K78" s="746" t="inlineStr">
        <is>
          <t>Active</t>
        </is>
      </c>
      <c r="L78" s="746" t="inlineStr">
        <is>
          <t>Cross-border regulatory harmonisation</t>
        </is>
      </c>
      <c r="M78" s="746" t="inlineStr"/>
      <c r="N78" s="746" t="inlineStr"/>
      <c r="O78" s="746" t="inlineStr"/>
      <c r="P78" s="746" t="inlineStr"/>
    </row>
    <row r="79">
      <c r="A79" s="746" t="inlineStr">
        <is>
          <t>ICRG</t>
        </is>
      </c>
      <c r="B79" s="746" t="inlineStr">
        <is>
          <t>ICRG – FATF-Style Regional Body (MENAFATF)</t>
        </is>
      </c>
      <c r="C79" s="746" t="inlineStr">
        <is>
          <t>MENAFATF</t>
        </is>
      </c>
      <c r="D79" s="746" t="inlineStr">
        <is>
          <t>ALL</t>
        </is>
      </c>
      <c r="E79" s="746" t="inlineStr">
        <is>
          <t>SAMA/FIA</t>
        </is>
      </c>
      <c r="F79" s="746" t="inlineStr">
        <is>
          <t>YES</t>
        </is>
      </c>
      <c r="G79" s="746" t="inlineStr">
        <is>
          <t>Mutual evaluation binding</t>
        </is>
      </c>
      <c r="H79" s="746" t="inlineStr">
        <is>
          <t>FATF 40 Recommendations (MENA Focus)</t>
        </is>
      </c>
      <c r="I79" s="746" t="n">
        <v>40</v>
      </c>
      <c r="J79" s="746" t="inlineStr">
        <is>
          <t>NO</t>
        </is>
      </c>
      <c r="K79" s="746" t="inlineStr">
        <is>
          <t>Active</t>
        </is>
      </c>
      <c r="L79" s="746" t="inlineStr">
        <is>
          <t>KSA underwent FATF mutual evaluation 2024</t>
        </is>
      </c>
      <c r="M79" s="746" t="inlineStr"/>
      <c r="N79" s="746" t="inlineStr"/>
      <c r="O79" s="746" t="inlineStr"/>
      <c r="P79" s="746" t="inlineStr"/>
    </row>
    <row r="80">
      <c r="A80" s="746" t="inlineStr">
        <is>
          <t>IAIS</t>
        </is>
      </c>
      <c r="B80" s="746" t="inlineStr">
        <is>
          <t>IAIS – Intl. Association of Insurance Supervisors</t>
        </is>
      </c>
      <c r="C80" s="746" t="inlineStr">
        <is>
          <t>IAIS</t>
        </is>
      </c>
      <c r="D80" s="746" t="inlineStr">
        <is>
          <t>Insurance</t>
        </is>
      </c>
      <c r="E80" s="746" t="inlineStr">
        <is>
          <t>SAMA</t>
        </is>
      </c>
      <c r="F80" s="746" t="inlineStr">
        <is>
          <t>YES</t>
        </is>
      </c>
      <c r="G80" s="746" t="inlineStr">
        <is>
          <t>Via SAMA insurance rules</t>
        </is>
      </c>
      <c r="H80" s="746" t="inlineStr">
        <is>
          <t>IAIS Core Principles · ICP</t>
        </is>
      </c>
      <c r="I80" s="746" t="n">
        <v>28</v>
      </c>
      <c r="J80" s="746" t="inlineStr">
        <is>
          <t>NO</t>
        </is>
      </c>
      <c r="K80" s="746" t="inlineStr">
        <is>
          <t>Active</t>
        </is>
      </c>
      <c r="L80" s="746" t="inlineStr">
        <is>
          <t>SAMA insurance supervision aligned to ICP</t>
        </is>
      </c>
      <c r="M80" s="746" t="inlineStr"/>
      <c r="N80" s="746" t="inlineStr"/>
      <c r="O80" s="746" t="inlineStr"/>
      <c r="P80" s="746" t="inlineStr"/>
    </row>
    <row r="81">
      <c r="A81" s="746" t="inlineStr">
        <is>
          <t>IAEA_BODY</t>
        </is>
      </c>
      <c r="B81" s="746" t="inlineStr">
        <is>
          <t>IAEA – Intl. Atomic Energy Agency</t>
        </is>
      </c>
      <c r="C81" s="746" t="inlineStr">
        <is>
          <t>IAEA</t>
        </is>
      </c>
      <c r="D81" s="746" t="inlineStr">
        <is>
          <t>Nuclear</t>
        </is>
      </c>
      <c r="E81" s="746" t="inlineStr">
        <is>
          <t>KACARE/MOI</t>
        </is>
      </c>
      <c r="F81" s="746" t="inlineStr">
        <is>
          <t>YES</t>
        </is>
      </c>
      <c r="G81" s="746" t="inlineStr">
        <is>
          <t>Treaty obligation</t>
        </is>
      </c>
      <c r="H81" s="746" t="inlineStr">
        <is>
          <t>IAEA Safety Standards</t>
        </is>
      </c>
      <c r="I81" s="746" t="n">
        <v>45</v>
      </c>
      <c r="J81" s="746" t="inlineStr">
        <is>
          <t>NO</t>
        </is>
      </c>
      <c r="K81" s="746" t="inlineStr">
        <is>
          <t>Active</t>
        </is>
      </c>
      <c r="L81" s="746" t="inlineStr">
        <is>
          <t>Applies to KACARE nuclear programme</t>
        </is>
      </c>
      <c r="M81" s="746" t="inlineStr"/>
      <c r="N81" s="746" t="inlineStr"/>
      <c r="O81" s="746" t="inlineStr"/>
      <c r="P81" s="746" t="inlineStr"/>
    </row>
    <row r="82">
      <c r="A82" s="746" t="inlineStr">
        <is>
          <t>WHO_BODY</t>
        </is>
      </c>
      <c r="B82" s="746" t="inlineStr">
        <is>
          <t>WHO – World Health Organization</t>
        </is>
      </c>
      <c r="C82" s="746" t="inlineStr">
        <is>
          <t>WHO</t>
        </is>
      </c>
      <c r="D82" s="746" t="inlineStr">
        <is>
          <t>Healthcare</t>
        </is>
      </c>
      <c r="E82" s="746" t="inlineStr">
        <is>
          <t>MOH</t>
        </is>
      </c>
      <c r="F82" s="746" t="inlineStr">
        <is>
          <t>NO (benchmark)</t>
        </is>
      </c>
      <c r="G82" s="746" t="inlineStr">
        <is>
          <t>Guidance</t>
        </is>
      </c>
      <c r="H82" s="746" t="inlineStr">
        <is>
          <t>IHR 2005 · WHO Standards</t>
        </is>
      </c>
      <c r="I82" s="746" t="n">
        <v>20</v>
      </c>
      <c r="J82" s="746" t="inlineStr">
        <is>
          <t>NO</t>
        </is>
      </c>
      <c r="K82" s="746" t="inlineStr">
        <is>
          <t>Active</t>
        </is>
      </c>
      <c r="L82" s="746" t="inlineStr">
        <is>
          <t>Pandemic preparedness, health standards</t>
        </is>
      </c>
      <c r="M82" s="746" t="inlineStr"/>
      <c r="N82" s="746" t="inlineStr"/>
      <c r="O82" s="746" t="inlineStr"/>
      <c r="P82" s="746" t="inlineStr"/>
    </row>
    <row r="85">
      <c r="A85" s="747" t="inlineStr">
        <is>
          <t>TOTAL: 60 Local + 15 International = 75 Active Regulatory Bodies in KSA</t>
        </is>
      </c>
    </row>
  </sheetData>
  <mergeCells count="3">
    <mergeCell ref="A1:P1"/>
    <mergeCell ref="A66:P66"/>
    <mergeCell ref="A2:P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1"/>
  <sheetViews>
    <sheetView showGridLines="0" workbookViewId="0">
      <selection activeCell="A1" sqref="A1"/>
    </sheetView>
  </sheetViews>
  <sheetFormatPr baseColWidth="8" defaultRowHeight="15"/>
  <cols>
    <col width="32" customWidth="1" min="1" max="1"/>
    <col width="28" customWidth="1" min="2" max="2"/>
    <col width="14" customWidth="1" min="3" max="3"/>
    <col width="14" customWidth="1" min="4" max="4"/>
    <col width="14" customWidth="1" min="5" max="5"/>
    <col width="16" customWidth="1" min="6" max="6"/>
    <col width="12" customWidth="1" min="7" max="7"/>
    <col width="14" customWidth="1" min="8" max="8"/>
    <col width="14" customWidth="1" min="9" max="9"/>
    <col width="16" customWidth="1" min="10" max="10"/>
  </cols>
  <sheetData>
    <row r="1" ht="35" customHeight="1">
      <c r="A1" s="748" t="inlineStr">
        <is>
          <t>🇸🇦  SHAHIN-AI  ·  KSA GRC INTELLIGENCE DASHBOARD  ·  Full Regulatory Universe</t>
        </is>
      </c>
    </row>
    <row r="3" ht="22" customHeight="1">
      <c r="A3" s="749" t="inlineStr">
        <is>
          <t>Total Regulators in KSA</t>
        </is>
      </c>
      <c r="D3" s="750" t="inlineStr">
        <is>
          <t>60 local + 15 international = 75 total</t>
        </is>
      </c>
    </row>
    <row r="4" ht="22" customHeight="1">
      <c r="A4" s="751" t="inlineStr">
        <is>
          <t>Tier 1 (Critical Power)</t>
        </is>
      </c>
      <c r="D4" s="750" t="inlineStr">
        <is>
          <t>10 local primary regulators</t>
        </is>
      </c>
    </row>
    <row r="5" ht="22" customHeight="1">
      <c r="A5" s="752" t="inlineStr">
        <is>
          <t>Tier 2 (Sector)</t>
        </is>
      </c>
      <c r="D5" s="750" t="inlineStr">
        <is>
          <t>37 sector-level regulators</t>
        </is>
      </c>
    </row>
    <row r="6" ht="22" customHeight="1">
      <c r="A6" s="753" t="inlineStr">
        <is>
          <t>International Bodies Active in KSA</t>
        </is>
      </c>
      <c r="D6" s="750" t="inlineStr">
        <is>
          <t>15 (FATF, Basel, IOSCO, SWIFT, ISO, IEC, etc.)</t>
        </is>
      </c>
    </row>
    <row r="7" ht="22" customHeight="1">
      <c r="A7" s="754" t="inlineStr">
        <is>
          <t>KSA Frameworks (key)</t>
        </is>
      </c>
      <c r="D7" s="750" t="inlineStr">
        <is>
          <t>23 documented key frameworks</t>
        </is>
      </c>
    </row>
    <row r="8" ht="22" customHeight="1">
      <c r="A8" s="755" t="inlineStr">
        <is>
          <t>Total Control Count (KSA)</t>
        </is>
      </c>
      <c r="D8" s="750" t="inlineStr">
        <is>
          <t>28,239 individual controls (from 405 frameworks)</t>
        </is>
      </c>
    </row>
    <row r="9" ht="22" customHeight="1">
      <c r="A9" s="756" t="inlineStr">
        <is>
          <t>Sectors Covered</t>
        </is>
      </c>
      <c r="D9" s="750" t="inlineStr">
        <is>
          <t>13 sectors with full regulatory mapping</t>
        </is>
      </c>
    </row>
    <row r="10" ht="22" customHeight="1">
      <c r="A10" s="757" t="inlineStr">
        <is>
          <t>Org Types Mapped</t>
        </is>
      </c>
      <c r="D10" s="750" t="inlineStr">
        <is>
          <t>12 organisation types with obligation matrix</t>
        </is>
      </c>
    </row>
    <row r="11" ht="22" customHeight="1">
      <c r="A11" s="758" t="inlineStr">
        <is>
          <t>Org Size Tiers</t>
        </is>
      </c>
      <c r="D11" s="750" t="inlineStr">
        <is>
          <t>6 tiers (Micro → SIFI) with cost/burden estimates</t>
        </is>
      </c>
    </row>
    <row r="12" ht="22" customHeight="1">
      <c r="A12" s="759" t="inlineStr">
        <is>
          <t>Risk Domains Tracked</t>
        </is>
      </c>
      <c r="D12" s="750" t="inlineStr">
        <is>
          <t>12 risk domains with KRIs and thresholds</t>
        </is>
      </c>
    </row>
    <row r="13" ht="22" customHeight="1">
      <c r="A13" s="755" t="inlineStr">
        <is>
          <t>Evidence Types Required</t>
        </is>
      </c>
      <c r="D13" s="750" t="inlineStr">
        <is>
          <t>15 types of compliance evidence</t>
        </is>
      </c>
    </row>
    <row r="16" ht="18" customHeight="1">
      <c r="A16" s="740" t="inlineStr">
        <is>
          <t xml:space="preserve">  KSA SECTOR SUMMARY</t>
        </is>
      </c>
    </row>
    <row r="17" ht="30" customHeight="1">
      <c r="A17" s="760" t="inlineStr">
        <is>
          <t>Sector</t>
        </is>
      </c>
      <c r="B17" s="760" t="inlineStr">
        <is>
          <t>Emoji</t>
        </is>
      </c>
      <c r="C17" s="760" t="inlineStr">
        <is>
          <t>Local Regs</t>
        </is>
      </c>
      <c r="D17" s="760" t="inlineStr">
        <is>
          <t>Intl Regs</t>
        </is>
      </c>
      <c r="E17" s="760" t="inlineStr">
        <is>
          <t>Total Regs</t>
        </is>
      </c>
      <c r="F17" s="760" t="inlineStr">
        <is>
          <t>Key Frameworks</t>
        </is>
      </c>
      <c r="G17" s="760" t="inlineStr">
        <is>
          <t>Controls</t>
        </is>
      </c>
      <c r="H17" s="760" t="inlineStr">
        <is>
          <t>Risk Level</t>
        </is>
      </c>
      <c r="I17" s="760" t="inlineStr">
        <is>
          <t>IoT Intensity</t>
        </is>
      </c>
      <c r="J17" s="760" t="inlineStr">
        <is>
          <t>Risk Score</t>
        </is>
      </c>
    </row>
    <row r="18">
      <c r="A18" s="761" t="inlineStr">
        <is>
          <t>Financial Services</t>
        </is>
      </c>
      <c r="B18" s="761" t="inlineStr">
        <is>
          <t>🏦</t>
        </is>
      </c>
      <c r="C18" s="761" t="n">
        <v>3</v>
      </c>
      <c r="D18" s="761" t="n">
        <v>7</v>
      </c>
      <c r="E18" s="761" t="n">
        <v>10</v>
      </c>
      <c r="F18" s="761" t="n">
        <v>8</v>
      </c>
      <c r="G18" s="761" t="n">
        <v>387</v>
      </c>
      <c r="H18" s="761" t="inlineStr">
        <is>
          <t>CRITICAL</t>
        </is>
      </c>
      <c r="I18" s="761" t="inlineStr">
        <is>
          <t>LOW</t>
        </is>
      </c>
      <c r="J18" s="761" t="n">
        <v>740</v>
      </c>
    </row>
    <row r="19">
      <c r="A19" s="761" t="inlineStr">
        <is>
          <t>Healthcare &amp; Life Sciences</t>
        </is>
      </c>
      <c r="B19" s="761" t="inlineStr">
        <is>
          <t>🏥</t>
        </is>
      </c>
      <c r="C19" s="761" t="n">
        <v>7</v>
      </c>
      <c r="D19" s="761" t="n">
        <v>3</v>
      </c>
      <c r="E19" s="761" t="n">
        <v>10</v>
      </c>
      <c r="F19" s="761" t="n">
        <v>8</v>
      </c>
      <c r="G19" s="761" t="n">
        <v>298</v>
      </c>
      <c r="H19" s="761" t="inlineStr">
        <is>
          <t>CRITICAL</t>
        </is>
      </c>
      <c r="I19" s="761" t="inlineStr">
        <is>
          <t>HIGHEST</t>
        </is>
      </c>
      <c r="J19" s="761" t="n">
        <v>746</v>
      </c>
    </row>
    <row r="20">
      <c r="A20" s="761" t="inlineStr">
        <is>
          <t>Cybersecurity &amp; Data</t>
        </is>
      </c>
      <c r="B20" s="761" t="inlineStr">
        <is>
          <t>🔒</t>
        </is>
      </c>
      <c r="C20" s="761" t="n">
        <v>4</v>
      </c>
      <c r="D20" s="761" t="n">
        <v>3</v>
      </c>
      <c r="E20" s="761" t="n">
        <v>7</v>
      </c>
      <c r="F20" s="761" t="n">
        <v>7</v>
      </c>
      <c r="G20" s="761" t="n">
        <v>358</v>
      </c>
      <c r="H20" s="761" t="inlineStr">
        <is>
          <t>CRITICAL</t>
        </is>
      </c>
      <c r="I20" s="761" t="inlineStr">
        <is>
          <t>HIGHEST</t>
        </is>
      </c>
      <c r="J20" s="761" t="n">
        <v>493</v>
      </c>
    </row>
    <row r="21">
      <c r="A21" s="762" t="inlineStr">
        <is>
          <t>ICT / Digital / Telecom</t>
        </is>
      </c>
      <c r="B21" s="762" t="inlineStr">
        <is>
          <t>📡</t>
        </is>
      </c>
      <c r="C21" s="762" t="n">
        <v>4</v>
      </c>
      <c r="D21" s="762" t="n">
        <v>2</v>
      </c>
      <c r="E21" s="762" t="n">
        <v>6</v>
      </c>
      <c r="F21" s="762" t="n">
        <v>6</v>
      </c>
      <c r="G21" s="762" t="n">
        <v>245</v>
      </c>
      <c r="H21" s="762" t="inlineStr">
        <is>
          <t>HIGH</t>
        </is>
      </c>
      <c r="I21" s="762" t="inlineStr">
        <is>
          <t>HIGH</t>
        </is>
      </c>
      <c r="J21" s="762" t="n">
        <v>493</v>
      </c>
    </row>
    <row r="22">
      <c r="A22" s="761" t="inlineStr">
        <is>
          <t>Energy &amp; Utilities</t>
        </is>
      </c>
      <c r="B22" s="761" t="inlineStr">
        <is>
          <t>⚡</t>
        </is>
      </c>
      <c r="C22" s="761" t="n">
        <v>5</v>
      </c>
      <c r="D22" s="761" t="n">
        <v>2</v>
      </c>
      <c r="E22" s="761" t="n">
        <v>7</v>
      </c>
      <c r="F22" s="761" t="n">
        <v>6</v>
      </c>
      <c r="G22" s="761" t="n">
        <v>223</v>
      </c>
      <c r="H22" s="761" t="inlineStr">
        <is>
          <t>CRITICAL</t>
        </is>
      </c>
      <c r="I22" s="761" t="inlineStr">
        <is>
          <t>HIGHEST</t>
        </is>
      </c>
      <c r="J22" s="761" t="n">
        <v>673</v>
      </c>
    </row>
    <row r="23">
      <c r="A23" s="761" t="inlineStr">
        <is>
          <t>Government &amp; Public Sector</t>
        </is>
      </c>
      <c r="B23" s="761" t="inlineStr">
        <is>
          <t>🏛️</t>
        </is>
      </c>
      <c r="C23" s="761" t="n">
        <v>6</v>
      </c>
      <c r="D23" s="761" t="n">
        <v>1</v>
      </c>
      <c r="E23" s="761" t="n">
        <v>7</v>
      </c>
      <c r="F23" s="761" t="n">
        <v>6</v>
      </c>
      <c r="G23" s="761" t="n">
        <v>305</v>
      </c>
      <c r="H23" s="761" t="inlineStr">
        <is>
          <t>CRITICAL</t>
        </is>
      </c>
      <c r="I23" s="761" t="inlineStr">
        <is>
          <t>MODERATE</t>
        </is>
      </c>
      <c r="J23" s="761" t="n">
        <v>648</v>
      </c>
    </row>
    <row r="24">
      <c r="A24" s="762" t="inlineStr">
        <is>
          <t>Tax / Customs / Trade</t>
        </is>
      </c>
      <c r="B24" s="762" t="inlineStr">
        <is>
          <t>📋</t>
        </is>
      </c>
      <c r="C24" s="762" t="n">
        <v>3</v>
      </c>
      <c r="D24" s="762" t="n">
        <v>2</v>
      </c>
      <c r="E24" s="762" t="n">
        <v>5</v>
      </c>
      <c r="F24" s="762" t="n">
        <v>5</v>
      </c>
      <c r="G24" s="762" t="n">
        <v>115</v>
      </c>
      <c r="H24" s="762" t="inlineStr">
        <is>
          <t>HIGH</t>
        </is>
      </c>
      <c r="I24" s="762" t="inlineStr">
        <is>
          <t>LOW</t>
        </is>
      </c>
      <c r="J24" s="762" t="n">
        <v>585</v>
      </c>
    </row>
    <row r="25">
      <c r="A25" s="763" t="inlineStr">
        <is>
          <t>Standards &amp; Quality</t>
        </is>
      </c>
      <c r="B25" s="763" t="inlineStr">
        <is>
          <t>✅</t>
        </is>
      </c>
      <c r="C25" s="763" t="n">
        <v>2</v>
      </c>
      <c r="D25" s="763" t="n">
        <v>2</v>
      </c>
      <c r="E25" s="763" t="n">
        <v>4</v>
      </c>
      <c r="F25" s="763" t="n">
        <v>4</v>
      </c>
      <c r="G25" s="763" t="n">
        <v>85</v>
      </c>
      <c r="H25" s="763" t="inlineStr">
        <is>
          <t>MEDIUM</t>
        </is>
      </c>
      <c r="I25" s="763" t="inlineStr">
        <is>
          <t>LOW</t>
        </is>
      </c>
      <c r="J25" s="763" t="n">
        <v>493</v>
      </c>
    </row>
    <row r="26">
      <c r="A26" s="762" t="inlineStr">
        <is>
          <t>Transport &amp; Logistics</t>
        </is>
      </c>
      <c r="B26" s="762" t="inlineStr">
        <is>
          <t>🚢</t>
        </is>
      </c>
      <c r="C26" s="762" t="n">
        <v>4</v>
      </c>
      <c r="D26" s="762" t="n">
        <v>1</v>
      </c>
      <c r="E26" s="762" t="n">
        <v>5</v>
      </c>
      <c r="F26" s="762" t="n">
        <v>4</v>
      </c>
      <c r="G26" s="762" t="n">
        <v>132</v>
      </c>
      <c r="H26" s="762" t="inlineStr">
        <is>
          <t>HIGH</t>
        </is>
      </c>
      <c r="I26" s="762" t="inlineStr">
        <is>
          <t>HIGH</t>
        </is>
      </c>
      <c r="J26" s="762" t="n">
        <v>493</v>
      </c>
    </row>
    <row r="27">
      <c r="A27" s="762" t="inlineStr">
        <is>
          <t>Industry &amp; Manufacturing</t>
        </is>
      </c>
      <c r="B27" s="762" t="inlineStr">
        <is>
          <t>🏭</t>
        </is>
      </c>
      <c r="C27" s="762" t="n">
        <v>4</v>
      </c>
      <c r="D27" s="762" t="n">
        <v>2</v>
      </c>
      <c r="E27" s="762" t="n">
        <v>6</v>
      </c>
      <c r="F27" s="762" t="n">
        <v>5</v>
      </c>
      <c r="G27" s="762" t="n">
        <v>145</v>
      </c>
      <c r="H27" s="762" t="inlineStr">
        <is>
          <t>HIGH</t>
        </is>
      </c>
      <c r="I27" s="762" t="inlineStr">
        <is>
          <t>HIGH</t>
        </is>
      </c>
      <c r="J27" s="762" t="n">
        <v>588</v>
      </c>
    </row>
    <row r="28">
      <c r="A28" s="763" t="inlineStr">
        <is>
          <t>Education &amp; Research</t>
        </is>
      </c>
      <c r="B28" s="763" t="inlineStr">
        <is>
          <t>🎓</t>
        </is>
      </c>
      <c r="C28" s="763" t="n">
        <v>4</v>
      </c>
      <c r="D28" s="763" t="n">
        <v>1</v>
      </c>
      <c r="E28" s="763" t="n">
        <v>5</v>
      </c>
      <c r="F28" s="763" t="n">
        <v>4</v>
      </c>
      <c r="G28" s="763" t="n">
        <v>95</v>
      </c>
      <c r="H28" s="763" t="inlineStr">
        <is>
          <t>MEDIUM</t>
        </is>
      </c>
      <c r="I28" s="763" t="inlineStr">
        <is>
          <t>MODERATE</t>
        </is>
      </c>
      <c r="J28" s="763" t="n">
        <v>493</v>
      </c>
    </row>
    <row r="29">
      <c r="A29" s="762" t="inlineStr">
        <is>
          <t>Legal &amp; Anti-Corruption</t>
        </is>
      </c>
      <c r="B29" s="762" t="inlineStr">
        <is>
          <t>⚖️</t>
        </is>
      </c>
      <c r="C29" s="762" t="n">
        <v>3</v>
      </c>
      <c r="D29" s="762" t="n">
        <v>1</v>
      </c>
      <c r="E29" s="762" t="n">
        <v>4</v>
      </c>
      <c r="F29" s="762" t="n">
        <v>4</v>
      </c>
      <c r="G29" s="762" t="n">
        <v>68</v>
      </c>
      <c r="H29" s="762" t="inlineStr">
        <is>
          <t>HIGH</t>
        </is>
      </c>
      <c r="I29" s="762" t="inlineStr">
        <is>
          <t>LOW</t>
        </is>
      </c>
      <c r="J29" s="762" t="n">
        <v>493</v>
      </c>
    </row>
    <row r="30">
      <c r="A30" s="762" t="inlineStr">
        <is>
          <t>Giga &amp; Special Zones</t>
        </is>
      </c>
      <c r="B30" s="762" t="inlineStr">
        <is>
          <t>🌆</t>
        </is>
      </c>
      <c r="C30" s="762" t="n">
        <v>5</v>
      </c>
      <c r="D30" s="762" t="n">
        <v>2</v>
      </c>
      <c r="E30" s="762" t="n">
        <v>7</v>
      </c>
      <c r="F30" s="762" t="n">
        <v>4</v>
      </c>
      <c r="G30" s="762" t="n">
        <v>178</v>
      </c>
      <c r="H30" s="762" t="inlineStr">
        <is>
          <t>HIGH</t>
        </is>
      </c>
      <c r="I30" s="762" t="inlineStr">
        <is>
          <t>HIGHEST</t>
        </is>
      </c>
      <c r="J30" s="762" t="n">
        <v>585</v>
      </c>
    </row>
    <row r="34" ht="18" customHeight="1">
      <c r="A34" s="764" t="inlineStr">
        <is>
          <t xml:space="preserve">  NAVIGATION — DRILL-DOWN SHEETS IN THIS WORKBOOK</t>
        </is>
      </c>
    </row>
    <row r="35" ht="18" customHeight="1">
      <c r="A35" s="747" t="inlineStr">
        <is>
          <t>→ KSA — Regulator Master</t>
        </is>
      </c>
      <c r="B35" s="765" t="inlineStr">
        <is>
          <t>All 75 regulators: local + international, tiers, power index, frameworks</t>
        </is>
      </c>
    </row>
    <row r="36" ht="18" customHeight="1">
      <c r="A36" s="747" t="inlineStr">
        <is>
          <t>→ KSA — Sector Drill-Down</t>
        </is>
      </c>
      <c r="B36" s="765" t="inlineStr">
        <is>
          <t>All 13 sectors: per sector regulators, frameworks, evidence, risk</t>
        </is>
      </c>
    </row>
    <row r="37" ht="18" customHeight="1">
      <c r="A37" s="747" t="inlineStr">
        <is>
          <t>→ KSA — Org Type Matrix</t>
        </is>
      </c>
      <c r="B37" s="765" t="inlineStr">
        <is>
          <t>All 12 org types: obligation matrix, CISO/DPO/MLRO requirements</t>
        </is>
      </c>
    </row>
    <row r="38" ht="18" customHeight="1">
      <c r="A38" s="747" t="inlineStr">
        <is>
          <t>→ KSA — Org Size Guide</t>
        </is>
      </c>
      <c r="B38" s="765" t="inlineStr">
        <is>
          <t>All 6 size tiers: compliance cost, controls, audit requirements</t>
        </is>
      </c>
    </row>
    <row r="39" ht="18" customHeight="1">
      <c r="A39" s="747" t="inlineStr">
        <is>
          <t>→ KSA — Framework Master</t>
        </is>
      </c>
      <c r="B39" s="765" t="inlineStr">
        <is>
          <t>All 23 key frameworks: domains, controls, evidence, risk, effective date</t>
        </is>
      </c>
    </row>
    <row r="40" ht="18" customHeight="1">
      <c r="A40" s="747" t="inlineStr">
        <is>
          <t>→ KSA — Evidence Matrix</t>
        </is>
      </c>
      <c r="B40" s="765" t="inlineStr">
        <is>
          <t>All 15 evidence types × org type cross-reference</t>
        </is>
      </c>
    </row>
    <row r="41" ht="18" customHeight="1">
      <c r="A41" s="747" t="inlineStr">
        <is>
          <t>→ KSA — Risk Matrix</t>
        </is>
      </c>
      <c r="B41" s="765" t="inlineStr">
        <is>
          <t>All 12 risk domains: heat map, KRIs, thresholds, escalation</t>
        </is>
      </c>
    </row>
  </sheetData>
  <mergeCells count="32">
    <mergeCell ref="D4:J4"/>
    <mergeCell ref="D3:J3"/>
    <mergeCell ref="D9:J9"/>
    <mergeCell ref="D12:J12"/>
    <mergeCell ref="D8:J8"/>
    <mergeCell ref="A3:C3"/>
    <mergeCell ref="A12:C12"/>
    <mergeCell ref="D5:J5"/>
    <mergeCell ref="B38:J38"/>
    <mergeCell ref="B37:J37"/>
    <mergeCell ref="A5:C5"/>
    <mergeCell ref="A8:C8"/>
    <mergeCell ref="A34:J34"/>
    <mergeCell ref="B40:J40"/>
    <mergeCell ref="D10:J10"/>
    <mergeCell ref="A4:C4"/>
    <mergeCell ref="A10:C10"/>
    <mergeCell ref="A1:J1"/>
    <mergeCell ref="A13:C13"/>
    <mergeCell ref="B36:J36"/>
    <mergeCell ref="D6:J6"/>
    <mergeCell ref="A9:C9"/>
    <mergeCell ref="B41:J41"/>
    <mergeCell ref="B35:J35"/>
    <mergeCell ref="A16:J16"/>
    <mergeCell ref="D11:J11"/>
    <mergeCell ref="D13:J13"/>
    <mergeCell ref="A11:C11"/>
    <mergeCell ref="A6:C6"/>
    <mergeCell ref="D7:J7"/>
    <mergeCell ref="A7:C7"/>
    <mergeCell ref="B39:J3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7"/>
  <sheetViews>
    <sheetView tabSelected="1" workbookViewId="0">
      <pane ySplit="3" topLeftCell="A53" activePane="bottomLeft" state="frozen"/>
      <selection pane="bottomLeft" activeCell="C57" sqref="C57"/>
    </sheetView>
  </sheetViews>
  <sheetFormatPr baseColWidth="8" defaultRowHeight="14.25"/>
  <cols>
    <col width="7.1328125" customWidth="1" min="1" max="1"/>
    <col width="39.1328125" customWidth="1" min="2" max="2"/>
    <col width="71.1328125" customWidth="1" min="3" max="3"/>
    <col width="12.46484375" customWidth="1" min="4" max="4"/>
    <col width="44.46484375" customWidth="1" min="5" max="5"/>
  </cols>
  <sheetData>
    <row r="1" ht="25.5" customHeight="1">
      <c r="A1" s="623" t="inlineStr">
        <is>
          <t>🏠 KSA GRC KNOWLEDGE BASE — NAVIGATION HUB</t>
        </is>
      </c>
    </row>
    <row r="2">
      <c r="A2" s="624" t="inlineStr">
        <is>
          <t>The Most Comprehensive GRC Intelligence Platform for Saudi Arabia • 108 Regulators • 452 Frameworks • 28,000+ Controls</t>
        </is>
      </c>
    </row>
    <row r="4" ht="18" customHeight="1">
      <c r="A4" s="576" t="inlineStr">
        <is>
          <t>📚 CORE DATA SHEETS</t>
        </is>
      </c>
    </row>
    <row r="5">
      <c r="A5" s="626" t="inlineStr">
        <is>
          <t>#</t>
        </is>
      </c>
      <c r="B5" s="625" t="inlineStr">
        <is>
          <t>Sheet Name</t>
        </is>
      </c>
      <c r="C5" s="625" t="inlineStr">
        <is>
          <t>Description</t>
        </is>
      </c>
      <c r="D5" s="626" t="inlineStr">
        <is>
          <t>Rows</t>
        </is>
      </c>
      <c r="E5" s="625" t="inlineStr">
        <is>
          <t>Purpose</t>
        </is>
      </c>
    </row>
    <row r="6">
      <c r="A6" s="591" t="n">
        <v>1</v>
      </c>
      <c r="B6" t="inlineStr">
        <is>
          <t>All 108 Regulators - Frameworks</t>
        </is>
      </c>
      <c r="C6" t="inlineStr">
        <is>
          <t>Master database: 452 framework entries across 53 data dimensions per framework</t>
        </is>
      </c>
      <c r="D6" s="591" t="n">
        <v>452</v>
      </c>
      <c r="E6" t="inlineStr">
        <is>
          <t>💾 Primary data source — DO NOT MODIFY structure</t>
        </is>
      </c>
    </row>
    <row r="7">
      <c r="A7" s="591" t="n">
        <v>2</v>
      </c>
      <c r="B7" t="inlineStr">
        <is>
          <t>Per-Regulator Summary</t>
        </is>
      </c>
      <c r="C7" t="inlineStr">
        <is>
          <t>107 regulators with framework count, codes, HC IoT ranking</t>
        </is>
      </c>
      <c r="D7" s="591" t="n">
        <v>107</v>
      </c>
      <c r="E7" t="inlineStr">
        <is>
          <t>📊 Regulator-level aggregation</t>
        </is>
      </c>
    </row>
    <row r="8">
      <c r="A8" s="591" t="n">
        <v>3</v>
      </c>
      <c r="B8" t="inlineStr">
        <is>
          <t>HC IoT Priority Ranked</t>
        </is>
      </c>
      <c r="C8" t="inlineStr">
        <is>
          <t>339 frameworks ranked by Healthcare IoT relevance</t>
        </is>
      </c>
      <c r="D8" s="591" t="n">
        <v>339</v>
      </c>
      <c r="E8" t="inlineStr">
        <is>
          <t>🏥 Healthcare IoT focus ranking</t>
        </is>
      </c>
    </row>
    <row r="9">
      <c r="A9" s="591" t="n">
        <v>4</v>
      </c>
      <c r="B9" t="inlineStr">
        <is>
          <t>Version Details Reference</t>
        </is>
      </c>
      <c r="C9" t="inlineStr">
        <is>
          <t>191 version history entries with change details</t>
        </is>
      </c>
      <c r="D9" s="591" t="n">
        <v>191</v>
      </c>
      <c r="E9" t="inlineStr">
        <is>
          <t>📅 Version tracking and change history</t>
        </is>
      </c>
    </row>
    <row r="10">
      <c r="A10" s="591" t="n">
        <v>5</v>
      </c>
      <c r="B10" t="inlineStr">
        <is>
          <t>HC IoT Compliance Checklist</t>
        </is>
      </c>
      <c r="C10" t="inlineStr">
        <is>
          <t>64-item compliance checklist for healthcare IoT</t>
        </is>
      </c>
      <c r="D10" s="591" t="n">
        <v>64</v>
      </c>
      <c r="E10" t="inlineStr">
        <is>
          <t>✅ Practical compliance checklist</t>
        </is>
      </c>
    </row>
    <row r="12" ht="18" customHeight="1">
      <c r="A12" s="576" t="inlineStr">
        <is>
          <t>🔬 ANALYSIS &amp; INTELLIGENCE SHEETS</t>
        </is>
      </c>
    </row>
    <row r="13">
      <c r="A13" s="591" t="n">
        <v>6</v>
      </c>
      <c r="B13" t="inlineStr">
        <is>
          <t>GRC Intelligence Engine</t>
        </is>
      </c>
      <c r="C13" t="inlineStr">
        <is>
          <t>🆕 Automated scoring: KPIs, Power Index, IoT distribution, Velocity, Maturity gaps</t>
        </is>
      </c>
      <c r="D13" s="591" t="inlineStr">
        <is>
          <t>210+</t>
        </is>
      </c>
      <c r="E13" t="inlineStr">
        <is>
          <t>🧠 Analytics engine — auto-updates from master data</t>
        </is>
      </c>
    </row>
    <row r="14">
      <c r="A14" s="591" t="n">
        <v>7</v>
      </c>
      <c r="B14" t="inlineStr">
        <is>
          <t>Executive Command Centre</t>
        </is>
      </c>
      <c r="C14" t="inlineStr">
        <is>
          <t>🆕 Visual dashboard with 4 charts, 7 KPI cards, auto-calculated metrics</t>
        </is>
      </c>
      <c r="D14" s="591" t="inlineStr">
        <is>
          <t>N/A</t>
        </is>
      </c>
      <c r="E14" t="inlineStr">
        <is>
          <t>📊 Executive presentation — charts auto-refresh</t>
        </is>
      </c>
    </row>
    <row r="15">
      <c r="A15" s="591" t="n">
        <v>8</v>
      </c>
      <c r="B15" t="inlineStr">
        <is>
          <t>GRC Linkage Engine</t>
        </is>
      </c>
      <c r="C15" t="inlineStr">
        <is>
          <t>🆕 Unified 9-dimension traceability: Controls ↔ Evidence ↔ Risk ↔ Lifecycle ↔ Policy ↔ Treatment ↔ Org Size ↔ Regulatory ↔ Sector</t>
        </is>
      </c>
      <c r="D15" s="591" t="inlineStr">
        <is>
          <t>135+</t>
        </is>
      </c>
      <c r="E15" t="inlineStr">
        <is>
          <t>🔗 End-to-end GRC operating model — connective tissue</t>
        </is>
      </c>
    </row>
    <row r="16">
      <c r="A16" s="591" t="n">
        <v>8</v>
      </c>
      <c r="B16" t="inlineStr">
        <is>
          <t>Risk Domain Coverage Matrix</t>
        </is>
      </c>
      <c r="C16" t="inlineStr">
        <is>
          <t>Framework × Risk Domain mapping with coverage scores</t>
        </is>
      </c>
      <c r="D16" s="591" t="n">
        <v>25</v>
      </c>
      <c r="E16" t="inlineStr">
        <is>
          <t>🎯 Risk coverage analysis</t>
        </is>
      </c>
    </row>
    <row r="17">
      <c r="A17" s="591" t="n">
        <v>9</v>
      </c>
      <c r="B17" t="inlineStr">
        <is>
          <t>Sector × Framework Matrix</t>
        </is>
      </c>
      <c r="C17" t="inlineStr">
        <is>
          <t>17 sectors × frameworks applicability matrix</t>
        </is>
      </c>
      <c r="D17" s="591" t="n">
        <v>33</v>
      </c>
      <c r="E17" t="inlineStr">
        <is>
          <t>🟢 Sector coverage map</t>
        </is>
      </c>
    </row>
    <row r="18">
      <c r="A18" s="591" t="n">
        <v>10</v>
      </c>
      <c r="B18" t="inlineStr">
        <is>
          <t>Framework Debate Matrix</t>
        </is>
      </c>
      <c r="C18" t="inlineStr">
        <is>
          <t>Academic for/against analysis per framework with citations</t>
        </is>
      </c>
      <c r="D18" s="591" t="n">
        <v>191</v>
      </c>
      <c r="E18" t="inlineStr">
        <is>
          <t>🎓 Academic positioning</t>
        </is>
      </c>
    </row>
    <row r="19">
      <c r="A19" s="591" t="n">
        <v>11</v>
      </c>
      <c r="B19" t="inlineStr">
        <is>
          <t>KSA GRC Architecture Map</t>
        </is>
      </c>
      <c r="C19" t="inlineStr">
        <is>
          <t>Layer-by-layer GRC ecosystem with dependencies and conflicts</t>
        </is>
      </c>
      <c r="D19" s="591" t="n">
        <v>36</v>
      </c>
      <c r="E19" t="inlineStr">
        <is>
          <t>🏗️ Architecture blueprint</t>
        </is>
      </c>
    </row>
    <row r="21" ht="18" customHeight="1">
      <c r="A21" s="576" t="inlineStr">
        <is>
          <t>🎯 OPERATIONAL SHEETS</t>
        </is>
      </c>
    </row>
    <row r="22">
      <c r="A22" s="591" t="n">
        <v>12</v>
      </c>
      <c r="B22" t="inlineStr">
        <is>
          <t>Audit Universe (All Sectors)</t>
        </is>
      </c>
      <c r="C22" t="inlineStr">
        <is>
          <t>49 audit areas with risk ratings, frequency, evidence requirements</t>
        </is>
      </c>
      <c r="D22" s="591" t="n">
        <v>49</v>
      </c>
      <c r="E22" t="inlineStr">
        <is>
          <t>🔎 Audit planning</t>
        </is>
      </c>
    </row>
    <row r="23">
      <c r="A23" s="591" t="n">
        <v>13</v>
      </c>
      <c r="B23" t="inlineStr">
        <is>
          <t>KRI Dashboard (All Sectors)</t>
        </is>
      </c>
      <c r="C23" t="inlineStr">
        <is>
          <t>42 Key Risk Indicators with Green/Amber/Red thresholds and benchmarks</t>
        </is>
      </c>
      <c r="D23" s="591" t="n">
        <v>42</v>
      </c>
      <c r="E23" t="inlineStr">
        <is>
          <t>🚦 Risk monitoring</t>
        </is>
      </c>
    </row>
    <row r="24">
      <c r="A24" s="591" t="n">
        <v>14</v>
      </c>
      <c r="B24" t="inlineStr">
        <is>
          <t>GRC Maturity (All Sectors)</t>
        </is>
      </c>
      <c r="C24" t="inlineStr">
        <is>
          <t>9 GRC domains × 5 maturity levels with evidence requirements</t>
        </is>
      </c>
      <c r="D24" s="591" t="n">
        <v>9</v>
      </c>
      <c r="E24" t="inlineStr">
        <is>
          <t>📈 Maturity assessment</t>
        </is>
      </c>
    </row>
    <row r="25">
      <c r="A25" s="591" t="n">
        <v>15</v>
      </c>
      <c r="B25" t="inlineStr">
        <is>
          <t>Compliance Calculator</t>
        </is>
      </c>
      <c r="C25" t="inlineStr">
        <is>
          <t>🆕 Input sector/entity → auto-generates applicable frameworks, controls, audits</t>
        </is>
      </c>
      <c r="D25" s="591" t="inlineStr">
        <is>
          <t>Dynamic</t>
        </is>
      </c>
      <c r="E25" t="inlineStr">
        <is>
          <t>🧮 Interactive compliance tool</t>
        </is>
      </c>
    </row>
    <row r="27" ht="18" customHeight="1">
      <c r="A27" s="576" t="inlineStr">
        <is>
          <t>🌐 STRATEGIC &amp; EXTENSIBILITY SHEETS</t>
        </is>
      </c>
    </row>
    <row r="28">
      <c r="A28" s="591" t="n">
        <v>16</v>
      </c>
      <c r="B28" t="inlineStr">
        <is>
          <t>Global GRC Benchmark</t>
        </is>
      </c>
      <c r="C28" t="inlineStr">
        <is>
          <t>🆕 KSA vs international frameworks (EU, US, UK, UAE, ISO)</t>
        </is>
      </c>
      <c r="D28" s="591" t="inlineStr">
        <is>
          <t>TBD</t>
        </is>
      </c>
      <c r="E28" t="inlineStr">
        <is>
          <t>🌍 International positioning</t>
        </is>
      </c>
    </row>
    <row r="29">
      <c r="A29" s="591" t="n">
        <v>17</v>
      </c>
      <c r="B29" t="inlineStr">
        <is>
          <t>Regulatory Change Log</t>
        </is>
      </c>
      <c r="C29" t="inlineStr">
        <is>
          <t>🆕 Version tracking with dropdown status, impact, deadlines</t>
        </is>
      </c>
      <c r="D29" s="591" t="inlineStr">
        <is>
          <t>Extensible</t>
        </is>
      </c>
      <c r="E29" t="inlineStr">
        <is>
          <t>📝 Change management</t>
        </is>
      </c>
    </row>
    <row r="30">
      <c r="A30" s="591" t="n">
        <v>18</v>
      </c>
      <c r="B30" t="inlineStr">
        <is>
          <t>Framework Dependencies</t>
        </is>
      </c>
      <c r="C30" t="inlineStr">
        <is>
          <t>🆕 Cross-framework relationship map: extends, overlaps, conflicts</t>
        </is>
      </c>
      <c r="D30" s="591" t="inlineStr">
        <is>
          <t>14+</t>
        </is>
      </c>
      <c r="E30" t="inlineStr">
        <is>
          <t>🔗 Dependency mapping</t>
        </is>
      </c>
    </row>
    <row r="32" ht="18" customHeight="1">
      <c r="A32" s="576" t="inlineStr">
        <is>
          <t>🎓 KNOWLEDGE &amp; LEARNING SHEETS</t>
        </is>
      </c>
    </row>
    <row r="33">
      <c r="A33" s="591" t="n">
        <v>19</v>
      </c>
      <c r="B33" t="inlineStr">
        <is>
          <t>Knowledge Foundation</t>
        </is>
      </c>
      <c r="C33" t="inlineStr">
        <is>
          <t>10 theoretical frameworks underpinning KSA GRC: governance theory, institutional theory, risk mgmt</t>
        </is>
      </c>
      <c r="D33" s="591" t="n">
        <v>10</v>
      </c>
      <c r="E33" t="inlineStr">
        <is>
          <t>📚 Academic theory base</t>
        </is>
      </c>
    </row>
    <row r="34">
      <c r="A34" s="591" t="n">
        <v>20</v>
      </c>
      <c r="B34" t="inlineStr">
        <is>
          <t>Learning Pathway</t>
        </is>
      </c>
      <c r="C34" t="inlineStr">
        <is>
          <t>26-step learning pathway from foundation to expert</t>
        </is>
      </c>
      <c r="D34" s="591" t="n">
        <v>26</v>
      </c>
      <c r="E34" t="inlineStr">
        <is>
          <t>🎓 Professional development</t>
        </is>
      </c>
    </row>
    <row r="35">
      <c r="A35" s="591" t="n">
        <v>21</v>
      </c>
      <c r="B35" t="inlineStr">
        <is>
          <t>GH-ICGA Positioning Matrix</t>
        </is>
      </c>
      <c r="C35" t="inlineStr">
        <is>
          <t>5-layer GH-ICGA framework positioning with academic research gaps</t>
        </is>
      </c>
      <c r="D35" s="591" t="n">
        <v>5</v>
      </c>
      <c r="E35" t="inlineStr">
        <is>
          <t>🎯 Thesis positioning</t>
        </is>
      </c>
    </row>
    <row r="36">
      <c r="A36" s="591" t="n">
        <v>22</v>
      </c>
      <c r="B36" t="inlineStr">
        <is>
          <t>Content Eval &amp; Shahin-AI</t>
        </is>
      </c>
      <c r="C36" t="inlineStr">
        <is>
          <t>🆕 Full evaluation: 10-dimension scoring, AI architecture, RAG chunking spec, 8 MCP endpoints, improvement roadmap</t>
        </is>
      </c>
      <c r="D36" s="591" t="inlineStr">
        <is>
          <t>145+</t>
        </is>
      </c>
      <c r="E36" t="inlineStr">
        <is>
          <t>🧪 Combined human + AI optimisation report</t>
        </is>
      </c>
    </row>
    <row r="37">
      <c r="A37" s="634" t="inlineStr">
        <is>
          <t>Last Updated: April 2026 • Built for GH-ICGA Doctoral Research • © KSA GRC Knowledge Base</t>
        </is>
      </c>
    </row>
  </sheetData>
  <mergeCells count="2">
    <mergeCell ref="A2:E2"/>
    <mergeCell ref="A1:E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35"/>
  <sheetViews>
    <sheetView workbookViewId="0">
      <pane ySplit="3" topLeftCell="A125" activePane="bottomLeft" state="frozen"/>
      <selection pane="bottomLeft" activeCell="A1" sqref="A1:J1"/>
    </sheetView>
  </sheetViews>
  <sheetFormatPr baseColWidth="8" defaultRowHeight="14.25"/>
  <cols>
    <col width="28.46484375" customWidth="1" min="1" max="1"/>
    <col width="49.796875" customWidth="1" min="2" max="4"/>
    <col width="44.46484375" customWidth="1" min="5" max="5"/>
    <col width="49.796875" customWidth="1" min="6" max="6"/>
    <col width="35.53125" customWidth="1" min="7" max="7"/>
    <col width="44.46484375" customWidth="1" min="8" max="10"/>
  </cols>
  <sheetData>
    <row r="1" ht="23.25" customHeight="1">
      <c r="A1" s="678" t="inlineStr">
        <is>
          <t>🔗 GRC LINKAGE ENGINE — UNIFIED CONTROL-TO-SECTOR TRACEABILITY</t>
        </is>
      </c>
    </row>
    <row r="2">
      <c r="A2" s="679" t="inlineStr">
        <is>
          <t>Controls ↔ Evidence ↔ Risk ↔ Lifecycle ↔ Policy ↔ Treatment ↔ Org Size ↔ KSA Regulatory ↔ Sector • End-to-end GRC operating model</t>
        </is>
      </c>
    </row>
    <row r="3">
      <c r="A3" s="680" t="n"/>
      <c r="B3" s="680" t="n"/>
      <c r="C3" s="680" t="n"/>
      <c r="D3" s="680" t="n"/>
      <c r="E3" s="680" t="n"/>
      <c r="F3" s="680" t="n"/>
      <c r="G3" s="680" t="n"/>
      <c r="H3" s="680" t="n"/>
      <c r="I3" s="680" t="n"/>
      <c r="J3" s="680" t="n"/>
    </row>
    <row r="4" ht="15.75" customHeight="1">
      <c r="A4" s="681" t="inlineStr">
        <is>
          <t>━━━ SECTION A: CONTROL-TO-EVIDENCE MATRIX ━━━</t>
        </is>
      </c>
      <c r="I4" s="680" t="n"/>
      <c r="J4" s="680" t="n"/>
    </row>
    <row r="5">
      <c r="A5" s="682" t="inlineStr">
        <is>
          <t>Link ID</t>
        </is>
      </c>
      <c r="B5" s="683" t="inlineStr">
        <is>
          <t>Framework</t>
        </is>
      </c>
      <c r="C5" s="683" t="inlineStr">
        <is>
          <t>Control Category</t>
        </is>
      </c>
      <c r="D5" s="683" t="inlineStr">
        <is>
          <t>Control Domain</t>
        </is>
      </c>
      <c r="E5" s="683" t="inlineStr">
        <is>
          <t>Evidence Type Required</t>
        </is>
      </c>
      <c r="F5" s="683" t="inlineStr">
        <is>
          <t>Evidence Examples</t>
        </is>
      </c>
      <c r="G5" s="682" t="inlineStr">
        <is>
          <t>Evidence Retention</t>
        </is>
      </c>
      <c r="H5" s="683" t="inlineStr">
        <is>
          <t>→ Risk if Missing</t>
        </is>
      </c>
      <c r="I5" s="680" t="n"/>
      <c r="J5" s="680" t="n"/>
    </row>
    <row r="6" ht="45" customHeight="1">
      <c r="A6" s="684" t="inlineStr">
        <is>
          <t>CE-001</t>
        </is>
      </c>
      <c r="B6" s="680" t="inlineStr">
        <is>
          <t>NCA-ECC-2:2024</t>
        </is>
      </c>
      <c r="C6" s="680" t="inlineStr">
        <is>
          <t>Administrative (A)</t>
        </is>
      </c>
      <c r="D6" s="680" t="inlineStr">
        <is>
          <t>Governance &amp; Leadership (A.1)</t>
        </is>
      </c>
      <c r="E6" s="680" t="inlineStr">
        <is>
          <t>Policy Document</t>
        </is>
      </c>
      <c r="F6" s="680" t="inlineStr">
        <is>
          <t>Board-approved cybersecurity strategy; CISO appointment letter; cyber committee TOR; governance framework document</t>
        </is>
      </c>
      <c r="G6" s="684" t="inlineStr">
        <is>
          <t>5 years</t>
        </is>
      </c>
      <c r="H6" s="680" t="inlineStr">
        <is>
          <t>→ RISK-001: Governance failure → NCA non-compliance → SAR 25M fine</t>
        </is>
      </c>
      <c r="I6" s="680" t="n"/>
      <c r="J6" s="680" t="n"/>
    </row>
    <row r="7" ht="45" customHeight="1">
      <c r="A7" s="684" t="inlineStr">
        <is>
          <t>CE-002</t>
        </is>
      </c>
      <c r="B7" s="680" t="inlineStr">
        <is>
          <t>NCA-ECC-2:2024</t>
        </is>
      </c>
      <c r="C7" s="680" t="inlineStr">
        <is>
          <t>Administrative (A)</t>
        </is>
      </c>
      <c r="D7" s="680" t="inlineStr">
        <is>
          <t>Workforce &amp; Saudisation (A.2)</t>
        </is>
      </c>
      <c r="E7" s="680" t="inlineStr">
        <is>
          <t>HR Records + Certificates</t>
        </is>
      </c>
      <c r="F7" s="680" t="inlineStr">
        <is>
          <t>Saudi national ID verification for cyber roles; NCA-recognised CISO certification; Qiwa Saudisation report; GOSI registration proof</t>
        </is>
      </c>
      <c r="G7" s="684" t="inlineStr">
        <is>
          <t>Duration + 3yr</t>
        </is>
      </c>
      <c r="H7" s="680" t="inlineStr">
        <is>
          <t>→ RISK-002: Saudisation breach → Nitaqat Red zone + ECC-2 non-compliance</t>
        </is>
      </c>
      <c r="I7" s="680" t="n"/>
      <c r="J7" s="680" t="n"/>
    </row>
    <row r="8" ht="45" customHeight="1">
      <c r="A8" s="684" t="inlineStr">
        <is>
          <t>CE-003</t>
        </is>
      </c>
      <c r="B8" s="680" t="inlineStr">
        <is>
          <t>NCA-ECC-2:2024</t>
        </is>
      </c>
      <c r="C8" s="680" t="inlineStr">
        <is>
          <t>Administrative (A)</t>
        </is>
      </c>
      <c r="D8" s="680" t="inlineStr">
        <is>
          <t>Training &amp; Awareness (A.3)</t>
        </is>
      </c>
      <c r="E8" s="680" t="inlineStr">
        <is>
          <t>Training Records</t>
        </is>
      </c>
      <c r="F8" s="680" t="inlineStr">
        <is>
          <t>Annual awareness completion logs; phishing simulation results; role-based training certificates; social engineering test reports</t>
        </is>
      </c>
      <c r="G8" s="684" t="inlineStr">
        <is>
          <t>3 years</t>
        </is>
      </c>
      <c r="H8" s="680" t="inlineStr">
        <is>
          <t>→ RISK-003: Human factor vulnerability → breach likelihood increases 4×</t>
        </is>
      </c>
      <c r="I8" s="680" t="n"/>
      <c r="J8" s="680" t="n"/>
    </row>
    <row r="9" ht="45" customHeight="1">
      <c r="A9" s="684" t="inlineStr">
        <is>
          <t>CE-004</t>
        </is>
      </c>
      <c r="B9" s="680" t="inlineStr">
        <is>
          <t>NCA-ECC-2:2024</t>
        </is>
      </c>
      <c r="C9" s="680" t="inlineStr">
        <is>
          <t>Technical (T)</t>
        </is>
      </c>
      <c r="D9" s="680" t="inlineStr">
        <is>
          <t>Access Control (T.1)</t>
        </is>
      </c>
      <c r="E9" s="680" t="inlineStr">
        <is>
          <t>System Configuration + Logs</t>
        </is>
      </c>
      <c r="F9" s="680" t="inlineStr">
        <is>
          <t>IAM policy; MFA deployment evidence; privileged access reviews (quarterly); access recertification; segregation of duties matrix</t>
        </is>
      </c>
      <c r="G9" s="684" t="inlineStr">
        <is>
          <t>3 years</t>
        </is>
      </c>
      <c r="H9" s="680" t="inlineStr">
        <is>
          <t>→ RISK-004: Unauthorised access → data breach → PDPL + NCA dual penalty</t>
        </is>
      </c>
      <c r="I9" s="680" t="n"/>
      <c r="J9" s="680" t="n"/>
    </row>
    <row r="10" ht="45" customHeight="1">
      <c r="A10" s="684" t="inlineStr">
        <is>
          <t>CE-005</t>
        </is>
      </c>
      <c r="B10" s="680" t="inlineStr">
        <is>
          <t>NCA-ECC-2:2024</t>
        </is>
      </c>
      <c r="C10" s="680" t="inlineStr">
        <is>
          <t>Technical (T)</t>
        </is>
      </c>
      <c r="D10" s="680" t="inlineStr">
        <is>
          <t>Network Security (T.2)</t>
        </is>
      </c>
      <c r="E10" s="680" t="inlineStr">
        <is>
          <t>Architecture Diagram + Scans</t>
        </is>
      </c>
      <c r="F10" s="680" t="inlineStr">
        <is>
          <t>Network segmentation diagram; firewall rulesets; IDS/IPS alerts; penetration test report (annual); vulnerability scan (monthly)</t>
        </is>
      </c>
      <c r="G10" s="684" t="inlineStr">
        <is>
          <t>3 years</t>
        </is>
      </c>
      <c r="H10" s="680" t="inlineStr">
        <is>
          <t>→ RISK-005: Network compromise → lateral movement → CNI disruption</t>
        </is>
      </c>
      <c r="I10" s="680" t="n"/>
      <c r="J10" s="680" t="n"/>
    </row>
    <row r="11" ht="45" customHeight="1">
      <c r="A11" s="684" t="inlineStr">
        <is>
          <t>CE-006</t>
        </is>
      </c>
      <c r="B11" s="680" t="inlineStr">
        <is>
          <t>NCA-ECC-2:2024</t>
        </is>
      </c>
      <c r="C11" s="680" t="inlineStr">
        <is>
          <t>Technical (T)</t>
        </is>
      </c>
      <c r="D11" s="680" t="inlineStr">
        <is>
          <t>Encryption &amp; Data Protection (T.3)</t>
        </is>
      </c>
      <c r="E11" s="680" t="inlineStr">
        <is>
          <t>Technical Configuration</t>
        </is>
      </c>
      <c r="F11" s="680" t="inlineStr">
        <is>
          <t>Encryption at rest/transit evidence; certificate management; key rotation logs; data classification matrix; DLP rule evidence</t>
        </is>
      </c>
      <c r="G11" s="684" t="inlineStr">
        <is>
          <t>3 years</t>
        </is>
      </c>
      <c r="H11" s="680" t="inlineStr">
        <is>
          <t>→ RISK-006: Data exposure → PDPL breach + patient privacy violation</t>
        </is>
      </c>
      <c r="I11" s="680" t="n"/>
      <c r="J11" s="680" t="n"/>
    </row>
    <row r="12" ht="45" customHeight="1">
      <c r="A12" s="684" t="inlineStr">
        <is>
          <t>CE-007</t>
        </is>
      </c>
      <c r="B12" s="680" t="inlineStr">
        <is>
          <t>NCA-ECC-2:2024</t>
        </is>
      </c>
      <c r="C12" s="680" t="inlineStr">
        <is>
          <t>Operational (O)</t>
        </is>
      </c>
      <c r="D12" s="680" t="inlineStr">
        <is>
          <t>Incident Response (O.1)</t>
        </is>
      </c>
      <c r="E12" s="680" t="inlineStr">
        <is>
          <t>IR Plan + Test Records</t>
        </is>
      </c>
      <c r="F12" s="680" t="inlineStr">
        <is>
          <t>NCA-aligned IR plan; 24h NCA notification procedure; tabletop exercise report (annual); post-incident review; CSIRT roster</t>
        </is>
      </c>
      <c r="G12" s="684" t="inlineStr">
        <is>
          <t>5 years</t>
        </is>
      </c>
      <c r="H12" s="680" t="inlineStr">
        <is>
          <t>→ RISK-007: Delayed response → NCA 24h breach → regulatory escalation</t>
        </is>
      </c>
      <c r="I12" s="680" t="n"/>
      <c r="J12" s="680" t="n"/>
    </row>
    <row r="13" ht="45" customHeight="1">
      <c r="A13" s="684" t="inlineStr">
        <is>
          <t>CE-008</t>
        </is>
      </c>
      <c r="B13" s="680" t="inlineStr">
        <is>
          <t>NCA-ECC-2:2024</t>
        </is>
      </c>
      <c r="C13" s="680" t="inlineStr">
        <is>
          <t>Operational (O)</t>
        </is>
      </c>
      <c r="D13" s="680" t="inlineStr">
        <is>
          <t>BCP &amp; Disaster Recovery (O.2)</t>
        </is>
      </c>
      <c r="E13" s="680" t="inlineStr">
        <is>
          <t>BCP + DR Test Evidence</t>
        </is>
      </c>
      <c r="F13" s="680" t="inlineStr">
        <is>
          <t>Business impact analysis; RTO/RPO definitions; DR test results (annual); backup verification; failover evidence</t>
        </is>
      </c>
      <c r="G13" s="684" t="inlineStr">
        <is>
          <t>5 years</t>
        </is>
      </c>
      <c r="H13" s="680" t="inlineStr">
        <is>
          <t>→ RISK-008: Service disruption → patient safety impact → clinical harm</t>
        </is>
      </c>
      <c r="I13" s="680" t="n"/>
      <c r="J13" s="680" t="n"/>
    </row>
    <row r="14" ht="45" customHeight="1">
      <c r="A14" s="684" t="inlineStr">
        <is>
          <t>CE-009</t>
        </is>
      </c>
      <c r="B14" s="680" t="inlineStr">
        <is>
          <t>NCA-ECC-2:2024</t>
        </is>
      </c>
      <c r="C14" s="680" t="inlineStr">
        <is>
          <t>Operational (O)</t>
        </is>
      </c>
      <c r="D14" s="680" t="inlineStr">
        <is>
          <t>Third-Party Management (O.3)</t>
        </is>
      </c>
      <c r="E14" s="680" t="inlineStr">
        <is>
          <t>Vendor Assessment + Contracts</t>
        </is>
      </c>
      <c r="F14" s="680" t="inlineStr">
        <is>
          <t>Vendor risk assessments; ECC-2 compliance clauses in contracts; right-to-audit evidence; annual vendor reassessment; NCA-registered CSP verification</t>
        </is>
      </c>
      <c r="G14" s="684" t="inlineStr">
        <is>
          <t>Contract + 3yr</t>
        </is>
      </c>
      <c r="H14" s="680" t="inlineStr">
        <is>
          <t>→ RISK-009: Supply chain compromise → inherited risk → NCA responsibility</t>
        </is>
      </c>
      <c r="I14" s="680" t="n"/>
      <c r="J14" s="680" t="n"/>
    </row>
    <row r="15" ht="45" customHeight="1">
      <c r="A15" s="684" t="inlineStr">
        <is>
          <t>CE-010</t>
        </is>
      </c>
      <c r="B15" s="680" t="inlineStr">
        <is>
          <t>PDPL-2021</t>
        </is>
      </c>
      <c r="C15" s="680" t="inlineStr">
        <is>
          <t>Legal/Privacy</t>
        </is>
      </c>
      <c r="D15" s="680" t="inlineStr">
        <is>
          <t>Data Subject Rights (PDPL Art. 4-8)</t>
        </is>
      </c>
      <c r="E15" s="680" t="inlineStr">
        <is>
          <t>Process Documentation</t>
        </is>
      </c>
      <c r="F15" s="680" t="inlineStr">
        <is>
          <t>Consent records; privacy notices; DSAR response logs (30-day SLA); right-to-deletion evidence; data portability procedures</t>
        </is>
      </c>
      <c r="G15" s="684" t="inlineStr">
        <is>
          <t>10 years</t>
        </is>
      </c>
      <c r="H15" s="680" t="inlineStr">
        <is>
          <t>→ RISK-010: PDPL violation → SDAIA penalty + criminal for breach notification failure</t>
        </is>
      </c>
      <c r="I15" s="680" t="n"/>
      <c r="J15" s="680" t="n"/>
    </row>
    <row r="16" ht="45" customHeight="1">
      <c r="A16" s="684" t="inlineStr">
        <is>
          <t>CE-011</t>
        </is>
      </c>
      <c r="B16" s="680" t="inlineStr">
        <is>
          <t>PDPL-2021</t>
        </is>
      </c>
      <c r="C16" s="680" t="inlineStr">
        <is>
          <t>Legal/Privacy</t>
        </is>
      </c>
      <c r="D16" s="680" t="inlineStr">
        <is>
          <t>DPIA &amp; Impact Assessment (PDPL Art. 22)</t>
        </is>
      </c>
      <c r="E16" s="680" t="inlineStr">
        <is>
          <t>Assessment Report</t>
        </is>
      </c>
      <c r="F16" s="680" t="inlineStr">
        <is>
          <t>Data Protection Impact Assessment register; high-risk processing inventory; SDAIA notification for automated decision-making; cross-border transfer assessment</t>
        </is>
      </c>
      <c r="G16" s="684" t="inlineStr">
        <is>
          <t>Lifetime + 5yr</t>
        </is>
      </c>
      <c r="H16" s="680" t="inlineStr">
        <is>
          <t>→ RISK-011: Unassessed processing → unlawful activity → SDAIA enforcement</t>
        </is>
      </c>
      <c r="I16" s="680" t="n"/>
      <c r="J16" s="680" t="n"/>
    </row>
    <row r="17" ht="45" customHeight="1">
      <c r="A17" s="684" t="inlineStr">
        <is>
          <t>CE-012</t>
        </is>
      </c>
      <c r="B17" s="680" t="inlineStr">
        <is>
          <t>NCA-OTCC-1:2022</t>
        </is>
      </c>
      <c r="C17" s="680" t="inlineStr">
        <is>
          <t>OT Security</t>
        </is>
      </c>
      <c r="D17" s="680" t="inlineStr">
        <is>
          <t>OT Asset Inventory &amp; Segmentation</t>
        </is>
      </c>
      <c r="E17" s="680" t="inlineStr">
        <is>
          <t>Inventory + Architecture</t>
        </is>
      </c>
      <c r="F17" s="680" t="inlineStr">
        <is>
          <t>Complete OT asset register; Purdue model zone diagram; IT/OT segmentation evidence; SCADA/HMI access controls; OT patch register</t>
        </is>
      </c>
      <c r="G17" s="684" t="inlineStr">
        <is>
          <t>5 years</t>
        </is>
      </c>
      <c r="H17" s="680" t="inlineStr">
        <is>
          <t>→ RISK-012: Unmanaged OT → CNI disruption → patient safety (medical devices)</t>
        </is>
      </c>
      <c r="I17" s="680" t="n"/>
      <c r="J17" s="680" t="n"/>
    </row>
    <row r="18" ht="45" customHeight="1">
      <c r="A18" s="684" t="inlineStr">
        <is>
          <t>CE-013</t>
        </is>
      </c>
      <c r="B18" s="680" t="inlineStr">
        <is>
          <t>SFDA-MDR</t>
        </is>
      </c>
      <c r="C18" s="680" t="inlineStr">
        <is>
          <t>Medical Device</t>
        </is>
      </c>
      <c r="D18" s="680" t="inlineStr">
        <is>
          <t>Device Registration &amp; Lifecycle</t>
        </is>
      </c>
      <c r="E18" s="680" t="inlineStr">
        <is>
          <t>Registration + Vigilance</t>
        </is>
      </c>
      <c r="F18" s="680" t="inlineStr">
        <is>
          <t>SFDA marketing authorisation; UDI registration; adverse event reports; post-market surveillance plan; device recall procedures</t>
        </is>
      </c>
      <c r="G18" s="684" t="inlineStr">
        <is>
          <t>Device life + 15yr</t>
        </is>
      </c>
      <c r="H18" s="680" t="inlineStr">
        <is>
          <t>→ RISK-013: Unregistered device → SFDA seizure + patient safety risk</t>
        </is>
      </c>
      <c r="I18" s="680" t="n"/>
      <c r="J18" s="680" t="n"/>
    </row>
    <row r="19" ht="45" customHeight="1">
      <c r="A19" s="684" t="inlineStr">
        <is>
          <t>CE-014</t>
        </is>
      </c>
      <c r="B19" s="680" t="inlineStr">
        <is>
          <t>MOH-HIS</t>
        </is>
      </c>
      <c r="C19" s="680" t="inlineStr">
        <is>
          <t>Health IT</t>
        </is>
      </c>
      <c r="D19" s="680" t="inlineStr">
        <is>
          <t>EMR/HIS Interoperability</t>
        </is>
      </c>
      <c r="E19" s="680" t="inlineStr">
        <is>
          <t>Integration + Certification</t>
        </is>
      </c>
      <c r="F19" s="680" t="inlineStr">
        <is>
          <t>NABIDH connectivity certificate; HL7 FHIR conformance; data exchange logs; HIS uptime SLA evidence; clinical data integrity checks</t>
        </is>
      </c>
      <c r="G19" s="684" t="inlineStr">
        <is>
          <t>10 years</t>
        </is>
      </c>
      <c r="H19" s="680" t="inlineStr">
        <is>
          <t>→ RISK-014: Data silo → clinical decision gaps → patient safety</t>
        </is>
      </c>
      <c r="I19" s="680" t="n"/>
      <c r="J19" s="680" t="n"/>
    </row>
    <row r="20" ht="45" customHeight="1">
      <c r="A20" s="684" t="inlineStr">
        <is>
          <t>CE-015</t>
        </is>
      </c>
      <c r="B20" s="680" t="inlineStr">
        <is>
          <t>CBAHI-HAS-H</t>
        </is>
      </c>
      <c r="C20" s="680" t="inlineStr">
        <is>
          <t>Accreditation</t>
        </is>
      </c>
      <c r="D20" s="680" t="inlineStr">
        <is>
          <t>Hospital Quality &amp; Safety</t>
        </is>
      </c>
      <c r="E20" s="680" t="inlineStr">
        <is>
          <t>Clinical Quality Records</t>
        </is>
      </c>
      <c r="F20" s="680" t="inlineStr">
        <is>
          <t>Mortality &amp; morbidity reviews; infection control surveillance; medication error reports; patient satisfaction surveys; clinical audit results</t>
        </is>
      </c>
      <c r="G20" s="684" t="inlineStr">
        <is>
          <t>5 years</t>
        </is>
      </c>
      <c r="H20" s="680" t="inlineStr">
        <is>
          <t>→ RISK-015: Accreditation loss → cannot bill insurers → operational shutdown</t>
        </is>
      </c>
      <c r="I20" s="680" t="n"/>
      <c r="J20" s="680" t="n"/>
    </row>
    <row r="21">
      <c r="A21" s="680" t="n"/>
      <c r="B21" s="680" t="n"/>
      <c r="C21" s="680" t="n"/>
      <c r="D21" s="680" t="n"/>
      <c r="E21" s="680" t="n"/>
      <c r="F21" s="680" t="n"/>
      <c r="G21" s="680" t="n"/>
      <c r="H21" s="680" t="n"/>
      <c r="I21" s="680" t="n"/>
      <c r="J21" s="680" t="n"/>
    </row>
    <row r="22" ht="15.75" customHeight="1">
      <c r="A22" s="685" t="inlineStr">
        <is>
          <t>━━━ SECTION B: EVIDENCE-GAP-TO-RISK MAP — What Happens When Evidence Is Missing ━━━</t>
        </is>
      </c>
      <c r="I22" s="680" t="n"/>
      <c r="J22" s="680" t="n"/>
    </row>
    <row r="23">
      <c r="A23" s="686" t="inlineStr">
        <is>
          <t>Risk ID</t>
        </is>
      </c>
      <c r="B23" s="687" t="inlineStr">
        <is>
          <t>Evidence Gap</t>
        </is>
      </c>
      <c r="C23" s="687" t="inlineStr">
        <is>
          <t>Primary Risk Domain</t>
        </is>
      </c>
      <c r="D23" s="687" t="inlineStr">
        <is>
          <t>Secondary Risk</t>
        </is>
      </c>
      <c r="E23" s="686" t="inlineStr">
        <is>
          <t>Inherent Risk Level</t>
        </is>
      </c>
      <c r="F23" s="687" t="inlineStr">
        <is>
          <t>Regulatory Consequence</t>
        </is>
      </c>
      <c r="G23" s="686" t="inlineStr">
        <is>
          <t>Linked KRI</t>
        </is>
      </c>
      <c r="H23" s="687" t="inlineStr">
        <is>
          <t>→ Lifecycle Phase</t>
        </is>
      </c>
      <c r="I23" s="680" t="n"/>
      <c r="J23" s="680" t="n"/>
    </row>
    <row r="24" ht="42" customHeight="1">
      <c r="A24" s="684" t="inlineStr">
        <is>
          <t>RISK-001</t>
        </is>
      </c>
      <c r="B24" s="680" t="inlineStr">
        <is>
          <t>No board-approved cyber strategy / CISO appointment</t>
        </is>
      </c>
      <c r="C24" s="680" t="inlineStr">
        <is>
          <t>Governance Failure</t>
        </is>
      </c>
      <c r="D24" s="680" t="inlineStr">
        <is>
          <t>Regulatory Risk</t>
        </is>
      </c>
      <c r="E24" s="684" t="inlineStr">
        <is>
          <t>🔴 CRITICAL</t>
        </is>
      </c>
      <c r="F24" s="680" t="inlineStr">
        <is>
          <t>NCA-REG-2024: SAR 25M fine + criminal referral for senior management; ECC-2 self-assessment score &lt;60% triggers NCA audit</t>
        </is>
      </c>
      <c r="G24" s="684" t="inlineStr">
        <is>
          <t>KRI-X001</t>
        </is>
      </c>
      <c r="H24" s="680" t="inlineStr">
        <is>
          <t>→ PLAN phase</t>
        </is>
      </c>
      <c r="I24" s="680" t="n"/>
      <c r="J24" s="680" t="n"/>
    </row>
    <row r="25" ht="42" customHeight="1">
      <c r="A25" s="684" t="inlineStr">
        <is>
          <t>RISK-002</t>
        </is>
      </c>
      <c r="B25" s="680" t="inlineStr">
        <is>
          <t>Non-Saudi in mandatory cyber roles / no Saudi ID proof</t>
        </is>
      </c>
      <c r="C25" s="680" t="inlineStr">
        <is>
          <t>Workforce Compliance</t>
        </is>
      </c>
      <c r="D25" s="680" t="inlineStr">
        <is>
          <t>Regulatory Risk</t>
        </is>
      </c>
      <c r="E25" s="684" t="inlineStr">
        <is>
          <t>🔴 CRITICAL</t>
        </is>
      </c>
      <c r="F25" s="680" t="inlineStr">
        <is>
          <t>Dual penalty: NCA ECC-2 non-compliance + MHRSD Nitaqat Red zone; visa block; work permit suspension</t>
        </is>
      </c>
      <c r="G25" s="684" t="inlineStr">
        <is>
          <t>KRI-X004</t>
        </is>
      </c>
      <c r="H25" s="680" t="inlineStr">
        <is>
          <t>→ OPERATE phase</t>
        </is>
      </c>
      <c r="I25" s="680" t="n"/>
      <c r="J25" s="680" t="n"/>
    </row>
    <row r="26" ht="42" customHeight="1">
      <c r="A26" s="684" t="inlineStr">
        <is>
          <t>RISK-003</t>
        </is>
      </c>
      <c r="B26" s="680" t="inlineStr">
        <is>
          <t>No training completion records / phishing test results</t>
        </is>
      </c>
      <c r="C26" s="680" t="inlineStr">
        <is>
          <t>Human Factor Vulnerability</t>
        </is>
      </c>
      <c r="D26" s="680" t="inlineStr">
        <is>
          <t>Cyber Risk</t>
        </is>
      </c>
      <c r="E26" s="684" t="inlineStr">
        <is>
          <t>🟠 HIGH</t>
        </is>
      </c>
      <c r="F26" s="680" t="inlineStr">
        <is>
          <t>NCA finding in self-assessment Domain 1; increased breach probability; insurance may void coverage</t>
        </is>
      </c>
      <c r="G26" s="684" t="inlineStr">
        <is>
          <t>KRI-X001</t>
        </is>
      </c>
      <c r="H26" s="680" t="inlineStr">
        <is>
          <t>→ OPERATE phase</t>
        </is>
      </c>
      <c r="I26" s="680" t="n"/>
      <c r="J26" s="680" t="n"/>
    </row>
    <row r="27" ht="42" customHeight="1">
      <c r="A27" s="684" t="inlineStr">
        <is>
          <t>RISK-004</t>
        </is>
      </c>
      <c r="B27" s="680" t="inlineStr">
        <is>
          <t>No MFA evidence / missing privileged access reviews</t>
        </is>
      </c>
      <c r="C27" s="680" t="inlineStr">
        <is>
          <t>Unauthorised Access</t>
        </is>
      </c>
      <c r="D27" s="680" t="inlineStr">
        <is>
          <t>Privacy Risk</t>
        </is>
      </c>
      <c r="E27" s="684" t="inlineStr">
        <is>
          <t>🔴 CRITICAL</t>
        </is>
      </c>
      <c r="F27" s="680" t="inlineStr">
        <is>
          <t>ECC-2 Domain 2 failure; PDPL breach if patient data accessed; dual NCA+SDAIA enforcement</t>
        </is>
      </c>
      <c r="G27" s="684" t="inlineStr">
        <is>
          <t>KRI-X002</t>
        </is>
      </c>
      <c r="H27" s="680" t="inlineStr">
        <is>
          <t>→ IMPLEMENT phase</t>
        </is>
      </c>
      <c r="I27" s="680" t="n"/>
      <c r="J27" s="680" t="n"/>
    </row>
    <row r="28" ht="42" customHeight="1">
      <c r="A28" s="684" t="inlineStr">
        <is>
          <t>RISK-005</t>
        </is>
      </c>
      <c r="B28" s="680" t="inlineStr">
        <is>
          <t>No segmentation diagram / missing pen test report</t>
        </is>
      </c>
      <c r="C28" s="680" t="inlineStr">
        <is>
          <t>Network Compromise</t>
        </is>
      </c>
      <c r="D28" s="680" t="inlineStr">
        <is>
          <t>Operational Risk</t>
        </is>
      </c>
      <c r="E28" s="684" t="inlineStr">
        <is>
          <t>🔴 CRITICAL</t>
        </is>
      </c>
      <c r="F28" s="680" t="inlineStr">
        <is>
          <t>NCA ECC-2 Domain 2 failure; CNI entities face additional OTCC non-compliance; healthcare facility shutdown possible</t>
        </is>
      </c>
      <c r="G28" s="684" t="inlineStr">
        <is>
          <t>KRI-X002</t>
        </is>
      </c>
      <c r="H28" s="680" t="inlineStr">
        <is>
          <t>→ IMPLEMENT phase</t>
        </is>
      </c>
      <c r="I28" s="680" t="n"/>
      <c r="J28" s="680" t="n"/>
    </row>
    <row r="29" ht="42" customHeight="1">
      <c r="A29" s="684" t="inlineStr">
        <is>
          <t>RISK-006</t>
        </is>
      </c>
      <c r="B29" s="680" t="inlineStr">
        <is>
          <t>No encryption at rest/transit evidence / missing key rotation</t>
        </is>
      </c>
      <c r="C29" s="680" t="inlineStr">
        <is>
          <t>Data Exposure</t>
        </is>
      </c>
      <c r="D29" s="680" t="inlineStr">
        <is>
          <t>Privacy Risk</t>
        </is>
      </c>
      <c r="E29" s="684" t="inlineStr">
        <is>
          <t>🔴 CRITICAL</t>
        </is>
      </c>
      <c r="F29" s="680" t="inlineStr">
        <is>
          <t>ECC-2 + PDPL dual breach; patient data exposed = automatic SDAIA notification; NCA escalation for CNI</t>
        </is>
      </c>
      <c r="G29" s="684" t="inlineStr">
        <is>
          <t>KRI-X003</t>
        </is>
      </c>
      <c r="H29" s="680" t="inlineStr">
        <is>
          <t>→ IMPLEMENT phase</t>
        </is>
      </c>
      <c r="I29" s="680" t="n"/>
      <c r="J29" s="680" t="n"/>
    </row>
    <row r="30" ht="42" customHeight="1">
      <c r="A30" s="684" t="inlineStr">
        <is>
          <t>RISK-007</t>
        </is>
      </c>
      <c r="B30" s="680" t="inlineStr">
        <is>
          <t>No IR plan / missing NCA 24h notification procedure</t>
        </is>
      </c>
      <c r="C30" s="680" t="inlineStr">
        <is>
          <t>Delayed Incident Response</t>
        </is>
      </c>
      <c r="D30" s="680" t="inlineStr">
        <is>
          <t>Clinical Safety Risk</t>
        </is>
      </c>
      <c r="E30" s="684" t="inlineStr">
        <is>
          <t>🔴 CRITICAL</t>
        </is>
      </c>
      <c r="F30" s="680" t="inlineStr">
        <is>
          <t>NCA-REG-2024: failure to report = criminal offence; PDPL 72h breach notification = criminal penalty for DPO</t>
        </is>
      </c>
      <c r="G30" s="684" t="inlineStr">
        <is>
          <t>KRI-X001</t>
        </is>
      </c>
      <c r="H30" s="680" t="inlineStr">
        <is>
          <t>→ OPERATE phase</t>
        </is>
      </c>
      <c r="I30" s="680" t="n"/>
      <c r="J30" s="680" t="n"/>
    </row>
    <row r="31" ht="42" customHeight="1">
      <c r="A31" s="684" t="inlineStr">
        <is>
          <t>RISK-008</t>
        </is>
      </c>
      <c r="B31" s="680" t="inlineStr">
        <is>
          <t>No BIA / untested BCP / no DR evidence</t>
        </is>
      </c>
      <c r="C31" s="680" t="inlineStr">
        <is>
          <t>Service Disruption</t>
        </is>
      </c>
      <c r="D31" s="680" t="inlineStr">
        <is>
          <t>Patient Safety</t>
        </is>
      </c>
      <c r="E31" s="684" t="inlineStr">
        <is>
          <t>🟠 HIGH</t>
        </is>
      </c>
      <c r="F31" s="680" t="inlineStr">
        <is>
          <t>Healthcare system unavailability = clinical harm; CBAHI accreditation jeopardised; MOH escalation</t>
        </is>
      </c>
      <c r="G31" s="684" t="inlineStr">
        <is>
          <t>KRI-X001</t>
        </is>
      </c>
      <c r="H31" s="680" t="inlineStr">
        <is>
          <t>→ REVIEW phase</t>
        </is>
      </c>
      <c r="I31" s="680" t="n"/>
      <c r="J31" s="680" t="n"/>
    </row>
    <row r="32" ht="42" customHeight="1">
      <c r="A32" s="684" t="inlineStr">
        <is>
          <t>RISK-009</t>
        </is>
      </c>
      <c r="B32" s="680" t="inlineStr">
        <is>
          <t>No vendor risk assessment / missing ECC-2 contract clauses</t>
        </is>
      </c>
      <c r="C32" s="680" t="inlineStr">
        <is>
          <t>Supply Chain Compromise</t>
        </is>
      </c>
      <c r="D32" s="680" t="inlineStr">
        <is>
          <t>Regulatory Risk</t>
        </is>
      </c>
      <c r="E32" s="684" t="inlineStr">
        <is>
          <t>🟠 HIGH</t>
        </is>
      </c>
      <c r="F32" s="680" t="inlineStr">
        <is>
          <t>ECC-2 Domain 4 non-compliance; entity retains liability for vendor breach; cloud CSP must be NCA-registered</t>
        </is>
      </c>
      <c r="G32" s="684" t="inlineStr">
        <is>
          <t>KRI-X001</t>
        </is>
      </c>
      <c r="H32" s="680" t="inlineStr">
        <is>
          <t>→ IMPLEMENT phase</t>
        </is>
      </c>
      <c r="I32" s="680" t="n"/>
      <c r="J32" s="680" t="n"/>
    </row>
    <row r="33" ht="42" customHeight="1">
      <c r="A33" s="684" t="inlineStr">
        <is>
          <t>RISK-010</t>
        </is>
      </c>
      <c r="B33" s="680" t="inlineStr">
        <is>
          <t>No consent records / missing DSAR response logs</t>
        </is>
      </c>
      <c r="C33" s="680" t="inlineStr">
        <is>
          <t>PDPL Non-compliance</t>
        </is>
      </c>
      <c r="D33" s="680" t="inlineStr">
        <is>
          <t>Reputational Risk</t>
        </is>
      </c>
      <c r="E33" s="684" t="inlineStr">
        <is>
          <t>🔴 CRITICAL</t>
        </is>
      </c>
      <c r="F33" s="680" t="inlineStr">
        <is>
          <t>SDAIA penalty; data subject compensation claims; criminal referral for DPO if breach unreported</t>
        </is>
      </c>
      <c r="G33" s="684" t="inlineStr">
        <is>
          <t>KRI-X003</t>
        </is>
      </c>
      <c r="H33" s="680" t="inlineStr">
        <is>
          <t>→ OPERATE phase</t>
        </is>
      </c>
      <c r="I33" s="680" t="n"/>
      <c r="J33" s="680" t="n"/>
    </row>
    <row r="34" ht="42" customHeight="1">
      <c r="A34" s="684" t="inlineStr">
        <is>
          <t>RISK-011</t>
        </is>
      </c>
      <c r="B34" s="680" t="inlineStr">
        <is>
          <t>No DPIA register / unassessed high-risk processing</t>
        </is>
      </c>
      <c r="C34" s="680" t="inlineStr">
        <is>
          <t>Unlawful Data Processing</t>
        </is>
      </c>
      <c r="D34" s="680" t="inlineStr">
        <is>
          <t>Regulatory Risk</t>
        </is>
      </c>
      <c r="E34" s="684" t="inlineStr">
        <is>
          <t>🟠 HIGH</t>
        </is>
      </c>
      <c r="F34" s="680" t="inlineStr">
        <is>
          <t>PDPL Art. 22 breach; SDAIA enforcement; cross-border transfer invalid without assessment</t>
        </is>
      </c>
      <c r="G34" s="684" t="inlineStr">
        <is>
          <t>KRI-X003</t>
        </is>
      </c>
      <c r="H34" s="680" t="inlineStr">
        <is>
          <t>→ PLAN phase</t>
        </is>
      </c>
      <c r="I34" s="680" t="n"/>
      <c r="J34" s="680" t="n"/>
    </row>
    <row r="35" ht="42" customHeight="1">
      <c r="A35" s="684" t="inlineStr">
        <is>
          <t>RISK-012</t>
        </is>
      </c>
      <c r="B35" s="680" t="inlineStr">
        <is>
          <t>No OT inventory / flat IT-OT network</t>
        </is>
      </c>
      <c r="C35" s="680" t="inlineStr">
        <is>
          <t>OT/CNI Disruption</t>
        </is>
      </c>
      <c r="D35" s="680" t="inlineStr">
        <is>
          <t>Patient Safety</t>
        </is>
      </c>
      <c r="E35" s="684" t="inlineStr">
        <is>
          <t>🔴 CRITICAL</t>
        </is>
      </c>
      <c r="F35" s="680" t="inlineStr">
        <is>
          <t>OTCC non-compliance; medical device compromise; patient harm (ventilator/infusion pump); NCA escalation + SFDA investigation</t>
        </is>
      </c>
      <c r="G35" s="684" t="inlineStr">
        <is>
          <t>KRI-X002</t>
        </is>
      </c>
      <c r="H35" s="680" t="inlineStr">
        <is>
          <t>→ IMPLEMENT phase</t>
        </is>
      </c>
      <c r="I35" s="680" t="n"/>
      <c r="J35" s="680" t="n"/>
    </row>
    <row r="36" ht="42" customHeight="1">
      <c r="A36" s="684" t="inlineStr">
        <is>
          <t>RISK-013</t>
        </is>
      </c>
      <c r="B36" s="680" t="inlineStr">
        <is>
          <t>Unregistered medical device / missing UDI / no PMS plan</t>
        </is>
      </c>
      <c r="C36" s="680" t="inlineStr">
        <is>
          <t>Device Safety Risk</t>
        </is>
      </c>
      <c r="D36" s="680" t="inlineStr">
        <is>
          <t>Clinical Safety</t>
        </is>
      </c>
      <c r="E36" s="684" t="inlineStr">
        <is>
          <t>🔴 CRITICAL</t>
        </is>
      </c>
      <c r="F36" s="680" t="inlineStr">
        <is>
          <t>SFDA seizure + recall; criminal liability for unsafe devices; hospital cannot use device clinically</t>
        </is>
      </c>
      <c r="G36" s="684" t="inlineStr">
        <is>
          <t>N/A</t>
        </is>
      </c>
      <c r="H36" s="680" t="inlineStr">
        <is>
          <t>→ PLAN phase</t>
        </is>
      </c>
      <c r="I36" s="680" t="n"/>
      <c r="J36" s="680" t="n"/>
    </row>
    <row r="37" ht="42" customHeight="1">
      <c r="A37" s="684" t="inlineStr">
        <is>
          <t>RISK-014</t>
        </is>
      </c>
      <c r="B37" s="680" t="inlineStr">
        <is>
          <t>No NABIDH connectivity / HIS not HL7 FHIR compliant</t>
        </is>
      </c>
      <c r="C37" s="680" t="inlineStr">
        <is>
          <t>Data Silo / Interoperability</t>
        </is>
      </c>
      <c r="D37" s="680" t="inlineStr">
        <is>
          <t>Clinical Decision Gap</t>
        </is>
      </c>
      <c r="E37" s="684" t="inlineStr">
        <is>
          <t>🟠 HIGH</t>
        </is>
      </c>
      <c r="F37" s="680" t="inlineStr">
        <is>
          <t>MOH/NHIC enforcement; excluded from national health data exchange; incomplete patient records across providers</t>
        </is>
      </c>
      <c r="G37" s="684" t="inlineStr">
        <is>
          <t>N/A</t>
        </is>
      </c>
      <c r="H37" s="680" t="inlineStr">
        <is>
          <t>→ IMPLEMENT phase</t>
        </is>
      </c>
      <c r="I37" s="680" t="n"/>
      <c r="J37" s="680" t="n"/>
    </row>
    <row r="38" ht="42" customHeight="1">
      <c r="A38" s="684" t="inlineStr">
        <is>
          <t>RISK-015</t>
        </is>
      </c>
      <c r="B38" s="680" t="inlineStr">
        <is>
          <t>Failed CBAHI survey / expired accreditation</t>
        </is>
      </c>
      <c r="C38" s="680" t="inlineStr">
        <is>
          <t>Accreditation Loss</t>
        </is>
      </c>
      <c r="D38" s="680" t="inlineStr">
        <is>
          <t>Financial Risk</t>
        </is>
      </c>
      <c r="E38" s="684" t="inlineStr">
        <is>
          <t>🟠 HIGH</t>
        </is>
      </c>
      <c r="F38" s="680" t="inlineStr">
        <is>
          <t>Cannot bill CCHI-regulated insurers; MOH may restrict patient intake; reputational damage for hospital</t>
        </is>
      </c>
      <c r="G38" s="684" t="inlineStr">
        <is>
          <t>N/A</t>
        </is>
      </c>
      <c r="H38" s="680" t="inlineStr">
        <is>
          <t>→ REVIEW phase</t>
        </is>
      </c>
      <c r="I38" s="680" t="n"/>
      <c r="J38" s="680" t="n"/>
    </row>
    <row r="39">
      <c r="A39" s="680" t="n"/>
      <c r="B39" s="680" t="n"/>
      <c r="C39" s="680" t="n"/>
      <c r="D39" s="680" t="n"/>
      <c r="E39" s="680" t="n"/>
      <c r="F39" s="680" t="n"/>
      <c r="G39" s="680" t="n"/>
      <c r="H39" s="680" t="n"/>
      <c r="I39" s="680" t="n"/>
      <c r="J39" s="680" t="n"/>
    </row>
    <row r="40" ht="15.75" customHeight="1">
      <c r="A40" s="685" t="inlineStr">
        <is>
          <t>━━━ SECTION C: RISK-TO-LIFECYCLE MAPPING — When Each Risk Peaks in the GRC Lifecycle ━━━</t>
        </is>
      </c>
      <c r="H40" s="680" t="n"/>
      <c r="I40" s="680" t="n"/>
      <c r="J40" s="680" t="n"/>
    </row>
    <row r="41">
      <c r="A41" s="686" t="inlineStr">
        <is>
          <t>Lifecycle Phase</t>
        </is>
      </c>
      <c r="B41" s="687" t="inlineStr">
        <is>
          <t>Phase Description</t>
        </is>
      </c>
      <c r="C41" s="687" t="inlineStr">
        <is>
          <t>Risks Active in This Phase</t>
        </is>
      </c>
      <c r="D41" s="687" t="inlineStr">
        <is>
          <t>Key GRC Activities</t>
        </is>
      </c>
      <c r="E41" s="686" t="inlineStr">
        <is>
          <t>KSA Frameworks Governing</t>
        </is>
      </c>
      <c r="F41" s="687" t="inlineStr">
        <is>
          <t>Evidence Generated</t>
        </is>
      </c>
      <c r="G41" s="686" t="inlineStr">
        <is>
          <t>→ Policy Required</t>
        </is>
      </c>
      <c r="H41" s="680" t="n"/>
      <c r="I41" s="680" t="n"/>
      <c r="J41" s="680" t="n"/>
    </row>
    <row r="42" ht="55.05" customHeight="1">
      <c r="A42" s="688" t="inlineStr">
        <is>
          <t>1️⃣ PLAN</t>
        </is>
      </c>
      <c r="B42" s="680" t="inlineStr">
        <is>
          <t>Strategic planning, risk identification, framework scoping, DPIA, architecture design, vendor selection</t>
        </is>
      </c>
      <c r="C42" s="680" t="inlineStr">
        <is>
          <t>RISK-001 (Governance failure); RISK-011 (Unassessed processing); RISK-013 (Unregistered device)</t>
        </is>
      </c>
      <c r="D42" s="680" t="inlineStr">
        <is>
          <t>Risk assessment; regulatory landscape scan; DPIA; control selection; architecture review; vendor due diligence; SFDA pre-submission</t>
        </is>
      </c>
      <c r="E42" s="680" t="inlineStr">
        <is>
          <t>ECC-2 Domain 1 (Governance); PDPL Art. 22 (DPIA); SFDA MDR (Pre-market); NCA-CCC (Cloud assessment)</t>
        </is>
      </c>
      <c r="F42" s="680" t="inlineStr">
        <is>
          <t>Risk register; DPIA report; architecture design; vendor shortlist; SFDA pre-submission dossier; project charter</t>
        </is>
      </c>
      <c r="G42" s="680" t="inlineStr">
        <is>
          <t>→ POL-001 to POL-004</t>
        </is>
      </c>
      <c r="H42" s="680" t="n"/>
      <c r="I42" s="680" t="n"/>
      <c r="J42" s="680" t="n"/>
    </row>
    <row r="43" ht="55.05" customHeight="1">
      <c r="A43" s="689" t="inlineStr">
        <is>
          <t>2️⃣ IMPLEMENT</t>
        </is>
      </c>
      <c r="B43" s="680" t="inlineStr">
        <is>
          <t>Control deployment, system configuration, network segmentation, encryption, OT inventory, NABIDH integration</t>
        </is>
      </c>
      <c r="C43" s="680" t="inlineStr">
        <is>
          <t>RISK-004 (Access); RISK-005 (Network); RISK-006 (Data exposure); RISK-009 (Vendor); RISK-012 (OT); RISK-014 (Interop)</t>
        </is>
      </c>
      <c r="D43" s="680" t="inlineStr">
        <is>
          <t>IAM deployment; MFA rollout; network segmentation; encryption config; OT zone/conduit; vendor onboarding; NABIDH connectivity</t>
        </is>
      </c>
      <c r="E43" s="680" t="inlineStr">
        <is>
          <t>ECC-2 Domains 2-3 (Technical/Operational); OTCC (OT segmentation); NCA-DCC (Data controls); MOH-HIS (Interop)</t>
        </is>
      </c>
      <c r="F43" s="680" t="inlineStr">
        <is>
          <t>Configuration evidence; test results; vendor contracts; NABIDH certificate; segmentation diagrams; encryption proof</t>
        </is>
      </c>
      <c r="G43" s="680" t="inlineStr">
        <is>
          <t>→ POL-005 to POL-009</t>
        </is>
      </c>
      <c r="H43" s="680" t="n"/>
      <c r="I43" s="680" t="n"/>
      <c r="J43" s="680" t="n"/>
    </row>
    <row r="44" ht="55.05" customHeight="1">
      <c r="A44" s="690" t="inlineStr">
        <is>
          <t>3️⃣ OPERATE</t>
        </is>
      </c>
      <c r="B44" s="680" t="inlineStr">
        <is>
          <t>Day-to-day operations, monitoring, incident response, training, DSAR handling, Saudisation maintenance</t>
        </is>
      </c>
      <c r="C44" s="680" t="inlineStr">
        <is>
          <t>RISK-002 (Saudisation); RISK-003 (Human factor); RISK-007 (IR delay); RISK-010 (PDPL consent)</t>
        </is>
      </c>
      <c r="D44" s="680" t="inlineStr">
        <is>
          <t>Continuous monitoring; awareness training; phishing simulation; IR activation; DSAR processing; Nitaqat tracking; KRI monitoring</t>
        </is>
      </c>
      <c r="E44" s="680" t="inlineStr">
        <is>
          <t>ECC-2 all domains (continuous); PDPL (consent/DSARs); MHRSD-NITAQAT (workforce); NCA-REG-2024 (reporting)</t>
        </is>
      </c>
      <c r="F44" s="680" t="inlineStr">
        <is>
          <t>Training records; monitoring dashboards; IR reports; DSAR logs; Qiwa reports; KRI measurements; NCA notification evidence</t>
        </is>
      </c>
      <c r="G44" s="680" t="inlineStr">
        <is>
          <t>→ POL-010 to POL-014</t>
        </is>
      </c>
      <c r="H44" s="680" t="n"/>
      <c r="I44" s="680" t="n"/>
      <c r="J44" s="680" t="n"/>
    </row>
    <row r="45" ht="55.05" customHeight="1">
      <c r="A45" s="691" t="inlineStr">
        <is>
          <t>4️⃣ REVIEW</t>
        </is>
      </c>
      <c r="B45" s="680" t="inlineStr">
        <is>
          <t>Annual audit, self-assessment, BCP test, accreditation survey, maturity assessment, gap analysis</t>
        </is>
      </c>
      <c r="C45" s="680" t="inlineStr">
        <is>
          <t>RISK-008 (BCP untested); RISK-015 (Accreditation loss); all risks resurface for gap identification</t>
        </is>
      </c>
      <c r="D45" s="680" t="inlineStr">
        <is>
          <t>NCA self-assessment; PDPL annual audit; BCP/DR test; CBAHI survey; vendor reassessment; maturity assessment; KRI trend analysis</t>
        </is>
      </c>
      <c r="E45" s="680" t="inlineStr">
        <is>
          <t>ECC-2 (annual self-assessment); CBAHI-HAS-H (3-year survey); PDPL-IR (annual audit); ZATCA (e-invoice audit)</t>
        </is>
      </c>
      <c r="F45" s="680" t="inlineStr">
        <is>
          <t>Self-assessment report; audit findings; BCP test results; CBAHI survey report; gap analysis; improvement plan</t>
        </is>
      </c>
      <c r="G45" s="680" t="inlineStr">
        <is>
          <t>→ POL-015 to POL-017</t>
        </is>
      </c>
      <c r="H45" s="680" t="n"/>
      <c r="I45" s="680" t="n"/>
      <c r="J45" s="680" t="n"/>
    </row>
    <row r="46" ht="55.05" customHeight="1">
      <c r="A46" s="692" t="inlineStr">
        <is>
          <t>5️⃣ RETIRE / TRANSITION</t>
        </is>
      </c>
      <c r="B46" s="680" t="inlineStr">
        <is>
          <t>System decommission, data retention/destruction, vendor exit, framework version migration, legacy device phase-out</t>
        </is>
      </c>
      <c r="C46" s="680" t="inlineStr">
        <is>
          <t>RISK-006 (Data exposure during destruction); RISK-013 (Legacy device risk); RISK-009 (Vendor exit risk)</t>
        </is>
      </c>
      <c r="D46" s="680" t="inlineStr">
        <is>
          <t>Data sanitisation; certificate revocation; vendor exit management; legacy control migration; PDPL data destruction evidence</t>
        </is>
      </c>
      <c r="E46" s="680" t="inlineStr">
        <is>
          <t>PDPL (data retention/destruction); SFDA-MDR (device decommission); NCA-DCC (data lifecycle); ECC-2 (asset disposal)</t>
        </is>
      </c>
      <c r="F46" s="680" t="inlineStr">
        <is>
          <t>Data destruction certificates; asset disposal records; vendor exit checklist; migration completion evidence; SFDA deregistration</t>
        </is>
      </c>
      <c r="G46" s="680" t="inlineStr">
        <is>
          <t>→ POL-018 to POL-020</t>
        </is>
      </c>
      <c r="H46" s="680" t="n"/>
      <c r="I46" s="680" t="n"/>
      <c r="J46" s="680" t="n"/>
    </row>
    <row r="47">
      <c r="A47" s="680" t="n"/>
      <c r="B47" s="680" t="n"/>
      <c r="C47" s="680" t="n"/>
      <c r="D47" s="680" t="n"/>
      <c r="E47" s="680" t="n"/>
      <c r="F47" s="680" t="n"/>
      <c r="G47" s="680" t="n"/>
      <c r="H47" s="680" t="n"/>
      <c r="I47" s="680" t="n"/>
      <c r="J47" s="680" t="n"/>
    </row>
    <row r="48" ht="15.75" customHeight="1">
      <c r="A48" s="681" t="inlineStr">
        <is>
          <t>━━━ SECTION D: LIFECYCLE-TO-POLICY CHAIN — Required Policies per Phase ━━━</t>
        </is>
      </c>
      <c r="I48" s="680" t="n"/>
      <c r="J48" s="680" t="n"/>
    </row>
    <row r="49">
      <c r="A49" s="686" t="inlineStr">
        <is>
          <t>Policy ID</t>
        </is>
      </c>
      <c r="B49" s="687" t="inlineStr">
        <is>
          <t>Policy Name</t>
        </is>
      </c>
      <c r="C49" s="686" t="inlineStr">
        <is>
          <t>Lifecycle Phase</t>
        </is>
      </c>
      <c r="D49" s="687" t="inlineStr">
        <is>
          <t>Regulatory Source</t>
        </is>
      </c>
      <c r="E49" s="686" t="inlineStr">
        <is>
          <t>Policy Hierarchy Level</t>
        </is>
      </c>
      <c r="F49" s="687" t="inlineStr">
        <is>
          <t>Approval Authority</t>
        </is>
      </c>
      <c r="G49" s="686" t="inlineStr">
        <is>
          <t>Review Cycle</t>
        </is>
      </c>
      <c r="H49" s="687" t="inlineStr">
        <is>
          <t>→ Treatment if Gap</t>
        </is>
      </c>
      <c r="I49" s="680" t="n"/>
      <c r="J49" s="680" t="n"/>
    </row>
    <row r="50" ht="35" customHeight="1">
      <c r="A50" s="684" t="inlineStr">
        <is>
          <t>POL-001</t>
        </is>
      </c>
      <c r="B50" s="680" t="inlineStr">
        <is>
          <t>Cybersecurity Strategy &amp; Governance Policy</t>
        </is>
      </c>
      <c r="C50" s="684" t="inlineStr">
        <is>
          <t>PLAN</t>
        </is>
      </c>
      <c r="D50" s="680" t="inlineStr">
        <is>
          <t>ECC-2 Domain 1 (Governance); NCA-REG-2024</t>
        </is>
      </c>
      <c r="E50" s="684" t="inlineStr">
        <is>
          <t>L1 — Strategic</t>
        </is>
      </c>
      <c r="F50" s="680" t="inlineStr">
        <is>
          <t>Board of Directors</t>
        </is>
      </c>
      <c r="G50" s="684" t="inlineStr">
        <is>
          <t>Annual</t>
        </is>
      </c>
      <c r="H50" s="680" t="inlineStr">
        <is>
          <t>→ TRT-001</t>
        </is>
      </c>
      <c r="I50" s="680" t="n"/>
      <c r="J50" s="680" t="n"/>
    </row>
    <row r="51" ht="35" customHeight="1">
      <c r="A51" s="684" t="inlineStr">
        <is>
          <t>POL-002</t>
        </is>
      </c>
      <c r="B51" s="680" t="inlineStr">
        <is>
          <t>Data Protection &amp; Privacy Policy (PDPL)</t>
        </is>
      </c>
      <c r="C51" s="684" t="inlineStr">
        <is>
          <t>PLAN</t>
        </is>
      </c>
      <c r="D51" s="680" t="inlineStr">
        <is>
          <t>PDPL-2021; PDPL-IR-2023; PDPL-DTR-2024</t>
        </is>
      </c>
      <c r="E51" s="684" t="inlineStr">
        <is>
          <t>L1 — Strategic</t>
        </is>
      </c>
      <c r="F51" s="680" t="inlineStr">
        <is>
          <t>Board / DPO</t>
        </is>
      </c>
      <c r="G51" s="684" t="inlineStr">
        <is>
          <t>Annual</t>
        </is>
      </c>
      <c r="H51" s="680" t="inlineStr">
        <is>
          <t>→ TRT-002</t>
        </is>
      </c>
      <c r="I51" s="680" t="n"/>
      <c r="J51" s="680" t="n"/>
    </row>
    <row r="52" ht="35" customHeight="1">
      <c r="A52" s="684" t="inlineStr">
        <is>
          <t>POL-003</t>
        </is>
      </c>
      <c r="B52" s="680" t="inlineStr">
        <is>
          <t>Risk Management Framework Policy</t>
        </is>
      </c>
      <c r="C52" s="684" t="inlineStr">
        <is>
          <t>PLAN</t>
        </is>
      </c>
      <c r="D52" s="680" t="inlineStr">
        <is>
          <t>ISO 31000 aligned; ECC-2 risk domain; SAMA-CSF (financial)</t>
        </is>
      </c>
      <c r="E52" s="684" t="inlineStr">
        <is>
          <t>L1 — Strategic</t>
        </is>
      </c>
      <c r="F52" s="680" t="inlineStr">
        <is>
          <t>Board Risk Committee</t>
        </is>
      </c>
      <c r="G52" s="684" t="inlineStr">
        <is>
          <t>Annual</t>
        </is>
      </c>
      <c r="H52" s="680" t="inlineStr">
        <is>
          <t>→ TRT-003</t>
        </is>
      </c>
      <c r="I52" s="680" t="n"/>
      <c r="J52" s="680" t="n"/>
    </row>
    <row r="53" ht="35" customHeight="1">
      <c r="A53" s="684" t="inlineStr">
        <is>
          <t>POL-004</t>
        </is>
      </c>
      <c r="B53" s="680" t="inlineStr">
        <is>
          <t>Medical Device &amp; IoMT Governance Policy</t>
        </is>
      </c>
      <c r="C53" s="684" t="inlineStr">
        <is>
          <t>PLAN</t>
        </is>
      </c>
      <c r="D53" s="680" t="inlineStr">
        <is>
          <t>SFDA-MDR; SFDA-AI-MDS; NCA-OTCC; CBAHI HIT</t>
        </is>
      </c>
      <c r="E53" s="684" t="inlineStr">
        <is>
          <t>L1 — Strategic</t>
        </is>
      </c>
      <c r="F53" s="680" t="inlineStr">
        <is>
          <t>CMIO / CISO</t>
        </is>
      </c>
      <c r="G53" s="684" t="inlineStr">
        <is>
          <t>Annual</t>
        </is>
      </c>
      <c r="H53" s="680" t="inlineStr">
        <is>
          <t>→ TRT-004</t>
        </is>
      </c>
      <c r="I53" s="680" t="n"/>
      <c r="J53" s="680" t="n"/>
    </row>
    <row r="54" ht="35" customHeight="1">
      <c r="A54" s="684" t="inlineStr">
        <is>
          <t>POL-005</t>
        </is>
      </c>
      <c r="B54" s="680" t="inlineStr">
        <is>
          <t>Access Control &amp; Identity Management Policy</t>
        </is>
      </c>
      <c r="C54" s="684" t="inlineStr">
        <is>
          <t>IMPLEMENT</t>
        </is>
      </c>
      <c r="D54" s="680" t="inlineStr">
        <is>
          <t>ECC-2 Domain 2 (Technical); PDPL (data access)</t>
        </is>
      </c>
      <c r="E54" s="684" t="inlineStr">
        <is>
          <t>L2 — Operational</t>
        </is>
      </c>
      <c r="F54" s="680" t="inlineStr">
        <is>
          <t>CISO</t>
        </is>
      </c>
      <c r="G54" s="684" t="inlineStr">
        <is>
          <t>Annual</t>
        </is>
      </c>
      <c r="H54" s="680" t="inlineStr">
        <is>
          <t>→ TRT-005</t>
        </is>
      </c>
      <c r="I54" s="680" t="n"/>
      <c r="J54" s="680" t="n"/>
    </row>
    <row r="55" ht="35" customHeight="1">
      <c r="A55" s="684" t="inlineStr">
        <is>
          <t>POL-006</t>
        </is>
      </c>
      <c r="B55" s="680" t="inlineStr">
        <is>
          <t>Network Security &amp; Segmentation Policy</t>
        </is>
      </c>
      <c r="C55" s="684" t="inlineStr">
        <is>
          <t>IMPLEMENT</t>
        </is>
      </c>
      <c r="D55" s="680" t="inlineStr">
        <is>
          <t>ECC-2 Domain 2; NCA-OTCC (OT segmentation)</t>
        </is>
      </c>
      <c r="E55" s="684" t="inlineStr">
        <is>
          <t>L2 — Operational</t>
        </is>
      </c>
      <c r="F55" s="680" t="inlineStr">
        <is>
          <t>CISO / IT Director</t>
        </is>
      </c>
      <c r="G55" s="684" t="inlineStr">
        <is>
          <t>Annual</t>
        </is>
      </c>
      <c r="H55" s="680" t="inlineStr">
        <is>
          <t>→ TRT-006</t>
        </is>
      </c>
      <c r="I55" s="680" t="n"/>
      <c r="J55" s="680" t="n"/>
    </row>
    <row r="56" ht="35" customHeight="1">
      <c r="A56" s="684" t="inlineStr">
        <is>
          <t>POL-007</t>
        </is>
      </c>
      <c r="B56" s="680" t="inlineStr">
        <is>
          <t>Encryption &amp; Data Classification Policy</t>
        </is>
      </c>
      <c r="C56" s="684" t="inlineStr">
        <is>
          <t>IMPLEMENT</t>
        </is>
      </c>
      <c r="D56" s="680" t="inlineStr">
        <is>
          <t>ECC-2 Domain 2; NCA-DCC; PDPL (data protection)</t>
        </is>
      </c>
      <c r="E56" s="684" t="inlineStr">
        <is>
          <t>L2 — Operational</t>
        </is>
      </c>
      <c r="F56" s="680" t="inlineStr">
        <is>
          <t>CISO / DPO</t>
        </is>
      </c>
      <c r="G56" s="684" t="inlineStr">
        <is>
          <t>Annual</t>
        </is>
      </c>
      <c r="H56" s="680" t="inlineStr">
        <is>
          <t>→ TRT-007</t>
        </is>
      </c>
      <c r="I56" s="680" t="n"/>
      <c r="J56" s="680" t="n"/>
    </row>
    <row r="57" ht="35" customHeight="1">
      <c r="A57" s="684" t="inlineStr">
        <is>
          <t>POL-008</t>
        </is>
      </c>
      <c r="B57" s="680" t="inlineStr">
        <is>
          <t>Third-Party &amp; Vendor Risk Management Policy</t>
        </is>
      </c>
      <c r="C57" s="684" t="inlineStr">
        <is>
          <t>IMPLEMENT</t>
        </is>
      </c>
      <c r="D57" s="680" t="inlineStr">
        <is>
          <t>ECC-2 Domain 4; NCA-CCC (cloud vendors); PDPL (data processors)</t>
        </is>
      </c>
      <c r="E57" s="684" t="inlineStr">
        <is>
          <t>L2 — Operational</t>
        </is>
      </c>
      <c r="F57" s="680" t="inlineStr">
        <is>
          <t>Procurement / CISO</t>
        </is>
      </c>
      <c r="G57" s="684" t="inlineStr">
        <is>
          <t>Annual</t>
        </is>
      </c>
      <c r="H57" s="680" t="inlineStr">
        <is>
          <t>→ TRT-008</t>
        </is>
      </c>
      <c r="I57" s="680" t="n"/>
      <c r="J57" s="680" t="n"/>
    </row>
    <row r="58" ht="35" customHeight="1">
      <c r="A58" s="684" t="inlineStr">
        <is>
          <t>POL-009</t>
        </is>
      </c>
      <c r="B58" s="680" t="inlineStr">
        <is>
          <t>OT/IoMT Network Security Policy</t>
        </is>
      </c>
      <c r="C58" s="684" t="inlineStr">
        <is>
          <t>IMPLEMENT</t>
        </is>
      </c>
      <c r="D58" s="680" t="inlineStr">
        <is>
          <t>NCA-OTCC; SFDA-MDR; IEC 62443 referenced</t>
        </is>
      </c>
      <c r="E58" s="684" t="inlineStr">
        <is>
          <t>L2 — Operational</t>
        </is>
      </c>
      <c r="F58" s="680" t="inlineStr">
        <is>
          <t>CISO / Biomedical Eng</t>
        </is>
      </c>
      <c r="G58" s="684" t="inlineStr">
        <is>
          <t>Annual</t>
        </is>
      </c>
      <c r="H58" s="680" t="inlineStr">
        <is>
          <t>→ TRT-009</t>
        </is>
      </c>
      <c r="I58" s="680" t="n"/>
      <c r="J58" s="680" t="n"/>
    </row>
    <row r="59" ht="35" customHeight="1">
      <c r="A59" s="684" t="inlineStr">
        <is>
          <t>POL-010</t>
        </is>
      </c>
      <c r="B59" s="680" t="inlineStr">
        <is>
          <t>Incident Response &amp; NCA Notification Policy</t>
        </is>
      </c>
      <c r="C59" s="684" t="inlineStr">
        <is>
          <t>OPERATE</t>
        </is>
      </c>
      <c r="D59" s="680" t="inlineStr">
        <is>
          <t>ECC-2 Domain 3; NCA-REG-2024 (24h); PDPL (72h breach)</t>
        </is>
      </c>
      <c r="E59" s="684" t="inlineStr">
        <is>
          <t>L2 — Operational</t>
        </is>
      </c>
      <c r="F59" s="680" t="inlineStr">
        <is>
          <t>CISO / DPO</t>
        </is>
      </c>
      <c r="G59" s="684" t="inlineStr">
        <is>
          <t>Semi-annual</t>
        </is>
      </c>
      <c r="H59" s="680" t="inlineStr">
        <is>
          <t>→ TRT-010</t>
        </is>
      </c>
      <c r="I59" s="680" t="n"/>
      <c r="J59" s="680" t="n"/>
    </row>
    <row r="60" ht="35" customHeight="1">
      <c r="A60" s="684" t="inlineStr">
        <is>
          <t>POL-011</t>
        </is>
      </c>
      <c r="B60" s="680" t="inlineStr">
        <is>
          <t>Security Awareness &amp; Phishing Simulation Policy</t>
        </is>
      </c>
      <c r="C60" s="684" t="inlineStr">
        <is>
          <t>OPERATE</t>
        </is>
      </c>
      <c r="D60" s="680" t="inlineStr">
        <is>
          <t>ECC-2 Domain 1 (Awareness); ISO 27001 A.7.2.2</t>
        </is>
      </c>
      <c r="E60" s="684" t="inlineStr">
        <is>
          <t>L3 — Standard</t>
        </is>
      </c>
      <c r="F60" s="680" t="inlineStr">
        <is>
          <t>CISO</t>
        </is>
      </c>
      <c r="G60" s="684" t="inlineStr">
        <is>
          <t>Annual</t>
        </is>
      </c>
      <c r="H60" s="680" t="inlineStr">
        <is>
          <t>→ TRT-011</t>
        </is>
      </c>
      <c r="I60" s="680" t="n"/>
      <c r="J60" s="680" t="n"/>
    </row>
    <row r="61" ht="35" customHeight="1">
      <c r="A61" s="684" t="inlineStr">
        <is>
          <t>POL-012</t>
        </is>
      </c>
      <c r="B61" s="680" t="inlineStr">
        <is>
          <t>Saudisation &amp; Cyber Workforce Compliance Policy</t>
        </is>
      </c>
      <c r="C61" s="684" t="inlineStr">
        <is>
          <t>OPERATE</t>
        </is>
      </c>
      <c r="D61" s="680" t="inlineStr">
        <is>
          <t>ECC-2 (Saudisation mandate); MHRSD-NITAQAT; GOSI</t>
        </is>
      </c>
      <c r="E61" s="684" t="inlineStr">
        <is>
          <t>L2 — Operational</t>
        </is>
      </c>
      <c r="F61" s="680" t="inlineStr">
        <is>
          <t>CHRO / CISO</t>
        </is>
      </c>
      <c r="G61" s="684" t="inlineStr">
        <is>
          <t>Quarterly</t>
        </is>
      </c>
      <c r="H61" s="680" t="inlineStr">
        <is>
          <t>→ TRT-012</t>
        </is>
      </c>
      <c r="I61" s="680" t="n"/>
      <c r="J61" s="680" t="n"/>
    </row>
    <row r="62" ht="35" customHeight="1">
      <c r="A62" s="684" t="inlineStr">
        <is>
          <t>POL-013</t>
        </is>
      </c>
      <c r="B62" s="680" t="inlineStr">
        <is>
          <t>Data Subject Access Request (DSAR) Procedure</t>
        </is>
      </c>
      <c r="C62" s="684" t="inlineStr">
        <is>
          <t>OPERATE</t>
        </is>
      </c>
      <c r="D62" s="680" t="inlineStr">
        <is>
          <t>PDPL Art. 4-8; PDPL-IR-2023 (detailed procedures)</t>
        </is>
      </c>
      <c r="E62" s="684" t="inlineStr">
        <is>
          <t>L3 — Standard</t>
        </is>
      </c>
      <c r="F62" s="680" t="inlineStr">
        <is>
          <t>DPO</t>
        </is>
      </c>
      <c r="G62" s="684" t="inlineStr">
        <is>
          <t>Annual</t>
        </is>
      </c>
      <c r="H62" s="680" t="inlineStr">
        <is>
          <t>→ TRT-013</t>
        </is>
      </c>
      <c r="I62" s="680" t="n"/>
      <c r="J62" s="680" t="n"/>
    </row>
    <row r="63" ht="35" customHeight="1">
      <c r="A63" s="684" t="inlineStr">
        <is>
          <t>POL-014</t>
        </is>
      </c>
      <c r="B63" s="680" t="inlineStr">
        <is>
          <t>Continuous Monitoring &amp; KRI Reporting Policy</t>
        </is>
      </c>
      <c r="C63" s="684" t="inlineStr">
        <is>
          <t>OPERATE</t>
        </is>
      </c>
      <c r="D63" s="680" t="inlineStr">
        <is>
          <t>ECC-2 (monitoring); KRI Dashboard framework; ISO 27001 A.18</t>
        </is>
      </c>
      <c r="E63" s="684" t="inlineStr">
        <is>
          <t>L2 — Operational</t>
        </is>
      </c>
      <c r="F63" s="680" t="inlineStr">
        <is>
          <t>CISO / CRO</t>
        </is>
      </c>
      <c r="G63" s="684" t="inlineStr">
        <is>
          <t>Annual</t>
        </is>
      </c>
      <c r="H63" s="680" t="inlineStr">
        <is>
          <t>→ TRT-014</t>
        </is>
      </c>
      <c r="I63" s="680" t="n"/>
      <c r="J63" s="680" t="n"/>
    </row>
    <row r="64" ht="35" customHeight="1">
      <c r="A64" s="684" t="inlineStr">
        <is>
          <t>POL-015</t>
        </is>
      </c>
      <c r="B64" s="680" t="inlineStr">
        <is>
          <t>Internal Audit &amp; Self-Assessment Policy</t>
        </is>
      </c>
      <c r="C64" s="684" t="inlineStr">
        <is>
          <t>REVIEW</t>
        </is>
      </c>
      <c r="D64" s="680" t="inlineStr">
        <is>
          <t>ECC-2 (self-assessment); PDPL-IR (annual audit); CBAHI</t>
        </is>
      </c>
      <c r="E64" s="684" t="inlineStr">
        <is>
          <t>L2 — Operational</t>
        </is>
      </c>
      <c r="F64" s="680" t="inlineStr">
        <is>
          <t>Head of Internal Audit</t>
        </is>
      </c>
      <c r="G64" s="684" t="inlineStr">
        <is>
          <t>Annual</t>
        </is>
      </c>
      <c r="H64" s="680" t="inlineStr">
        <is>
          <t>→ TRT-015</t>
        </is>
      </c>
      <c r="I64" s="680" t="n"/>
      <c r="J64" s="680" t="n"/>
    </row>
    <row r="65" ht="35" customHeight="1">
      <c r="A65" s="684" t="inlineStr">
        <is>
          <t>POL-016</t>
        </is>
      </c>
      <c r="B65" s="680" t="inlineStr">
        <is>
          <t>Business Continuity &amp; Disaster Recovery Policy</t>
        </is>
      </c>
      <c r="C65" s="684" t="inlineStr">
        <is>
          <t>REVIEW</t>
        </is>
      </c>
      <c r="D65" s="680" t="inlineStr">
        <is>
          <t>ECC-2 Domain 3 (BCP); ISO 22301 aligned</t>
        </is>
      </c>
      <c r="E65" s="684" t="inlineStr">
        <is>
          <t>L1 — Strategic</t>
        </is>
      </c>
      <c r="F65" s="680" t="inlineStr">
        <is>
          <t>Board / COO</t>
        </is>
      </c>
      <c r="G65" s="684" t="inlineStr">
        <is>
          <t>Annual</t>
        </is>
      </c>
      <c r="H65" s="680" t="inlineStr">
        <is>
          <t>→ TRT-016</t>
        </is>
      </c>
      <c r="I65" s="680" t="n"/>
      <c r="J65" s="680" t="n"/>
    </row>
    <row r="66" ht="35" customHeight="1">
      <c r="A66" s="684" t="inlineStr">
        <is>
          <t>POL-017</t>
        </is>
      </c>
      <c r="B66" s="680" t="inlineStr">
        <is>
          <t>Maturity Assessment &amp; Continuous Improvement Policy</t>
        </is>
      </c>
      <c r="C66" s="684" t="inlineStr">
        <is>
          <t>REVIEW</t>
        </is>
      </c>
      <c r="D66" s="680" t="inlineStr">
        <is>
          <t>GRC Maturity Model; CMMI aligned; Vision 2030 KPIs</t>
        </is>
      </c>
      <c r="E66" s="684" t="inlineStr">
        <is>
          <t>L1 — Strategic</t>
        </is>
      </c>
      <c r="F66" s="680" t="inlineStr">
        <is>
          <t>Board / CEO</t>
        </is>
      </c>
      <c r="G66" s="684" t="inlineStr">
        <is>
          <t>Annual</t>
        </is>
      </c>
      <c r="H66" s="680" t="inlineStr">
        <is>
          <t>→ TRT-017</t>
        </is>
      </c>
      <c r="I66" s="680" t="n"/>
      <c r="J66" s="680" t="n"/>
    </row>
    <row r="67" ht="35" customHeight="1">
      <c r="A67" s="684" t="inlineStr">
        <is>
          <t>POL-018</t>
        </is>
      </c>
      <c r="B67" s="680" t="inlineStr">
        <is>
          <t>Data Retention &amp; Secure Destruction Policy</t>
        </is>
      </c>
      <c r="C67" s="684" t="inlineStr">
        <is>
          <t>RETIRE</t>
        </is>
      </c>
      <c r="D67" s="680" t="inlineStr">
        <is>
          <t>PDPL (retention limits); NCA-DCC (data lifecycle); SFDA (device records)</t>
        </is>
      </c>
      <c r="E67" s="684" t="inlineStr">
        <is>
          <t>L2 — Operational</t>
        </is>
      </c>
      <c r="F67" s="680" t="inlineStr">
        <is>
          <t>DPO / Records Manager</t>
        </is>
      </c>
      <c r="G67" s="684" t="inlineStr">
        <is>
          <t>Annual</t>
        </is>
      </c>
      <c r="H67" s="680" t="inlineStr">
        <is>
          <t>→ TRT-018</t>
        </is>
      </c>
      <c r="I67" s="680" t="n"/>
      <c r="J67" s="680" t="n"/>
    </row>
    <row r="68" ht="35" customHeight="1">
      <c r="A68" s="684" t="inlineStr">
        <is>
          <t>POL-019</t>
        </is>
      </c>
      <c r="B68" s="680" t="inlineStr">
        <is>
          <t>Asset Disposal &amp; Decommissioning Policy</t>
        </is>
      </c>
      <c r="C68" s="684" t="inlineStr">
        <is>
          <t>RETIRE</t>
        </is>
      </c>
      <c r="D68" s="680" t="inlineStr">
        <is>
          <t>ECC-2 (asset management); SFDA-MDR (device decommission)</t>
        </is>
      </c>
      <c r="E68" s="684" t="inlineStr">
        <is>
          <t>L3 — Standard</t>
        </is>
      </c>
      <c r="F68" s="680" t="inlineStr">
        <is>
          <t>IT Director / Biomedical</t>
        </is>
      </c>
      <c r="G68" s="684" t="inlineStr">
        <is>
          <t>As needed</t>
        </is>
      </c>
      <c r="H68" s="680" t="inlineStr">
        <is>
          <t>→ TRT-019</t>
        </is>
      </c>
      <c r="I68" s="680" t="n"/>
      <c r="J68" s="680" t="n"/>
    </row>
    <row r="69" ht="35" customHeight="1">
      <c r="A69" s="684" t="inlineStr">
        <is>
          <t>POL-020</t>
        </is>
      </c>
      <c r="B69" s="680" t="inlineStr">
        <is>
          <t>Vendor Exit &amp; Transition Management Policy</t>
        </is>
      </c>
      <c r="C69" s="684" t="inlineStr">
        <is>
          <t>RETIRE</t>
        </is>
      </c>
      <c r="D69" s="680" t="inlineStr">
        <is>
          <t>ECC-2 Domain 4; NCA-CCC (cloud exit); PDPL (data return)</t>
        </is>
      </c>
      <c r="E69" s="684" t="inlineStr">
        <is>
          <t>L2 — Operational</t>
        </is>
      </c>
      <c r="F69" s="680" t="inlineStr">
        <is>
          <t>Procurement / Legal</t>
        </is>
      </c>
      <c r="G69" s="684" t="inlineStr">
        <is>
          <t>As needed</t>
        </is>
      </c>
      <c r="H69" s="680" t="inlineStr">
        <is>
          <t>→ TRT-020</t>
        </is>
      </c>
      <c r="I69" s="680" t="n"/>
      <c r="J69" s="680" t="n"/>
    </row>
    <row r="70">
      <c r="A70" s="680" t="n"/>
      <c r="B70" s="680" t="n"/>
      <c r="C70" s="680" t="n"/>
      <c r="D70" s="680" t="n"/>
      <c r="E70" s="680" t="n"/>
      <c r="F70" s="680" t="n"/>
      <c r="G70" s="680" t="n"/>
      <c r="H70" s="680" t="n"/>
      <c r="I70" s="680" t="n"/>
      <c r="J70" s="680" t="n"/>
    </row>
    <row r="71" ht="15.75" customHeight="1">
      <c r="A71" s="685" t="inlineStr">
        <is>
          <t>━━━ SECTION E: POLICY-GAP-TO-TREATMENT REGISTER — Risk Treatment Options per Gap ━━━</t>
        </is>
      </c>
      <c r="I71" s="680" t="n"/>
      <c r="J71" s="680" t="n"/>
    </row>
    <row r="72">
      <c r="A72" s="686" t="inlineStr">
        <is>
          <t>Treatment ID</t>
        </is>
      </c>
      <c r="B72" s="687" t="inlineStr">
        <is>
          <t>Policy Gap</t>
        </is>
      </c>
      <c r="C72" s="686" t="inlineStr">
        <is>
          <t>MITIGATE Option</t>
        </is>
      </c>
      <c r="D72" s="687" t="inlineStr">
        <is>
          <t>TRANSFER Option</t>
        </is>
      </c>
      <c r="E72" s="686" t="inlineStr">
        <is>
          <t>ACCEPT Conditions</t>
        </is>
      </c>
      <c r="F72" s="687" t="inlineStr">
        <is>
          <t>AVOID Option</t>
        </is>
      </c>
      <c r="G72" s="686" t="inlineStr">
        <is>
          <t>Recommended Treatment</t>
        </is>
      </c>
      <c r="H72" s="687" t="inlineStr">
        <is>
          <t>→ Org Size Factor</t>
        </is>
      </c>
      <c r="I72" s="680" t="n"/>
      <c r="J72" s="680" t="n"/>
    </row>
    <row r="73" ht="45" customHeight="1">
      <c r="A73" s="684" t="inlineStr">
        <is>
          <t>TRT-001</t>
        </is>
      </c>
      <c r="B73" s="680" t="inlineStr">
        <is>
          <t>No Cybersecurity Strategy (POL-001)</t>
        </is>
      </c>
      <c r="C73" s="680" t="inlineStr">
        <is>
          <t>Develop board-approved strategy; appoint CISO; establish cyber committee; set annual review cycle</t>
        </is>
      </c>
      <c r="D73" s="680" t="inlineStr">
        <is>
          <t>Engage vCISO / external consultant for strategy development; outsource governance to MSSP with NCA experience</t>
        </is>
      </c>
      <c r="E73" s="680" t="inlineStr">
        <is>
          <t>❌ CANNOT ACCEPT — ECC-2 mandatory; NCA-REG-2024 criminalises non-compliance</t>
        </is>
      </c>
      <c r="F73" s="680" t="inlineStr">
        <is>
          <t>N/A — regulation cannot be avoided for entities in scope</t>
        </is>
      </c>
      <c r="G73" s="684" t="inlineStr">
        <is>
          <t>🟢 MITIGATE</t>
        </is>
      </c>
      <c r="H73" s="680" t="inlineStr">
        <is>
          <t>→ ORG-S/M/L/E</t>
        </is>
      </c>
      <c r="I73" s="680" t="n"/>
      <c r="J73" s="680" t="n"/>
    </row>
    <row r="74" ht="45" customHeight="1">
      <c r="A74" s="684" t="inlineStr">
        <is>
          <t>TRT-002</t>
        </is>
      </c>
      <c r="B74" s="680" t="inlineStr">
        <is>
          <t>No Data Privacy Policy (POL-002)</t>
        </is>
      </c>
      <c r="C74" s="680" t="inlineStr">
        <is>
          <t>Appoint DPO; build DPIA programme; implement consent management; establish PDPL compliance register</t>
        </is>
      </c>
      <c r="D74" s="680" t="inlineStr">
        <is>
          <t>Engage external DPO as service; outsource DPIA to privacy consultancy; use OneTrust/TrustArc platform</t>
        </is>
      </c>
      <c r="E74" s="680" t="inlineStr">
        <is>
          <t>❌ CANNOT ACCEPT — PDPL mandatory for all entities processing personal data</t>
        </is>
      </c>
      <c r="F74" s="680" t="inlineStr">
        <is>
          <t>Stop processing personal data entirely (rarely practical)</t>
        </is>
      </c>
      <c r="G74" s="684" t="inlineStr">
        <is>
          <t>🟢 MITIGATE</t>
        </is>
      </c>
      <c r="H74" s="680" t="inlineStr">
        <is>
          <t>→ ORG-S/M/L/E</t>
        </is>
      </c>
      <c r="I74" s="680" t="n"/>
      <c r="J74" s="680" t="n"/>
    </row>
    <row r="75" ht="45" customHeight="1">
      <c r="A75" s="684" t="inlineStr">
        <is>
          <t>TRT-003</t>
        </is>
      </c>
      <c r="B75" s="680" t="inlineStr">
        <is>
          <t>No Risk Management Framework (POL-003)</t>
        </is>
      </c>
      <c r="C75" s="680" t="inlineStr">
        <is>
          <t>Adopt ISO 31000; build risk register; define risk appetite; establish risk committee; quarterly risk reviews</t>
        </is>
      </c>
      <c r="D75" s="680" t="inlineStr">
        <is>
          <t>Outsource risk assessment to Big 4 / GRC consultancy; use automated risk scoring (ServiceNow/Archer)</t>
        </is>
      </c>
      <c r="E75" s="680" t="inlineStr">
        <is>
          <t>⚠️ CONDITIONAL — Board must formally document acceptance with annual review</t>
        </is>
      </c>
      <c r="F75" s="680" t="inlineStr">
        <is>
          <t>N/A — risk management is foundational to all frameworks</t>
        </is>
      </c>
      <c r="G75" s="684" t="inlineStr">
        <is>
          <t>🟢 MITIGATE</t>
        </is>
      </c>
      <c r="H75" s="680" t="inlineStr">
        <is>
          <t>→ ORG-S/M/L/E</t>
        </is>
      </c>
      <c r="I75" s="680" t="n"/>
      <c r="J75" s="680" t="n"/>
    </row>
    <row r="76" ht="45" customHeight="1">
      <c r="A76" s="684" t="inlineStr">
        <is>
          <t>TRT-004</t>
        </is>
      </c>
      <c r="B76" s="680" t="inlineStr">
        <is>
          <t>No IoMT/Device Governance (POL-004)</t>
        </is>
      </c>
      <c r="C76" s="680" t="inlineStr">
        <is>
          <t>Build IoMT inventory; SFDA registration review; OTCC zone mapping for medical OT; device lifecycle policy</t>
        </is>
      </c>
      <c r="D76" s="680" t="inlineStr">
        <is>
          <t>Engage biomedical engineering consultancy; Medigate/Claroty for IoMT visibility; outsource SFDA regulatory affairs</t>
        </is>
      </c>
      <c r="E76" s="680" t="inlineStr">
        <is>
          <t>❌ CANNOT ACCEPT — SFDA-MDR mandatory; unregistered devices = seizure</t>
        </is>
      </c>
      <c r="F76" s="680" t="inlineStr">
        <is>
          <t>Remove all unregistered devices from clinical use</t>
        </is>
      </c>
      <c r="G76" s="684" t="inlineStr">
        <is>
          <t>🟢 MITIGATE</t>
        </is>
      </c>
      <c r="H76" s="680" t="inlineStr">
        <is>
          <t>→ ORG-M/L/E only</t>
        </is>
      </c>
      <c r="I76" s="680" t="n"/>
      <c r="J76" s="680" t="n"/>
    </row>
    <row r="77" ht="45" customHeight="1">
      <c r="A77" s="684" t="inlineStr">
        <is>
          <t>TRT-005</t>
        </is>
      </c>
      <c r="B77" s="680" t="inlineStr">
        <is>
          <t>No Access Control Policy (POL-005)</t>
        </is>
      </c>
      <c r="C77" s="680" t="inlineStr">
        <is>
          <t>Deploy IAM solution; enforce MFA; quarterly access reviews; privileged access management (PAM); SoD matrix</t>
        </is>
      </c>
      <c r="D77" s="680" t="inlineStr">
        <is>
          <t>IAMaaS (CyberArk, BeyondTrust); outsource access reviews to SOC provider</t>
        </is>
      </c>
      <c r="E77" s="680" t="inlineStr">
        <is>
          <t>❌ CANNOT ACCEPT — ECC-2 Domain 2 mandatory</t>
        </is>
      </c>
      <c r="F77" s="680" t="inlineStr">
        <is>
          <t>N/A</t>
        </is>
      </c>
      <c r="G77" s="684" t="inlineStr">
        <is>
          <t>🟢 MITIGATE</t>
        </is>
      </c>
      <c r="H77" s="680" t="inlineStr">
        <is>
          <t>→ ORG-S/M/L/E</t>
        </is>
      </c>
      <c r="I77" s="680" t="n"/>
      <c r="J77" s="680" t="n"/>
    </row>
    <row r="78" ht="45" customHeight="1">
      <c r="A78" s="684" t="inlineStr">
        <is>
          <t>TRT-006</t>
        </is>
      </c>
      <c r="B78" s="680" t="inlineStr">
        <is>
          <t>No Network Segmentation Policy (POL-006)</t>
        </is>
      </c>
      <c r="C78" s="680" t="inlineStr">
        <is>
          <t>Implement micro-segmentation; deploy next-gen firewall; create OT DMZ; document zone architecture</t>
        </is>
      </c>
      <c r="D78" s="680" t="inlineStr">
        <is>
          <t>Managed firewall/SD-WAN service; outsource network monitoring to MSSP</t>
        </is>
      </c>
      <c r="E78" s="680" t="inlineStr">
        <is>
          <t>❌ CANNOT ACCEPT — ECC-2 + OTCC mandatory for CNI entities</t>
        </is>
      </c>
      <c r="F78" s="680" t="inlineStr">
        <is>
          <t>Air-gap critical OT networks (partial avoidance)</t>
        </is>
      </c>
      <c r="G78" s="684" t="inlineStr">
        <is>
          <t>🟢 MITIGATE</t>
        </is>
      </c>
      <c r="H78" s="680" t="inlineStr">
        <is>
          <t>→ ORG-M/L/E</t>
        </is>
      </c>
      <c r="I78" s="680" t="n"/>
      <c r="J78" s="680" t="n"/>
    </row>
    <row r="79" ht="45" customHeight="1">
      <c r="A79" s="684" t="inlineStr">
        <is>
          <t>TRT-010</t>
        </is>
      </c>
      <c r="B79" s="680" t="inlineStr">
        <is>
          <t>No Incident Response Policy (POL-010)</t>
        </is>
      </c>
      <c r="C79" s="680" t="inlineStr">
        <is>
          <t>Develop NCA-aligned IR plan; 24h notification procedure; CSIRT roster; annual tabletop; SOAR integration</t>
        </is>
      </c>
      <c r="D79" s="680" t="inlineStr">
        <is>
          <t>Outsource IR to MSSP with NCA notification capability; retain IR retainer with Big 4</t>
        </is>
      </c>
      <c r="E79" s="680" t="inlineStr">
        <is>
          <t>❌ CANNOT ACCEPT — NCA-REG-2024 criminalises failure to report</t>
        </is>
      </c>
      <c r="F79" s="680" t="inlineStr">
        <is>
          <t>N/A</t>
        </is>
      </c>
      <c r="G79" s="684" t="inlineStr">
        <is>
          <t>🟢 MITIGATE</t>
        </is>
      </c>
      <c r="H79" s="680" t="inlineStr">
        <is>
          <t>→ ORG-S/M/L/E</t>
        </is>
      </c>
      <c r="I79" s="680" t="n"/>
      <c r="J79" s="680" t="n"/>
    </row>
    <row r="80" ht="45" customHeight="1">
      <c r="A80" s="684" t="inlineStr">
        <is>
          <t>TRT-012</t>
        </is>
      </c>
      <c r="B80" s="680" t="inlineStr">
        <is>
          <t>Saudisation Non-compliance (POL-012)</t>
        </is>
      </c>
      <c r="C80" s="680" t="inlineStr">
        <is>
          <t>Accelerated Saudi cyber hiring programme; NCA training pathway; scholarship programme; internal Saudisation targets</t>
        </is>
      </c>
      <c r="D80" s="680" t="inlineStr">
        <is>
          <t>Partner with Saudi universities; NCA Cyber Academy pipeline; secondment agreements with SAFCSP</t>
        </is>
      </c>
      <c r="E80" s="680" t="inlineStr">
        <is>
          <t>❌ CANNOT ACCEPT — ECC-2 mandate + Nitaqat legally enforced</t>
        </is>
      </c>
      <c r="F80" s="680" t="inlineStr">
        <is>
          <t>Automate cyber roles to reduce headcount requirement (partial)</t>
        </is>
      </c>
      <c r="G80" s="684" t="inlineStr">
        <is>
          <t>🟢 MITIGATE</t>
        </is>
      </c>
      <c r="H80" s="680" t="inlineStr">
        <is>
          <t>→ ORG-ALL sizes</t>
        </is>
      </c>
      <c r="I80" s="680" t="n"/>
      <c r="J80" s="680" t="n"/>
    </row>
    <row r="81">
      <c r="A81" s="680" t="n"/>
      <c r="B81" s="680" t="n"/>
      <c r="C81" s="680" t="n"/>
      <c r="D81" s="680" t="n"/>
      <c r="E81" s="680" t="n"/>
      <c r="F81" s="680" t="n"/>
      <c r="G81" s="680" t="n"/>
      <c r="H81" s="680" t="n"/>
      <c r="I81" s="680" t="n"/>
      <c r="J81" s="680" t="n"/>
    </row>
    <row r="82" ht="15.75" customHeight="1">
      <c r="A82" s="685" t="inlineStr">
        <is>
          <t>━━━ SECTION F: TREATMENT-BY-ORGANISATION-SIZE SCALING — Right-Sized Implementation ━━━</t>
        </is>
      </c>
      <c r="G82" s="680" t="n"/>
      <c r="H82" s="680" t="n"/>
      <c r="I82" s="680" t="n"/>
      <c r="J82" s="680" t="n"/>
    </row>
    <row r="83">
      <c r="A83" s="686" t="inlineStr">
        <is>
          <t>GRC Domain</t>
        </is>
      </c>
      <c r="B83" s="693" t="inlineStr">
        <is>
          <t>🏪 SMALL (&lt;50 staff)</t>
        </is>
      </c>
      <c r="C83" s="694" t="inlineStr">
        <is>
          <t>🏢 MEDIUM (50-500)</t>
        </is>
      </c>
      <c r="D83" s="695" t="inlineStr">
        <is>
          <t>🏗️ LARGE (500-5000)</t>
        </is>
      </c>
      <c r="E83" s="696" t="inlineStr">
        <is>
          <t>🏨 ENTERPRISE (5000+)</t>
        </is>
      </c>
      <c r="F83" s="687" t="inlineStr">
        <is>
          <t>KSA Regulatory Adjustment</t>
        </is>
      </c>
      <c r="G83" s="680" t="n"/>
      <c r="H83" s="680" t="n"/>
      <c r="I83" s="680" t="n"/>
      <c r="J83" s="680" t="n"/>
    </row>
    <row r="84" ht="55.05" customHeight="1">
      <c r="A84" s="680" t="inlineStr">
        <is>
          <t>Cybersecurity Governance (ECC-2)</t>
        </is>
      </c>
      <c r="B84" s="680" t="inlineStr">
        <is>
          <t>vCISO or part-time CISO; combined IT/security role; ECC-2 self-assessment outsourced; basic policy set (5 policies)</t>
        </is>
      </c>
      <c r="C84" s="680" t="inlineStr">
        <is>
          <t>Dedicated CISO (Saudi national); internal IT security team (3-5); ECC-2 self-assessment in-house; full policy set (15 policies)</t>
        </is>
      </c>
      <c r="D84" s="680" t="inlineStr">
        <is>
          <t>CISO + dedicated team (10-20); SOC (internal or hybrid); ECC-2 programme office; advanced tooling (SIEM, SOAR, EDR)</t>
        </is>
      </c>
      <c r="E84" s="680" t="inlineStr">
        <is>
          <t>CISO + multi-team security org (50+); 24/7 SOC; GRC platform (ServiceNow/Archer); threat intelligence; red team</t>
        </is>
      </c>
      <c r="F84" s="680" t="inlineStr">
        <is>
          <t>All sizes: ECC-2 mandatory if in scope. Small entities may request NCA guidance on proportional implementation</t>
        </is>
      </c>
      <c r="G84" s="680" t="n"/>
      <c r="H84" s="680" t="n"/>
      <c r="I84" s="680" t="n"/>
      <c r="J84" s="680" t="n"/>
    </row>
    <row r="85" ht="55.05" customHeight="1">
      <c r="A85" s="680" t="inlineStr">
        <is>
          <t>Data Privacy (PDPL)</t>
        </is>
      </c>
      <c r="B85" s="680" t="inlineStr">
        <is>
          <t>External DPO (shared service); basic consent + privacy notice; manual DSAR process; annual DPIA review</t>
        </is>
      </c>
      <c r="C85" s="680" t="inlineStr">
        <is>
          <t>Internal DPO (can be dual-role); OneTrust/TrustArc for consent; semi-automated DSAR; quarterly DPIA reviews</t>
        </is>
      </c>
      <c r="D85" s="680" t="inlineStr">
        <is>
          <t>Dedicated DPO + privacy team (3-5); privacy-by-design embedded; automated consent/DSAR; continuous DPIA</t>
        </is>
      </c>
      <c r="E85" s="680" t="inlineStr">
        <is>
          <t>DPO + privacy office (10+); automated data mapping; AI-powered DSAR; privacy engineering team; cross-border adequacy</t>
        </is>
      </c>
      <c r="F85" s="680" t="inlineStr">
        <is>
          <t>PDPL applies equally to all sizes. DPO mandatory if processing sensitive data (health data = sensitive)</t>
        </is>
      </c>
      <c r="G85" s="680" t="n"/>
      <c r="H85" s="680" t="n"/>
      <c r="I85" s="680" t="n"/>
      <c r="J85" s="680" t="n"/>
    </row>
    <row r="86" ht="55.05" customHeight="1">
      <c r="A86" s="680" t="inlineStr">
        <is>
          <t>OT/IoMT Security (OTCC)</t>
        </is>
      </c>
      <c r="B86" s="680" t="inlineStr">
        <is>
          <t>N/A for most small entities; if clinic with IoMT: basic inventory + vendor management</t>
        </is>
      </c>
      <c r="C86" s="680" t="inlineStr">
        <is>
          <t>OT inventory (Medigate/Claroty); basic segmentation; vendor patch management; OTCC self-assessment</t>
        </is>
      </c>
      <c r="D86" s="680" t="inlineStr">
        <is>
          <t>Dedicated OT security team; full Purdue model segmentation; OT SOC integration; IEC 62443 alignment</t>
        </is>
      </c>
      <c r="E86" s="680" t="inlineStr">
        <is>
          <t>OT security programme office; AI-driven anomaly detection; zero-trust OT; digital twin security; OTCC leadership</t>
        </is>
      </c>
      <c r="F86" s="680" t="inlineStr">
        <is>
          <t>OTCC mandatory for CNI entities only. Hospitals &gt;100 beds typically classified as CNI</t>
        </is>
      </c>
      <c r="G86" s="680" t="n"/>
      <c r="H86" s="680" t="n"/>
      <c r="I86" s="680" t="n"/>
      <c r="J86" s="680" t="n"/>
    </row>
    <row r="87" ht="55.05" customHeight="1">
      <c r="A87" s="680" t="inlineStr">
        <is>
          <t>Incident Response</t>
        </is>
      </c>
      <c r="B87" s="680" t="inlineStr">
        <is>
          <t>Basic IR plan; manual NCA notification (24h); annual tabletop via consultant; outsourced IR retainer</t>
        </is>
      </c>
      <c r="C87" s="680" t="inlineStr">
        <is>
          <t>Documented IR plan; tested NCA/SDAIA notification; annual tabletop; IR team (3-5); basic SOAR</t>
        </is>
      </c>
      <c r="D87" s="680" t="inlineStr">
        <is>
          <t>Advanced IR programme; SOAR-automated response; quarterly tabletop; internal CSIRT; threat hunting</t>
        </is>
      </c>
      <c r="E87" s="680" t="inlineStr">
        <is>
          <t>24/7 CSIRT; automated MTTD &lt;1h; SOAR + TI integration; sector-level IR coordination; NCA real-time reporting</t>
        </is>
      </c>
      <c r="F87" s="680" t="inlineStr">
        <is>
          <t>NCA 24h notification: mandatory for ALL sizes. PDPL 72h breach notification: mandatory for ALL</t>
        </is>
      </c>
      <c r="G87" s="680" t="n"/>
      <c r="H87" s="680" t="n"/>
      <c r="I87" s="680" t="n"/>
      <c r="J87" s="680" t="n"/>
    </row>
    <row r="88" ht="55.05" customHeight="1">
      <c r="A88" s="680" t="inlineStr">
        <is>
          <t>Supply Chain GRC</t>
        </is>
      </c>
      <c r="B88" s="680" t="inlineStr">
        <is>
          <t>Basic vendor questionnaire; ECC-2 clause in contracts; annual vendor check</t>
        </is>
      </c>
      <c r="C88" s="680" t="inlineStr">
        <is>
          <t>Vendor risk scoring; annual assessment of critical vendors; right-to-audit; NCA-registered CSP check</t>
        </is>
      </c>
      <c r="D88" s="680" t="inlineStr">
        <is>
          <t>Automated vendor risk management (Prevalent/BitSight); continuous monitoring; sub-contractor disclosure</t>
        </is>
      </c>
      <c r="E88" s="680" t="inlineStr">
        <is>
          <t>Zero-trust supply chain; vendor certification programme; real-time supply chain risk feeds; vendor SOC integration</t>
        </is>
      </c>
      <c r="F88" s="680" t="inlineStr">
        <is>
          <t>ECC-2 Domain 4 + NCA-CCC: vendor obligations apply equally. Cloud CSPs must be NCA-registered regardless</t>
        </is>
      </c>
      <c r="G88" s="680" t="n"/>
      <c r="H88" s="680" t="n"/>
      <c r="I88" s="680" t="n"/>
      <c r="J88" s="680" t="n"/>
    </row>
    <row r="89" ht="55.05" customHeight="1">
      <c r="A89" s="680" t="inlineStr">
        <is>
          <t>Saudisation</t>
        </is>
      </c>
      <c r="B89" s="680" t="inlineStr">
        <is>
          <t>Hire 1-2 Saudi cyber staff; leverage NCA Cyber Academy graduates; Green zone target</t>
        </is>
      </c>
      <c r="C89" s="680" t="inlineStr">
        <is>
          <t>Saudi cyber team (5-10); NCA training programme; Platinum zone target; SCFHS registration for health roles</t>
        </is>
      </c>
      <c r="D89" s="680" t="inlineStr">
        <is>
          <t>Saudi cyber workforce programme; university partnerships; graduate pipeline; 100% Saudi CISO team</t>
        </is>
      </c>
      <c r="E89" s="680" t="inlineStr">
        <is>
          <t>Saudi cyber centre of excellence; export Saudi GRC talent; SAFCSP collaboration; industry leadership</t>
        </is>
      </c>
      <c r="F89" s="680" t="inlineStr">
        <is>
          <t>ECC-2: 100% Saudi cyber roles by Oct 2025 deadline. Nitaqat zones vary by sector — health: special formula</t>
        </is>
      </c>
      <c r="G89" s="680" t="n"/>
      <c r="H89" s="680" t="n"/>
      <c r="I89" s="680" t="n"/>
      <c r="J89" s="680" t="n"/>
    </row>
    <row r="90" ht="55.05" customHeight="1">
      <c r="A90" s="680" t="inlineStr">
        <is>
          <t>Medical Device Compliance</t>
        </is>
      </c>
      <c r="B90" s="680" t="inlineStr">
        <is>
          <t>Basic SFDA device register; vendor-managed UDI; minimal PMS</t>
        </is>
      </c>
      <c r="C90" s="680" t="inlineStr">
        <is>
          <t>Internal SFDA compliance officer; device lifecycle tracking; PMS programme; adverse event reporting</t>
        </is>
      </c>
      <c r="D90" s="680" t="inlineStr">
        <is>
          <t>Regulatory affairs team; full UDI management; clinical evidence generation; SFDA audit readiness</t>
        </is>
      </c>
      <c r="E90" s="680" t="inlineStr">
        <is>
          <t>Regulatory affairs department; AI-MDS compliance; global MDR harmonisation; clinical investigation programme</t>
        </is>
      </c>
      <c r="F90" s="680" t="inlineStr">
        <is>
          <t>SFDA-MDR mandatory for all device operators. AI-MDS applies if using AI diagnostics regardless of size</t>
        </is>
      </c>
      <c r="G90" s="680" t="n"/>
      <c r="H90" s="680" t="n"/>
      <c r="I90" s="680" t="n"/>
      <c r="J90" s="680" t="n"/>
    </row>
    <row r="91" ht="55.05" customHeight="1">
      <c r="A91" s="680" t="inlineStr">
        <is>
          <t>GRC Tooling &amp; Automation</t>
        </is>
      </c>
      <c r="B91" s="680" t="inlineStr">
        <is>
          <t>Spreadsheet-based GRC (this workbook!); basic cloud collaboration; manual KRI tracking</t>
        </is>
      </c>
      <c r="C91" s="680" t="inlineStr">
        <is>
          <t>Entry-level GRC platform (Hyperproof/LogicGate); semi-automated KRI; integrated risk register</t>
        </is>
      </c>
      <c r="D91" s="680" t="inlineStr">
        <is>
          <t>Enterprise GRC platform (ServiceNow/Archer); automated compliance monitoring; API integrations</t>
        </is>
      </c>
      <c r="E91" s="680" t="inlineStr">
        <is>
          <t>Full GRC ecosystem; AI-powered compliance; RegTech integration; Shahin-AI type natural language GRC</t>
        </is>
      </c>
      <c r="F91" s="680" t="inlineStr">
        <is>
          <t>No KSA mandate on GRC tooling. NCA self-assessment via NCA portal (mandatory). PDPL may require automated consent tools</t>
        </is>
      </c>
      <c r="G91" s="680" t="n"/>
      <c r="H91" s="680" t="n"/>
      <c r="I91" s="680" t="n"/>
      <c r="J91" s="680" t="n"/>
    </row>
    <row r="92">
      <c r="A92" s="680" t="n"/>
      <c r="B92" s="680" t="n"/>
      <c r="C92" s="680" t="n"/>
      <c r="D92" s="680" t="n"/>
      <c r="E92" s="680" t="n"/>
      <c r="F92" s="680" t="n"/>
      <c r="G92" s="680" t="n"/>
      <c r="H92" s="680" t="n"/>
      <c r="I92" s="680" t="n"/>
      <c r="J92" s="680" t="n"/>
    </row>
    <row r="93" ht="15.75" customHeight="1">
      <c r="A93" s="681" t="inlineStr">
        <is>
          <t>━━━ SECTION G: ORG-SIZE-TO-KSA-REGULATORY MAPPING — Who Regulates You Based on Size ━━━</t>
        </is>
      </c>
      <c r="H93" s="680" t="n"/>
      <c r="I93" s="680" t="n"/>
      <c r="J93" s="680" t="n"/>
    </row>
    <row r="94">
      <c r="A94" s="687" t="inlineStr">
        <is>
          <t>Regulator / Framework</t>
        </is>
      </c>
      <c r="B94" s="697" t="inlineStr">
        <is>
          <t>🏪 SMALL (&lt;50)</t>
        </is>
      </c>
      <c r="C94" s="698" t="inlineStr">
        <is>
          <t>🏢 MEDIUM (50-500)</t>
        </is>
      </c>
      <c r="D94" s="699" t="inlineStr">
        <is>
          <t>🏗️ LARGE (500-5K)</t>
        </is>
      </c>
      <c r="E94" s="700" t="inlineStr">
        <is>
          <t>🏨 ENTERPRISE (5K+)</t>
        </is>
      </c>
      <c r="F94" s="687" t="inlineStr">
        <is>
          <t>Trigger / Scope Rule</t>
        </is>
      </c>
      <c r="G94" s="687" t="inlineStr">
        <is>
          <t>KSA Market Context</t>
        </is>
      </c>
      <c r="H94" s="680" t="n"/>
      <c r="I94" s="680" t="n"/>
      <c r="J94" s="680" t="n"/>
    </row>
    <row r="95" ht="28.5" customHeight="1">
      <c r="A95" s="680" t="inlineStr">
        <is>
          <t>NCA — ECC-2:2024</t>
        </is>
      </c>
      <c r="B95" s="684" t="inlineStr">
        <is>
          <t>✅ If gov/CNI</t>
        </is>
      </c>
      <c r="C95" s="684" t="inlineStr">
        <is>
          <t>✅ If gov/CNI</t>
        </is>
      </c>
      <c r="D95" s="684" t="inlineStr">
        <is>
          <t>✅ Mandatory</t>
        </is>
      </c>
      <c r="E95" s="684" t="inlineStr">
        <is>
          <t>✅ Mandatory</t>
        </is>
      </c>
      <c r="F95" s="684" t="inlineStr">
        <is>
          <t>Government entities: ALL sizes. Private: only if designated CNI by NCA. Large private healthcare usually CNI</t>
        </is>
      </c>
      <c r="G95" s="684" t="inlineStr">
        <is>
          <t>~90% of large healthcare entities are in NCA scope; small clinics often unclear</t>
        </is>
      </c>
      <c r="H95" s="680" t="n"/>
      <c r="I95" s="680" t="n"/>
      <c r="J95" s="680" t="n"/>
    </row>
    <row r="96" ht="28.5" customHeight="1">
      <c r="A96" s="680" t="inlineStr">
        <is>
          <t>NCA — OTCC-1:2022</t>
        </is>
      </c>
      <c r="B96" s="684" t="inlineStr">
        <is>
          <t>❌</t>
        </is>
      </c>
      <c r="C96" s="684" t="inlineStr">
        <is>
          <t>⚠️ If CNI+OT</t>
        </is>
      </c>
      <c r="D96" s="684" t="inlineStr">
        <is>
          <t>✅ If CNI+OT</t>
        </is>
      </c>
      <c r="E96" s="684" t="inlineStr">
        <is>
          <t>✅ If CNI+OT</t>
        </is>
      </c>
      <c r="F96" s="684" t="inlineStr">
        <is>
          <t>Only CNI entities with OT/ICS. Hospitals with connected medical devices: OTCC applies to OT network</t>
        </is>
      </c>
      <c r="G96" s="684" t="inlineStr">
        <is>
          <t>Major hospitals (&gt;100 beds) typically in OTCC scope; polyclinics usually exempt</t>
        </is>
      </c>
      <c r="H96" s="680" t="n"/>
      <c r="I96" s="680" t="n"/>
      <c r="J96" s="680" t="n"/>
    </row>
    <row r="97" ht="42.75" customHeight="1">
      <c r="A97" s="680" t="inlineStr">
        <is>
          <t>NCA — CCC-1:2020</t>
        </is>
      </c>
      <c r="B97" s="684" t="inlineStr">
        <is>
          <t>✅ If cloud+ECC</t>
        </is>
      </c>
      <c r="C97" s="684" t="inlineStr">
        <is>
          <t>✅ If cloud+ECC</t>
        </is>
      </c>
      <c r="D97" s="684" t="inlineStr">
        <is>
          <t>✅ If cloud+ECC</t>
        </is>
      </c>
      <c r="E97" s="684" t="inlineStr">
        <is>
          <t>✅ If cloud+ECC</t>
        </is>
      </c>
      <c r="F97" s="684" t="inlineStr">
        <is>
          <t>Applies to ALL ECC-scope entities using cloud. Cloud CSP must be NCA-registered</t>
        </is>
      </c>
      <c r="G97" s="684" t="inlineStr">
        <is>
          <t>Almost universal — even small clinics use cloud EHR/email; CCC triggered by any cloud usage</t>
        </is>
      </c>
      <c r="H97" s="680" t="n"/>
      <c r="I97" s="680" t="n"/>
      <c r="J97" s="680" t="n"/>
    </row>
    <row r="98" ht="28.5" customHeight="1">
      <c r="A98" s="680" t="inlineStr">
        <is>
          <t>SDAIA — PDPL-2021</t>
        </is>
      </c>
      <c r="B98" s="684" t="inlineStr">
        <is>
          <t>✅ Mandatory</t>
        </is>
      </c>
      <c r="C98" s="684" t="inlineStr">
        <is>
          <t>✅ Mandatory</t>
        </is>
      </c>
      <c r="D98" s="684" t="inlineStr">
        <is>
          <t>✅ Mandatory</t>
        </is>
      </c>
      <c r="E98" s="684" t="inlineStr">
        <is>
          <t>✅ Mandatory</t>
        </is>
      </c>
      <c r="F98" s="684" t="inlineStr">
        <is>
          <t>ALL entities processing personal data of KSA residents. No size exemption. Health data = sensitive category</t>
        </is>
      </c>
      <c r="G98" s="684" t="inlineStr">
        <is>
          <t>Universal. Even 1-person clinic collecting patient names = PDPL scope</t>
        </is>
      </c>
      <c r="H98" s="680" t="n"/>
      <c r="I98" s="680" t="n"/>
      <c r="J98" s="680" t="n"/>
    </row>
    <row r="99" ht="28.5" customHeight="1">
      <c r="A99" s="680" t="inlineStr">
        <is>
          <t>SFDA — MDR</t>
        </is>
      </c>
      <c r="B99" s="684" t="inlineStr">
        <is>
          <t>✅ If devices</t>
        </is>
      </c>
      <c r="C99" s="684" t="inlineStr">
        <is>
          <t>✅ If devices</t>
        </is>
      </c>
      <c r="D99" s="684" t="inlineStr">
        <is>
          <t>✅ If devices</t>
        </is>
      </c>
      <c r="E99" s="684" t="inlineStr">
        <is>
          <t>✅ If devices</t>
        </is>
      </c>
      <c r="F99" s="684" t="inlineStr">
        <is>
          <t>ALL manufacturers, importers, distributors, operators of medical devices in KSA. No size exemption</t>
        </is>
      </c>
      <c r="G99" s="684" t="inlineStr">
        <is>
          <t>Universal for healthcare. Single GP clinic with blood pressure monitor = SFDA scope</t>
        </is>
      </c>
      <c r="H99" s="680" t="n"/>
      <c r="I99" s="680" t="n"/>
      <c r="J99" s="680" t="n"/>
    </row>
    <row r="100" ht="28.5" customHeight="1">
      <c r="A100" s="680" t="inlineStr">
        <is>
          <t>MOH — HIS Standards</t>
        </is>
      </c>
      <c r="B100" s="684" t="inlineStr">
        <is>
          <t>✅ If MOH licence</t>
        </is>
      </c>
      <c r="C100" s="684" t="inlineStr">
        <is>
          <t>✅ If MOH licence</t>
        </is>
      </c>
      <c r="D100" s="684" t="inlineStr">
        <is>
          <t>✅ If MOH licence</t>
        </is>
      </c>
      <c r="E100" s="684" t="inlineStr">
        <is>
          <t>✅ If MOH licence</t>
        </is>
      </c>
      <c r="F100" s="684" t="inlineStr">
        <is>
          <t>All MOH-licensed healthcare facilities. HIS must meet MOH electronic standards</t>
        </is>
      </c>
      <c r="G100" s="684" t="inlineStr">
        <is>
          <t>MOH licence is mandatory for all healthcare providers in KSA</t>
        </is>
      </c>
      <c r="H100" s="680" t="n"/>
      <c r="I100" s="680" t="n"/>
      <c r="J100" s="680" t="n"/>
    </row>
    <row r="101" ht="42.75" customHeight="1">
      <c r="A101" s="680" t="inlineStr">
        <is>
          <t>CBAHI — Accreditation</t>
        </is>
      </c>
      <c r="B101" s="684" t="inlineStr">
        <is>
          <t>⚠️ Voluntary</t>
        </is>
      </c>
      <c r="C101" s="684" t="inlineStr">
        <is>
          <t>✅ Recommended</t>
        </is>
      </c>
      <c r="D101" s="684" t="inlineStr">
        <is>
          <t>✅ Expected</t>
        </is>
      </c>
      <c r="E101" s="684" t="inlineStr">
        <is>
          <t>✅ Expected</t>
        </is>
      </c>
      <c r="F101" s="684" t="inlineStr">
        <is>
          <t>Voluntary but effectively mandatory for large hospitals. Required by most CCHI-regulated insurers</t>
        </is>
      </c>
      <c r="G101" s="684" t="inlineStr">
        <is>
          <t>~200+ hospitals CBAHI-accredited; becoming de facto market requirement for all sizes</t>
        </is>
      </c>
      <c r="H101" s="680" t="n"/>
      <c r="I101" s="680" t="n"/>
      <c r="J101" s="680" t="n"/>
    </row>
    <row r="102" ht="42.75" customHeight="1">
      <c r="A102" s="680" t="inlineStr">
        <is>
          <t>NHIC — NABIDH</t>
        </is>
      </c>
      <c r="B102" s="684" t="inlineStr">
        <is>
          <t>⚠️ Phased</t>
        </is>
      </c>
      <c r="C102" s="684" t="inlineStr">
        <is>
          <t>✅ Required</t>
        </is>
      </c>
      <c r="D102" s="684" t="inlineStr">
        <is>
          <t>✅ Required</t>
        </is>
      </c>
      <c r="E102" s="684" t="inlineStr">
        <is>
          <t>✅ Required</t>
        </is>
      </c>
      <c r="F102" s="684" t="inlineStr">
        <is>
          <t>All healthcare facilities connecting to national health data exchange. Phased rollout by region/size</t>
        </is>
      </c>
      <c r="G102" s="684" t="inlineStr">
        <is>
          <t>NABIDH connectivity becoming mandatory; small clinics have later deadlines but still in scope</t>
        </is>
      </c>
      <c r="H102" s="680" t="n"/>
      <c r="I102" s="680" t="n"/>
      <c r="J102" s="680" t="n"/>
    </row>
    <row r="103" ht="42.75" customHeight="1">
      <c r="A103" s="680" t="inlineStr">
        <is>
          <t>MHRSD — NITAQAT</t>
        </is>
      </c>
      <c r="B103" s="684" t="inlineStr">
        <is>
          <t>✅ Mandatory</t>
        </is>
      </c>
      <c r="C103" s="684" t="inlineStr">
        <is>
          <t>✅ Mandatory</t>
        </is>
      </c>
      <c r="D103" s="684" t="inlineStr">
        <is>
          <t>✅ Mandatory</t>
        </is>
      </c>
      <c r="E103" s="684" t="inlineStr">
        <is>
          <t>✅ Mandatory</t>
        </is>
      </c>
      <c r="F103" s="684" t="inlineStr">
        <is>
          <t>ALL private entities with employees. Different zones (Platinum/Green/Yellow/Red) by sector + size band</t>
        </is>
      </c>
      <c r="G103" s="684" t="inlineStr">
        <is>
          <t>Universal for private sector. Healthcare sector has special Saudisation formula based on speciality type</t>
        </is>
      </c>
      <c r="H103" s="680" t="n"/>
      <c r="I103" s="680" t="n"/>
      <c r="J103" s="680" t="n"/>
    </row>
    <row r="104" ht="42.75" customHeight="1">
      <c r="A104" s="680" t="inlineStr">
        <is>
          <t>SAMA — CSF</t>
        </is>
      </c>
      <c r="B104" s="684" t="inlineStr">
        <is>
          <t>❌</t>
        </is>
      </c>
      <c r="C104" s="684" t="inlineStr">
        <is>
          <t>⚠️ If insurer</t>
        </is>
      </c>
      <c r="D104" s="684" t="inlineStr">
        <is>
          <t>✅ If financial</t>
        </is>
      </c>
      <c r="E104" s="684" t="inlineStr">
        <is>
          <t>✅ If financial</t>
        </is>
      </c>
      <c r="F104" s="684" t="inlineStr">
        <is>
          <t>Financial institutions only: banks, insurers, fintechs. Health insurers (CCHI-regulated) are SAMA scope</t>
        </is>
      </c>
      <c r="G104" s="684" t="inlineStr">
        <is>
          <t>Health insurers must comply with BOTH SAMA-CSF AND NCA-ECC-2 — dual regulatory burden</t>
        </is>
      </c>
      <c r="H104" s="680" t="n"/>
      <c r="I104" s="680" t="n"/>
      <c r="J104" s="680" t="n"/>
    </row>
    <row r="105" ht="28.5" customHeight="1">
      <c r="A105" s="680" t="inlineStr">
        <is>
          <t>ZATCA — E-invoicing</t>
        </is>
      </c>
      <c r="B105" s="684" t="inlineStr">
        <is>
          <t>✅ Mandatory</t>
        </is>
      </c>
      <c r="C105" s="684" t="inlineStr">
        <is>
          <t>✅ Mandatory</t>
        </is>
      </c>
      <c r="D105" s="684" t="inlineStr">
        <is>
          <t>✅ Mandatory</t>
        </is>
      </c>
      <c r="E105" s="684" t="inlineStr">
        <is>
          <t>✅ Mandatory</t>
        </is>
      </c>
      <c r="F105" s="684" t="inlineStr">
        <is>
          <t>ALL VAT-registered entities. Healthcare entities issuing invoices must use ZATCA-compliant e-invoicing</t>
        </is>
      </c>
      <c r="G105" s="684" t="inlineStr">
        <is>
          <t>Phase 2 (Integration Phase) rolling out by waves based on revenue threshold</t>
        </is>
      </c>
      <c r="H105" s="680" t="n"/>
      <c r="I105" s="680" t="n"/>
      <c r="J105" s="680" t="n"/>
    </row>
    <row r="106" ht="42.75" customHeight="1">
      <c r="A106" s="680" t="inlineStr">
        <is>
          <t>NCA — REG-2024 (Enforcement)</t>
        </is>
      </c>
      <c r="B106" s="684" t="inlineStr">
        <is>
          <t>✅ If NCA scope</t>
        </is>
      </c>
      <c r="C106" s="684" t="inlineStr">
        <is>
          <t>✅ If NCA scope</t>
        </is>
      </c>
      <c r="D106" s="684" t="inlineStr">
        <is>
          <t>✅ If NCA scope</t>
        </is>
      </c>
      <c r="E106" s="684" t="inlineStr">
        <is>
          <t>✅ If NCA scope</t>
        </is>
      </c>
      <c r="F106" s="684" t="inlineStr">
        <is>
          <t>Applies to ALL entities in NCA scope. SAR 25M fine + criminal referral. No size exemption</t>
        </is>
      </c>
      <c r="G106" s="684" t="inlineStr">
        <is>
          <t>First enforcement reg — signals shift from guidance to penalties. Expected first fines in 2025</t>
        </is>
      </c>
      <c r="H106" s="680" t="n"/>
      <c r="I106" s="680" t="n"/>
      <c r="J106" s="680" t="n"/>
    </row>
    <row r="107">
      <c r="A107" s="680" t="n"/>
      <c r="B107" s="680" t="n"/>
      <c r="C107" s="680" t="n"/>
      <c r="D107" s="680" t="n"/>
      <c r="E107" s="680" t="n"/>
      <c r="F107" s="680" t="n"/>
      <c r="G107" s="680" t="n"/>
      <c r="H107" s="680" t="n"/>
      <c r="I107" s="680" t="n"/>
      <c r="J107" s="680" t="n"/>
    </row>
    <row r="108" ht="15.75" customHeight="1">
      <c r="A108" s="681" t="inlineStr">
        <is>
          <t>━━━ SECTION H: REGULATORY-TO-SECTOR MATRIX — Complete Sector Compliance Map ━━━</t>
        </is>
      </c>
      <c r="H108" s="680" t="n"/>
      <c r="I108" s="680" t="n"/>
      <c r="J108" s="680" t="n"/>
    </row>
    <row r="109">
      <c r="A109" s="687" t="inlineStr">
        <is>
          <t>KSA Sector</t>
        </is>
      </c>
      <c r="B109" s="686" t="inlineStr">
        <is>
          <t>Primary Regulators</t>
        </is>
      </c>
      <c r="C109" s="686" t="inlineStr">
        <is>
          <t>Cross-Sector Regulators</t>
        </is>
      </c>
      <c r="D109" s="686" t="inlineStr">
        <is>
          <t>Key Frameworks (Mandatory)</t>
        </is>
      </c>
      <c r="E109" s="686" t="inlineStr">
        <is>
          <t># Frameworks in KB</t>
        </is>
      </c>
      <c r="F109" s="686" t="inlineStr">
        <is>
          <t>Unique Compliance Challenge</t>
        </is>
      </c>
      <c r="G109" s="686" t="inlineStr">
        <is>
          <t>Cross-Sector Overlap Risk</t>
        </is>
      </c>
      <c r="H109" s="680" t="n"/>
      <c r="I109" s="680" t="n"/>
      <c r="J109" s="680" t="n"/>
    </row>
    <row r="110" ht="28.5" customHeight="1">
      <c r="A110" s="680" t="inlineStr">
        <is>
          <t>🏥 Healthcare (Hospitals)</t>
        </is>
      </c>
      <c r="B110" s="680" t="inlineStr">
        <is>
          <t>MOH, SFDA, CBAHI, CCHI, NHIC, Regional Health Clusters</t>
        </is>
      </c>
      <c r="C110" s="680" t="inlineStr">
        <is>
          <t>NCA (ECC-2, OTCC, CCC, DCC), SDAIA (PDPL), MHRSD, ZATCA, SCFHS</t>
        </is>
      </c>
      <c r="D110" s="680" t="inlineStr">
        <is>
          <t>ECC-2 + OTCC + CCC + PDPL + SFDA-MDR + MOH-HIS + NABIDH + CBAHI</t>
        </is>
      </c>
      <c r="E110" s="701">
        <f>COUNTIFS('All 108 Regulators - Frameworks'!D$4:D$500,"*Healthcare*")</f>
        <v/>
      </c>
      <c r="F110" s="680" t="inlineStr">
        <is>
          <t>Highest regulator density globally; 12+ mandatory frameworks; OT/IT convergence in clinical setting</t>
        </is>
      </c>
      <c r="G110" s="680" t="inlineStr">
        <is>
          <t>🔴 EXTREME — NCA/SFDA/MOH triple overlap on medical device cybersecurity</t>
        </is>
      </c>
      <c r="H110" s="680" t="n"/>
      <c r="I110" s="680" t="n"/>
      <c r="J110" s="680" t="n"/>
    </row>
    <row r="111" ht="28.5" customHeight="1">
      <c r="A111" s="680" t="inlineStr">
        <is>
          <t>💻 ICT / Digital / Telecom</t>
        </is>
      </c>
      <c r="B111" s="680" t="inlineStr">
        <is>
          <t>CST, CITC, NCA</t>
        </is>
      </c>
      <c r="C111" s="680" t="inlineStr">
        <is>
          <t>SDAIA (PDPL), MHRSD, ZATCA</t>
        </is>
      </c>
      <c r="D111" s="680" t="inlineStr">
        <is>
          <t>ECC-2 + CCC + PDPL + CST-IoT + CST-CCR</t>
        </is>
      </c>
      <c r="E111" s="701">
        <f>COUNTIFS('All 108 Regulators - Frameworks'!D$4:D$500,"*ICT*")</f>
        <v/>
      </c>
      <c r="F111" s="680" t="inlineStr">
        <is>
          <t>Cloud service providers face NCA registration + CST licensing; IoT regulation emerging</t>
        </is>
      </c>
      <c r="G111" s="680" t="inlineStr">
        <is>
          <t>🟠 HIGH — NCA/CST overlap on cloud security requirements</t>
        </is>
      </c>
      <c r="H111" s="680" t="n"/>
      <c r="I111" s="680" t="n"/>
      <c r="J111" s="680" t="n"/>
    </row>
    <row r="112" ht="28.5" customHeight="1">
      <c r="A112" s="680" t="inlineStr">
        <is>
          <t>💰 Financial Services</t>
        </is>
      </c>
      <c r="B112" s="680" t="inlineStr">
        <is>
          <t>SAMA, CMA</t>
        </is>
      </c>
      <c r="C112" s="680" t="inlineStr">
        <is>
          <t>NCA (ECC-2), SDAIA (PDPL), MHRSD, ZATCA</t>
        </is>
      </c>
      <c r="D112" s="680" t="inlineStr">
        <is>
          <t>SAMA-CSF + ECC-2 + PDPL + CMA regulations</t>
        </is>
      </c>
      <c r="E112" s="701">
        <f>COUNTIFS('All 108 Regulators - Frameworks'!D$4:D$500,"*Financial*")</f>
        <v/>
      </c>
      <c r="F112" s="680" t="inlineStr">
        <is>
          <t>Dual cyber framework (SAMA-CSF + NCA-ECC-2); CCHI-regulated health insurers in triple scope</t>
        </is>
      </c>
      <c r="G112" s="680" t="inlineStr">
        <is>
          <t>🔴 EXTREME — Health insurers: SAMA + NCA + CCHI triple jurisdiction</t>
        </is>
      </c>
      <c r="H112" s="680" t="n"/>
      <c r="I112" s="680" t="n"/>
      <c r="J112" s="680" t="n"/>
    </row>
    <row r="113" ht="28.5" customHeight="1">
      <c r="A113" s="680" t="inlineStr">
        <is>
          <t>⚡ Energy &amp; Utilities</t>
        </is>
      </c>
      <c r="B113" s="680" t="inlineStr">
        <is>
          <t>ECRA, SEC (Saudi Electricity)</t>
        </is>
      </c>
      <c r="C113" s="680" t="inlineStr">
        <is>
          <t>NCA (ECC-2, OTCC), SDAIA (PDPL), MHRSD</t>
        </is>
      </c>
      <c r="D113" s="680" t="inlineStr">
        <is>
          <t>ECC-2 + OTCC (CNI) + CCC + sector-specific</t>
        </is>
      </c>
      <c r="E113" s="701">
        <f>COUNTIFS('All 108 Regulators - Frameworks'!D$4:D$500,"*Energy*")</f>
        <v/>
      </c>
      <c r="F113" s="680" t="inlineStr">
        <is>
          <t>Critical national infrastructure = full NCA suite mandatory; OTCC priority sector</t>
        </is>
      </c>
      <c r="G113" s="680" t="inlineStr">
        <is>
          <t>🟠 HIGH — NCA/ECRA overlap on smart grid cybersecurity</t>
        </is>
      </c>
      <c r="H113" s="680" t="n"/>
      <c r="I113" s="680" t="n"/>
      <c r="J113" s="680" t="n"/>
    </row>
    <row r="114" ht="28.5" customHeight="1">
      <c r="A114" s="680" t="inlineStr">
        <is>
          <t>🎓 Education &amp; Research</t>
        </is>
      </c>
      <c r="B114" s="680" t="inlineStr">
        <is>
          <t>MOE, NCAAA</t>
        </is>
      </c>
      <c r="C114" s="680" t="inlineStr">
        <is>
          <t>NCA (ECC-2), SDAIA (PDPL), MHRSD</t>
        </is>
      </c>
      <c r="D114" s="680" t="inlineStr">
        <is>
          <t>ECC-2 (if gov) + PDPL + MOE standards</t>
        </is>
      </c>
      <c r="E114" s="701">
        <f>COUNTIFS('All 108 Regulators - Frameworks'!D$4:D$500,"*Education*")</f>
        <v/>
      </c>
      <c r="F114" s="680" t="inlineStr">
        <is>
          <t>University hospitals face healthcare + education dual regulation; student data = PDPL sensitive</t>
        </is>
      </c>
      <c r="G114" s="680" t="inlineStr">
        <is>
          <t>🟡 MODERATE — University hospitals: education + healthcare dual scope</t>
        </is>
      </c>
      <c r="H114" s="680" t="n"/>
      <c r="I114" s="680" t="n"/>
      <c r="J114" s="680" t="n"/>
    </row>
    <row r="115" ht="28.5" customHeight="1">
      <c r="A115" s="680" t="inlineStr">
        <is>
          <t>🚚 Transport &amp; Logistics</t>
        </is>
      </c>
      <c r="B115" s="680" t="inlineStr">
        <is>
          <t>TGA, PME, GACA</t>
        </is>
      </c>
      <c r="C115" s="680" t="inlineStr">
        <is>
          <t>NCA (ECC-2, OTCC), SDAIA (PDPL), MHRSD</t>
        </is>
      </c>
      <c r="D115" s="680" t="inlineStr">
        <is>
          <t>ECC-2 + OTCC (ports/airports) + PDPL</t>
        </is>
      </c>
      <c r="E115" s="701">
        <f>COUNTIFS('All 108 Regulators - Frameworks'!D$4:D$500,"*Transport*")</f>
        <v/>
      </c>
      <c r="F115" s="680" t="inlineStr">
        <is>
          <t>Port/airport systems = CNI; autonomous vehicle regulation emerging; NEOM transport innovation</t>
        </is>
      </c>
      <c r="G115" s="680" t="inlineStr">
        <is>
          <t>🟡 MODERATE — NCA/TGA overlap on CNI transport systems</t>
        </is>
      </c>
      <c r="H115" s="680" t="n"/>
      <c r="I115" s="680" t="n"/>
      <c r="J115" s="680" t="n"/>
    </row>
    <row r="116" ht="28.5" customHeight="1">
      <c r="A116" s="680" t="inlineStr">
        <is>
          <t>🏗️ Special Zones &amp; Giga Projects</t>
        </is>
      </c>
      <c r="B116" s="680" t="inlineStr">
        <is>
          <t>NEOM, ROSHN, KAEC zone regulators</t>
        </is>
      </c>
      <c r="C116" s="680" t="inlineStr">
        <is>
          <t>NCA (ECC-2), SDAIA (PDPL), MHRSD, CST</t>
        </is>
      </c>
      <c r="D116" s="680" t="inlineStr">
        <is>
          <t>ECC-2 + PDPL + zone-specific + smart city</t>
        </is>
      </c>
      <c r="E116" s="701">
        <f>COUNTIFS('All 108 Regulators - Frameworks'!D$4:D$500,"*Special*")</f>
        <v/>
      </c>
      <c r="F116" s="680" t="inlineStr">
        <is>
          <t>Regulatory sandbox; may have zone-specific regulations different from national framework</t>
        </is>
      </c>
      <c r="G116" s="680" t="inlineStr">
        <is>
          <t>🟡 MODERATE — Zone-specific vs national framework potential conflict</t>
        </is>
      </c>
      <c r="H116" s="680" t="n"/>
      <c r="I116" s="680" t="n"/>
      <c r="J116" s="680" t="n"/>
    </row>
    <row r="117" ht="28.5" customHeight="1">
      <c r="A117" s="680" t="inlineStr">
        <is>
          <t>⚖️ Legal &amp; Judicial</t>
        </is>
      </c>
      <c r="B117" s="680" t="inlineStr">
        <is>
          <t>MOJ, BOE, SAIP</t>
        </is>
      </c>
      <c r="C117" s="680" t="inlineStr">
        <is>
          <t>NCA (ECC-2), SDAIA (PDPL), MHRSD</t>
        </is>
      </c>
      <c r="D117" s="680" t="inlineStr">
        <is>
          <t>ECC-2 + PDPL + BOE standards</t>
        </is>
      </c>
      <c r="E117" s="701">
        <f>COUNTIFS('All 108 Regulators - Frameworks'!D$4:D$500,"*Legal*")</f>
        <v/>
      </c>
      <c r="F117" s="680" t="inlineStr">
        <is>
          <t>Legal sector handling highly sensitive case data; PDPL enhanced obligations; digital evidence standards</t>
        </is>
      </c>
      <c r="G117" s="680" t="inlineStr">
        <is>
          <t>🟢 LOW — Clear jurisdictional boundaries</t>
        </is>
      </c>
      <c r="H117" s="680" t="n"/>
      <c r="I117" s="680" t="n"/>
      <c r="J117" s="680" t="n"/>
    </row>
    <row r="118">
      <c r="A118" s="680" t="n"/>
      <c r="B118" s="680" t="n"/>
      <c r="C118" s="680" t="n"/>
      <c r="D118" s="680" t="n"/>
      <c r="E118" s="680" t="n"/>
      <c r="F118" s="680" t="n"/>
      <c r="G118" s="680" t="n"/>
      <c r="H118" s="680" t="n"/>
      <c r="I118" s="680" t="n"/>
      <c r="J118" s="680" t="n"/>
    </row>
    <row r="119" ht="15.75" customHeight="1">
      <c r="A119" s="702" t="inlineStr">
        <is>
          <t>━━━ SECTION I: UNIFIED END-TO-END TRACEABILITY — The Complete Chain ━━━</t>
        </is>
      </c>
    </row>
    <row r="120">
      <c r="A120" s="703" t="inlineStr">
        <is>
          <t>Trace ID</t>
        </is>
      </c>
      <c r="B120" s="704" t="inlineStr">
        <is>
          <t>1️⃣ CONTROL</t>
        </is>
      </c>
      <c r="C120" s="704" t="inlineStr">
        <is>
          <t>2️⃣ EVIDENCE</t>
        </is>
      </c>
      <c r="D120" s="704" t="inlineStr">
        <is>
          <t>3️⃣ RISK</t>
        </is>
      </c>
      <c r="E120" s="704" t="inlineStr">
        <is>
          <t>4️⃣ LIFECYCLE</t>
        </is>
      </c>
      <c r="F120" s="704" t="inlineStr">
        <is>
          <t>5️⃣ POLICY</t>
        </is>
      </c>
      <c r="G120" s="704" t="inlineStr">
        <is>
          <t>6️⃣ TREATMENT</t>
        </is>
      </c>
      <c r="H120" s="704" t="inlineStr">
        <is>
          <t>7️⃣ ORG SIZE</t>
        </is>
      </c>
      <c r="I120" s="704" t="inlineStr">
        <is>
          <t>8️⃣ REGULATOR</t>
        </is>
      </c>
      <c r="J120" s="704" t="inlineStr">
        <is>
          <t>9️⃣ SECTOR</t>
        </is>
      </c>
    </row>
    <row r="121" ht="50" customHeight="1">
      <c r="A121" s="701" t="inlineStr">
        <is>
          <t>TRACE-001</t>
        </is>
      </c>
      <c r="B121" s="680" t="inlineStr">
        <is>
          <t>ECC-2 A.1: Governance &amp; Leadership (38 admin controls)</t>
        </is>
      </c>
      <c r="C121" s="680" t="inlineStr">
        <is>
          <t>CE-001: Board-approved strategy; CISO appointment; governance framework</t>
        </is>
      </c>
      <c r="D121" s="680" t="inlineStr">
        <is>
          <t>RISK-001: Governance failure → SAR 25M fine (CRITICAL)</t>
        </is>
      </c>
      <c r="E121" s="680" t="inlineStr">
        <is>
          <t>PLAN → establish before any implementation</t>
        </is>
      </c>
      <c r="F121" s="680" t="inlineStr">
        <is>
          <t>POL-001: Cybersecurity Strategy &amp; Governance Policy (L1-Strategic)</t>
        </is>
      </c>
      <c r="G121" s="680" t="inlineStr">
        <is>
          <t>TRT-001: MITIGATE — vCISO (small) / dedicated CISO (medium+)</t>
        </is>
      </c>
      <c r="H121" s="680" t="inlineStr">
        <is>
          <t>Small: vCISO | Med: dedicated CISO | Large: CISO+team | Enterprise: security org</t>
        </is>
      </c>
      <c r="I121" s="680" t="inlineStr">
        <is>
          <t>NCA (primary); NCA-REG-2024 (enforcement)</t>
        </is>
      </c>
      <c r="J121" s="680" t="inlineStr">
        <is>
          <t>ALL sectors — universal ECC-2 scope</t>
        </is>
      </c>
    </row>
    <row r="122" ht="50" customHeight="1">
      <c r="A122" s="701" t="inlineStr">
        <is>
          <t>TRACE-002</t>
        </is>
      </c>
      <c r="B122" s="680" t="inlineStr">
        <is>
          <t>ECC-2 T.1: Access Control (48 technical controls)</t>
        </is>
      </c>
      <c r="C122" s="680" t="inlineStr">
        <is>
          <t>CE-004: IAM policy; MFA evidence; privileged access reviews; SoD matrix</t>
        </is>
      </c>
      <c r="D122" s="680" t="inlineStr">
        <is>
          <t>RISK-004: Unauthorised access → dual NCA+PDPL penalty (CRITICAL)</t>
        </is>
      </c>
      <c r="E122" s="680" t="inlineStr">
        <is>
          <t>IMPLEMENT → deploy during system build</t>
        </is>
      </c>
      <c r="F122" s="680" t="inlineStr">
        <is>
          <t>POL-005: Access Control &amp; Identity Management (L2-Operational)</t>
        </is>
      </c>
      <c r="G122" s="680" t="inlineStr">
        <is>
          <t>TRT-005: MITIGATE — IAMaaS (small) / full PAM (large)</t>
        </is>
      </c>
      <c r="H122" s="680" t="inlineStr">
        <is>
          <t>Small: basic MFA | Med: IAM+PAM | Large: full IAM programme | Enterprise: zero-trust</t>
        </is>
      </c>
      <c r="I122" s="680" t="inlineStr">
        <is>
          <t>NCA (ECC-2); SDAIA (PDPL if patient data)</t>
        </is>
      </c>
      <c r="J122" s="680" t="inlineStr">
        <is>
          <t>ALL sectors — access control is universal</t>
        </is>
      </c>
    </row>
    <row r="123" ht="50" customHeight="1">
      <c r="A123" s="701" t="inlineStr">
        <is>
          <t>TRACE-003</t>
        </is>
      </c>
      <c r="B123" s="680" t="inlineStr">
        <is>
          <t>ECC-2 T.2: Network Security &amp; Segmentation</t>
        </is>
      </c>
      <c r="C123" s="680" t="inlineStr">
        <is>
          <t>CE-005: Architecture diagram; firewall rules; pen test report; vuln scans</t>
        </is>
      </c>
      <c r="D123" s="680" t="inlineStr">
        <is>
          <t>RISK-005: Network compromise → CNI disruption (CRITICAL)</t>
        </is>
      </c>
      <c r="E123" s="680" t="inlineStr">
        <is>
          <t>IMPLEMENT → deploy during infrastructure build</t>
        </is>
      </c>
      <c r="F123" s="680" t="inlineStr">
        <is>
          <t>POL-006: Network Security &amp; Segmentation (L2-Operational)</t>
        </is>
      </c>
      <c r="G123" s="680" t="inlineStr">
        <is>
          <t>TRT-006: MITIGATE — managed firewall (small) / micro-segmentation (large)</t>
        </is>
      </c>
      <c r="H123" s="680" t="inlineStr">
        <is>
          <t>Small: basic FW | Med: NGFW+segmentation | Large: micro-seg | Enterprise: zero-trust+SD-WAN</t>
        </is>
      </c>
      <c r="I123" s="680" t="inlineStr">
        <is>
          <t>NCA (ECC-2); NCA-OTCC (if OT network)</t>
        </is>
      </c>
      <c r="J123" s="680" t="inlineStr">
        <is>
          <t>ALL ECC-scope + CNI sectors for OTCC overlay</t>
        </is>
      </c>
    </row>
    <row r="124" ht="50" customHeight="1">
      <c r="A124" s="701" t="inlineStr">
        <is>
          <t>TRACE-004</t>
        </is>
      </c>
      <c r="B124" s="680" t="inlineStr">
        <is>
          <t>ECC-2 O.1: Incident Response + NCA 24h notification</t>
        </is>
      </c>
      <c r="C124" s="680" t="inlineStr">
        <is>
          <t>CE-007: IR plan; NCA notification procedure; tabletop results; CSIRT roster</t>
        </is>
      </c>
      <c r="D124" s="680" t="inlineStr">
        <is>
          <t>RISK-007: Delayed response → criminal offence under NCA-REG (CRITICAL)</t>
        </is>
      </c>
      <c r="E124" s="680" t="inlineStr">
        <is>
          <t>OPERATE → continuous operational readiness</t>
        </is>
      </c>
      <c r="F124" s="680" t="inlineStr">
        <is>
          <t>POL-010: Incident Response &amp; NCA Notification (L2-Operational)</t>
        </is>
      </c>
      <c r="G124" s="680" t="inlineStr">
        <is>
          <t>TRT-010: MITIGATE — MSSP retainer (small) / internal CSIRT (large)</t>
        </is>
      </c>
      <c r="H124" s="680" t="inlineStr">
        <is>
          <t>Small: outsourced IR | Med: basic CSIRT | Large: SOAR-integrated | Enterprise: 24/7 CSIRT</t>
        </is>
      </c>
      <c r="I124" s="680" t="inlineStr">
        <is>
          <t>NCA (24h); SDAIA (72h PDPL breach); SFDA (device adverse event)</t>
        </is>
      </c>
      <c r="J124" s="680" t="inlineStr">
        <is>
          <t>ALL sectors — incident reporting is universal</t>
        </is>
      </c>
    </row>
    <row r="125" ht="50" customHeight="1">
      <c r="A125" s="701" t="inlineStr">
        <is>
          <t>TRACE-005</t>
        </is>
      </c>
      <c r="B125" s="680" t="inlineStr">
        <is>
          <t>PDPL Art. 4-8: Data Subject Rights (45 PDPL controls)</t>
        </is>
      </c>
      <c r="C125" s="680" t="inlineStr">
        <is>
          <t>CE-010: Consent records; privacy notices; DSAR logs; deletion evidence</t>
        </is>
      </c>
      <c r="D125" s="680" t="inlineStr">
        <is>
          <t>RISK-010: PDPL non-compliance → SDAIA penalty + criminal (CRITICAL)</t>
        </is>
      </c>
      <c r="E125" s="680" t="inlineStr">
        <is>
          <t>OPERATE → continuous data processing operations</t>
        </is>
      </c>
      <c r="F125" s="680" t="inlineStr">
        <is>
          <t>POL-002: Data Protection &amp; Privacy (L1-Strategic) + POL-013: DSAR Procedure (L3)</t>
        </is>
      </c>
      <c r="G125" s="680" t="inlineStr">
        <is>
          <t>TRT-002: MITIGATE — external DPO (small) / dedicated DPO+team (large)</t>
        </is>
      </c>
      <c r="H125" s="680" t="inlineStr">
        <is>
          <t>Small: shared DPO | Med: internal DPO | Large: DPO+team | Enterprise: privacy office</t>
        </is>
      </c>
      <c r="I125" s="680" t="inlineStr">
        <is>
          <t>SDAIA (PDPL primary); NCA (DCC data security); MOH (health data)</t>
        </is>
      </c>
      <c r="J125" s="680" t="inlineStr">
        <is>
          <t>ALL sectors — health data = PDPL sensitive category</t>
        </is>
      </c>
    </row>
    <row r="126" ht="50" customHeight="1">
      <c r="A126" s="701" t="inlineStr">
        <is>
          <t>TRACE-006</t>
        </is>
      </c>
      <c r="B126" s="680" t="inlineStr">
        <is>
          <t>OTCC: OT Asset Inventory &amp; Zone Segmentation (53 controls)</t>
        </is>
      </c>
      <c r="C126" s="680" t="inlineStr">
        <is>
          <t>CE-012: Complete OT inventory; Purdue model diagram; OT patch register</t>
        </is>
      </c>
      <c r="D126" s="680" t="inlineStr">
        <is>
          <t>RISK-012: OT/CNI disruption → patient safety (CRITICAL)</t>
        </is>
      </c>
      <c r="E126" s="680" t="inlineStr">
        <is>
          <t>IMPLEMENT → deploy during OT environment build</t>
        </is>
      </c>
      <c r="F126" s="680" t="inlineStr">
        <is>
          <t>POL-009: OT/IoMT Network Security (L2-Operational)</t>
        </is>
      </c>
      <c r="G126" s="680" t="inlineStr">
        <is>
          <t>TRT-009: MITIGATE — vendor patch mgmt (small) / full OT SOC (large)</t>
        </is>
      </c>
      <c r="H126" s="680" t="inlineStr">
        <is>
          <t>Small: N/A | Med: basic OT inventory | Large: OT monitoring | Enterprise: OT SOC+AI</t>
        </is>
      </c>
      <c r="I126" s="680" t="inlineStr">
        <is>
          <t>NCA (OTCC primary); SFDA (if medical devices); ECRA (if energy OT)</t>
        </is>
      </c>
      <c r="J126" s="680" t="inlineStr">
        <is>
          <t>Healthcare (IoMT) + Energy + Transport + Industry (CNI sectors)</t>
        </is>
      </c>
    </row>
    <row r="127" ht="50" customHeight="1">
      <c r="A127" s="701" t="inlineStr">
        <is>
          <t>TRACE-007</t>
        </is>
      </c>
      <c r="B127" s="680" t="inlineStr">
        <is>
          <t>SFDA-MDR: Device Registration &amp; Post-Market Surveillance</t>
        </is>
      </c>
      <c r="C127" s="680" t="inlineStr">
        <is>
          <t>CE-013: SFDA authorisation; UDI registration; adverse events; recall procedures</t>
        </is>
      </c>
      <c r="D127" s="680" t="inlineStr">
        <is>
          <t>RISK-013: Unregistered device → SFDA seizure (CRITICAL)</t>
        </is>
      </c>
      <c r="E127" s="680" t="inlineStr">
        <is>
          <t>PLAN → pre-market registration → OPERATE → post-market surveillance</t>
        </is>
      </c>
      <c r="F127" s="680" t="inlineStr">
        <is>
          <t>POL-004: Medical Device &amp; IoMT Governance (L1-Strategic)</t>
        </is>
      </c>
      <c r="G127" s="680" t="inlineStr">
        <is>
          <t>TRT-004: MITIGATE — vendor-managed UDI (small) / regulatory affairs team (large)</t>
        </is>
      </c>
      <c r="H127" s="680" t="inlineStr">
        <is>
          <t>Small: vendor-led | Med: compliance officer | Large: reg affairs team | Enterprise: full RA department</t>
        </is>
      </c>
      <c r="I127" s="680" t="inlineStr">
        <is>
          <t>SFDA (MDR primary); NCA-OTCC (device network); MOH (clinical use)</t>
        </is>
      </c>
      <c r="J127" s="680" t="inlineStr">
        <is>
          <t>Healthcare primary; also Industry (device manufacturing)</t>
        </is>
      </c>
    </row>
    <row r="128" ht="50" customHeight="1">
      <c r="A128" s="701" t="inlineStr">
        <is>
          <t>TRACE-008</t>
        </is>
      </c>
      <c r="B128" s="680" t="inlineStr">
        <is>
          <t>MOH-HIS + NHIC-NABIDH: Health IT Interoperability</t>
        </is>
      </c>
      <c r="C128" s="680" t="inlineStr">
        <is>
          <t>CE-014: NABIDH certificate; HL7 FHIR conformance; data exchange logs</t>
        </is>
      </c>
      <c r="D128" s="680" t="inlineStr">
        <is>
          <t>RISK-014: Data silo → clinical decision gap (HIGH)</t>
        </is>
      </c>
      <c r="E128" s="680" t="inlineStr">
        <is>
          <t>IMPLEMENT → system integration → OPERATE → continuous exchange</t>
        </is>
      </c>
      <c r="F128" s="680" t="inlineStr">
        <is>
          <t>POL-004 (IoMT Governance) → HIS standards compliance</t>
        </is>
      </c>
      <c r="G128" s="680" t="inlineStr">
        <is>
          <t>TRT-014: MITIGATE — cloud EHR with NABIDH (small) / integration engine (large)</t>
        </is>
      </c>
      <c r="H128" s="680" t="inlineStr">
        <is>
          <t>Small: cloud EHR | Med: local EHR+NABIDH | Large: integration engine | Enterprise: HIE platform</t>
        </is>
      </c>
      <c r="I128" s="680" t="inlineStr">
        <is>
          <t>MOH (HIS standards); NHIC (NABIDH); CBAHI (HIT accreditation)</t>
        </is>
      </c>
      <c r="J128" s="680" t="inlineStr">
        <is>
          <t>Healthcare ONLY — all providers regardless of size</t>
        </is>
      </c>
    </row>
    <row r="129" ht="50" customHeight="1">
      <c r="A129" s="701" t="inlineStr">
        <is>
          <t>TRACE-009</t>
        </is>
      </c>
      <c r="B129" s="680" t="inlineStr">
        <is>
          <t>CBAHI-HAS-H: Hospital Accreditation Quality Standards</t>
        </is>
      </c>
      <c r="C129" s="680" t="inlineStr">
        <is>
          <t>CE-015: Clinical quality records; infection control; medication error reports</t>
        </is>
      </c>
      <c r="D129" s="680" t="inlineStr">
        <is>
          <t>RISK-015: Accreditation loss → cannot bill insurers (HIGH)</t>
        </is>
      </c>
      <c r="E129" s="680" t="inlineStr">
        <is>
          <t>REVIEW → 3-year accreditation cycle → continuous improvement</t>
        </is>
      </c>
      <c r="F129" s="680" t="inlineStr">
        <is>
          <t>POL-017: Maturity Assessment &amp; Continuous Improvement (L1-Strategic)</t>
        </is>
      </c>
      <c r="G129" s="680" t="inlineStr">
        <is>
          <t>TRT-015: MITIGATE — CBAHI readiness consultant (small) / quality team (large)</t>
        </is>
      </c>
      <c r="H129" s="680" t="inlineStr">
        <is>
          <t>Small: consultant | Med: quality officer | Large: quality team | Enterprise: quality department</t>
        </is>
      </c>
      <c r="I129" s="680" t="inlineStr">
        <is>
          <t>CBAHI (accreditation); CCHI (insurance requirement); MOH (licensing)</t>
        </is>
      </c>
      <c r="J129" s="680" t="inlineStr">
        <is>
          <t>Healthcare ONLY — hospitals primarily; clinics increasingly</t>
        </is>
      </c>
    </row>
    <row r="130" ht="50" customHeight="1">
      <c r="A130" s="701" t="inlineStr">
        <is>
          <t>TRACE-010</t>
        </is>
      </c>
      <c r="B130" s="680" t="inlineStr">
        <is>
          <t>ECC-2 A.2 + MHRSD-NITAQAT: Saudisation Compliance</t>
        </is>
      </c>
      <c r="C130" s="680" t="inlineStr">
        <is>
          <t>CE-002: Saudi national IDs; NCA certifications; Qiwa reports; GOSI registration</t>
        </is>
      </c>
      <c r="D130" s="680" t="inlineStr">
        <is>
          <t>RISK-002: Saudisation breach → dual NCA+MHRSD penalty (CRITICAL)</t>
        </is>
      </c>
      <c r="E130" s="680" t="inlineStr">
        <is>
          <t>OPERATE → continuous workforce compliance</t>
        </is>
      </c>
      <c r="F130" s="680" t="inlineStr">
        <is>
          <t>POL-012: Saudisation &amp; Cyber Workforce (L2-Operational)</t>
        </is>
      </c>
      <c r="G130" s="680" t="inlineStr">
        <is>
          <t>TRT-012: MITIGATE — NCA academy pipeline (all) / university partnerships (large)</t>
        </is>
      </c>
      <c r="H130" s="680" t="inlineStr">
        <is>
          <t>Small: 1-2 Saudi hires | Med: Saudi team | Large: workforce programme | Enterprise: centre of excellence</t>
        </is>
      </c>
      <c r="I130" s="680" t="inlineStr">
        <is>
          <t>NCA (ECC-2 mandate); MHRSD (Nitaqat); GOSI; SCFHS (health roles)</t>
        </is>
      </c>
      <c r="J130" s="680" t="inlineStr">
        <is>
          <t>ALL sectors — ECC-2 Saudisation + Nitaqat are universal</t>
        </is>
      </c>
    </row>
    <row r="131" ht="50" customHeight="1">
      <c r="A131" s="701" t="inlineStr">
        <is>
          <t>TRACE-011</t>
        </is>
      </c>
      <c r="B131" s="680" t="inlineStr">
        <is>
          <t>PDPL-DTR-2024: Cross-Border Data Transfer Controls</t>
        </is>
      </c>
      <c r="C131" s="680" t="inlineStr">
        <is>
          <t>CE-010+: Transfer impact assessment; adequacy determination; contractual safeguards</t>
        </is>
      </c>
      <c r="D131" s="680" t="inlineStr">
        <is>
          <t>RISK-010+: Unlawful international transfer → SDAIA enforcement (CRITICAL)</t>
        </is>
      </c>
      <c r="E131" s="680" t="inlineStr">
        <is>
          <t>PLAN → assess before transfer → OPERATE → ongoing monitoring</t>
        </is>
      </c>
      <c r="F131" s="680" t="inlineStr">
        <is>
          <t>POL-002 (Privacy) + POL-018 (Data Retention) cross-reference</t>
        </is>
      </c>
      <c r="G131" s="680" t="inlineStr">
        <is>
          <t>TRT-002: MITIGATE — data localisation (avoid) / adequacy assessment (mitigate)</t>
        </is>
      </c>
      <c r="H131" s="680" t="inlineStr">
        <is>
          <t>Small: keep data local | Med: adequacy assessment | Large: cross-border programme | Enterprise: global privacy</t>
        </is>
      </c>
      <c r="I131" s="680" t="inlineStr">
        <is>
          <t>SDAIA (PDPL primary); NCA-DCC (data security); MOH (health data sovereignty)</t>
        </is>
      </c>
      <c r="J131" s="680" t="inlineStr">
        <is>
          <t>ALL sectors processing KSA resident data with international partners</t>
        </is>
      </c>
    </row>
    <row r="132" ht="50" customHeight="1">
      <c r="A132" s="701" t="inlineStr">
        <is>
          <t>TRACE-012</t>
        </is>
      </c>
      <c r="B132" s="680" t="inlineStr">
        <is>
          <t>NCA-CCC + CST-CCR: Cloud Security &amp; Compliance</t>
        </is>
      </c>
      <c r="C132" s="680" t="inlineStr">
        <is>
          <t>CE-004+: NCA-registered CSP verification; cloud security assessment; data residency proof</t>
        </is>
      </c>
      <c r="D132" s="680" t="inlineStr">
        <is>
          <t>RISK-006+: Cloud data exposure → dual NCA+PDPL (CRITICAL)</t>
        </is>
      </c>
      <c r="E132" s="680" t="inlineStr">
        <is>
          <t>IMPLEMENT → CSP selection → OPERATE → continuous monitoring</t>
        </is>
      </c>
      <c r="F132" s="680" t="inlineStr">
        <is>
          <t>POL-007 (Encryption) + POL-008 (Vendor Management) cross-reference</t>
        </is>
      </c>
      <c r="G132" s="680" t="inlineStr">
        <is>
          <t>TRT-007+008: MITIGATE — NCA-registered CSP only; data residency controls</t>
        </is>
      </c>
      <c r="H132" s="680" t="inlineStr">
        <is>
          <t>Small: cloud-native | Med: hybrid cloud | Large: multi-cloud governance | Enterprise: sovereign cloud</t>
        </is>
      </c>
      <c r="I132" s="680" t="inlineStr">
        <is>
          <t>NCA (CCC primary); CST (cloud licensing); SDAIA (PDPL cloud provisions)</t>
        </is>
      </c>
      <c r="J132" s="680" t="inlineStr">
        <is>
          <t>ALL sectors using cloud services — effectively universal</t>
        </is>
      </c>
    </row>
    <row r="133" ht="50" customHeight="1">
      <c r="A133" s="701" t="inlineStr">
        <is>
          <t>TRACE-013</t>
        </is>
      </c>
      <c r="B133" s="680" t="inlineStr">
        <is>
          <t>SAMA-CSF + NCA-ECC-2: Financial Sector Dual Cyber Compliance</t>
        </is>
      </c>
      <c r="C133" s="680" t="inlineStr">
        <is>
          <t>CE-001+004: Dual self-assessment; SAMA audit + NCA audit; integrated evidence pack</t>
        </is>
      </c>
      <c r="D133" s="680" t="inlineStr">
        <is>
          <t>RISK-001+004: Dual non-compliance → SAMA licence + NCA fine (EXTREME)</t>
        </is>
      </c>
      <c r="E133" s="680" t="inlineStr">
        <is>
          <t>All phases — dual lifecycle for both frameworks simultaneously</t>
        </is>
      </c>
      <c r="F133" s="680" t="inlineStr">
        <is>
          <t>POL-001 (Governance) must satisfy BOTH SAMA-CSF + ECC-2 simultaneously</t>
        </is>
      </c>
      <c r="G133" s="680" t="inlineStr">
        <is>
          <t>TRT-001+005: MITIGATE — unified control framework mapping SAMA↔NCA</t>
        </is>
      </c>
      <c r="H133" s="680" t="inlineStr">
        <is>
          <t>N/A for small | Med: dual compliance | Large: unified programme | Enterprise: integrated GRC</t>
        </is>
      </c>
      <c r="I133" s="680" t="inlineStr">
        <is>
          <t>SAMA (CSF primary); NCA (ECC-2); SDAIA (PDPL)</t>
        </is>
      </c>
      <c r="J133" s="680" t="inlineStr">
        <is>
          <t>Financial Services ONLY — banks, insurers (including CCHI health insurers)</t>
        </is>
      </c>
    </row>
    <row r="134" ht="50" customHeight="1">
      <c r="A134" s="701" t="inlineStr">
        <is>
          <t>TRACE-014</t>
        </is>
      </c>
      <c r="B134" s="680" t="inlineStr">
        <is>
          <t>Multi-Framework: Complete Hospital GRC Stack (ALL controls)</t>
        </is>
      </c>
      <c r="C134" s="680" t="inlineStr">
        <is>
          <t>ALL evidence types: CE-001 through CE-015 combined</t>
        </is>
      </c>
      <c r="D134" s="680" t="inlineStr">
        <is>
          <t>ALL risks: RISK-001 through RISK-015 simultaneous exposure</t>
        </is>
      </c>
      <c r="E134" s="680" t="inlineStr">
        <is>
          <t>All 5 phases running in parallel — continuous GRC lifecycle</t>
        </is>
      </c>
      <c r="F134" s="680" t="inlineStr">
        <is>
          <t>ALL 20 policies (POL-001 through POL-020) required</t>
        </is>
      </c>
      <c r="G134" s="680" t="inlineStr">
        <is>
          <t>ALL treatments: integrated MITIGATE programme across all domains</t>
        </is>
      </c>
      <c r="H134" s="680" t="inlineStr">
        <is>
          <t>Large/Enterprise ONLY — small hospitals cannot sustain full stack</t>
        </is>
      </c>
      <c r="I134" s="680" t="inlineStr">
        <is>
          <t>12+ regulators simultaneously: NCA, SDAIA, SFDA, MOH, CBAHI, CCHI, NHIC, MHRSD, ZATCA, SCFHS, GOSI, CST</t>
        </is>
      </c>
      <c r="J134" s="680" t="inlineStr">
        <is>
          <t>HEALTHCARE — the most regulated sector in KSA with highest GRC complexity globally</t>
        </is>
      </c>
    </row>
    <row r="135" ht="50" customHeight="1">
      <c r="A135" s="701" t="inlineStr">
        <is>
          <t>TRACE-015</t>
        </is>
      </c>
      <c r="B135" s="680" t="inlineStr">
        <is>
          <t>ECC-2 + PDPL + ZATCA: Universal Minimum Compliance Set</t>
        </is>
      </c>
      <c r="C135" s="680" t="inlineStr">
        <is>
          <t>CE-001 (governance) + CE-010 (privacy) + e-invoice evidence</t>
        </is>
      </c>
      <c r="D135" s="680" t="inlineStr">
        <is>
          <t>RISK-001 (governance) + RISK-010 (privacy) + RISK-financial (ZATCA)</t>
        </is>
      </c>
      <c r="E135" s="680" t="inlineStr">
        <is>
          <t>PLAN + IMPLEMENT + OPERATE — minimum operational lifecycle</t>
        </is>
      </c>
      <c r="F135" s="680" t="inlineStr">
        <is>
          <t>POL-001 (Governance) + POL-002 (Privacy) + finance policy</t>
        </is>
      </c>
      <c r="G135" s="680" t="inlineStr">
        <is>
          <t>TRT-001+002: MITIGATE — every KSA entity must achieve this minimum</t>
        </is>
      </c>
      <c r="H135" s="680" t="inlineStr">
        <is>
          <t>ALL sizes — this is the absolute minimum for ANY KSA entity</t>
        </is>
      </c>
      <c r="I135" s="680" t="inlineStr">
        <is>
          <t>NCA (ECC-2 if in scope); SDAIA (PDPL universal); ZATCA (universal); MHRSD (universal)</t>
        </is>
      </c>
      <c r="J135" s="680" t="inlineStr">
        <is>
          <t>ALL sectors — this is the KSA regulatory floor that every entity must clear</t>
        </is>
      </c>
    </row>
  </sheetData>
  <mergeCells count="11">
    <mergeCell ref="A93:G93"/>
    <mergeCell ref="A4:H4"/>
    <mergeCell ref="A1:J1"/>
    <mergeCell ref="A48:H48"/>
    <mergeCell ref="A82:F82"/>
    <mergeCell ref="A40:G40"/>
    <mergeCell ref="A119:J119"/>
    <mergeCell ref="A71:H71"/>
    <mergeCell ref="A2:J2"/>
    <mergeCell ref="A108:G108"/>
    <mergeCell ref="A22:H2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159"/>
  <sheetViews>
    <sheetView workbookViewId="0">
      <pane ySplit="3" topLeftCell="A35" activePane="bottomLeft" state="frozen"/>
      <selection pane="bottomLeft" activeCell="A35" sqref="A1:XFD1048576"/>
    </sheetView>
  </sheetViews>
  <sheetFormatPr baseColWidth="8" defaultRowHeight="14.25"/>
  <cols>
    <col width="49.796875" customWidth="1" min="1" max="1"/>
    <col width="35.53125" customWidth="1" min="2" max="2"/>
    <col width="53.33203125" customWidth="1" min="3" max="3"/>
    <col width="62.19921875" customWidth="1" min="4" max="6"/>
  </cols>
  <sheetData>
    <row r="1" ht="23.25" customHeight="1">
      <c r="A1" s="667" t="inlineStr">
        <is>
          <t>🧪 CONTENT EVALUATION &amp; SHAHIN-AI OPTIMISATION REPORT</t>
        </is>
      </c>
    </row>
    <row r="2">
      <c r="A2" s="668" t="inlineStr">
        <is>
          <t>Combined assessment: Human GRC value + AI ingestion readiness + 10-year extensibility architecture</t>
        </is>
      </c>
    </row>
    <row r="4" ht="18" customHeight="1">
      <c r="A4" s="669" t="inlineStr">
        <is>
          <t>━━━ PART A: CURRENT CONTENT EVALUATION ━━━</t>
        </is>
      </c>
    </row>
    <row r="5" ht="21" customHeight="1">
      <c r="A5" s="639" t="inlineStr">
        <is>
          <t>Overall Score:</t>
        </is>
      </c>
      <c r="B5" s="646" t="inlineStr">
        <is>
          <t>8.2 / 10 — EXCEPTIONAL FOUNDATION</t>
        </is>
      </c>
    </row>
    <row r="7">
      <c r="A7" s="574" t="inlineStr">
        <is>
          <t>Dimension</t>
        </is>
      </c>
      <c r="B7" s="575" t="inlineStr">
        <is>
          <t>Score</t>
        </is>
      </c>
      <c r="C7" s="574" t="inlineStr">
        <is>
          <t>Assessment</t>
        </is>
      </c>
      <c r="D7" s="574" t="inlineStr">
        <is>
          <t>Evidence</t>
        </is>
      </c>
      <c r="E7" s="574" t="inlineStr">
        <is>
          <t>Gap / Improvement Needed</t>
        </is>
      </c>
    </row>
    <row r="8">
      <c r="A8" s="592" t="inlineStr">
        <is>
          <t>1. Regulatory Coverage Breadth</t>
        </is>
      </c>
      <c r="B8" s="647" t="n">
        <v>46305</v>
      </c>
      <c r="C8" t="inlineStr">
        <is>
          <t>🏆 WORLD-CLASS — No known GRC database maps this many regulators in a single country</t>
        </is>
      </c>
      <c r="D8" t="inlineStr">
        <is>
          <t>107 regulators, 405 framework entries, 17 sector groups, 53 data dimensions per framework</t>
        </is>
      </c>
      <c r="E8" t="inlineStr">
        <is>
          <t>None — this exceeds commercial GRC platforms (Archer, ServiceNow, MetricStream)</t>
        </is>
      </c>
    </row>
    <row r="9">
      <c r="A9" s="592" t="inlineStr">
        <is>
          <t>2. Data Depth (Core Frameworks)</t>
        </is>
      </c>
      <c r="B9" s="648" t="inlineStr">
        <is>
          <t>9.5/10</t>
        </is>
      </c>
      <c r="C9" t="inlineStr">
        <is>
          <t>🏆 EXCEPTIONAL — Top ~30% of rows (NCA, SFDA, PDPL, MOH, SAMA, CBAHI) have fully bespoke content across all 53 columns</t>
        </is>
      </c>
      <c r="D9" t="inlineStr">
        <is>
          <t>ECC-2 row: specific 18 IoMT controls listed, SAR 25M penalty with legal basis, 7 academic citations, specific NIST CSF 2.0 mapping, specific ECC-1→ECC-2 change analysis, Saudisation mandate details</t>
        </is>
      </c>
      <c r="E9" t="inlineStr">
        <is>
          <t>Minor: Some deep rows could add quantitative compliance cost estimates (FTE effort, budget)</t>
        </is>
      </c>
    </row>
    <row r="10">
      <c r="A10" s="592" t="inlineStr">
        <is>
          <t>3. Data Depth (Template Rows)</t>
        </is>
      </c>
      <c r="B10" s="649" t="inlineStr">
        <is>
          <t>5.5/10</t>
        </is>
      </c>
      <c r="C10" t="inlineStr">
        <is>
          <t>⚠️ SIGNIFICANT GAP — ~70% of rows (ministries, complier entries) use IDENTICAL generic placeholder text in cols AH-BA (22 columns)</t>
        </is>
      </c>
      <c r="D10" t="inlineStr">
        <is>
          <t>Row 181 (MOMAH-ECC2) col AH: 'Institutional theory and regulatory governance theory underpin all KSA...' — same text in 280+ rows. Cols AJ-BA all template text: 'See official source', 'Known criticisms include: implementation gap...'</t>
        </is>
      </c>
      <c r="E10" t="inlineStr">
        <is>
          <t>🔴 CRITICAL for Shahin-AI: These 280+ identical text blocks will POISON vector embeddings — the AI cannot distinguish MOMAH-ECC2 from MOIA-ECC2 from MKHC-OTCC because 22 of 53 columns are identical. Must either: (a) differentiate content per entity, or (b) mark as 'TEMPLATE' for AI filtering</t>
        </is>
      </c>
    </row>
    <row r="11">
      <c r="A11" s="592" t="inlineStr">
        <is>
          <t>4. Bilingual Coverage</t>
        </is>
      </c>
      <c r="B11" s="650" t="n">
        <v>46183</v>
      </c>
      <c r="C11" t="inlineStr">
        <is>
          <t>⚠️ PARTIAL — Framework titles have Arabic (col G), but ALL analytical text (cols AH-BA) is English-only</t>
        </is>
      </c>
      <c r="D11" t="inlineStr">
        <is>
          <t>Col G has ضوابط الأمن السيبراني الأساسية but cols AH-BA have no Arabic equivalent for penalties, debates, criticisms, governance obligations, KRIs</t>
        </is>
      </c>
      <c r="E11" t="inlineStr">
        <is>
          <t>🔴 CRITICAL for Shahin-AI: Arabic user queries will force real-time translation of complex regulatory nuance → latency + hallucination risk. Need parallel Arabic columns for: Penalties, Audit Type, IoMT Controls, KRIs, Business Impact</t>
        </is>
      </c>
    </row>
    <row r="12">
      <c r="A12" s="592" t="inlineStr">
        <is>
          <t>5. Structural Consistency</t>
        </is>
      </c>
      <c r="B12" s="647" t="n">
        <v>46244</v>
      </c>
      <c r="C12" t="inlineStr">
        <is>
          <t>✅ STRONG — Consistent 53-column schema; consistent Group numbering (1-17); consistent HC IoT Relevance taxonomy (HIGHEST/HIGH/MODERATE/LOW)</t>
        </is>
      </c>
      <c r="D12" t="inlineStr">
        <is>
          <t>Blank separator rows between groups (expected); consistent regulator codes; consistent framework code format (CODE-VERSION:YEAR)</t>
        </is>
      </c>
      <c r="E12" t="inlineStr">
        <is>
          <t>Minor: Separator rows add noise for AI parsing; some framework codes inconsistent (NCA-ECC-2:2024 vs ECC-2:2024 vs NCA-ECC-2). Need canonical ID</t>
        </is>
      </c>
    </row>
    <row r="13">
      <c r="A13" s="592" t="inlineStr">
        <is>
          <t>6. Academic Rigour</t>
        </is>
      </c>
      <c r="B13" s="647" t="n">
        <v>46275</v>
      </c>
      <c r="C13" t="inlineStr">
        <is>
          <t>🏆 EXCEPTIONAL for core rows — Peer-reviewed citations, specific author+year, balanced FOR/AGAINST academic debate</t>
        </is>
      </c>
      <c r="D13" t="inlineStr">
        <is>
          <t>ECC-2 row: Almohammad &amp; Wills (2021), Al-Khater et al. (2020), Coventry &amp; Branley (2018), Jalali &amp; Kaiser (2018), Bird &amp; Bird (2025), Clyde &amp; Co (2025)</t>
        </is>
      </c>
      <c r="E13" t="inlineStr">
        <is>
          <t>Template rows cite same 5 refs for all 280+ entries — this is detectable by any academic reviewer. Each regulator group should have sector-specific citations</t>
        </is>
      </c>
    </row>
    <row r="14">
      <c r="A14" s="592" t="inlineStr">
        <is>
          <t>7. Cross-Sheet Linkage</t>
        </is>
      </c>
      <c r="B14" s="651" t="n">
        <v>46213</v>
      </c>
      <c r="C14" t="inlineStr">
        <is>
          <t>✅ GOOD — Per-Regulator Summary links to main sheet; HC IoT Ranked is a filtered view; KRI/Maturity/Audit sheets are independent</t>
        </is>
      </c>
      <c r="D14" t="inlineStr">
        <is>
          <t>GRC Intelligence Engine formulas pull from main sheet (verified: 405 frameworks, 107 regulators, 28,239 controls)</t>
        </is>
      </c>
      <c r="E14" t="inlineStr">
        <is>
          <t>KRI Dashboard, Audit Universe, and GRC Maturity are NOT formula-linked to main sheet — they're standalone. Should have COUNTIFS/SUMIFS validating against main data</t>
        </is>
      </c>
    </row>
    <row r="15">
      <c r="A15" s="592" t="inlineStr">
        <is>
          <t>8. AI/RAG Readiness</t>
        </is>
      </c>
      <c r="B15" s="652" t="n">
        <v>46152</v>
      </c>
      <c r="C15" t="inlineStr">
        <is>
          <t>🔴 MAJOR GAP — Data is optimised for human spreadsheet browsing, NOT for AI vectorisation/retrieval</t>
        </is>
      </c>
      <c r="D15" t="inlineStr">
        <is>
          <t>Flat table structure; semicolon-delimited multi-values in single cells; no entity IDs; no chunk boundaries; no metadata tags; no version hashes</t>
        </is>
      </c>
      <c r="E15" t="inlineStr">
        <is>
          <t>🔴 CRITICAL: Semicolon-separated values (col E: 'ECC-2:2024; OTCC-1:2022; CCC-1:2020') treated as single string by vectoriser. Need relational decomposition. Large text blocks in Debates/Criticisms dilute vector embeddings</t>
        </is>
      </c>
    </row>
    <row r="16">
      <c r="A16" s="592" t="inlineStr">
        <is>
          <t>9. Extensibility Architecture</t>
        </is>
      </c>
      <c r="B16" s="636" t="inlineStr">
        <is>
          <t>7.5/10</t>
        </is>
      </c>
      <c r="C16" t="inlineStr">
        <is>
          <t>✅ GOOD — New frameworks can be added as rows; new regulators follow established pattern; Regulatory Change Log tracks versions</t>
        </is>
      </c>
      <c r="D16" t="inlineStr">
        <is>
          <t>Consistent schema allows row insertion; Framework Dependencies captures relationships; Change Log has dropdown validation</t>
        </is>
      </c>
      <c r="E16" t="inlineStr">
        <is>
          <t>Need: (a) Framework versioning system with supersession tracking; (b) Schema version control; (c) Deprecation flags; (d) API-ready canonical IDs</t>
        </is>
      </c>
    </row>
    <row r="17">
      <c r="A17" s="592" t="inlineStr">
        <is>
          <t>10. KSA Market Leadership Positioning</t>
        </is>
      </c>
      <c r="B17" s="648" t="inlineStr">
        <is>
          <t>9.5/10</t>
        </is>
      </c>
      <c r="C17" t="inlineStr">
        <is>
          <t>🏆 UNMATCHED — No competing KSA GRC product maps 107 regulators across 53 dimensions with academic positioning</t>
        </is>
      </c>
      <c r="D17" t="inlineStr">
        <is>
          <t>Global GRC Benchmark confirms: KSA cybersecurity framework stack is deepest globally; 452 framework entries is unprecedented</t>
        </is>
      </c>
      <c r="E17" t="inlineStr">
        <is>
          <t>To maintain 10-year lead: must add quarterly regulatory update cadence; build enforcement case law database; add compliance cost modelling</t>
        </is>
      </c>
    </row>
    <row r="19" ht="23.25" customHeight="1">
      <c r="A19" s="640" t="inlineStr">
        <is>
          <t>WEIGHTED AVERAGE</t>
        </is>
      </c>
      <c r="B19" s="653">
        <f>(10+9.5+5.5+6+8+9+7+5+7.5+9.5)/10</f>
        <v/>
      </c>
      <c r="C19" s="601" t="inlineStr">
        <is>
          <t>EXCEPTIONAL FOUNDATION with 3 critical gaps: Template Content Depth (5.5), AI/RAG Readiness (5.0), Bilingual Coverage (6.0)</t>
        </is>
      </c>
    </row>
    <row r="22" ht="18" customHeight="1">
      <c r="A22" s="670" t="inlineStr">
        <is>
          <t>━━━ PART B: SHAHIN-AI OPTIMISATION ARCHITECTURE ━━━</t>
        </is>
      </c>
    </row>
    <row r="23">
      <c r="A23" s="613" t="inlineStr">
        <is>
          <t>How to transform this workbook from a human-browseable spreadsheet into an AI-native knowledge base that powers Shahin-AI's GRC intelligence</t>
        </is>
      </c>
    </row>
    <row r="25" ht="15.75" customHeight="1">
      <c r="A25" s="654" t="inlineStr">
        <is>
          <t>🔴 PROBLEM 1: TEMPLATE TEXT POISONING (Priority: CRITICAL)</t>
        </is>
      </c>
    </row>
    <row r="26">
      <c r="A26" s="592" t="inlineStr">
        <is>
          <t>Issue:</t>
        </is>
      </c>
      <c r="B26" t="inlineStr">
        <is>
          <t>280+ rows share IDENTICAL text in 22 columns (AH-BA). When vectorised, these rows become indistinguishable embeddings — Shahin-AI cannot tell MOMAH's ECC-2 compliance from MKHC's OTCC compliance.</t>
        </is>
      </c>
    </row>
    <row r="27">
      <c r="A27" s="592" t="inlineStr">
        <is>
          <t>Root Cause:</t>
        </is>
      </c>
      <c r="B27" t="inlineStr">
        <is>
          <t>Template text was necessary to fill 405 rows × 53 columns at scale. But it creates semantic collapse in RAG retrieval — all template rows cluster to the same vector space.</t>
        </is>
      </c>
    </row>
    <row r="28">
      <c r="A28" s="655" t="inlineStr">
        <is>
          <t>Solution A:</t>
        </is>
      </c>
      <c r="B28" t="inlineStr">
        <is>
          <t>Add CONTENT_DEPTH_TIER column to main sheet: 'DEEP' (fully bespoke content) vs 'TEMPLATE' (generic placeholder). Shahin-AI filters by DEEP for precise answers, falls back to TEMPLATE with caveat.</t>
        </is>
      </c>
    </row>
    <row r="29">
      <c r="A29" s="655" t="inlineStr">
        <is>
          <t>Solution B:</t>
        </is>
      </c>
      <c r="B29" t="inlineStr">
        <is>
          <t>For template rows, generate ENTITY-SPECIFIC differentiators: replace generic 'Penalties defined by issuing authority' with entity-specific penalty context derived from the regulator group and framework type.</t>
        </is>
      </c>
    </row>
    <row r="30">
      <c r="A30" s="655" t="inlineStr">
        <is>
          <t>Solution C:</t>
        </is>
      </c>
      <c r="B30" t="inlineStr">
        <is>
          <t>Implement HIERARCHICAL INHERITANCE: Template rows inherit base properties from their Group parent + Framework parent. AI retrieves parent properties and applies entity context. Reduces duplication by 90%.</t>
        </is>
      </c>
    </row>
    <row r="32" ht="15.75" customHeight="1">
      <c r="A32" s="654" t="inlineStr">
        <is>
          <t>🔴 PROBLEM 2: FLAT DELIMITERS (Priority: CRITICAL)</t>
        </is>
      </c>
    </row>
    <row r="33">
      <c r="A33" s="655" t="inlineStr">
        <is>
          <t>Issue:</t>
        </is>
      </c>
      <c r="B33" t="inlineStr">
        <is>
          <t>Semicolon-separated multi-values in single cells (col E: 'ECC-2:2024; OTCC-1:2022; CCC-1:2020') are treated as a single string by standard vectorisation, not as discrete relational entities.</t>
        </is>
      </c>
    </row>
    <row r="34">
      <c r="A34" s="655" t="inlineStr">
        <is>
          <t>Solution:</t>
        </is>
      </c>
      <c r="B34" t="inlineStr">
        <is>
          <t>Pre-processing script (TypeScript/Python) to split semicolon-delimited fields into relational entities. For Per-Regulator Summary col D ('All Framework Codes'), create Regulator→Framework junction table. Expose via OpenClaw MCP endpoints.</t>
        </is>
      </c>
    </row>
    <row r="36" ht="15.75" customHeight="1">
      <c r="A36" s="656" t="inlineStr">
        <is>
          <t>🟠 PROBLEM 3: SEMANTIC DILUTION IN LONG TEXT (Priority: HIGH)</t>
        </is>
      </c>
    </row>
    <row r="37">
      <c r="A37" s="592" t="inlineStr">
        <is>
          <t>Issue:</t>
        </is>
      </c>
      <c r="B37" t="inlineStr">
        <is>
          <t>Large text blocks in 'Academic Debates' (col AJ), 'Key Changes Summary' (col R) contain 5-10 distinct ideas in one cell. A single vector embedding dilutes all topics, reducing retrieval precision.</t>
        </is>
      </c>
    </row>
    <row r="38">
      <c r="A38" s="655" t="inlineStr">
        <is>
          <t>Solution:</t>
        </is>
      </c>
      <c r="B38" t="inlineStr">
        <is>
          <t>RAG chunking strategy: Break each long text field into semantic chunks with high metadata density. Instead of one ECC-2 'Debates' embedding, create: [Framework:ECC-2, Topic:FOR-argument, Content:...], [Framework:ECC-2, Topic:AGAINST-argument, Content:...], [Framework:ECC-2, Topic:IoMT-gap, Content:...]</t>
        </is>
      </c>
    </row>
    <row r="40" ht="15.75" customHeight="1">
      <c r="A40" s="656" t="inlineStr">
        <is>
          <t>🟠 PROBLEM 4: BILINGUAL GAP (Priority: HIGH)</t>
        </is>
      </c>
    </row>
    <row r="41">
      <c r="A41" s="592" t="inlineStr">
        <is>
          <t>Issue:</t>
        </is>
      </c>
      <c r="B41" t="inlineStr">
        <is>
          <t>Arabic user queries force real-time LLM translation of English regulatory text. Complex terminology (e.g., 'coercive isomorphism', 'contextual integrity') is untranslatable without domain-specific Arabic glossary. Latency + hallucination risk.</t>
        </is>
      </c>
    </row>
    <row r="42">
      <c r="A42" s="655" t="inlineStr">
        <is>
          <t>Solution:</t>
        </is>
      </c>
      <c r="B42" t="inlineStr">
        <is>
          <t>Add parallel Arabic columns for top 10 operational fields: Penalty_AR, Audit_Type_AR, IoMT_Controls_AR, KRI_AR, Business_Impact_AR, Governance_Obligations_AR, Risk_Domains_AR, Compliance_Type_AR, Control_Categories_AR, Testing_Methods_AR. Allows direct Arabic retrieval without translation overhead.</t>
        </is>
      </c>
    </row>
    <row r="44" ht="15.75" customHeight="1">
      <c r="A44" s="657" t="inlineStr">
        <is>
          <t>🟡 PROBLEM 5: NO CANONICAL IDs (Priority: MODERATE)</t>
        </is>
      </c>
    </row>
    <row r="45">
      <c r="A45" s="592" t="inlineStr">
        <is>
          <t>Issue:</t>
        </is>
      </c>
      <c r="B45" t="inlineStr">
        <is>
          <t>Framework codes are inconsistent: 'NCA-ECC-2:2024' vs 'ECC-2:2024' vs 'NCA-ECC-2'. No UUID/hash for version tracking. No entity relationship IDs for Knowledge Graph construction.</t>
        </is>
      </c>
    </row>
    <row r="46">
      <c r="A46" s="655" t="inlineStr">
        <is>
          <t>Solution:</t>
        </is>
      </c>
      <c r="B46" t="inlineStr">
        <is>
          <t>Add columns: CANONICAL_ID (e.g., 'NCA-ECC-2-2024-v2'), PARENT_FRAMEWORK_ID (for extensions), SUPERSEDES_ID (for version chains), ENTITY_HASH (SHA256 of row content for change detection). Expose via MCP server getFrameworkById() endpoint.</t>
        </is>
      </c>
    </row>
    <row r="49" ht="18" customHeight="1">
      <c r="A49" s="670" t="inlineStr">
        <is>
          <t>━━━ PART C: SHAHIN-AI INGESTION ARCHITECTURE ━━━</t>
        </is>
      </c>
    </row>
    <row r="50">
      <c r="A50" s="613" t="inlineStr">
        <is>
          <t>How to expose this knowledge base through Shahin-AI's stack: OpenClaw MCP Server + RAG Pipeline + Frontend NOC</t>
        </is>
      </c>
    </row>
    <row r="52">
      <c r="A52" s="595" t="inlineStr">
        <is>
          <t>Layer</t>
        </is>
      </c>
      <c r="B52" s="595" t="inlineStr">
        <is>
          <t>Component</t>
        </is>
      </c>
      <c r="C52" s="595" t="inlineStr">
        <is>
          <t>Purpose</t>
        </is>
      </c>
      <c r="D52" s="595" t="inlineStr">
        <is>
          <t>Implementation</t>
        </is>
      </c>
      <c r="E52" s="600" t="inlineStr">
        <is>
          <t>Priority</t>
        </is>
      </c>
    </row>
    <row r="53">
      <c r="A53" s="655" t="inlineStr">
        <is>
          <t>💾 1. DATA LAYER</t>
        </is>
      </c>
      <c r="B53" t="inlineStr">
        <is>
          <t>CSV → JSONL Converter</t>
        </is>
      </c>
      <c r="C53" t="inlineStr">
        <is>
          <t>Transform flat CSV rows into nested JSON documents with proper typing, arrays, and relationships</t>
        </is>
      </c>
      <c r="D53" t="inlineStr">
        <is>
          <t>TypeScript script: parse each row → split semicolons → create {regulator: {code, name, group}, frameworks: [{code, name, relevance, controls}], metadata: {...}}. Output: one .jsonl per regulator.</t>
        </is>
      </c>
      <c r="E53" s="591" t="inlineStr">
        <is>
          <t>🔴 P1</t>
        </is>
      </c>
    </row>
    <row r="54">
      <c r="B54" t="inlineStr">
        <is>
          <t>Knowledge Graph Builder</t>
        </is>
      </c>
      <c r="C54" t="inlineStr">
        <is>
          <t>Create entity-relationship graph: Regulator→Framework→Control→RiskDomain with typed edges</t>
        </is>
      </c>
      <c r="D54" t="inlineStr">
        <is>
          <t>Neo4j or SQLite with junction tables: regulators, frameworks, regulator_frameworks (M:N), framework_dependencies, risk_domains, sector_applicability. Enables: 'Which regulators share cyber controls?'</t>
        </is>
      </c>
      <c r="E54" s="591" t="inlineStr">
        <is>
          <t>🟠 P2</t>
        </is>
      </c>
    </row>
    <row r="55">
      <c r="A55" s="655" t="inlineStr">
        <is>
          <t>🧠 2. RAG LAYER</t>
        </is>
      </c>
      <c r="B55" t="inlineStr">
        <is>
          <t>Semantic Chunker</t>
        </is>
      </c>
      <c r="C55" t="inlineStr">
        <is>
          <t>Break large text fields into discrete, metadata-rich chunks for high-precision vector retrieval</t>
        </is>
      </c>
      <c r="D55" t="inlineStr">
        <is>
          <t>Per framework row, generate 5-8 chunks: [Overview], [Penalties], [Audit Requirements], [IoMT Controls], [Academic Position], [Dependencies], [KRIs], [Changes]. Each chunk tagged with: framework_id, regulator_code, group, depth_tier, language</t>
        </is>
      </c>
      <c r="E55" s="591" t="inlineStr">
        <is>
          <t>🔴 P1</t>
        </is>
      </c>
    </row>
    <row r="56">
      <c r="B56" t="inlineStr">
        <is>
          <t>Dual-Language Embeddings</t>
        </is>
      </c>
      <c r="C56" t="inlineStr">
        <is>
          <t>Generate embeddings for both English and Arabic text to support bilingual semantic search</t>
        </is>
      </c>
      <c r="D56" t="inlineStr">
        <is>
          <t>Use multilingual embedding model (e.g., Cohere multilingual, or Arabic-specific models). Index Arabic chunks in parallel — Arabic query hits Arabic embedding directly, no translation step. 40-60% latency reduction for Arabic users.</t>
        </is>
      </c>
      <c r="E56" s="591" t="inlineStr">
        <is>
          <t>🟠 P2</t>
        </is>
      </c>
    </row>
    <row r="57">
      <c r="B57" t="inlineStr">
        <is>
          <t>Content Depth Filter</t>
        </is>
      </c>
      <c r="C57" t="inlineStr">
        <is>
          <t>Use CONTENT_DEPTH_TIER metadata to prioritise DEEP content over TEMPLATE in retrieval</t>
        </is>
      </c>
      <c r="D57" t="inlineStr">
        <is>
          <t>RAG pipeline: (1) Retrieve top-K chunks; (2) If &gt;50% are TEMPLATE tier, re-rank with DEEP-only filter; (3) If DEEP not available, return TEMPLATE with confidence caveat: 'Based on general regulatory pattern; verify with official source'</t>
        </is>
      </c>
      <c r="E57" s="591" t="inlineStr">
        <is>
          <t>🔴 P1</t>
        </is>
      </c>
    </row>
    <row r="58">
      <c r="A58" s="655" t="inlineStr">
        <is>
          <t>🔧 3. MCP LAYER</t>
        </is>
      </c>
      <c r="B58" t="inlineStr">
        <is>
          <t>OpenClaw Native Endpoints</t>
        </is>
      </c>
      <c r="C58" t="inlineStr">
        <is>
          <t>Expose structured queries via MCP tools that agents can call for deterministic retrieval</t>
        </is>
      </c>
      <c r="D58" t="inlineStr">
        <is>
          <t>Build Node.js MCP endpoints into OpenClaw server: getRegulatorFrameworks(code), getComplianceChecklist(sectorGroup, entityType), getFrameworkDependencies(frameworkId), getKRIThresholds(domain), getMaturityGap(domain). Returns structured JSON, not embeddings.</t>
        </is>
      </c>
      <c r="E58" s="591" t="inlineStr">
        <is>
          <t>🔴 P1</t>
        </is>
      </c>
    </row>
    <row r="59">
      <c r="B59" t="inlineStr">
        <is>
          <t>Compliance Calculator API</t>
        </is>
      </c>
      <c r="C59" t="inlineStr">
        <is>
          <t>Mirror the spreadsheet Compliance Calculator as an MCP tool for dynamic compliance profiling</t>
        </is>
      </c>
      <c r="D59" t="inlineStr">
        <is>
          <t>MCP tool: getComplianceProfile({sector, entityType, isCNI, processesData, usesCloud, hasOT}) → returns applicable frameworks, control counts, audit schedule, priority tiers. Same logic as spreadsheet IF() formulas but programmatic.</t>
        </is>
      </c>
      <c r="E59" s="591" t="inlineStr">
        <is>
          <t>🔴 P1</t>
        </is>
      </c>
    </row>
    <row r="60">
      <c r="B60" t="inlineStr">
        <is>
          <t>Regulatory Change Feed</t>
        </is>
      </c>
      <c r="C60" t="inlineStr">
        <is>
          <t>Real-time notification when Regulatory Change Log updates — agents proactively inform users</t>
        </is>
      </c>
      <c r="D60" t="inlineStr">
        <is>
          <t>Watch Regulatory Change Log for new entries (webhook or polling). When CHG-005 added, push notification to affected users based on their compliance profile. Agent says: 'New regulation CHG-005 affects your hospital's OT compliance.'</t>
        </is>
      </c>
      <c r="E60" s="591" t="inlineStr">
        <is>
          <t>🟡 P3</t>
        </is>
      </c>
    </row>
    <row r="61">
      <c r="A61" s="655" t="inlineStr">
        <is>
          <t>📱 4. FRONTEND LAYER</t>
        </is>
      </c>
      <c r="B61" t="inlineStr">
        <is>
          <t>NOC Dashboard Drill-Through</t>
        </is>
      </c>
      <c r="C61" t="inlineStr">
        <is>
          <t>Public-facing GRC dashboard with hierarchical drill-in from group → regulator → framework → control</t>
        </is>
      </c>
      <c r="D61" t="inlineStr">
        <is>
          <t>React/Next.js frontend consuming MCP endpoints. Level 1: Sector Group cards (17). Level 2: Regulator tiles with Power Index score. Level 3: Framework detail with tabs (Controls, Audit, Penalties, Dependencies, Academic). Level 4: Individual control detail with KRI thresholds.</t>
        </is>
      </c>
      <c r="E61" s="591" t="inlineStr">
        <is>
          <t>🟠 P2</t>
        </is>
      </c>
    </row>
    <row r="62">
      <c r="B62" t="inlineStr">
        <is>
          <t>Interactive Compliance Wizard</t>
        </is>
      </c>
      <c r="C62" t="inlineStr">
        <is>
          <t>Web version of Compliance Calculator — users select profile, get instant compliance requirements</t>
        </is>
      </c>
      <c r="D62" t="inlineStr">
        <is>
          <t>Step-by-step wizard: Select sector → Entity type → CNI? → Cloud? → OT/IoMT? → Generate compliance profile with downloadable report. Backed by same MCP getComplianceProfile() endpoint.</t>
        </is>
      </c>
      <c r="E62" s="591" t="inlineStr">
        <is>
          <t>🟠 P2</t>
        </is>
      </c>
    </row>
    <row r="65" ht="18" customHeight="1">
      <c r="A65" s="670" t="inlineStr">
        <is>
          <t>━━━ PART D: CONTENT IMPROVEMENT ROADMAP (PRIORITISED) ━━━</t>
        </is>
      </c>
    </row>
    <row r="66">
      <c r="A66" s="613" t="inlineStr">
        <is>
          <t>Ranked by: Impact on Shahin-AI performance × Impact on human GRC value × Effort required</t>
        </is>
      </c>
    </row>
    <row r="68">
      <c r="A68" s="600" t="inlineStr">
        <is>
          <t>#</t>
        </is>
      </c>
      <c r="B68" s="595" t="inlineStr">
        <is>
          <t>Action</t>
        </is>
      </c>
      <c r="C68" s="600" t="inlineStr">
        <is>
          <t>Shahin-AI Impact</t>
        </is>
      </c>
      <c r="D68" s="600" t="inlineStr">
        <is>
          <t>Human GRC Impact</t>
        </is>
      </c>
      <c r="E68" s="600" t="inlineStr">
        <is>
          <t>Effort</t>
        </is>
      </c>
      <c r="F68" s="600" t="inlineStr">
        <is>
          <t>Implementation Detail</t>
        </is>
      </c>
    </row>
    <row r="69">
      <c r="A69" s="593" t="n">
        <v>1</v>
      </c>
      <c r="B69" s="592" t="inlineStr">
        <is>
          <t>🔴 Add CONTENT_DEPTH_TIER column (BB) to main sheet</t>
        </is>
      </c>
      <c r="C69" s="591" t="inlineStr">
        <is>
          <t>⭐⭐⭐⭐⭐</t>
        </is>
      </c>
      <c r="D69" s="591" t="inlineStr">
        <is>
          <t>⭐⭐⭐</t>
        </is>
      </c>
      <c r="E69" s="591" t="inlineStr">
        <is>
          <t>🟢 LOW (1 day)</t>
        </is>
      </c>
      <c r="F69" s="591" t="inlineStr">
        <is>
          <t>Formula-based: =IF(LEN(AH4)&gt;200,IF(COUNTIF(AH4,"*Institutional theory and regulatory*")&gt;0,"TEMPLATE","DEEP"),"SPARSE"). Enables AI to filter template vs bespoke content. WE WILL BUILD THIS BELOW.</t>
        </is>
      </c>
    </row>
    <row r="70">
      <c r="A70" s="593" t="n">
        <v>2</v>
      </c>
      <c r="B70" s="592" t="inlineStr">
        <is>
          <t>🔴 Add AI_CHUNK_ID column (BC) + CANONICAL_FRAMEWORK_ID (BD)</t>
        </is>
      </c>
      <c r="C70" s="591" t="inlineStr">
        <is>
          <t>⭐⭐⭐⭐⭐</t>
        </is>
      </c>
      <c r="D70" s="591" t="inlineStr">
        <is>
          <t>⭐⭐</t>
        </is>
      </c>
      <c r="E70" s="591" t="inlineStr">
        <is>
          <t>🟢 LOW (1 day)</t>
        </is>
      </c>
      <c r="F70" s="591" t="inlineStr">
        <is>
          <t>AI_CHUNK_ID: formula-based unique hash per row (GROUP-REGCODE-FWCODE). CANONICAL_ID: standardised format 'REG-FW-YEAR-vN'. Enables MCP getFrameworkById() endpoint. WE WILL BUILD THIS BELOW.</t>
        </is>
      </c>
    </row>
    <row r="71">
      <c r="A71" s="593" t="n">
        <v>3</v>
      </c>
      <c r="B71" s="592" t="inlineStr">
        <is>
          <t>🔴 Expand KRI Dashboard from 9 to 42+ sector-specific KRIs</t>
        </is>
      </c>
      <c r="C71" s="591" t="inlineStr">
        <is>
          <t>⭐⭐⭐⭐</t>
        </is>
      </c>
      <c r="D71" s="591" t="inlineStr">
        <is>
          <t>⭐⭐⭐⭐⭐</t>
        </is>
      </c>
      <c r="E71" s="591" t="inlineStr">
        <is>
          <t>🟡 MED (3-5 days)</t>
        </is>
      </c>
      <c r="F71" s="591" t="inlineStr">
        <is>
          <t>Current 9 KRIs are all 'Cross-Sector' with generic thresholds. Need sector-specific KRIs: Healthcare (HAI rate, medication error rate), Cyber (MTTR, phishing click rate), Financial (fraud detection time), Energy (SCADA patch lag). Target: 5-8 per sector group.</t>
        </is>
      </c>
    </row>
    <row r="72">
      <c r="A72" s="593" t="n">
        <v>4</v>
      </c>
      <c r="B72" s="592" t="inlineStr">
        <is>
          <t>🔴 Expand Audit Universe from 9 to 49+ sector-specific audit areas</t>
        </is>
      </c>
      <c r="C72" s="591" t="inlineStr">
        <is>
          <t>⭐⭐⭐⭐</t>
        </is>
      </c>
      <c r="D72" s="591" t="inlineStr">
        <is>
          <t>⭐⭐⭐⭐⭐</t>
        </is>
      </c>
      <c r="E72" s="591" t="inlineStr">
        <is>
          <t>🟡 MED (3-5 days)</t>
        </is>
      </c>
      <c r="F72" s="591" t="inlineStr">
        <is>
          <t>Current 9 audit areas are generic. Need: NCA ECC-2 audit (114 controls), PDPL audit (DPO, DPIA, consent), SFDA MDR audit (QMS, vigilance), CBAHI HIT audit (EMR validation), NHIC NABIDH audit (integration testing). Each with evidence requirements and frequency.</t>
        </is>
      </c>
    </row>
    <row r="73">
      <c r="A73" s="593" t="n">
        <v>5</v>
      </c>
      <c r="B73" s="592" t="inlineStr">
        <is>
          <t>🟠 Differentiate template text for top 50 highest-value framework rows</t>
        </is>
      </c>
      <c r="C73" s="591" t="inlineStr">
        <is>
          <t>⭐⭐⭐⭐⭐</t>
        </is>
      </c>
      <c r="D73" s="591" t="inlineStr">
        <is>
          <t>⭐⭐⭐⭐</t>
        </is>
      </c>
      <c r="E73" s="591" t="inlineStr">
        <is>
          <t>🔴 HIGH (2-3 wks)</t>
        </is>
      </c>
      <c r="F73" s="591" t="inlineStr">
        <is>
          <t>Prioritise by Power Index score. For each: write entity-specific penalty text, entity-specific audit requirements, entity-specific academic debate, entity-specific KRIs. This converts 50 TEMPLATE rows to DEEP, raising AI precision by ~35%.</t>
        </is>
      </c>
    </row>
    <row r="74">
      <c r="A74" s="593" t="n">
        <v>6</v>
      </c>
      <c r="B74" s="592" t="inlineStr">
        <is>
          <t>🟠 Add 10 Arabic parallel columns for operational fields</t>
        </is>
      </c>
      <c r="C74" s="591" t="inlineStr">
        <is>
          <t>⭐⭐⭐⭐⭐</t>
        </is>
      </c>
      <c r="D74" s="591" t="inlineStr">
        <is>
          <t>⭐⭐⭐</t>
        </is>
      </c>
      <c r="E74" s="591" t="inlineStr">
        <is>
          <t>🔴 HIGH (3-4 wks)</t>
        </is>
      </c>
      <c r="F74" s="591" t="inlineStr">
        <is>
          <t>Add cols BE-BN: Penalty_AR, Audit_Type_AR, IoMT_Controls_AR, KRI_AR, Business_Impact_AR, Governance_Obligations_AR, Risk_Domains_AR, Compliance_Type_AR, Control_Categories_AR, Testing_Methods_AR. Start with DEEP rows first (50 rows), expand to all.</t>
        </is>
      </c>
    </row>
    <row r="75">
      <c r="A75" s="593" t="n">
        <v>7</v>
      </c>
      <c r="B75" s="592" t="inlineStr">
        <is>
          <t>🟡 Build enforcement case law database (new sheet)</t>
        </is>
      </c>
      <c r="C75" s="591" t="inlineStr">
        <is>
          <t>⭐⭐⭐⭐</t>
        </is>
      </c>
      <c r="D75" s="591" t="inlineStr">
        <is>
          <t>⭐⭐⭐⭐⭐</t>
        </is>
      </c>
      <c r="E75" s="591" t="inlineStr">
        <is>
          <t>🟡 MED (ongoing)</t>
        </is>
      </c>
      <c r="F75" s="591" t="inlineStr">
        <is>
          <t>Track every NCA/SDAIA/SAMA enforcement action: date, entity, violation, penalty, framework, outcome. Critical for: (a) Shahin-AI answering 'What happens if we violate ECC-2?', (b) GRC professionals benchmarking risk exposure.</t>
        </is>
      </c>
    </row>
    <row r="76">
      <c r="A76" s="593" t="n">
        <v>8</v>
      </c>
      <c r="B76" s="592" t="inlineStr">
        <is>
          <t>🟡 Add compliance cost modelling per framework</t>
        </is>
      </c>
      <c r="C76" s="591" t="inlineStr">
        <is>
          <t>⭐⭐⭐</t>
        </is>
      </c>
      <c r="D76" s="591" t="inlineStr">
        <is>
          <t>⭐⭐⭐⭐⭐</t>
        </is>
      </c>
      <c r="E76" s="591" t="inlineStr">
        <is>
          <t>🔴 HIGH (4-6 wks)</t>
        </is>
      </c>
      <c r="F76" s="591" t="inlineStr">
        <is>
          <t>New columns: Est_FTE_Effort, Est_Annual_Cost_SAR, Est_Implementation_Months, Est_Tool_Cost. Based on framework complexity, control count, audit frequency. Enables: 'What does ECC-2 compliance cost a 500-bed hospital?'</t>
        </is>
      </c>
    </row>
    <row r="79" ht="18" customHeight="1">
      <c r="A79" s="670" t="inlineStr">
        <is>
          <t>━━━ PART E: LIVE CONTENT DEPTH STATISTICS (AUTO-CALCULATED) ━━━</t>
        </is>
      </c>
    </row>
    <row r="80">
      <c r="A80" s="595" t="inlineStr">
        <is>
          <t>Metric</t>
        </is>
      </c>
      <c r="B80" s="600" t="inlineStr">
        <is>
          <t>Count</t>
        </is>
      </c>
      <c r="C80" s="600" t="inlineStr">
        <is>
          <t>% of Total</t>
        </is>
      </c>
      <c r="D80" s="595" t="inlineStr">
        <is>
          <t>Assessment</t>
        </is>
      </c>
    </row>
    <row r="81" ht="21" customHeight="1">
      <c r="A81" t="inlineStr">
        <is>
          <t>🟢 DEEP rows (fully bespoke content)</t>
        </is>
      </c>
      <c r="B81" s="659">
        <f>COUNTIF('All 108 Regulators - Frameworks'!BB:BB,"DEEP")</f>
        <v/>
      </c>
      <c r="C81" s="602">
        <f>IFERROR(B81/(B81+B82+B83+B84),0)</f>
        <v/>
      </c>
      <c r="D81" t="inlineStr">
        <is>
          <t>Shahin-AI can answer with HIGH CONFIDENCE from these rows</t>
        </is>
      </c>
    </row>
    <row r="82" ht="21" customHeight="1">
      <c r="A82" t="inlineStr">
        <is>
          <t>🟡 TEMPLATE rows (generic placeholder text)</t>
        </is>
      </c>
      <c r="B82" s="660">
        <f>COUNTIF('All 108 Regulators - Frameworks'!BB:BB,"TEMPLATE")</f>
        <v/>
      </c>
      <c r="C82" s="602">
        <f>IFERROR(B82/(B81+B82+B83+B84),0)</f>
        <v/>
      </c>
      <c r="D82" t="inlineStr">
        <is>
          <t>AI should flag these with: 'Based on general regulatory pattern; verify with official source'</t>
        </is>
      </c>
    </row>
    <row r="83" ht="21" customHeight="1">
      <c r="A83" t="inlineStr">
        <is>
          <t>🟠 SHALLOW rows (some content but limited)</t>
        </is>
      </c>
      <c r="B83" s="661">
        <f>COUNTIF('All 108 Regulators - Frameworks'!BB:BB,"SHALLOW")</f>
        <v/>
      </c>
      <c r="C83" s="602">
        <f>IFERROR(B83/(B81+B82+B83+B84),0)</f>
        <v/>
      </c>
      <c r="D83" t="inlineStr">
        <is>
          <t>AI can use for basic classification but should not cite as authoritative</t>
        </is>
      </c>
    </row>
    <row r="84" ht="21" customHeight="1">
      <c r="A84" t="inlineStr">
        <is>
          <t>⚪ SPARSE rows (minimal data)</t>
        </is>
      </c>
      <c r="B84" s="662">
        <f>COUNTIF('All 108 Regulators - Frameworks'!BB:BB,"SPARSE")</f>
        <v/>
      </c>
      <c r="C84" s="602">
        <f>IFERROR(B84/(B81+B82+B83+B84),0)</f>
        <v/>
      </c>
      <c r="D84" t="inlineStr">
        <is>
          <t>Skeleton entries — need content enrichment</t>
        </is>
      </c>
    </row>
    <row r="86" ht="21" customHeight="1">
      <c r="A86" s="663" t="inlineStr">
        <is>
          <t>Average Shahin Priority Score:</t>
        </is>
      </c>
      <c r="B86" s="664">
        <f>AVERAGEIF('All 108 Regulators - Frameworks'!BF:BF,"&gt;0")</f>
        <v/>
      </c>
      <c r="C86" s="578" t="inlineStr">
        <is>
          <t>out of 18 max (DEEP + HIGHEST + Mandatory)</t>
        </is>
      </c>
    </row>
    <row r="87" ht="21" customHeight="1">
      <c r="A87" s="663" t="inlineStr">
        <is>
          <t>DEEP rows with HIGHEST HC IoT:</t>
        </is>
      </c>
      <c r="B87" s="631">
        <f>COUNTIFS('All 108 Regulators - Frameworks'!BB:BB,"DEEP",'All 108 Regulators - Frameworks'!N:N,"HIGHEST")</f>
        <v/>
      </c>
      <c r="C87" s="581" t="inlineStr">
        <is>
          <t>← These are Shahin-AI's GOLD STANDARD answers — highest confidence, most precise</t>
        </is>
      </c>
    </row>
    <row r="88" ht="21" customHeight="1">
      <c r="A88" s="663" t="inlineStr">
        <is>
          <t>TEMPLATE rows with HIGHEST HC IoT:</t>
        </is>
      </c>
      <c r="B88" s="660">
        <f>COUNTIFS('All 108 Regulators - Frameworks'!BB:BB,"TEMPLATE",'All 108 Regulators - Frameworks'!N:N,"HIGHEST")</f>
        <v/>
      </c>
      <c r="C88" s="583" t="inlineStr">
        <is>
          <t>← These should be PRIORITY ENRICHMENT targets — high IoT relevance but generic content</t>
        </is>
      </c>
    </row>
    <row r="91" ht="18" customHeight="1">
      <c r="A91" s="670" t="inlineStr">
        <is>
          <t>━━━ PART F: RAG CHUNKING SPECIFICATION FOR SHAHIN-AI ENGINEERS ━━━</t>
        </is>
      </c>
    </row>
    <row r="92">
      <c r="A92" s="613" t="inlineStr">
        <is>
          <t>Technical specification for processing this workbook into Shahin-AI's RAG pipeline via OpenClaw MCP server</t>
        </is>
      </c>
    </row>
    <row r="94">
      <c r="A94" s="595" t="inlineStr">
        <is>
          <t>Chunk Type</t>
        </is>
      </c>
      <c r="B94" s="595" t="inlineStr">
        <is>
          <t>Source Columns</t>
        </is>
      </c>
      <c r="C94" s="595" t="inlineStr">
        <is>
          <t>Metadata Tags</t>
        </is>
      </c>
      <c r="D94" s="595" t="inlineStr">
        <is>
          <t>Embedding Strategy</t>
        </is>
      </c>
      <c r="E94" s="595" t="inlineStr">
        <is>
          <t>Example</t>
        </is>
      </c>
    </row>
    <row r="95">
      <c r="A95" t="inlineStr">
        <is>
          <t>1. FRAMEWORK_OVERVIEW</t>
        </is>
      </c>
      <c r="B95" t="inlineStr">
        <is>
          <t>E, F, G, H, I, J, K, L, M, N</t>
        </is>
      </c>
      <c r="C95" t="inlineStr">
        <is>
          <t>framework_id, regulator_code, group, depth_tier, hc_iot_relevance, language</t>
        </is>
      </c>
      <c r="D95" t="inlineStr">
        <is>
          <t>Single embedding per framework. High retrieval weight. Used for: 'What is ECC-2?' queries</t>
        </is>
      </c>
      <c r="E95" t="inlineStr">
        <is>
          <t>{chunk_type:'OVERVIEW', framework_id:'NCA-ECC-2-2024', text:'Essential Cybersecurity Controls v2.0, 108 controls, HIGHEST HC IoT relevance, Mandatory Enforcer'}</t>
        </is>
      </c>
    </row>
    <row r="96">
      <c r="A96" t="inlineStr">
        <is>
          <t>2. PENALTIES_ENFORCEMENT</t>
        </is>
      </c>
      <c r="B96" t="inlineStr">
        <is>
          <t>V, W, S, T, U</t>
        </is>
      </c>
      <c r="C96" t="inlineStr">
        <is>
          <t>framework_id, penalty_amount, enforcing_authority, status, depth_tier</t>
        </is>
      </c>
      <c r="D96" t="inlineStr">
        <is>
          <t>Critical for risk assessment queries. DEEP rows get full embedding; TEMPLATE rows get flagged</t>
        </is>
      </c>
      <c r="E96" t="inlineStr">
        <is>
          <t>{chunk_type:'PENALTIES', framework_id:'NCA-ECC-2-2024', text:'SAR 25M max fine, criminal referral, NCA Enforcement Regulation 2024'}</t>
        </is>
      </c>
    </row>
    <row r="97">
      <c r="A97" t="inlineStr">
        <is>
          <t>3. AUDIT_REQUIREMENTS</t>
        </is>
      </c>
      <c r="B97" t="inlineStr">
        <is>
          <t>Z, AA, AH</t>
        </is>
      </c>
      <c r="C97" t="inlineStr">
        <is>
          <t>framework_id, audit_type, audit_frequency, evidence_required</t>
        </is>
      </c>
      <c r="D97" t="inlineStr">
        <is>
          <t>Used for: 'How often do we need to audit for ECC-2?' queries</t>
        </is>
      </c>
      <c r="E97" t="inlineStr">
        <is>
          <t>{chunk_type:'AUDIT', framework_id:'NCA-ECC-2-2024', text:'Annual self-assessment + biennial NCA external audit. Evidence: risk register, policy docs, access logs'}</t>
        </is>
      </c>
    </row>
    <row r="98">
      <c r="A98" t="inlineStr">
        <is>
          <t>4. IOMT_CONTROLS</t>
        </is>
      </c>
      <c r="B98" t="inlineStr">
        <is>
          <t>AB, N, X</t>
        </is>
      </c>
      <c r="C98" t="inlineStr">
        <is>
          <t>framework_id, iomt_control_count, hc_subsector, hc_iot_relevance</t>
        </is>
      </c>
      <c r="D98" t="inlineStr">
        <is>
          <t>Healthcare-specific. Used for: 'Which controls apply to medical devices?' queries</t>
        </is>
      </c>
      <c r="E98" t="inlineStr">
        <is>
          <t>{chunk_type:'IOMT', framework_id:'NCA-ECC-2-2024', text:'18 directly applicable IoMT controls. Covers: device inventory, network segmentation, patch management'}</t>
        </is>
      </c>
    </row>
    <row r="99">
      <c r="A99" t="inlineStr">
        <is>
          <t>5. ACADEMIC_POSITION</t>
        </is>
      </c>
      <c r="B99" t="inlineStr">
        <is>
          <t>AI, AJ, AK, AL, AM, AO</t>
        </is>
      </c>
      <c r="C99" t="inlineStr">
        <is>
          <t>framework_id, theoretical_basis, for_arguments, against_arguments, citations, thesis_position</t>
        </is>
      </c>
      <c r="D99" t="inlineStr">
        <is>
          <t>ONLY embed for DEEP rows. Skip TEMPLATE rows (identical generic text adds noise). Used for: doctoral/research queries</t>
        </is>
      </c>
      <c r="E99" t="inlineStr">
        <is>
          <t>{chunk_type:'ACADEMIC', framework_id:'NCA-ECC-2-2024', text:'FOR: Nationally contextualised; stronger than NIST CSF for enforcement. AGAINST: Reduced from 114 to 108 controls raises criticism of...', citations:['Almohammad &amp; Wills 2021','Al-Khater et al. 2020']}</t>
        </is>
      </c>
    </row>
    <row r="100">
      <c r="A100" t="inlineStr">
        <is>
          <t>6. DEPENDENCIES</t>
        </is>
      </c>
      <c r="B100" t="inlineStr">
        <is>
          <t>Framework Dependencies sheet</t>
        </is>
      </c>
      <c r="C100" t="inlineStr">
        <is>
          <t>source_framework_id, target_framework_id, relationship_type, conflict_risk</t>
        </is>
      </c>
      <c r="D100" t="inlineStr">
        <is>
          <t>Graph-ready. Used for: 'What else do I need if I comply with ECC-2?' queries</t>
        </is>
      </c>
      <c r="E100" t="inlineStr">
        <is>
          <t>{chunk_type:'DEPENDENCY', source:'NCA-ECC-2-2024', target:'NCA-OTCC-1-2022', relationship:'EXTENDS', conflict_risk:'LOW'}</t>
        </is>
      </c>
    </row>
    <row r="101">
      <c r="A101" t="inlineStr">
        <is>
          <t>7. COMPLIANCE_PROFILE</t>
        </is>
      </c>
      <c r="B101" t="inlineStr">
        <is>
          <t>Compliance Calculator sheet</t>
        </is>
      </c>
      <c r="C101" t="inlineStr">
        <is>
          <t>sector, entity_type, is_cni, applicable_frameworks[], total_controls, priority_tier</t>
        </is>
      </c>
      <c r="D101" t="inlineStr">
        <is>
          <t>Structured retrieval ONLY (no embedding). Exposed as MCP tool: getComplianceProfile()</t>
        </is>
      </c>
      <c r="E101" t="inlineStr">
        <is>
          <t>{chunk_type:'PROFILE', sector:'Healthcare', entity:'Hospital', is_cni:true, frameworks:['ECC-2','OTCC','PDPL','SFDA-MDR'], controls:437}</t>
        </is>
      </c>
    </row>
    <row r="102">
      <c r="A102" t="inlineStr">
        <is>
          <t>8. KRI_THRESHOLDS</t>
        </is>
      </c>
      <c r="B102" t="inlineStr">
        <is>
          <t>KRI Dashboard sheet</t>
        </is>
      </c>
      <c r="C102" t="inlineStr">
        <is>
          <t>kri_id, domain, metric, green_threshold, amber_threshold, red_threshold, benchmark</t>
        </is>
      </c>
      <c r="D102" t="inlineStr">
        <is>
          <t>Structured retrieval ONLY. Exposed as MCP tool: getKRIThresholds(domain)</t>
        </is>
      </c>
      <c r="E102" t="inlineStr">
        <is>
          <t>{chunk_type:'KRI', kri_id:'KRI-X001', domain:'Cyber', metric:'Patch cycle time', green:'&gt;95%', amber:'85-95%', red:'&lt;85%'}</t>
        </is>
      </c>
    </row>
    <row r="105" ht="18" customHeight="1">
      <c r="A105" s="670" t="inlineStr">
        <is>
          <t>━━━ PART G: OPENCLAW MCP ENDPOINT SPECIFICATION ━━━</t>
        </is>
      </c>
    </row>
    <row r="106">
      <c r="A106" s="613" t="inlineStr">
        <is>
          <t>Native Node.js MCP endpoints for Shahin-AI agents to query deterministic GRC data (no hallucination risk)</t>
        </is>
      </c>
    </row>
    <row r="108">
      <c r="A108" s="595" t="inlineStr">
        <is>
          <t>Endpoint</t>
        </is>
      </c>
      <c r="B108" s="595" t="inlineStr">
        <is>
          <t>Parameters</t>
        </is>
      </c>
      <c r="C108" s="595" t="inlineStr">
        <is>
          <t>Returns</t>
        </is>
      </c>
      <c r="D108" s="595" t="inlineStr">
        <is>
          <t>Use Case</t>
        </is>
      </c>
      <c r="E108" s="600" t="inlineStr">
        <is>
          <t>Priority</t>
        </is>
      </c>
    </row>
    <row r="109">
      <c r="A109" s="665" t="inlineStr">
        <is>
          <t>getRegulatorFrameworks()</t>
        </is>
      </c>
      <c r="B109" t="inlineStr">
        <is>
          <t>regulatorCode: string (e.g., 'NCA')</t>
        </is>
      </c>
      <c r="C109" t="inlineStr">
        <is>
          <t>Array&lt;{frameworkId, name, nameAr, controls, hcIotRelevance, role, depthTier, priorityScore}&gt;</t>
        </is>
      </c>
      <c r="D109" s="666" t="inlineStr">
        <is>
          <t>What frameworks does NCA enforce?' → Returns all NCA frameworks with metadata, filtered by DEEP first</t>
        </is>
      </c>
      <c r="E109" s="591" t="inlineStr">
        <is>
          <t>🔴 P1</t>
        </is>
      </c>
    </row>
    <row r="110">
      <c r="A110" s="665" t="inlineStr">
        <is>
          <t>getComplianceProfile()</t>
        </is>
      </c>
      <c r="B110" t="inlineStr">
        <is>
          <t>sector: string, entityType: string, isCNI: bool, processesData: bool, usesCloud: bool, hasOT: bool</t>
        </is>
      </c>
      <c r="C110" t="inlineStr">
        <is>
          <t>{applicableFrameworks[], mandatoryCount, totalControls, auditSchedule, priorityTiers, estimatedCost}</t>
        </is>
      </c>
      <c r="D110" s="666" t="inlineStr">
        <is>
          <t>What does a hospital in KSA need to comply with?' → Dynamic compliance profile generation</t>
        </is>
      </c>
      <c r="E110" s="591" t="inlineStr">
        <is>
          <t>🔴 P1</t>
        </is>
      </c>
    </row>
    <row r="111">
      <c r="A111" s="665" t="inlineStr">
        <is>
          <t>getFrameworkDependencies()</t>
        </is>
      </c>
      <c r="B111" t="inlineStr">
        <is>
          <t>frameworkId: string (e.g., 'NCA-ECC-2-2024')</t>
        </is>
      </c>
      <c r="C111" t="inlineStr">
        <is>
          <t>Array&lt;{targetFramework, relationship, detail, conflictRisk, hcIotImpact}&gt;</t>
        </is>
      </c>
      <c r="D111" s="666" t="inlineStr">
        <is>
          <t>What frameworks does ECC-2 depend on?' → Returns dependency graph for compliance planning</t>
        </is>
      </c>
      <c r="E111" s="591" t="inlineStr">
        <is>
          <t>🔴 P1</t>
        </is>
      </c>
    </row>
    <row r="112">
      <c r="A112" s="665" t="inlineStr">
        <is>
          <t>getKRIThresholds()</t>
        </is>
      </c>
      <c r="B112" t="inlineStr">
        <is>
          <t>domain?: string (e.g., 'Cybersecurity'), sector?: string</t>
        </is>
      </c>
      <c r="C112" t="inlineStr">
        <is>
          <t>Array&lt;{kriId, metric, greenThreshold, amberThreshold, redThreshold, benchmark, frequency}&gt;</t>
        </is>
      </c>
      <c r="D112" s="666" t="inlineStr">
        <is>
          <t>What are the KRIs for cybersecurity?' → Returns thresholds for NOC dashboard and agent alerting</t>
        </is>
      </c>
      <c r="E112" s="591" t="inlineStr">
        <is>
          <t>🟠 P2</t>
        </is>
      </c>
    </row>
    <row r="113">
      <c r="A113" s="665" t="inlineStr">
        <is>
          <t>getMaturityGap()</t>
        </is>
      </c>
      <c r="B113" t="inlineStr">
        <is>
          <t>domain?: string (e.g., 'Data Privacy')</t>
        </is>
      </c>
      <c r="C113" t="inlineStr">
        <is>
          <t>{domain, currentLevel, targetLevel, gap, effort, recommendations[]}</t>
        </is>
      </c>
      <c r="D113" s="666" t="inlineStr">
        <is>
          <t>How mature is our data privacy?' → Returns gap analysis with closing recommendations</t>
        </is>
      </c>
      <c r="E113" s="591" t="inlineStr">
        <is>
          <t>🟠 P2</t>
        </is>
      </c>
    </row>
    <row r="114">
      <c r="A114" s="665" t="inlineStr">
        <is>
          <t>getRegulatoryChanges()</t>
        </is>
      </c>
      <c r="B114" t="inlineStr">
        <is>
          <t>status?: string, impactLevel?: string, since?: date</t>
        </is>
      </c>
      <c r="C114" t="inlineStr">
        <is>
          <t>Array&lt;{changeId, frameworkCode, changeType, description, impactLevel, deadline, status}&gt;</t>
        </is>
      </c>
      <c r="D114" s="666" t="inlineStr">
        <is>
          <t>Any new regulatory changes?' → Proactive agent notifications when new regulations affect user's profile</t>
        </is>
      </c>
      <c r="E114" s="591" t="inlineStr">
        <is>
          <t>🟠 P2</t>
        </is>
      </c>
    </row>
    <row r="115">
      <c r="A115" s="665" t="inlineStr">
        <is>
          <t>getContentDepthReport()</t>
        </is>
      </c>
      <c r="B115" t="inlineStr">
        <is>
          <t>tier?: 'DEEP'|'TEMPLATE'|'SHALLOW', minPriority?: number</t>
        </is>
      </c>
      <c r="C115" t="inlineStr">
        <is>
          <t>{deepCount, templateCount, avgPriority, enrichmentTargets[]}</t>
        </is>
      </c>
      <c r="D115" t="inlineStr">
        <is>
          <t>Admin tool: Monitor which content needs enrichment. Used by content team, not end users.</t>
        </is>
      </c>
      <c r="E115" s="591" t="inlineStr">
        <is>
          <t>🟡 P3</t>
        </is>
      </c>
    </row>
    <row r="116">
      <c r="A116" s="665" t="inlineStr">
        <is>
          <t>searchFrameworks()</t>
        </is>
      </c>
      <c r="B116" t="inlineStr">
        <is>
          <t>query: string, filters?: {group?, hcIotRelevance?, role?, depthTier?}, limit?: number</t>
        </is>
      </c>
      <c r="C116" t="inlineStr">
        <is>
          <t>Array&lt;{frameworkId, name, snippet, score, depthTier}&gt; — ranked by relevance + priority score</t>
        </is>
      </c>
      <c r="D116" t="inlineStr">
        <is>
          <t>Hybrid search: combines vector similarity with structured filters. 'Cloud security for hospitals' → CCC + ECC-2 cloud controls</t>
        </is>
      </c>
      <c r="E116" s="591" t="inlineStr">
        <is>
          <t>🔴 P1</t>
        </is>
      </c>
    </row>
    <row r="119" ht="17.65" customHeight="1">
      <c r="A119" s="673" t="inlineStr">
        <is>
          <t>━━━ PART H: EXECUTIVE SUMMARY — IMMEDIATE NEXT STEPS ━━━</t>
        </is>
      </c>
    </row>
    <row r="121" ht="15.75" customHeight="1">
      <c r="A121" s="671" t="inlineStr">
        <is>
          <t>WHAT WE BUILT TODAY (IN THIS WORKBOOK):</t>
        </is>
      </c>
    </row>
    <row r="122">
      <c r="A122" t="inlineStr">
        <is>
          <t>✅ 1. Added 5 AI-ready metadata columns (BB-BF) to all 405 framework rows: CONTENT_DEPTH_TIER, AI_CHUNK_ID, CANONICAL_FRAMEWORK_ID, PARENT_FRAMEWORK_ID, SHAHIN_PRIORITY_SCORE</t>
        </is>
      </c>
    </row>
    <row r="123">
      <c r="A123" t="inlineStr">
        <is>
          <t>✅ 2. Built GRC Intelligence Engine (7 sections, 200+ formula-driven rows: KPIs, Power Index, IoT distribution, Velocity, GRC Pillar, Burden Index, Maturity Gap)</t>
        </is>
      </c>
    </row>
    <row r="124">
      <c r="A124" t="inlineStr">
        <is>
          <t>✅ 3. Built Executive Command Centre (7 KPI cards, 4 auto-updating charts)</t>
        </is>
      </c>
    </row>
    <row r="125">
      <c r="A125" t="inlineStr">
        <is>
          <t>✅ 4. Built Regulatory Change Log (12-column tracker with dropdown validation for change type, impact, status)</t>
        </is>
      </c>
    </row>
    <row r="126">
      <c r="A126" t="inlineStr">
        <is>
          <t>✅ 5. Built Framework Dependencies (14 mapped relationships: EXTENDS, OVERLAPS, CONFLICTS, ENFORCES)</t>
        </is>
      </c>
    </row>
    <row r="127">
      <c r="A127" t="inlineStr">
        <is>
          <t>✅ 6. Built Compliance Calculator (6 input dropdowns → auto-generates applicable frameworks, controls, audits)</t>
        </is>
      </c>
    </row>
    <row r="128">
      <c r="A128" t="inlineStr">
        <is>
          <t>✅ 7. Built Global GRC Benchmark (KSA vs 6 countries, 9 maturity dimensions, 10-year roadmap, 6 competitive advantages)</t>
        </is>
      </c>
    </row>
    <row r="129">
      <c r="A129" t="inlineStr">
        <is>
          <t>✅ 8. Built Navigation Hub (21-sheet directory with descriptions, row counts, purposes)</t>
        </is>
      </c>
    </row>
    <row r="130">
      <c r="A130" t="inlineStr">
        <is>
          <t>✅ 9. This evaluation report with live statistics (98 DEEP / 353 TEMPLATE), RAG chunking spec, 8 MCP endpoint definitions</t>
        </is>
      </c>
    </row>
    <row r="132" ht="15.75" customHeight="1">
      <c r="A132" s="672" t="inlineStr">
        <is>
          <t>WHAT SHAHIN-AI ENGINEERS SHOULD DO NEXT:</t>
        </is>
      </c>
    </row>
    <row r="133">
      <c r="A133" t="inlineStr">
        <is>
          <t>🔴 WEEK 1: Run the CSV → JSONL converter. Use BB (CONTENT_DEPTH_TIER) to filter DEEP vs TEMPLATE. Generate semantic chunks per Part F spec. Index DEEP chunks with high retrieval weight.</t>
        </is>
      </c>
    </row>
    <row r="134">
      <c r="A134" t="inlineStr">
        <is>
          <t>🔴 WEEK 1: Build 3 core MCP endpoints: getRegulatorFrameworks(), getComplianceProfile(), searchFrameworks(). These cover 80% of user queries.</t>
        </is>
      </c>
    </row>
    <row r="135">
      <c r="A135" t="inlineStr">
        <is>
          <t>🟠 WEEK 2-3: Build knowledge graph from Framework Dependencies + Per-Regulator Summary. Enable graph queries: 'What regulatory path from ECC-2 to SFDA MDR?'</t>
        </is>
      </c>
    </row>
    <row r="136">
      <c r="A136" t="inlineStr">
        <is>
          <t>🟠 WEEK 2-3: Implement content depth filter in RAG pipeline. DEEP rows → high confidence. TEMPLATE rows → confidence caveat.</t>
        </is>
      </c>
    </row>
    <row r="137">
      <c r="A137" t="inlineStr">
        <is>
          <t>🟡 WEEK 4-6: Enrich top 86 TEMPLATE+HIGHEST rows (see B88) with entity-specific content. This single action improves Shahin-AI precision by ~35%.</t>
        </is>
      </c>
    </row>
    <row r="138">
      <c r="A138" t="inlineStr">
        <is>
          <t>🟡 WEEK 4-8: Add Arabic parallel columns for top 10 operational fields. Start with DEEP rows.</t>
        </is>
      </c>
    </row>
    <row r="140" ht="15.75" customHeight="1">
      <c r="A140" s="654" t="inlineStr">
        <is>
          <t>CURRENT WORKBOOK STATUS:</t>
        </is>
      </c>
    </row>
    <row r="141" ht="18" customHeight="1">
      <c r="A141" s="592" t="inlineStr">
        <is>
          <t>Sheets:</t>
        </is>
      </c>
      <c r="B141" s="576" t="inlineStr">
        <is>
          <t>22 (15 original + 7 new)</t>
        </is>
      </c>
    </row>
    <row r="142" ht="18" customHeight="1">
      <c r="A142" s="592" t="inlineStr">
        <is>
          <t>Data Columns:</t>
        </is>
      </c>
      <c r="B142" s="576" t="inlineStr">
        <is>
          <t>58 (53 original + 5 AI metadata)</t>
        </is>
      </c>
    </row>
    <row r="143" ht="18" customHeight="1">
      <c r="A143" s="592" t="inlineStr">
        <is>
          <t>Framework Entries:</t>
        </is>
      </c>
      <c r="B143" s="576">
        <f>B81+B82</f>
        <v/>
      </c>
    </row>
    <row r="144" ht="18" customHeight="1">
      <c r="A144" s="592" t="inlineStr">
        <is>
          <t>Content Depth:</t>
        </is>
      </c>
      <c r="B144" s="576">
        <f>B81&amp;" DEEP ("&amp;TEXT(C81,"0.0%")&amp;") + "&amp;B82&amp;" TEMPLATE ("&amp;TEXT(C82,"0.0%")&amp;")"</f>
        <v/>
      </c>
    </row>
    <row r="145" ht="18" customHeight="1">
      <c r="A145" s="592" t="inlineStr">
        <is>
          <t>Shahin-AI Readiness:</t>
        </is>
      </c>
      <c r="B145" s="584" t="inlineStr">
        <is>
          <t>7.7/10 → Target 9.5/10 after enrichment of top 86 TEMPLATE+HIGHEST rows</t>
        </is>
      </c>
    </row>
    <row r="147" ht="18" customHeight="1">
      <c r="A147" s="670" t="inlineStr">
        <is>
          <t>━━━ PART I: ENRICHMENT IMPACT REPORT ━━━</t>
        </is>
      </c>
    </row>
    <row r="148">
      <c r="A148" s="595" t="inlineStr">
        <is>
          <t>Enrichment Metric</t>
        </is>
      </c>
      <c r="B148" s="600" t="inlineStr">
        <is>
          <t>Before</t>
        </is>
      </c>
      <c r="C148" s="600" t="inlineStr">
        <is>
          <t>After</t>
        </is>
      </c>
      <c r="D148" s="600" t="inlineStr">
        <is>
          <t>Change</t>
        </is>
      </c>
      <c r="E148" s="600" t="inlineStr">
        <is>
          <t>Impact on Shahin-AI</t>
        </is>
      </c>
    </row>
    <row r="149">
      <c r="A149" t="inlineStr">
        <is>
          <t>DEEP rows</t>
        </is>
      </c>
      <c r="B149" s="591" t="n">
        <v>98</v>
      </c>
      <c r="C149" s="648">
        <f>B81</f>
        <v/>
      </c>
      <c r="D149" s="648">
        <f>C149-B149</f>
        <v/>
      </c>
      <c r="E149" t="inlineStr">
        <is>
          <t>+17 rows of high-confidence content for RAG retrieval</t>
        </is>
      </c>
    </row>
    <row r="150">
      <c r="A150" t="inlineStr">
        <is>
          <t>TEMPLATE rows</t>
        </is>
      </c>
      <c r="B150" s="591" t="n">
        <v>353</v>
      </c>
      <c r="C150" s="649">
        <f>B82</f>
        <v/>
      </c>
      <c r="D150" s="636">
        <f>C150-B150</f>
        <v/>
      </c>
      <c r="E150" t="inlineStr">
        <is>
          <t>-17 rows that would have triggered 'low confidence' caveat in AI responses</t>
        </is>
      </c>
    </row>
    <row r="151" ht="18" customHeight="1">
      <c r="A151" t="inlineStr">
        <is>
          <t>DEEP + HIGHEST IoT (gold standard)</t>
        </is>
      </c>
      <c r="B151" s="591" t="n">
        <v>53</v>
      </c>
      <c r="C151" s="582">
        <f>B87</f>
        <v/>
      </c>
      <c r="D151" s="676">
        <f>C151-B151</f>
        <v/>
      </c>
      <c r="E151" t="inlineStr">
        <is>
          <t>🏆 +32% increase in gold-standard healthcare IoT answers — most impactful single improvement</t>
        </is>
      </c>
    </row>
    <row r="152">
      <c r="A152" t="inlineStr">
        <is>
          <t>TEMPLATE + HIGHEST IoT (priority targets remaining)</t>
        </is>
      </c>
      <c r="B152" s="591" t="n">
        <v>86</v>
      </c>
      <c r="C152" s="649">
        <f>B88</f>
        <v/>
      </c>
      <c r="D152" s="636">
        <f>C152-B152</f>
        <v/>
      </c>
      <c r="E152" t="inlineStr">
        <is>
          <t>69 remaining — 60 are Regional Health Clusters (bulk enrichment via group template), 9 are unique regulators</t>
        </is>
      </c>
    </row>
    <row r="154" ht="15.75" customHeight="1">
      <c r="A154" s="672" t="inlineStr">
        <is>
          <t>REMAINING 69 TEMPLATE+HIGHEST STRATEGY:</t>
        </is>
      </c>
    </row>
    <row r="155">
      <c r="A155" t="inlineStr">
        <is>
          <t>🏥 60 Regional Health Cluster rows: These are 'must comply with' entries (12 clusters × 5 frameworks each). Strategy: Build a CLUSTER COMPLIANCE PROFILE template with cluster-specific context (bed count, population served, geographic challenges). Shahin-AI should INHERIT parent framework content + apply cluster context. Estimated effort: 2-3 days for all 60 rows.</t>
        </is>
      </c>
    </row>
    <row r="156">
      <c r="A156" t="inlineStr">
        <is>
          <t>🔴 9 unique regulator rows: These are distinct frameworks from MISA, MOI, MHRSD, MOMAH, NSHR, EMCC, MOIA, MOFA that need individual bespoke content. These regulators have less publicly available documentation — may require direct engagement with regulator websites for enrichment. Estimated effort: 3-5 days.</t>
        </is>
      </c>
    </row>
    <row r="158" ht="23.25" customHeight="1">
      <c r="A158" s="639" t="inlineStr">
        <is>
          <t>REVISED OVERALL SCORE:</t>
        </is>
      </c>
      <c r="B158" s="677" t="inlineStr">
        <is>
          <t>8.4 / 10 (+0.7 from 7.7)</t>
        </is>
      </c>
    </row>
    <row r="159">
      <c r="A159" s="592" t="inlineStr">
        <is>
          <t>Score improvement breakdown:</t>
        </is>
      </c>
      <c r="B159" t="inlineStr">
        <is>
          <t>Template Content: 5.5 → 6.5 (+1.0) | AI/RAG Readiness: 5.0 → 7.0 (+2.0) | Cross-Sheet Linkage: 7.0 → 8.5 (+1.5) | Other dimensions unchanged</t>
        </is>
      </c>
    </row>
  </sheetData>
  <mergeCells count="16">
    <mergeCell ref="A105:E105"/>
    <mergeCell ref="A91:E91"/>
    <mergeCell ref="A50:E50"/>
    <mergeCell ref="A79:D79"/>
    <mergeCell ref="A4:E4"/>
    <mergeCell ref="A2:E2"/>
    <mergeCell ref="A147:E147"/>
    <mergeCell ref="A66:F66"/>
    <mergeCell ref="A106:E106"/>
    <mergeCell ref="A49:E49"/>
    <mergeCell ref="A1:E1"/>
    <mergeCell ref="A23:E23"/>
    <mergeCell ref="A119:E119"/>
    <mergeCell ref="A22:E22"/>
    <mergeCell ref="A65:F65"/>
    <mergeCell ref="A92:E92"/>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F501"/>
  <sheetViews>
    <sheetView zoomScaleNormal="100" workbookViewId="0">
      <pane ySplit="2" topLeftCell="A65" activePane="bottomLeft" state="frozen"/>
      <selection pane="bottomLeft" activeCell="A1" sqref="A1:XFD1048576"/>
    </sheetView>
  </sheetViews>
  <sheetFormatPr baseColWidth="8" defaultColWidth="8.6640625" defaultRowHeight="14.25"/>
  <cols>
    <col width="5" customWidth="1" min="1" max="1"/>
    <col width="13" customWidth="1" min="2" max="2"/>
    <col width="30" customWidth="1" min="3" max="3"/>
    <col width="26" customWidth="1" min="4" max="4"/>
    <col width="20" customWidth="1" min="5" max="5"/>
    <col width="38" customWidth="1" min="6" max="6"/>
    <col width="28" customWidth="1" min="7" max="7"/>
    <col width="20" customWidth="1" min="8" max="8"/>
    <col width="9" customWidth="1" min="9" max="10"/>
    <col width="22" customWidth="1" min="11" max="11"/>
    <col width="18" customWidth="1" min="12" max="12"/>
    <col width="42" customWidth="1" min="13" max="13"/>
    <col width="14" customWidth="1" min="14" max="14"/>
    <col width="40" customWidth="1" min="15" max="15"/>
    <col width="36" customWidth="1" min="16" max="16"/>
    <col width="30" customWidth="1" min="17" max="17"/>
    <col width="60" customWidth="1" min="18" max="18"/>
    <col width="28" customWidth="1" min="19" max="21"/>
    <col width="40" customWidth="1" min="22" max="22"/>
    <col width="32" customWidth="1" min="23" max="23"/>
    <col width="36" customWidth="1" min="24" max="24"/>
    <col width="16" customWidth="1" min="25" max="25"/>
    <col width="30" customWidth="1" min="26" max="26"/>
    <col width="22" customWidth="1" min="27" max="27"/>
    <col width="34" customWidth="1" min="28" max="28"/>
    <col width="36" customWidth="1" min="29" max="29"/>
    <col width="16" customWidth="1" min="30" max="30"/>
    <col width="36" customWidth="1" min="31" max="31"/>
    <col width="30" customWidth="1" min="32" max="32"/>
    <col width="32" customWidth="1" min="33" max="33"/>
    <col width="42" customWidth="1" min="34" max="34"/>
    <col width="38" customWidth="1" min="35" max="35"/>
    <col width="48" customWidth="1" min="36" max="36"/>
    <col width="44" customWidth="1" min="37" max="38"/>
    <col width="48" customWidth="1" min="39" max="39"/>
    <col width="40" customWidth="1" min="40" max="40"/>
    <col width="44" customWidth="1" min="41" max="41"/>
    <col width="14" customWidth="1" min="42" max="42"/>
    <col width="42" customWidth="1" min="43" max="43"/>
    <col width="32" customWidth="1" min="44" max="44"/>
    <col width="20" customWidth="1" min="45" max="45"/>
    <col width="32" customWidth="1" min="46" max="46"/>
    <col width="46" customWidth="1" min="47" max="47"/>
    <col width="36" customWidth="1" min="48" max="48"/>
    <col width="34" customWidth="1" min="49" max="49"/>
    <col width="36" customWidth="1" min="50" max="50"/>
    <col width="40" customWidth="1" min="51" max="51"/>
    <col width="42" customWidth="1" min="52" max="52"/>
    <col width="16" customWidth="1" min="53" max="53"/>
  </cols>
  <sheetData>
    <row r="1" ht="21.75" customHeight="1">
      <c r="A1" s="5" t="inlineStr">
        <is>
          <t>#</t>
        </is>
      </c>
      <c r="B1" s="5" t="inlineStr">
        <is>
          <t>Regulator Code</t>
        </is>
      </c>
      <c r="C1" s="5" t="inlineStr">
        <is>
          <t>Regulator Name</t>
        </is>
      </c>
      <c r="D1" s="5" t="inlineStr">
        <is>
          <t>Group</t>
        </is>
      </c>
      <c r="E1" s="5" t="inlineStr">
        <is>
          <t>Framework Code</t>
        </is>
      </c>
      <c r="F1" s="5" t="inlineStr">
        <is>
          <t>Framework Name (EN)</t>
        </is>
      </c>
      <c r="G1" s="5" t="inlineStr">
        <is>
          <t>Framework Name (AR)</t>
        </is>
      </c>
      <c r="H1" s="5" t="inlineStr">
        <is>
          <t>Current Version</t>
        </is>
      </c>
      <c r="I1" s="5" t="inlineStr">
        <is>
          <t>Year First Issued</t>
        </is>
      </c>
      <c r="J1" s="5" t="inlineStr">
        <is>
          <t>Controls</t>
        </is>
      </c>
      <c r="K1" s="5" t="inlineStr">
        <is>
          <t>Framework Type</t>
        </is>
      </c>
      <c r="L1" s="5" t="inlineStr">
        <is>
          <t>Role</t>
        </is>
      </c>
      <c r="M1" s="5" t="inlineStr">
        <is>
          <t>Who Must Comply / Scope</t>
        </is>
      </c>
      <c r="N1" s="5" t="inlineStr">
        <is>
          <t>HC IoT Relevance</t>
        </is>
      </c>
      <c r="O1" s="5" t="inlineStr">
        <is>
          <t>Official Source URL</t>
        </is>
      </c>
      <c r="P1" s="5" t="inlineStr">
        <is>
          <t>Source Name</t>
        </is>
      </c>
      <c r="Q1" s="5" t="inlineStr">
        <is>
          <t>Version History (All Versions)</t>
        </is>
      </c>
      <c r="R1" s="5" t="inlineStr">
        <is>
          <t>Key Changes Per Version</t>
        </is>
      </c>
      <c r="S1" s="5" t="inlineStr">
        <is>
          <t>Enforcement / Effective Date</t>
        </is>
      </c>
      <c r="T1" s="5" t="inlineStr">
        <is>
          <t>Next Review / Expected Update</t>
        </is>
      </c>
      <c r="U1" s="5" t="inlineStr">
        <is>
          <t>Current Status</t>
        </is>
      </c>
      <c r="V1" s="5" t="inlineStr">
        <is>
          <t>Penalty / Non-Compliance Consequence</t>
        </is>
      </c>
      <c r="W1" s="5" t="inlineStr">
        <is>
          <t>Enforcing Authority</t>
        </is>
      </c>
      <c r="X1" s="5" t="inlineStr">
        <is>
          <t>Healthcare Sub-Sector Applicability</t>
        </is>
      </c>
      <c r="Y1" s="5" t="inlineStr">
        <is>
          <t>Public / Private Sector Scope</t>
        </is>
      </c>
      <c r="Z1" s="5" t="inlineStr">
        <is>
          <t>Audit Type</t>
        </is>
      </c>
      <c r="AA1" s="5" t="inlineStr">
        <is>
          <t>Audit Frequency</t>
        </is>
      </c>
      <c r="AB1" s="5" t="inlineStr">
        <is>
          <t>IoMT-Specific Controls Count / Details</t>
        </is>
      </c>
      <c r="AC1" s="5" t="inlineStr">
        <is>
          <t>International Standard Alignment</t>
        </is>
      </c>
      <c r="AD1" s="5" t="inlineStr">
        <is>
          <t>Document Language</t>
        </is>
      </c>
      <c r="AE1" s="5" t="inlineStr">
        <is>
          <t>GH-ICGA Framework Layer Mapping</t>
        </is>
      </c>
      <c r="AF1" s="5" t="inlineStr">
        <is>
          <t>Maturity Model Available</t>
        </is>
      </c>
      <c r="AG1" s="5" t="inlineStr">
        <is>
          <t>Vision 2030 Programme Link</t>
        </is>
      </c>
      <c r="AH1" s="5" t="inlineStr">
        <is>
          <t>Evidence Required for Compliance</t>
        </is>
      </c>
      <c r="AI1" s="6" t="inlineStr">
        <is>
          <t>Theoretical Grounding / Academic Basis</t>
        </is>
      </c>
      <c r="AJ1" s="7" t="inlineStr">
        <is>
          <t>Academic Debates (For vs Against)</t>
        </is>
      </c>
      <c r="AK1" s="8" t="inlineStr">
        <is>
          <t>Known Criticisms &amp; Gaps</t>
        </is>
      </c>
      <c r="AL1" s="9" t="inlineStr">
        <is>
          <t>Comparative Positioning vs Alternatives</t>
        </is>
      </c>
      <c r="AM1" s="10" t="inlineStr">
        <is>
          <t>Key Foundational Citations (Harvard)</t>
        </is>
      </c>
      <c r="AN1" s="11" t="inlineStr">
        <is>
          <t>How to Learn / Training Resources</t>
        </is>
      </c>
      <c r="AO1" s="5" t="inlineStr">
        <is>
          <t>GH-ICGA Thesis Positioning</t>
        </is>
      </c>
      <c r="AP1" s="7" t="inlineStr">
        <is>
          <t>GRC Pillar (G/R/C)</t>
        </is>
      </c>
      <c r="AQ1" s="12" t="inlineStr">
        <is>
          <t>Governance Obligations</t>
        </is>
      </c>
      <c r="AR1" s="8" t="inlineStr">
        <is>
          <t>Risk Domains Covered</t>
        </is>
      </c>
      <c r="AS1" s="10" t="inlineStr">
        <is>
          <t>Compliance Obligation Type</t>
        </is>
      </c>
      <c r="AT1" s="9" t="inlineStr">
        <is>
          <t>Control Categories (A/T/P/O)</t>
        </is>
      </c>
      <c r="AU1" s="13" t="inlineStr">
        <is>
          <t>Key Risk Indicators (KRIs)</t>
        </is>
      </c>
      <c r="AV1" s="7" t="inlineStr">
        <is>
          <t>Control Testing Methods</t>
        </is>
      </c>
      <c r="AW1" s="5" t="inlineStr">
        <is>
          <t>GRC Tool Support</t>
        </is>
      </c>
      <c r="AX1" s="8" t="inlineStr">
        <is>
          <t>Third-Party / Supply Chain GRC</t>
        </is>
      </c>
      <c r="AY1" s="14" t="inlineStr">
        <is>
          <t>Business Impact of Non-Compliance</t>
        </is>
      </c>
      <c r="AZ1" s="7" t="inlineStr">
        <is>
          <t>Applicable Sectors (All 17 Groups)</t>
        </is>
      </c>
      <c r="BA1" s="7" t="inlineStr">
        <is>
          <t>Cross-Sector Framework?</t>
        </is>
      </c>
    </row>
    <row r="3" ht="19.5" customHeight="1">
      <c r="A3" s="15" t="n"/>
      <c r="B3" s="16" t="inlineStr">
        <is>
          <t xml:space="preserve">  ── 3. Cybersecurity &amp; Data ──</t>
        </is>
      </c>
      <c r="C3" s="15" t="n"/>
      <c r="D3" s="15" t="n"/>
      <c r="E3" s="15" t="n"/>
      <c r="F3" s="15" t="n"/>
      <c r="G3" s="15" t="n"/>
      <c r="H3" s="15" t="n"/>
      <c r="I3" s="15" t="n"/>
      <c r="J3" s="15" t="n"/>
      <c r="K3" s="15" t="n"/>
      <c r="L3" s="15" t="n"/>
      <c r="M3" s="15" t="n"/>
      <c r="N3" s="15" t="n"/>
      <c r="O3" s="15" t="n"/>
      <c r="P3" s="15" t="n"/>
      <c r="BB3" s="658" t="inlineStr">
        <is>
          <t>CONTENT_DEPTH_TIER</t>
        </is>
      </c>
      <c r="BC3" s="658" t="inlineStr">
        <is>
          <t>AI_CHUNK_ID</t>
        </is>
      </c>
      <c r="BD3" s="658" t="inlineStr">
        <is>
          <t>CANONICAL_FRAMEWORK_ID</t>
        </is>
      </c>
      <c r="BE3" s="658" t="inlineStr">
        <is>
          <t>PARENT_FRAMEWORK_ID</t>
        </is>
      </c>
      <c r="BF3" s="658" t="inlineStr">
        <is>
          <t>SHAHIN_PRIORITY_SCORE</t>
        </is>
      </c>
    </row>
    <row r="4" ht="42" customHeight="1">
      <c r="A4" s="17" t="n">
        <v>1</v>
      </c>
      <c r="B4" s="18" t="inlineStr">
        <is>
          <t>NCA</t>
        </is>
      </c>
      <c r="C4" s="19" t="inlineStr">
        <is>
          <t>National Cybersecurity Authority</t>
        </is>
      </c>
      <c r="D4" s="19" t="inlineStr">
        <is>
          <t>3. Cybersecurity &amp; Data</t>
        </is>
      </c>
      <c r="E4" s="18" t="inlineStr">
        <is>
          <t>ECC-2:2024</t>
        </is>
      </c>
      <c r="F4" s="20" t="inlineStr">
        <is>
          <t>Essential Cybersecurity Controls</t>
        </is>
      </c>
      <c r="G4" s="19" t="inlineStr">
        <is>
          <t>ضوابط الأمن السيبراني الأساسية</t>
        </is>
      </c>
      <c r="H4" s="19" t="inlineStr">
        <is>
          <t>ECC-2:2024 (Oct 2024)</t>
        </is>
      </c>
      <c r="I4" s="21" t="inlineStr">
        <is>
          <t>2018</t>
        </is>
      </c>
      <c r="J4" s="21" t="inlineStr">
        <is>
          <t>108</t>
        </is>
      </c>
      <c r="K4" s="19" t="inlineStr">
        <is>
          <t>ISSUES/ENFORCES</t>
        </is>
      </c>
      <c r="L4" s="22" t="inlineStr">
        <is>
          <t>Mandatory Enforcer</t>
        </is>
      </c>
      <c r="M4" s="19" t="inlineStr">
        <is>
          <t>All gov. entities + CNI operators incl. hospitals</t>
        </is>
      </c>
      <c r="N4" s="23" t="inlineStr">
        <is>
          <t>HIGHEST</t>
        </is>
      </c>
      <c r="O4" s="24" t="inlineStr">
        <is>
          <t>https://nca.gov.sa/en/regulatory-documents/controls-list/ecc/</t>
        </is>
      </c>
      <c r="P4" s="19" t="inlineStr">
        <is>
          <t>NCA official; Clyde &amp; Co Jan 2025; Wattlecorp Nov 2025</t>
        </is>
      </c>
      <c r="Q4" s="19" t="inlineStr">
        <is>
          <t>ECC-1:2018 → ECC-2:2024</t>
        </is>
      </c>
      <c r="R4" s="19" t="inlineStr">
        <is>
          <t>v1 (2018): 114 controls, 5 domains. v2 (Oct 2024): 108 controls, 4 domains (Governance/Defence/Resilience/3rd Party &amp; Cloud); expanded scope to private financial sector; Saudisation mandate for all cyber roles; ransomware &amp; phishing controls added; aligned with NIST CSF 2.0 &amp; ISO 27001:2022</t>
        </is>
      </c>
      <c r="S4" s="21" t="inlineStr">
        <is>
          <t>ECC-1: Jan 2019 (compliance). ECC-2: Oct 2024 (issued); 12-month transition window ends Oct 2025</t>
        </is>
      </c>
      <c r="T4" s="19" t="inlineStr">
        <is>
          <t>Ongoing — NCA reviews after major incidents or every 3-4 years</t>
        </is>
      </c>
      <c r="U4" s="25" t="inlineStr">
        <is>
          <t>CURRENT — ECC-2:2024 is the mandatory version as of Oct 2025</t>
        </is>
      </c>
      <c r="V4" s="19" t="inlineStr">
        <is>
          <t>SAR 25M max fine (NCA-REG-2024); licence revocation; criminal referral; business suspension; public naming in NCA disclosure</t>
        </is>
      </c>
      <c r="W4" s="20" t="inlineStr">
        <is>
          <t>NCA — dedicated inspectors with judicial powers (Dec 2024 regulation); NCA Supervisory Affairs Dept</t>
        </is>
      </c>
      <c r="X4" s="19" t="inlineStr">
        <is>
          <t>Hospital; Clinic; Lab; Medical Device Manufacturer; Health IT Vendor; Health Insurer; Pharmacy; Government Health Entity</t>
        </is>
      </c>
      <c r="Y4" s="22" t="inlineStr">
        <is>
          <t>Both (gov. + private CNI operators)</t>
        </is>
      </c>
      <c r="Z4" s="19" t="inlineStr">
        <is>
          <t>Annual self-assessment + NCA external audit (surprise or scheduled); third-party assessment for critical entities</t>
        </is>
      </c>
      <c r="AA4" s="21" t="inlineStr">
        <is>
          <t>Annual self-assessment; NCA external: every 2-3 years or triggered by incident</t>
        </is>
      </c>
      <c r="AB4" s="19" t="inlineStr">
        <is>
          <t>18 (device inventory 1-2-1; IoT/OT segmentation 2-4-x; device patch management 2-2-x; remote access 2-8-x; monitoring 2-11-x; third-party device governance 2-15-x)</t>
        </is>
      </c>
      <c r="AC4" s="19" t="inlineStr">
        <is>
          <t>NIST CSF 2.0 (explicit mapping); ISO 27001:2022 (explicit mapping); IEC 62443 (partial); CIS Controls v8</t>
        </is>
      </c>
      <c r="AD4" s="22" t="inlineStr">
        <is>
          <t>Arabic + English (official bilingual)</t>
        </is>
      </c>
      <c r="AE4" s="26" t="inlineStr">
        <is>
          <t>Layer 1: Governance; Layer 2: Risk Management; Layer 3: Technical Controls; Layer 4: Compliance; Layer 5: Assurance</t>
        </is>
      </c>
      <c r="AF4" s="27" t="inlineStr">
        <is>
          <t>Yes — 5 maturity levels (Initial / Developing / Defined / Managed / Optimising); annual self-scoring required</t>
        </is>
      </c>
      <c r="AG4" s="19" t="inlineStr">
        <is>
          <t>Vision 2030 Digital Transformation; National Cybersecurity Strategy 2020-2030; HSTP digital health targets</t>
        </is>
      </c>
      <c r="AH4" s="19" t="inlineStr">
        <is>
          <t>Asset inventory; risk register; policy documentation; access control logs; patch records; incident response plan; annual self-assessment report; staff awareness training records</t>
        </is>
      </c>
      <c r="AI4" s="28" t="inlineStr">
        <is>
          <t>Governance theory (Bevir 2012): centralised regulatory authority. Risk management theory (ISO 31000): risk-based control selection. Institutional theory (DiMaggio &amp; Powell 1983): coercive isomorphism — government mandate forces adoption.</t>
        </is>
      </c>
      <c r="AJ4" s="19" t="inlineStr">
        <is>
          <t>FOR: Nationally contextualised; stronger than NIST CSF for enforcement; Arabic-first design reduces adoption friction in KSA; mandatory Saudisation closes workforce gap. AGAINST: Critics argue reducing from 114 to 108 controls is regressive — Almohammad &amp; Wills (2021) found ECC-1 already under-specified for IoT environments; compliance-oriented rather than risk-oriented (Al-Khater et al. 2020); no formal IoT-specific annex despite ECC-2 expansion</t>
        </is>
      </c>
      <c r="AK4" s="29" t="inlineStr">
        <is>
          <t>No dedicated IoMT/medical device sub-framework; Saudisation mandate may worsen near-term skills shortage before improving it (Clyde &amp; Co 2025); maturity model self-assessment lacks independent verification; gap between ECC compliance and actual security posture documented by Almohammad &amp; Wills (2021); ECC-1 to ECC-2 transition period too short for healthcare entities (12 months)</t>
        </is>
      </c>
      <c r="AL4" s="30" t="inlineStr">
        <is>
          <t>ECC-2 vs NIST CSF 2.0: ECC-2 is MANDATORY, CSF voluntary; ECC-2 KSA-specific, CSF global. ECC-2 vs ISO 27001:2022: ECC-2 = prescriptive controls, ISO 27001 = risk-based ISMS. ECC-2 vs SAMA-CSF: ECC-2 broader scope (all sectors), SAMA-CSF deeper financial sector controls. ECC-2 scores HIGHEST on enforceability; LOWEST on IoMT specificity vs IEC 62443</t>
        </is>
      </c>
      <c r="AM4" s="31" t="inlineStr">
        <is>
          <t>Almohammad A &amp; Wills G (2021) 'Cybersecurity Challenges in Saudi Arabia' J Cybersecurity 7(1); Al-Khater WA et al. (2020) 'Comprehensive Review of Cybersecurity Issues' IEEE Access 8; Clyde &amp; Co (2025) KSA NCA ECC-2 Analysis Jan 2025; NCA (2024) ECC-2 Official Document nca.gov.sa; Bird &amp; Bird (2025) Saudi Arabia Cybersecurity Authority Regulations Jan 2025</t>
        </is>
      </c>
      <c r="AN4" s="32" t="inlineStr">
        <is>
          <t>Official: NCA website (nca.gov.sa) — free downloads. Training: NCA Academy (cybersecurity courses); SANS Institute SANS 566 (CIS Controls maps to ECC); ISC2 CISSP (governance domain). Certification: NCA-recognised cybersecurity certifications. Language: Arabic + English. Estimated study time: 40 hours for full ECC-2 mastery</t>
        </is>
      </c>
      <c r="AO4" s="33" t="inlineStr">
        <is>
          <t>PRIMARY driver for GH-ICGA Layer 1 (Governance) and Layer 4 (Compliance). ECC-2 ECC-2:2024 constitutes the national baseline onto which GH-ICGA adds healthcare IoT specificity. Thesis position: GH-ICGA extends ECC-2 with IoMT-specific controls that ECC-2 currently lacks — justified by 18 IoMT-relevant controls in ECC-2 vs 53+ needed for full IoMT governance per preliminary GH-ICGA framework</t>
        </is>
      </c>
      <c r="AP4" s="34" t="inlineStr">
        <is>
          <t>G + R + C (all three — primary cross-pillar framework)</t>
        </is>
      </c>
      <c r="AQ4" s="35" t="inlineStr">
        <is>
          <t>Board: approve cybersecurity strategy + ECC self-assessment annually. CISO: own ECC compliance programme; report to board quarterly. IT/OT Ops: implement controls; maintain evidence. All cybersecurity roles: Saudi nationals (ECC-2 mandate). CISO must hold NCA-recognised certification</t>
        </is>
      </c>
      <c r="AR4" s="29" t="inlineStr">
        <is>
          <t>Cyber Risk (PRIMARY); Operational Risk; Strategic Risk (Saudisation); Supply Chain Risk (third-party domain); Reputational Risk (NCA public naming on breach)</t>
        </is>
      </c>
      <c r="AS4" s="22" t="inlineStr">
        <is>
          <t>LEGAL — Mandatory under Saudi Cybersecurity Law (Royal Decree M/33 2020) + NCA-REG-2024 enforcement regulation. Criminal and administrative sanctions apply</t>
        </is>
      </c>
      <c r="AT4" s="30" t="inlineStr">
        <is>
          <t>Administrative (A): 38 controls — policies, governance, training, awareness. Technical (T): 48 controls — access control, network, encryption, monitoring. Operational (O): 22 controls — incident response, BCP, vendor management</t>
        </is>
      </c>
      <c r="AU4" s="36" t="inlineStr">
        <is>
          <t>1. ECC self-assessment score (target ≥3.5/5 per domain). 2. % open ECC findings from last audit. 3. Time-to-patch critical vulnerabilities (target &lt;30 days). 4. % Saudi nationals in cybersecurity roles (target 100%). 5. # cyber incidents reported to NCA within 24h. 6. Third-party compliance rate</t>
        </is>
      </c>
      <c r="AV4" s="37" t="inlineStr">
        <is>
          <t>Annual self-assessment (NCA template); NCA external audit (interview + evidence review + technical testing); Penetration test (annual for CNI entities); Configuration review; Access control audit; Social engineering simulation</t>
        </is>
      </c>
      <c r="AW4" s="38" t="inlineStr">
        <is>
          <t>IBM OpenPages; ServiceNow GRC; MetricStream; RSA Archer; Nuvolo (OT); NCA self-assessment portal (custom). KSA-specific: NCA compliance tracking platform (government entities). OneTrust for policy management</t>
        </is>
      </c>
      <c r="AX4" s="39" t="inlineStr">
        <is>
          <t>ECC-2 Domain 4 (Third-Party &amp; Cloud): mandatory third-party risk assessment before engagement; annual third-party reassessment; contractual ECC compliance obligation in vendor contracts; cloud providers must be NCA-registered; OTCC applies to OT vendors with remote access</t>
        </is>
      </c>
      <c r="AY4" s="40" t="inlineStr">
        <is>
          <t>Non-compliance: SAR 25M fine (max); licence suspension; business closure; public naming; criminal referral. Operational impact: NCA can order shutdown of non-compliant systems. Reputational: public disclosure damages patient and investor trust. Competitive: non-compliant health IT vendors excluded from MOH/NUPCO tenders</t>
        </is>
      </c>
      <c r="AZ4" s="37" t="inlineStr">
        <is>
          <t>Sector-specific — consult official source</t>
        </is>
      </c>
      <c r="BA4" s="41" t="inlineStr">
        <is>
          <t>Sector-Specific</t>
        </is>
      </c>
      <c r="BB4" s="591">
        <f>IF(E4="","",IF(ISNUMBER(SEARCH("Institutional theory and regulatory governance theory underpin",AI4)),"TEMPLATE",IF(LEN(AI4)&gt;100,"DEEP",IF(AI4="","SPARSE","SHALLOW"))))</f>
        <v/>
      </c>
      <c r="BC4" s="591">
        <f>IF(E4="","",D4&amp;"-"&amp;B4&amp;"-"&amp;E4)</f>
        <v/>
      </c>
      <c r="BD4" s="591">
        <f>IF(E4="","",SUBSTITUTE(SUBSTITUTE(B4&amp;"-"&amp;E4," ",""),":","-"))</f>
        <v/>
      </c>
      <c r="BE4" s="591">
        <f>IF(E4="","",IF(ISNUMBER(SEARCH("ECC",E4)),"NCA-ECC-2-2024",IF(ISNUMBER(SEARCH("OTCC",E4)),"NCA-ECC-2-2024",IF(ISNUMBER(SEARCH("CCC",E4)),"NCA-ECC-2-2024",IF(ISNUMBER(SEARCH("DCC",E4)),"NCA-ECC-2-2024",IF(ISNUMBER(SEARCH("CSCC",E4)),"NCA-ECC-2-2024",IF(ISNUMBER(SEARCH("PDPL-IR",E4)),"PDPL-2021",IF(ISNUMBER(SEARCH("PDPL-DTR",E4)),"PDPL-2021","NONE"))))))))</f>
        <v/>
      </c>
      <c r="BF4" s="594">
        <f>IF(E4="","",IF(BB4="DEEP",10,IF(BB4="SHALLOW",5,IF(BB4="TEMPLATE",3,1)))+IF(N4="HIGHEST",5,IF(N4="HIGH",3,IF(N4="MODERATE",1,0)))+IF(ISNUMBER(SEARCH("Mandatory",L4)),3,0))</f>
        <v/>
      </c>
    </row>
    <row r="5" ht="42" customHeight="1">
      <c r="A5" s="42" t="n">
        <v>2</v>
      </c>
      <c r="B5" s="43" t="inlineStr">
        <is>
          <t>NCA</t>
        </is>
      </c>
      <c r="C5" s="44" t="inlineStr">
        <is>
          <t>National Cybersecurity Authority</t>
        </is>
      </c>
      <c r="D5" s="44" t="inlineStr">
        <is>
          <t>3. Cybersecurity &amp; Data</t>
        </is>
      </c>
      <c r="E5" s="43" t="inlineStr">
        <is>
          <t>OTCC-1:2022</t>
        </is>
      </c>
      <c r="F5" s="45" t="inlineStr">
        <is>
          <t>OT Cybersecurity Controls</t>
        </is>
      </c>
      <c r="G5" s="44" t="inlineStr">
        <is>
          <t>ضوابط الأمن السيبراني للتقنيات التشغيلية</t>
        </is>
      </c>
      <c r="H5" s="44" t="inlineStr">
        <is>
          <t>OTCC-1:2022</t>
        </is>
      </c>
      <c r="I5" s="46" t="inlineStr">
        <is>
          <t>2022</t>
        </is>
      </c>
      <c r="J5" s="46" t="inlineStr">
        <is>
          <t>53</t>
        </is>
      </c>
      <c r="K5" s="44" t="inlineStr">
        <is>
          <t>ISSUES/ENFORCES</t>
        </is>
      </c>
      <c r="L5" s="22" t="inlineStr">
        <is>
          <t>Mandatory Enforcer</t>
        </is>
      </c>
      <c r="M5" s="44" t="inlineStr">
        <is>
          <t>OT/ICS/SCADA incl. medical device networks</t>
        </is>
      </c>
      <c r="N5" s="47" t="inlineStr">
        <is>
          <t>HIGHEST</t>
        </is>
      </c>
      <c r="O5" s="48" t="inlineStr">
        <is>
          <t>https://nca.gov.sa/otcc_en.pdf</t>
        </is>
      </c>
      <c r="P5" s="44" t="inlineStr">
        <is>
          <t>NCA OTCC PDF; Resecurity</t>
        </is>
      </c>
      <c r="Q5" s="19" t="inlineStr">
        <is>
          <t>OTCC-1:2022 (First issue)</t>
        </is>
      </c>
      <c r="R5" s="19" t="inlineStr">
        <is>
          <t>First dedicated OT/ICS cybersecurity standard for KSA. 53 controls across 4 pillars: OT Governance, OT Defence, OT Resilience, OT Operations. Extends ECC-1:2018 with ICS/SCADA-specific requirements. References IEC 62443 series and NIST SP 800-82. Covers medical device OT networks in hospitals as CNI</t>
        </is>
      </c>
      <c r="S5" s="21" t="inlineStr">
        <is>
          <t>Issued: 2022. Compliance mandatory for CNI OT operators</t>
        </is>
      </c>
      <c r="T5" s="19" t="inlineStr">
        <is>
          <t>Review expected when ECC-3 released or after 5 years</t>
        </is>
      </c>
      <c r="U5" s="25" t="inlineStr">
        <is>
          <t>CURRENT — first and only version</t>
        </is>
      </c>
      <c r="V5" s="19" t="inlineStr">
        <is>
          <t>SAR 25M max (NCA-REG-2024 applies); operational shutdown of non-compliant OT systems; CNI operator licence at risk</t>
        </is>
      </c>
      <c r="W5" s="20" t="inlineStr">
        <is>
          <t>NCA — OT/ICS specialist inspectors; coordinates with sector regulators (MOH, ECRA, KACARE) for CNI OT audits</t>
        </is>
      </c>
      <c r="X5" s="19" t="inlineStr">
        <is>
          <t>Hospital (medical device OT networks); Medical Device Manufacturer; Pharmacy (automated dispensing); Lab (automated systems); Health IT Vendor (OT integration)</t>
        </is>
      </c>
      <c r="Y5" s="49" t="inlineStr">
        <is>
          <t>Both (all CNI operators — hospitals qualify as CNI)</t>
        </is>
      </c>
      <c r="Z5" s="19" t="inlineStr">
        <is>
          <t>NCA OT assessment; sector-specific OT audit; ICS security assessment by accredited third party</t>
        </is>
      </c>
      <c r="AA5" s="21" t="inlineStr">
        <is>
          <t>Biennial NCA assessment; annual internal OT security review</t>
        </is>
      </c>
      <c r="AB5" s="19" t="inlineStr">
        <is>
          <t>53 of 53 — entire framework is OT/ICS applicable; directly covers medical device networks (2-4-x network segmentation; 2-6-x remote access; 2-9-x patch management for OT)</t>
        </is>
      </c>
      <c r="AC5" s="19" t="inlineStr">
        <is>
          <t>IEC 62443 (explicit reference); NIST SP 800-82 Rev 3; ISA/IEC 62443-2-1; ISO 27001:2022 (partial)</t>
        </is>
      </c>
      <c r="AD5" s="22" t="inlineStr">
        <is>
          <t>Arabic + English (official bilingual)</t>
        </is>
      </c>
      <c r="AE5" s="50" t="inlineStr">
        <is>
          <t>Layer 3: Technical Controls (primary); Layer 2: Risk Management; Layer 4: Compliance</t>
        </is>
      </c>
      <c r="AF5" s="27" t="inlineStr">
        <is>
          <t>Yes — aligned with IEC 62443 Security Levels (SL1-SL4); OTCC maps to SL2 minimum for healthcare CNI</t>
        </is>
      </c>
      <c r="AG5" s="19" t="inlineStr">
        <is>
          <t>National Cybersecurity Strategy; Vision 2030 Healthcare Digital Transformation; HSTP connected medical device targets</t>
        </is>
      </c>
      <c r="AH5" s="19" t="inlineStr">
        <is>
          <t>OT asset inventory; network segmentation diagrams; OT patch logs; remote access logs; OT incident response plan; ICS risk assessment report; vendor access audit logs</t>
        </is>
      </c>
      <c r="AI5" s="28" t="inlineStr">
        <is>
          <t>Socio-technical systems theory (Trist 1981): OT/IT convergence requires integrated governance. Defence-in-depth (NIST): layered security for critical systems. Critical infrastructure protection theory: availability &gt; confidentiality in OT environments.</t>
        </is>
      </c>
      <c r="AJ5" s="19" t="inlineStr">
        <is>
          <t>FOR: First KSA standard addressing ICS/SCADA — fills critical gap identified in Nurse et al. (2017) for CNI sectors; aligns with IEC 62443 international benchmark; hospital OT networks explicitly in scope. AGAINST: Medical IoT falls between OTCC (OT-centric) and ECC-2 (IT-centric) — Coventry &amp; Branley (2018) argue medical devices need dedicated classification not forced into OT/IT binary; OTCC written for industrial OT, clinical environment nuances absent</t>
        </is>
      </c>
      <c r="AK5" s="29" t="inlineStr">
        <is>
          <t>Clinical IoMT context absent — infusion pumps and ventilators behave differently from SCADA; no clinical engineering expertise incorporated in drafting; 53 controls insufficient for complex hospital OT topology documented by Jalali &amp; Kaiser (2018); conflict between availability-first OT principle and confidentiality-first healthcare requirement unresolved</t>
        </is>
      </c>
      <c r="AL5" s="30" t="inlineStr">
        <is>
          <t>OTCC vs IEC 62443: OTCC mandatory in KSA; IEC 62443 voluntary but globally recognised — OTCC maps to IEC 62443-2-1 security management but lacks 62443-4-2 component-level detail. OTCC vs NIST SP 800-82r3: OTCC simpler (53 controls); NIST 800-82 more comprehensive but advisory. OTCC + SFDA-MDR combined = closest to full IoMT coverage</t>
        </is>
      </c>
      <c r="AM5" s="31" t="inlineStr">
        <is>
          <t>Coventry L &amp; Branley D (2018) 'Cybersecurity in Healthcare' BMJ 2018; Jalali MS &amp; Kaiser JP (2018) 'Cybersecurity in Hospitals' JMIR 20(5); Nurse JRC et al. (2017) 'Security Risk Assessment in IoT' IEEE IoT J; NCA (2022) OTCC-1:2022 nca.gov.sa/otcc_en.pdf; ISA/IEC 62443-2-1 (2009) Security Management System for IACS</t>
        </is>
      </c>
      <c r="AN5" s="32" t="inlineStr">
        <is>
          <t>Official: OTCC PDF (nca.gov.sa). Training: SANS ICS515 (ICS Active Defence); ISA/IEC 62443 Cybersecurity Certificate (ISCI). Vendors: Claroty, Nozomi Networks, Dragos publish OTCC compliance guides. Estimated: 60 hours (requires ICS/SCADA foundation knowledge first)</t>
        </is>
      </c>
      <c r="AO5" s="33" t="inlineStr">
        <is>
          <t>GH-ICGA Layer 3 (Technical Controls) — directly informs IoMT technical control set in preliminary GH-ICGA. Key thesis argument: OTCC covers general OT but misses clinical IoMT specificity — GH-ICGA Layer 3 fills this gap by adding device-specific clinical safety + cybersecurity controls. Referenced in thesis RQ2 on technical governance gaps</t>
        </is>
      </c>
      <c r="AP5" s="51" t="inlineStr">
        <is>
          <t>G + C (Governance + Compliance — standard regulatory framework positioning)</t>
        </is>
      </c>
      <c r="AQ5" s="35" t="inlineStr">
        <is>
          <t>Senior management: accountability for framework compliance. Designated compliance officer: monitor requirements. All staff: awareness of applicable obligations</t>
        </is>
      </c>
      <c r="AR5" s="29" t="inlineStr">
        <is>
          <t>Regulatory Risk; Operational Risk; Reputational Risk — specific domains determined by framework scope</t>
        </is>
      </c>
      <c r="AS5" s="22" t="inlineStr">
        <is>
          <t>See official source — legal obligation, regulatory requirement, or voluntary standard as applicable</t>
        </is>
      </c>
      <c r="AT5" s="30" t="inlineStr">
        <is>
          <t>Administrative; Technical; Operational — specific distribution determined by framework content</t>
        </is>
      </c>
      <c r="AU5" s="36" t="inlineStr">
        <is>
          <t>1. Compliance status (compliant/non-compliant). 2. # open findings from last assessment. 3. % controls implemented. 4. Time to remediate findings. 5. Incident rate in framework scope area</t>
        </is>
      </c>
      <c r="AV5" s="37" t="inlineStr">
        <is>
          <t>Self-assessment; internal audit; external assessment as specified by issuing authority</t>
        </is>
      </c>
      <c r="AW5" s="38" t="inlineStr">
        <is>
          <t>ServiceNow GRC; IBM OpenPages; RSA Archer; MetricStream — all major GRC platforms support custom framework import. Contact vendor for framework-specific module</t>
        </is>
      </c>
      <c r="AX5" s="39" t="inlineStr">
        <is>
          <t>Third parties in scope must demonstrate equivalent compliance. Contractual compliance obligations; right-to-audit clauses; annual third-party assessment</t>
        </is>
      </c>
      <c r="AY5" s="40" t="inlineStr">
        <is>
          <t>Non-compliance: regulatory action by issuing authority; fines and penalties as specified; operational and reputational consequences</t>
        </is>
      </c>
      <c r="AZ5" s="37" t="inlineStr">
        <is>
          <t>Sector-specific — consult official source</t>
        </is>
      </c>
      <c r="BA5" s="41" t="inlineStr">
        <is>
          <t>Sector-Specific</t>
        </is>
      </c>
      <c r="BB5" s="591">
        <f>IF(E5="","",IF(ISNUMBER(SEARCH("Institutional theory and regulatory governance theory underpin",AI5)),"TEMPLATE",IF(LEN(AI5)&gt;100,"DEEP",IF(AI5="","SPARSE","SHALLOW"))))</f>
        <v/>
      </c>
      <c r="BC5" s="591">
        <f>IF(E5="","",D5&amp;"-"&amp;B5&amp;"-"&amp;E5)</f>
        <v/>
      </c>
      <c r="BD5" s="591">
        <f>IF(E5="","",SUBSTITUTE(SUBSTITUTE(B5&amp;"-"&amp;E5," ",""),":","-"))</f>
        <v/>
      </c>
      <c r="BE5" s="591">
        <f>IF(E5="","",IF(ISNUMBER(SEARCH("ECC",E5)),"NCA-ECC-2-2024",IF(ISNUMBER(SEARCH("OTCC",E5)),"NCA-ECC-2-2024",IF(ISNUMBER(SEARCH("CCC",E5)),"NCA-ECC-2-2024",IF(ISNUMBER(SEARCH("DCC",E5)),"NCA-ECC-2-2024",IF(ISNUMBER(SEARCH("CSCC",E5)),"NCA-ECC-2-2024",IF(ISNUMBER(SEARCH("PDPL-IR",E5)),"PDPL-2021",IF(ISNUMBER(SEARCH("PDPL-DTR",E5)),"PDPL-2021","NONE"))))))))</f>
        <v/>
      </c>
      <c r="BF5" s="594">
        <f>IF(E5="","",IF(BB5="DEEP",10,IF(BB5="SHALLOW",5,IF(BB5="TEMPLATE",3,1)))+IF(N5="HIGHEST",5,IF(N5="HIGH",3,IF(N5="MODERATE",1,0)))+IF(ISNUMBER(SEARCH("Mandatory",L5)),3,0))</f>
        <v/>
      </c>
    </row>
    <row r="6" ht="42" customHeight="1">
      <c r="A6" s="17" t="n">
        <v>3</v>
      </c>
      <c r="B6" s="18" t="inlineStr">
        <is>
          <t>NCA</t>
        </is>
      </c>
      <c r="C6" s="19" t="inlineStr">
        <is>
          <t>National Cybersecurity Authority</t>
        </is>
      </c>
      <c r="D6" s="19" t="inlineStr">
        <is>
          <t>3. Cybersecurity &amp; Data</t>
        </is>
      </c>
      <c r="E6" s="18" t="inlineStr">
        <is>
          <t>CCC-1:2020</t>
        </is>
      </c>
      <c r="F6" s="20" t="inlineStr">
        <is>
          <t>Cloud Cybersecurity Controls</t>
        </is>
      </c>
      <c r="G6" s="19" t="inlineStr">
        <is>
          <t>ضوابط الأمن السيبراني للحوسبة السحابية</t>
        </is>
      </c>
      <c r="H6" s="19" t="inlineStr">
        <is>
          <t>CCC-1:2020</t>
        </is>
      </c>
      <c r="I6" s="21" t="inlineStr">
        <is>
          <t>2020</t>
        </is>
      </c>
      <c r="J6" s="21" t="inlineStr">
        <is>
          <t>67</t>
        </is>
      </c>
      <c r="K6" s="19" t="inlineStr">
        <is>
          <t>ISSUES/ENFORCES</t>
        </is>
      </c>
      <c r="L6" s="22" t="inlineStr">
        <is>
          <t>Mandatory Enforcer</t>
        </is>
      </c>
      <c r="M6" s="19" t="inlineStr">
        <is>
          <t>Cloud service providers and tenants — health cloud platforms</t>
        </is>
      </c>
      <c r="N6" s="52" t="inlineStr">
        <is>
          <t>HIGH</t>
        </is>
      </c>
      <c r="O6" s="24" t="inlineStr">
        <is>
          <t>https://nca.gov.sa/ccc-en.pdf</t>
        </is>
      </c>
      <c r="P6" s="19" t="inlineStr">
        <is>
          <t>NCA CCC PDF; Entrust Nov 2025</t>
        </is>
      </c>
      <c r="Q6" s="19" t="inlineStr">
        <is>
          <t>CCC-1:2020 (First issue); CCC-2 consultation noted 2024/2025</t>
        </is>
      </c>
      <c r="R6" s="19" t="inlineStr">
        <is>
          <t>v1 (2020): 67 controls, 4 domains, 24 sub-domains. Covers CSP and CST obligations. Extends ECC-1:2018 for cloud environments. CSTs must comply with both ECC and CCC. CCC-2 draft noted in 2024/2025 adding edge computing and data localisation controls</t>
        </is>
      </c>
      <c r="S6" s="21" t="inlineStr">
        <is>
          <t>CCC-1:2020 mandatory for cloud users/providers since 2020. CCC-2 under consultation 2024-2025</t>
        </is>
      </c>
      <c r="T6" s="19" t="inlineStr">
        <is>
          <t>CCC-2 expected to replace CCC-1 post-consultation</t>
        </is>
      </c>
      <c r="U6" s="25" t="inlineStr">
        <is>
          <t>CURRENT — CCC-1:2020. CCC-2 in consultation</t>
        </is>
      </c>
      <c r="V6" s="19" t="inlineStr">
        <is>
          <t>SAR 25M max (NCA-REG-2024); cloud service suspension; loss of CSP licence; CST cloud provider licence revoked</t>
        </is>
      </c>
      <c r="W6" s="20" t="inlineStr">
        <is>
          <t>NCA (primary cybersecurity oversight); CST (cloud provider licensing); DGA (government cloud governance)</t>
        </is>
      </c>
      <c r="X6" s="19" t="inlineStr">
        <is>
          <t>Health IT Vendor (CSP/CST); Hospital (cloud EHR/NABIDH); Health Insurer (cloud claims systems); Government Health Entity</t>
        </is>
      </c>
      <c r="Y6" s="49" t="inlineStr">
        <is>
          <t>Both (cloud service providers anywhere + all cloud tenants in KSA)</t>
        </is>
      </c>
      <c r="Z6" s="19" t="inlineStr">
        <is>
          <t>Annual CSP self-assessment; NCA cloud audit; CST licensing audit; DGA cloud first policy compliance check</t>
        </is>
      </c>
      <c r="AA6" s="21" t="inlineStr">
        <is>
          <t>Annual; CSP external audit every 2 years</t>
        </is>
      </c>
      <c r="AB6" s="19" t="inlineStr">
        <is>
          <t>12 (cloud-hosted IoMT platform controls: data segregation; API security; access management; logging; encryption; incident notification)</t>
        </is>
      </c>
      <c r="AC6" s="19" t="inlineStr">
        <is>
          <t>ISO 27017:2015; ISO 27018:2019; ISO 27001:2022; CSA CCM (Cloud Controls Matrix) v4; NIST SP 800-144</t>
        </is>
      </c>
      <c r="AD6" s="22" t="inlineStr">
        <is>
          <t>Arabic + English (official bilingual)</t>
        </is>
      </c>
      <c r="AE6" s="50" t="inlineStr">
        <is>
          <t>Layer 3: Technical Controls; Layer 4: Compliance; Layer 2: Risk Management</t>
        </is>
      </c>
      <c r="AF6" s="27" t="inlineStr">
        <is>
          <t>Yes — 4 maturity levels for CSPs and CSTs separately</t>
        </is>
      </c>
      <c r="AG6" s="19" t="inlineStr">
        <is>
          <t>Cloud First Policy; Vision 2030 Digital Economy; Government Cloud (G-Cloud) initiative</t>
        </is>
      </c>
      <c r="AH6" s="19" t="inlineStr">
        <is>
          <t>Cloud architecture diagrams; data classification records; access logs; encryption certificates; CSP audit reports; incident response plan; data residency evidence</t>
        </is>
      </c>
      <c r="AI6" s="28" t="inlineStr">
        <is>
          <t>Shared responsibility model (Cloud Security Alliance): CSP vs CST obligation split. Cloud-specific risk theory: multi-tenancy, data sovereignty, supply chain risk. Regulatory theory: technology-specific regulation vs principle-based.</t>
        </is>
      </c>
      <c r="AJ6" s="19" t="inlineStr">
        <is>
          <t>FOR: Addresses real gap in ECC-1 for cloud-hosted health systems; CSP+CST dual obligation model mirrors EU NIS2 approach; mandatory for health cloud deployment. AGAINST: CCC-1 pre-dates major health cloud adoption acceleration — rapidly becoming outdated; Alassaf et al. (2019) argue cloud health data sovereignty requirements create innovation friction; CCC-2 consultation process too slow relative to cloud technology evolution</t>
        </is>
      </c>
      <c r="AK6" s="29" t="inlineStr">
        <is>
          <t>CCC-1 does not address edge computing (critical for real-time IoMT); generative AI/ML workloads in health cloud not covered; sovereign cloud zone regulations (CST 2023) create regulatory overlap with CCC; NABIDH cloud hosting requirements not explicitly aligned with CCC controls</t>
        </is>
      </c>
      <c r="AL6" s="30" t="inlineStr">
        <is>
          <t>CCC vs ISO 27017: CCC mandatory in KSA; ISO 27017 voluntary global standard. CCC maps to CSA CCM v4 (Cloud Controls Matrix) but is simpler. CCC vs SAMA Cloud Policy: CCC = technical security; SAMA = financial sector data sovereignty. Together: CCC + CST-CCR + NCA-ECC = full cloud governance for health entities</t>
        </is>
      </c>
      <c r="AM6" s="31" t="inlineStr">
        <is>
          <t>Alassaf N et al. (2019) 'Cloud Computing Challenges in Healthcare' IEEE ICCES; CSA (2021) Cloud Controls Matrix v4 cloudsecurityalliance.org; NCA (2020) CCC-1:2020 nca.gov.sa/ccc-en.pdf; Alhenaki L et al. (2019) 'Security of Cloud Computing' IJACSA 10(7); Alouffi B et al. (2021) 'Systematic Literature Review on Cloud Security' IEEE Access 9</t>
        </is>
      </c>
      <c r="AN6" s="32" t="inlineStr">
        <is>
          <t>Official: NCA CCC PDF. Training: AWS Security Specialty; Google Cloud Professional Security Engineer; Azure Security Technologies. CSA Certificate of Cloud Security Knowledge (CCSK). Estimated: 35 hours</t>
        </is>
      </c>
      <c r="AO6" s="33" t="inlineStr">
        <is>
          <t>GH-ICGA Layer 3 (Technical) + Layer 4 (Compliance) — cloud security controls inform GH-ICGA cloud-hosted IoMT governance. Thesis gap: GH-ICGA must address how CCC applies when IoMT data streams to cloud — Layer 3 IoMT Technical Controls include cloud transmission requirements</t>
        </is>
      </c>
      <c r="AP6" s="53" t="inlineStr">
        <is>
          <t>R + C (cloud-specific risk and compliance)</t>
        </is>
      </c>
      <c r="AQ6" s="35" t="inlineStr">
        <is>
          <t>CTO/Cloud Owner: responsible for CCC compliance. Cloud Governance Committee: approve cloud adoption (Cloud First Policy pre-approval). CISO: ensure CSP selection meets CCC requirements. CSP relationship owner: maintain contractual CCC compliance</t>
        </is>
      </c>
      <c r="AR6" s="29" t="inlineStr">
        <is>
          <t>Cyber Risk (cloud-specific); Data Sovereignty Risk; Supply Chain Risk (CSP); Operational Risk (cloud outage); Regulatory Risk (data localisation)</t>
        </is>
      </c>
      <c r="AS6" s="22" t="inlineStr">
        <is>
          <t>LEGAL — Mandatory for all ECC-scope entities using cloud + all CSPs operating in KSA. Integrated with NCA-ECC-2 compliance. NCA-REG-2024 enforcement applies</t>
        </is>
      </c>
      <c r="AT6" s="30" t="inlineStr">
        <is>
          <t>Technical: 50 controls — data encryption; access management; API security; network controls; logging. Administrative: 10 controls — CSP assessment; cloud governance; contract management. Operational: 7 controls — cloud incident response; CSP SLA management</t>
        </is>
      </c>
      <c r="AU6" s="36" t="inlineStr">
        <is>
          <t>1. % cloud workloads with encryption at rest and in transit. 2. # CSP compliance assessments completed (target: all critical CSPs annually). 3. Cloud incident response time (target &lt;1h detection, &lt;4h notification). 4. % data classified and labelled in cloud. 5. CSP CCC compliance score</t>
        </is>
      </c>
      <c r="AV6" s="37" t="inlineStr">
        <is>
          <t>CSP CCC compliance assessment (annual); cloud configuration review (CSPM tools); cloud penetration test; data residency verification; access management audit; API security scan</t>
        </is>
      </c>
      <c r="AW6" s="38" t="inlineStr">
        <is>
          <t>Palo Alto Prisma Cloud; Microsoft Defender for Cloud; AWS Security Hub; Google Chronicle; Wiz; CSPM (Cloud Security Posture Management) tools. For KSA: cloud brokers with local data centre: STC Cloud; Mobily Cloud; Oracle KSA; AWS Bahrain region</t>
        </is>
      </c>
      <c r="AX6" s="39" t="inlineStr">
        <is>
          <t>All CSPs: must demonstrate NCA CCC compliance; data residency within KSA (government data); PDPL-DTR-2024 cross-border assessment; annual CSP security report; right-to-audit clause; incident notification within 4 hours; subprocessor disclosure</t>
        </is>
      </c>
      <c r="AY6" s="40" t="inlineStr">
        <is>
          <t>Non-compliance: NCA audit finding; SAR 25M fine; cloud service suspension by CST. Data breach in cloud: PDPL + CCC dual penalties; CSP liability; patient data exposure</t>
        </is>
      </c>
      <c r="AZ6" s="37" t="inlineStr">
        <is>
          <t>Sector-specific — consult official source</t>
        </is>
      </c>
      <c r="BA6" s="41" t="inlineStr">
        <is>
          <t>Sector-Specific</t>
        </is>
      </c>
      <c r="BB6" s="591">
        <f>IF(E6="","",IF(ISNUMBER(SEARCH("Institutional theory and regulatory governance theory underpin",AI6)),"TEMPLATE",IF(LEN(AI6)&gt;100,"DEEP",IF(AI6="","SPARSE","SHALLOW"))))</f>
        <v/>
      </c>
      <c r="BC6" s="591">
        <f>IF(E6="","",D6&amp;"-"&amp;B6&amp;"-"&amp;E6)</f>
        <v/>
      </c>
      <c r="BD6" s="591">
        <f>IF(E6="","",SUBSTITUTE(SUBSTITUTE(B6&amp;"-"&amp;E6," ",""),":","-"))</f>
        <v/>
      </c>
      <c r="BE6" s="591">
        <f>IF(E6="","",IF(ISNUMBER(SEARCH("ECC",E6)),"NCA-ECC-2-2024",IF(ISNUMBER(SEARCH("OTCC",E6)),"NCA-ECC-2-2024",IF(ISNUMBER(SEARCH("CCC",E6)),"NCA-ECC-2-2024",IF(ISNUMBER(SEARCH("DCC",E6)),"NCA-ECC-2-2024",IF(ISNUMBER(SEARCH("CSCC",E6)),"NCA-ECC-2-2024",IF(ISNUMBER(SEARCH("PDPL-IR",E6)),"PDPL-2021",IF(ISNUMBER(SEARCH("PDPL-DTR",E6)),"PDPL-2021","NONE"))))))))</f>
        <v/>
      </c>
      <c r="BF6" s="594">
        <f>IF(E6="","",IF(BB6="DEEP",10,IF(BB6="SHALLOW",5,IF(BB6="TEMPLATE",3,1)))+IF(N6="HIGHEST",5,IF(N6="HIGH",3,IF(N6="MODERATE",1,0)))+IF(ISNUMBER(SEARCH("Mandatory",L6)),3,0))</f>
        <v/>
      </c>
    </row>
    <row r="7" ht="42" customHeight="1">
      <c r="A7" s="42" t="n">
        <v>4</v>
      </c>
      <c r="B7" s="43" t="inlineStr">
        <is>
          <t>NCA</t>
        </is>
      </c>
      <c r="C7" s="44" t="inlineStr">
        <is>
          <t>National Cybersecurity Authority</t>
        </is>
      </c>
      <c r="D7" s="44" t="inlineStr">
        <is>
          <t>3. Cybersecurity &amp; Data</t>
        </is>
      </c>
      <c r="E7" s="43" t="inlineStr">
        <is>
          <t>DCC-1:2022</t>
        </is>
      </c>
      <c r="F7" s="45" t="inlineStr">
        <is>
          <t>Data Cybersecurity Controls</t>
        </is>
      </c>
      <c r="G7" s="44" t="inlineStr">
        <is>
          <t>ضوابط أمن البيانات</t>
        </is>
      </c>
      <c r="H7" s="44" t="inlineStr">
        <is>
          <t>DCC-1:2022</t>
        </is>
      </c>
      <c r="I7" s="46" t="inlineStr">
        <is>
          <t>2022</t>
        </is>
      </c>
      <c r="J7" s="46" t="inlineStr">
        <is>
          <t>40</t>
        </is>
      </c>
      <c r="K7" s="44" t="inlineStr">
        <is>
          <t>ISSUES/ENFORCES</t>
        </is>
      </c>
      <c r="L7" s="22" t="inlineStr">
        <is>
          <t>Mandatory Enforcer</t>
        </is>
      </c>
      <c r="M7" s="44" t="inlineStr">
        <is>
          <t>All ECC-scope entities — patient data lifecycle</t>
        </is>
      </c>
      <c r="N7" s="54" t="inlineStr">
        <is>
          <t>HIGH</t>
        </is>
      </c>
      <c r="O7" s="48" t="inlineStr">
        <is>
          <t>https://nca.gov.sa/</t>
        </is>
      </c>
      <c r="P7" s="44" t="inlineStr">
        <is>
          <t>Resecurity; NCA official</t>
        </is>
      </c>
      <c r="Q7" s="19" t="inlineStr">
        <is>
          <t>DCC-1:2022 (First issue)</t>
        </is>
      </c>
      <c r="R7" s="19" t="inlineStr">
        <is>
          <t>First dedicated data cybersecurity controls from NCA. 40 controls across 3 domains: Data Governance, Data Protection, Data Lifecycle Management. Covers classification, labelling, handling, retention, and destruction. Aligns with NDMO Data Classification Policy and PDPL requirements</t>
        </is>
      </c>
      <c r="S7" s="21" t="inlineStr">
        <is>
          <t>Issued: 2022. Mandatory for all ECC-scope entities</t>
        </is>
      </c>
      <c r="T7" s="19" t="inlineStr">
        <is>
          <t>Review expected 2025-2026</t>
        </is>
      </c>
      <c r="U7" s="25" t="inlineStr">
        <is>
          <t>CURRENT — first and only version</t>
        </is>
      </c>
      <c r="V7" s="19" t="inlineStr">
        <is>
          <t>SAR 25M max (NCA-REG-2024); PDPL penalties also applicable for personal data; data processing suspension</t>
        </is>
      </c>
      <c r="W7" s="20" t="inlineStr">
        <is>
          <t>NCA (technical data security); SDAIA/NDMO (personal data governance overlap)</t>
        </is>
      </c>
      <c r="X7" s="19" t="inlineStr">
        <is>
          <t>Hospital; Lab; Health IT Vendor; Health Insurer; Government Health Entity (all data processors)</t>
        </is>
      </c>
      <c r="Y7" s="22" t="inlineStr">
        <is>
          <t>Both</t>
        </is>
      </c>
      <c r="Z7" s="19" t="inlineStr">
        <is>
          <t>NCA annual self-assessment; may be assessed jointly with ECC audit</t>
        </is>
      </c>
      <c r="AA7" s="21" t="inlineStr">
        <is>
          <t>Annual (integrated with ECC self-assessment cycle)</t>
        </is>
      </c>
      <c r="AB7" s="19" t="inlineStr">
        <is>
          <t>15 (IoMT data lifecycle: collection minimisation; storage encryption; transmission security; retention and secure disposal of device-generated data)</t>
        </is>
      </c>
      <c r="AC7" s="19" t="inlineStr">
        <is>
          <t>ISO 27001:2022 Annex A (data protection controls); NIST SP 800-53r5 (data protection family); GDPR (partial reference)</t>
        </is>
      </c>
      <c r="AD7" s="49" t="inlineStr">
        <is>
          <t>Arabic + English</t>
        </is>
      </c>
      <c r="AE7" s="37" t="inlineStr">
        <is>
          <t>Layer 3: Technical Controls; Layer 4: Compliance</t>
        </is>
      </c>
      <c r="AF7" s="27" t="inlineStr">
        <is>
          <t>Yes — 4 maturity levels aligned with ECC maturity model</t>
        </is>
      </c>
      <c r="AG7" s="19" t="inlineStr">
        <is>
          <t>National Data Strategy; PDPL implementation support; Vision 2030 digital trust</t>
        </is>
      </c>
      <c r="AH7" s="19" t="inlineStr">
        <is>
          <t>Data classification register; encryption implementation evidence; data retention policy; secure disposal records; data flow maps</t>
        </is>
      </c>
      <c r="AI7" s="28" t="inlineStr">
        <is>
          <t>Institutional theory and regulatory governance theory underpin all KSA regulatory frameworks. Specific theoretical basis varies by framework — consult academic literature via Google Scholar using framework name as search term.</t>
        </is>
      </c>
      <c r="AJ7" s="19" t="inlineStr">
        <is>
          <t>Academic debate varies by framework maturity and international adoption. For KSA-specific debate, consult: Almohammad &amp; Wills (2021) J Cybersecurity; Al-Khater et al. (2020) IEEE Access; Baker McKenzie KSA regulatory updates.</t>
        </is>
      </c>
      <c r="AK7" s="29" t="inlineStr">
        <is>
          <t>Known criticisms include: implementation gap between standards and practice; resource constraints for smaller healthcare entities; rapid technology evolution outpacing regulation. Consult framework evaluation literature for specifics.</t>
        </is>
      </c>
      <c r="AL7" s="30" t="inlineStr">
        <is>
          <t>Framework comparison requires contextual analysis. Key comparators: NIST CSF 2.0 (international benchmark), ISO 27001 (certifiable standard), ECC-2 (KSA mandatory baseline). See main database for cross-framework mapping.</t>
        </is>
      </c>
      <c r="AM7" s="31"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7" s="32" t="inlineStr">
        <is>
          <t>Official: Consult the official source URL in the database for the primary document. Training: ISACA, ISC2, RAPS, IAPP, and HIMSS offer professional development covering most regulatory domains. Estimated hours vary by framework complexity.</t>
        </is>
      </c>
      <c r="AO7" s="33" t="inlineStr">
        <is>
          <t>Relevance to GH-ICGA framework varies by layer — see GH-ICGA Layer Mapping column. All KSA mandatory frameworks are compliance inputs to GH-ICGA Layer 4. Frameworks with IoMT-specific provisions directly inform Layers 2 and 3.</t>
        </is>
      </c>
      <c r="AP7" s="51" t="inlineStr">
        <is>
          <t>G + C (Governance + Compliance — standard regulatory framework positioning)</t>
        </is>
      </c>
      <c r="AQ7" s="35" t="inlineStr">
        <is>
          <t>Senior management: accountability for framework compliance. Designated compliance officer: monitor requirements. All staff: awareness of applicable obligations</t>
        </is>
      </c>
      <c r="AR7" s="29" t="inlineStr">
        <is>
          <t>Regulatory Risk; Operational Risk; Reputational Risk — specific domains determined by framework scope</t>
        </is>
      </c>
      <c r="AS7" s="22" t="inlineStr">
        <is>
          <t>See official source — legal obligation, regulatory requirement, or voluntary standard as applicable</t>
        </is>
      </c>
      <c r="AT7" s="30" t="inlineStr">
        <is>
          <t>Administrative; Technical; Operational — specific distribution determined by framework content</t>
        </is>
      </c>
      <c r="AU7" s="36" t="inlineStr">
        <is>
          <t>1. Compliance status (compliant/non-compliant). 2. # open findings from last assessment. 3. % controls implemented. 4. Time to remediate findings. 5. Incident rate in framework scope area</t>
        </is>
      </c>
      <c r="AV7" s="37" t="inlineStr">
        <is>
          <t>Self-assessment; internal audit; external assessment as specified by issuing authority</t>
        </is>
      </c>
      <c r="AW7" s="38" t="inlineStr">
        <is>
          <t>ServiceNow GRC; IBM OpenPages; RSA Archer; MetricStream — all major GRC platforms support custom framework import. Contact vendor for framework-specific module</t>
        </is>
      </c>
      <c r="AX7" s="39" t="inlineStr">
        <is>
          <t>Third parties in scope must demonstrate equivalent compliance. Contractual compliance obligations; right-to-audit clauses; annual third-party assessment</t>
        </is>
      </c>
      <c r="AY7" s="40" t="inlineStr">
        <is>
          <t>Non-compliance: regulatory action by issuing authority; fines and penalties as specified; operational and reputational consequences</t>
        </is>
      </c>
      <c r="AZ7" s="37" t="inlineStr">
        <is>
          <t>Sector-specific — consult official source</t>
        </is>
      </c>
      <c r="BA7" s="41" t="inlineStr">
        <is>
          <t>Sector-Specific</t>
        </is>
      </c>
      <c r="BB7" s="591">
        <f>IF(E7="","",IF(ISNUMBER(SEARCH("Institutional theory and regulatory governance theory underpin",AI7)),"TEMPLATE",IF(LEN(AI7)&gt;100,"DEEP",IF(AI7="","SPARSE","SHALLOW"))))</f>
        <v/>
      </c>
      <c r="BC7" s="591">
        <f>IF(E7="","",D7&amp;"-"&amp;B7&amp;"-"&amp;E7)</f>
        <v/>
      </c>
      <c r="BD7" s="591">
        <f>IF(E7="","",SUBSTITUTE(SUBSTITUTE(B7&amp;"-"&amp;E7," ",""),":","-"))</f>
        <v/>
      </c>
      <c r="BE7" s="591">
        <f>IF(E7="","",IF(ISNUMBER(SEARCH("ECC",E7)),"NCA-ECC-2-2024",IF(ISNUMBER(SEARCH("OTCC",E7)),"NCA-ECC-2-2024",IF(ISNUMBER(SEARCH("CCC",E7)),"NCA-ECC-2-2024",IF(ISNUMBER(SEARCH("DCC",E7)),"NCA-ECC-2-2024",IF(ISNUMBER(SEARCH("CSCC",E7)),"NCA-ECC-2-2024",IF(ISNUMBER(SEARCH("PDPL-IR",E7)),"PDPL-2021",IF(ISNUMBER(SEARCH("PDPL-DTR",E7)),"PDPL-2021","NONE"))))))))</f>
        <v/>
      </c>
      <c r="BF7" s="594">
        <f>IF(E7="","",IF(BB7="DEEP",10,IF(BB7="SHALLOW",5,IF(BB7="TEMPLATE",3,1)))+IF(N7="HIGHEST",5,IF(N7="HIGH",3,IF(N7="MODERATE",1,0)))+IF(ISNUMBER(SEARCH("Mandatory",L7)),3,0))</f>
        <v/>
      </c>
    </row>
    <row r="8" ht="42" customHeight="1">
      <c r="A8" s="17" t="n">
        <v>5</v>
      </c>
      <c r="B8" s="18" t="inlineStr">
        <is>
          <t>NCA</t>
        </is>
      </c>
      <c r="C8" s="19" t="inlineStr">
        <is>
          <t>National Cybersecurity Authority</t>
        </is>
      </c>
      <c r="D8" s="19" t="inlineStr">
        <is>
          <t>3. Cybersecurity &amp; Data</t>
        </is>
      </c>
      <c r="E8" s="18" t="inlineStr">
        <is>
          <t>CSCC-1:2019</t>
        </is>
      </c>
      <c r="F8" s="20" t="inlineStr">
        <is>
          <t>Critical Systems Cybersecurity Controls</t>
        </is>
      </c>
      <c r="G8" s="19" t="inlineStr">
        <is>
          <t>ضوابط الأمن السيبراني للأنظمة الحساسة</t>
        </is>
      </c>
      <c r="H8" s="19" t="inlineStr">
        <is>
          <t>CSCC-1:2019</t>
        </is>
      </c>
      <c r="I8" s="21" t="inlineStr">
        <is>
          <t>2019</t>
        </is>
      </c>
      <c r="J8" s="21" t="inlineStr">
        <is>
          <t>35</t>
        </is>
      </c>
      <c r="K8" s="19" t="inlineStr">
        <is>
          <t>ISSUES/ENFORCES</t>
        </is>
      </c>
      <c r="L8" s="22" t="inlineStr">
        <is>
          <t>Mandatory Enforcer</t>
        </is>
      </c>
      <c r="M8" s="19" t="inlineStr">
        <is>
          <t>Critical national system operators incl. hospitals as CNI</t>
        </is>
      </c>
      <c r="N8" s="52" t="inlineStr">
        <is>
          <t>HIGH</t>
        </is>
      </c>
      <c r="O8" s="24" t="inlineStr">
        <is>
          <t>https://nca.gov.sa/en/regulatory-documents/controls-list/cscc/</t>
        </is>
      </c>
      <c r="P8" s="19" t="inlineStr">
        <is>
          <t>NCA CSCC official</t>
        </is>
      </c>
      <c r="Q8" s="19" t="inlineStr">
        <is>
          <t>CSCC-1:2019 (First issue)</t>
        </is>
      </c>
      <c r="R8" s="19" t="inlineStr">
        <is>
          <t>32 main controls / 73 sub-controls extending ECC for critical systems. Covers mission-critical systems, availability requirements, integrity controls, access control for critical systems. Hospital core infrastructure (EMR servers, imaging systems, life support networks) qualifies</t>
        </is>
      </c>
      <c r="S8" s="21" t="inlineStr">
        <is>
          <t>Issued: 2019. Mandatory for entities with critical national systems</t>
        </is>
      </c>
      <c r="T8" s="19" t="inlineStr">
        <is>
          <t>Review expected 2025</t>
        </is>
      </c>
      <c r="U8" s="25" t="inlineStr">
        <is>
          <t>CURRENT — first and only version; update expected</t>
        </is>
      </c>
      <c r="V8" s="19" t="inlineStr">
        <is>
          <t>SAR 25M max (NCA-REG-2024); critical system shutdown authority; escalated penalties for CNI operators</t>
        </is>
      </c>
      <c r="W8" s="20" t="inlineStr">
        <is>
          <t>NCA — critical infrastructure protection division; sector regulators (MOH for hospital critical systems)</t>
        </is>
      </c>
      <c r="X8" s="19" t="inlineStr">
        <is>
          <t>Hospital (core IT: EMR servers, life support, ICU systems); Government Health Entity; Health IT Vendor (critical system developers)</t>
        </is>
      </c>
      <c r="Y8" s="49" t="inlineStr">
        <is>
          <t>Both (entities with critical national systems)</t>
        </is>
      </c>
      <c r="Z8" s="19" t="inlineStr">
        <is>
          <t>NCA critical systems audit; specialised third-party assessment</t>
        </is>
      </c>
      <c r="AA8" s="21" t="inlineStr">
        <is>
          <t>Annual internal; NCA external: biennial</t>
        </is>
      </c>
      <c r="AB8" s="19" t="inlineStr">
        <is>
          <t>10 (critical system availability; failover; integrity monitoring; privileged access to critical medical systems; change management for life-critical systems)</t>
        </is>
      </c>
      <c r="AC8" s="19" t="inlineStr">
        <is>
          <t>NIST SP 800-53r5 (availability controls); IEC 62443-3-3; ISO 27001:2022</t>
        </is>
      </c>
      <c r="AD8" s="49" t="inlineStr">
        <is>
          <t>Arabic + English</t>
        </is>
      </c>
      <c r="AE8" s="50" t="inlineStr">
        <is>
          <t>Layer 3: Technical Controls; Layer 2: Risk Management</t>
        </is>
      </c>
      <c r="AF8" s="27" t="inlineStr">
        <is>
          <t>Yes — complements ECC 5-level maturity model</t>
        </is>
      </c>
      <c r="AG8" s="19" t="inlineStr">
        <is>
          <t>National Critical Infrastructure Protection Programme (CNIP); National Cybersecurity Strategy</t>
        </is>
      </c>
      <c r="AH8" s="19" t="inlineStr">
        <is>
          <t>Critical system register; BIA (Business Impact Analysis); availability test records; privileged access audit; change management logs</t>
        </is>
      </c>
      <c r="AI8" s="28" t="inlineStr">
        <is>
          <t>Institutional theory and regulatory governance theory underpin all KSA regulatory frameworks. Specific theoretical basis varies by framework — consult academic literature via Google Scholar using framework name as search term.</t>
        </is>
      </c>
      <c r="AJ8" s="19" t="inlineStr">
        <is>
          <t>Academic debate varies by framework maturity and international adoption. For KSA-specific debate, consult: Almohammad &amp; Wills (2021) J Cybersecurity; Al-Khater et al. (2020) IEEE Access; Baker McKenzie KSA regulatory updates.</t>
        </is>
      </c>
      <c r="AK8" s="29" t="inlineStr">
        <is>
          <t>Known criticisms include: implementation gap between standards and practice; resource constraints for smaller healthcare entities; rapid technology evolution outpacing regulation. Consult framework evaluation literature for specifics.</t>
        </is>
      </c>
      <c r="AL8" s="30" t="inlineStr">
        <is>
          <t>Framework comparison requires contextual analysis. Key comparators: NIST CSF 2.0 (international benchmark), ISO 27001 (certifiable standard), ECC-2 (KSA mandatory baseline). See main database for cross-framework mapping.</t>
        </is>
      </c>
      <c r="AM8" s="31"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8" s="32" t="inlineStr">
        <is>
          <t>Official: Consult the official source URL in the database for the primary document. Training: ISACA, ISC2, RAPS, IAPP, and HIMSS offer professional development covering most regulatory domains. Estimated hours vary by framework complexity.</t>
        </is>
      </c>
      <c r="AO8" s="33" t="inlineStr">
        <is>
          <t>Relevance to GH-ICGA framework varies by layer — see GH-ICGA Layer Mapping column. All KSA mandatory frameworks are compliance inputs to GH-ICGA Layer 4. Frameworks with IoMT-specific provisions directly inform Layers 2 and 3.</t>
        </is>
      </c>
      <c r="AP8" s="51" t="inlineStr">
        <is>
          <t>G + C (Governance + Compliance — standard regulatory framework positioning)</t>
        </is>
      </c>
      <c r="AQ8" s="35" t="inlineStr">
        <is>
          <t>Senior management: accountability for framework compliance. Designated compliance officer: monitor requirements. All staff: awareness of applicable obligations</t>
        </is>
      </c>
      <c r="AR8" s="29" t="inlineStr">
        <is>
          <t>Regulatory Risk; Operational Risk; Reputational Risk — specific domains determined by framework scope</t>
        </is>
      </c>
      <c r="AS8" s="22" t="inlineStr">
        <is>
          <t>See official source — legal obligation, regulatory requirement, or voluntary standard as applicable</t>
        </is>
      </c>
      <c r="AT8" s="30" t="inlineStr">
        <is>
          <t>Administrative; Technical; Operational — specific distribution determined by framework content</t>
        </is>
      </c>
      <c r="AU8" s="36" t="inlineStr">
        <is>
          <t>1. Compliance status (compliant/non-compliant). 2. # open findings from last assessment. 3. % controls implemented. 4. Time to remediate findings. 5. Incident rate in framework scope area</t>
        </is>
      </c>
      <c r="AV8" s="37" t="inlineStr">
        <is>
          <t>Self-assessment; internal audit; external assessment as specified by issuing authority</t>
        </is>
      </c>
      <c r="AW8" s="38" t="inlineStr">
        <is>
          <t>ServiceNow GRC; IBM OpenPages; RSA Archer; MetricStream — all major GRC platforms support custom framework import. Contact vendor for framework-specific module</t>
        </is>
      </c>
      <c r="AX8" s="39" t="inlineStr">
        <is>
          <t>Third parties in scope must demonstrate equivalent compliance. Contractual compliance obligations; right-to-audit clauses; annual third-party assessment</t>
        </is>
      </c>
      <c r="AY8" s="40" t="inlineStr">
        <is>
          <t>Non-compliance: regulatory action by issuing authority; fines and penalties as specified; operational and reputational consequences</t>
        </is>
      </c>
      <c r="AZ8" s="37" t="inlineStr">
        <is>
          <t>Sector-specific — consult official source</t>
        </is>
      </c>
      <c r="BA8" s="41" t="inlineStr">
        <is>
          <t>Sector-Specific</t>
        </is>
      </c>
      <c r="BB8" s="591">
        <f>IF(E8="","",IF(ISNUMBER(SEARCH("Institutional theory and regulatory governance theory underpin",AI8)),"TEMPLATE",IF(LEN(AI8)&gt;100,"DEEP",IF(AI8="","SPARSE","SHALLOW"))))</f>
        <v/>
      </c>
      <c r="BC8" s="591">
        <f>IF(E8="","",D8&amp;"-"&amp;B8&amp;"-"&amp;E8)</f>
        <v/>
      </c>
      <c r="BD8" s="591">
        <f>IF(E8="","",SUBSTITUTE(SUBSTITUTE(B8&amp;"-"&amp;E8," ",""),":","-"))</f>
        <v/>
      </c>
      <c r="BE8" s="591">
        <f>IF(E8="","",IF(ISNUMBER(SEARCH("ECC",E8)),"NCA-ECC-2-2024",IF(ISNUMBER(SEARCH("OTCC",E8)),"NCA-ECC-2-2024",IF(ISNUMBER(SEARCH("CCC",E8)),"NCA-ECC-2-2024",IF(ISNUMBER(SEARCH("DCC",E8)),"NCA-ECC-2-2024",IF(ISNUMBER(SEARCH("CSCC",E8)),"NCA-ECC-2-2024",IF(ISNUMBER(SEARCH("PDPL-IR",E8)),"PDPL-2021",IF(ISNUMBER(SEARCH("PDPL-DTR",E8)),"PDPL-2021","NONE"))))))))</f>
        <v/>
      </c>
      <c r="BF8" s="594">
        <f>IF(E8="","",IF(BB8="DEEP",10,IF(BB8="SHALLOW",5,IF(BB8="TEMPLATE",3,1)))+IF(N8="HIGHEST",5,IF(N8="HIGH",3,IF(N8="MODERATE",1,0)))+IF(ISNUMBER(SEARCH("Mandatory",L8)),3,0))</f>
        <v/>
      </c>
    </row>
    <row r="9" ht="42" customHeight="1">
      <c r="A9" s="42" t="n">
        <v>6</v>
      </c>
      <c r="B9" s="43" t="inlineStr">
        <is>
          <t>NCA</t>
        </is>
      </c>
      <c r="C9" s="44" t="inlineStr">
        <is>
          <t>National Cybersecurity Authority</t>
        </is>
      </c>
      <c r="D9" s="44" t="inlineStr">
        <is>
          <t>3. Cybersecurity &amp; Data</t>
        </is>
      </c>
      <c r="E9" s="43" t="inlineStr">
        <is>
          <t>TCC-1:2021</t>
        </is>
      </c>
      <c r="F9" s="45" t="inlineStr">
        <is>
          <t>Telework Cybersecurity Controls</t>
        </is>
      </c>
      <c r="G9" s="44" t="inlineStr">
        <is>
          <t>ضوابط الأمن السيبراني للعمل عن بعد</t>
        </is>
      </c>
      <c r="H9" s="44" t="inlineStr">
        <is>
          <t>TCC-1:2021</t>
        </is>
      </c>
      <c r="I9" s="46" t="inlineStr">
        <is>
          <t>2021</t>
        </is>
      </c>
      <c r="J9" s="46" t="inlineStr">
        <is>
          <t>28</t>
        </is>
      </c>
      <c r="K9" s="44" t="inlineStr">
        <is>
          <t>ISSUES/ENFORCES</t>
        </is>
      </c>
      <c r="L9" s="22" t="inlineStr">
        <is>
          <t>Mandatory Enforcer</t>
        </is>
      </c>
      <c r="M9" s="44" t="inlineStr">
        <is>
          <t>All ECC-scope entities with remote workers — telehealth clinicians</t>
        </is>
      </c>
      <c r="N9" s="55" t="inlineStr">
        <is>
          <t>MODERATE</t>
        </is>
      </c>
      <c r="O9" s="48" t="inlineStr">
        <is>
          <t>https://nca.gov.sa/en/regulatory-documents/controls-list/tcc/</t>
        </is>
      </c>
      <c r="P9" s="44" t="inlineStr">
        <is>
          <t>NCA TCC official</t>
        </is>
      </c>
      <c r="Q9" s="19" t="inlineStr">
        <is>
          <t>TCC-1:2021 (First issue)</t>
        </is>
      </c>
      <c r="R9" s="19" t="inlineStr">
        <is>
          <t>21 main controls / 42 sub-controls across 3 domains: Telework Governance, Telework Security, Telework Monitoring. Covers secure VPN, MFA, endpoint security, BYOD policy, remote access to clinical systems. Healthcare application: telehealth clinicians accessing patient records remotely</t>
        </is>
      </c>
      <c r="S9" s="21" t="inlineStr">
        <is>
          <t>Issued: 2021. Mandatory for ECC-scope entities with remote workers</t>
        </is>
      </c>
      <c r="T9" s="19" t="inlineStr">
        <is>
          <t>Review expected 2025-2026</t>
        </is>
      </c>
      <c r="U9" s="25" t="inlineStr">
        <is>
          <t>CURRENT — first and only version</t>
        </is>
      </c>
      <c r="V9" s="19" t="inlineStr">
        <is>
          <t>SAR 25M max (NCA-REG-2024); may be assessed as ECC non-compliance</t>
        </is>
      </c>
      <c r="W9" s="20" t="inlineStr">
        <is>
          <t>NCA — assessed as part of ECC compliance audit</t>
        </is>
      </c>
      <c r="X9" s="19" t="inlineStr">
        <is>
          <t>Hospital; Clinic; Health IT Vendor; Health Insurer; Government Health Entity (all entities with remote workers)</t>
        </is>
      </c>
      <c r="Y9" s="22" t="inlineStr">
        <is>
          <t>Both</t>
        </is>
      </c>
      <c r="Z9" s="19" t="inlineStr">
        <is>
          <t>Annual self-assessment (integrated with ECC); spot check during NCA audit</t>
        </is>
      </c>
      <c r="AA9" s="21" t="inlineStr">
        <is>
          <t>Annual</t>
        </is>
      </c>
      <c r="AB9" s="19" t="inlineStr">
        <is>
          <t>5 (secure remote access to clinical systems; remote device management; VPN requirements for IoMT monitoring platforms)</t>
        </is>
      </c>
      <c r="AC9" s="19" t="inlineStr">
        <is>
          <t>NIST SP 800-114; ISO 27001:2022; CIS Benchmark for remote access</t>
        </is>
      </c>
      <c r="AD9" s="49" t="inlineStr">
        <is>
          <t>Arabic + English</t>
        </is>
      </c>
      <c r="AE9" s="37" t="inlineStr">
        <is>
          <t>Layer 3: Technical Controls</t>
        </is>
      </c>
      <c r="AF9" s="56" t="inlineStr">
        <is>
          <t>Aligned with ECC 5-level model</t>
        </is>
      </c>
      <c r="AG9" s="19" t="inlineStr">
        <is>
          <t>National Telework Programme; Healthcare Digital Transformation (telehealth staff)</t>
        </is>
      </c>
      <c r="AH9" s="19" t="inlineStr">
        <is>
          <t>VPN configuration evidence; remote access policy; endpoint security records; MFA implementation evidence; remote worker awareness training records</t>
        </is>
      </c>
      <c r="AI9" s="28" t="inlineStr">
        <is>
          <t>Institutional theory and regulatory governance theory underpin all KSA regulatory frameworks. Specific theoretical basis varies by framework — consult academic literature via Google Scholar using framework name as search term.</t>
        </is>
      </c>
      <c r="AJ9" s="19" t="inlineStr">
        <is>
          <t>Academic debate varies by framework maturity and international adoption. For KSA-specific debate, consult: Almohammad &amp; Wills (2021) J Cybersecurity; Al-Khater et al. (2020) IEEE Access; Baker McKenzie KSA regulatory updates.</t>
        </is>
      </c>
      <c r="AK9" s="29" t="inlineStr">
        <is>
          <t>Known criticisms include: implementation gap between standards and practice; resource constraints for smaller healthcare entities; rapid technology evolution outpacing regulation. Consult framework evaluation literature for specifics.</t>
        </is>
      </c>
      <c r="AL9" s="30" t="inlineStr">
        <is>
          <t>Framework comparison requires contextual analysis. Key comparators: NIST CSF 2.0 (international benchmark), ISO 27001 (certifiable standard), ECC-2 (KSA mandatory baseline). See main database for cross-framework mapping.</t>
        </is>
      </c>
      <c r="AM9" s="31"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9" s="32" t="inlineStr">
        <is>
          <t>Official: Consult the official source URL in the database for the primary document. Training: ISACA, ISC2, RAPS, IAPP, and HIMSS offer professional development covering most regulatory domains. Estimated hours vary by framework complexity.</t>
        </is>
      </c>
      <c r="AO9" s="33" t="inlineStr">
        <is>
          <t>Relevance to GH-ICGA framework varies by layer — see GH-ICGA Layer Mapping column. All KSA mandatory frameworks are compliance inputs to GH-ICGA Layer 4. Frameworks with IoMT-specific provisions directly inform Layers 2 and 3.</t>
        </is>
      </c>
      <c r="AP9" s="51" t="inlineStr">
        <is>
          <t>G + C (Governance + Compliance — standard regulatory framework positioning)</t>
        </is>
      </c>
      <c r="AQ9" s="35" t="inlineStr">
        <is>
          <t>Senior management: accountability for framework compliance. Designated compliance officer: monitor requirements. All staff: awareness of applicable obligations</t>
        </is>
      </c>
      <c r="AR9" s="29" t="inlineStr">
        <is>
          <t>Regulatory Risk; Operational Risk; Reputational Risk — specific domains determined by framework scope</t>
        </is>
      </c>
      <c r="AS9" s="22" t="inlineStr">
        <is>
          <t>See official source — legal obligation, regulatory requirement, or voluntary standard as applicable</t>
        </is>
      </c>
      <c r="AT9" s="30" t="inlineStr">
        <is>
          <t>Administrative; Technical; Operational — specific distribution determined by framework content</t>
        </is>
      </c>
      <c r="AU9" s="36" t="inlineStr">
        <is>
          <t>1. Compliance status (compliant/non-compliant). 2. # open findings from last assessment. 3. % controls implemented. 4. Time to remediate findings. 5. Incident rate in framework scope area</t>
        </is>
      </c>
      <c r="AV9" s="37" t="inlineStr">
        <is>
          <t>Self-assessment; internal audit; external assessment as specified by issuing authority</t>
        </is>
      </c>
      <c r="AW9" s="38" t="inlineStr">
        <is>
          <t>ServiceNow GRC; IBM OpenPages; RSA Archer; MetricStream — all major GRC platforms support custom framework import. Contact vendor for framework-specific module</t>
        </is>
      </c>
      <c r="AX9" s="39" t="inlineStr">
        <is>
          <t>Third parties in scope must demonstrate equivalent compliance. Contractual compliance obligations; right-to-audit clauses; annual third-party assessment</t>
        </is>
      </c>
      <c r="AY9" s="40" t="inlineStr">
        <is>
          <t>Non-compliance: regulatory action by issuing authority; fines and penalties as specified; operational and reputational consequences</t>
        </is>
      </c>
      <c r="AZ9" s="37" t="inlineStr">
        <is>
          <t>Sector-specific — consult official source</t>
        </is>
      </c>
      <c r="BA9" s="41" t="inlineStr">
        <is>
          <t>Sector-Specific</t>
        </is>
      </c>
      <c r="BB9" s="591">
        <f>IF(E9="","",IF(ISNUMBER(SEARCH("Institutional theory and regulatory governance theory underpin",AI9)),"TEMPLATE",IF(LEN(AI9)&gt;100,"DEEP",IF(AI9="","SPARSE","SHALLOW"))))</f>
        <v/>
      </c>
      <c r="BC9" s="591">
        <f>IF(E9="","",D9&amp;"-"&amp;B9&amp;"-"&amp;E9)</f>
        <v/>
      </c>
      <c r="BD9" s="591">
        <f>IF(E9="","",SUBSTITUTE(SUBSTITUTE(B9&amp;"-"&amp;E9," ",""),":","-"))</f>
        <v/>
      </c>
      <c r="BE9" s="591">
        <f>IF(E9="","",IF(ISNUMBER(SEARCH("ECC",E9)),"NCA-ECC-2-2024",IF(ISNUMBER(SEARCH("OTCC",E9)),"NCA-ECC-2-2024",IF(ISNUMBER(SEARCH("CCC",E9)),"NCA-ECC-2-2024",IF(ISNUMBER(SEARCH("DCC",E9)),"NCA-ECC-2-2024",IF(ISNUMBER(SEARCH("CSCC",E9)),"NCA-ECC-2-2024",IF(ISNUMBER(SEARCH("PDPL-IR",E9)),"PDPL-2021",IF(ISNUMBER(SEARCH("PDPL-DTR",E9)),"PDPL-2021","NONE"))))))))</f>
        <v/>
      </c>
      <c r="BF9" s="594">
        <f>IF(E9="","",IF(BB9="DEEP",10,IF(BB9="SHALLOW",5,IF(BB9="TEMPLATE",3,1)))+IF(N9="HIGHEST",5,IF(N9="HIGH",3,IF(N9="MODERATE",1,0)))+IF(ISNUMBER(SEARCH("Mandatory",L9)),3,0))</f>
        <v/>
      </c>
    </row>
    <row r="10" ht="42" customHeight="1">
      <c r="A10" s="17" t="n">
        <v>7</v>
      </c>
      <c r="B10" s="18" t="inlineStr">
        <is>
          <t>NCA</t>
        </is>
      </c>
      <c r="C10" s="19" t="inlineStr">
        <is>
          <t>National Cybersecurity Authority</t>
        </is>
      </c>
      <c r="D10" s="19" t="inlineStr">
        <is>
          <t>3. Cybersecurity &amp; Data</t>
        </is>
      </c>
      <c r="E10" s="18" t="inlineStr">
        <is>
          <t>OSMACC-1:2021</t>
        </is>
      </c>
      <c r="F10" s="20" t="inlineStr">
        <is>
          <t>Social Media Cybersecurity Controls</t>
        </is>
      </c>
      <c r="G10" s="19" t="inlineStr">
        <is>
          <t>ضوابط الأمن السيبراني لحسابات التواصل</t>
        </is>
      </c>
      <c r="H10" s="19" t="inlineStr">
        <is>
          <t>OSMACC-1:2021</t>
        </is>
      </c>
      <c r="I10" s="21" t="inlineStr">
        <is>
          <t>2021</t>
        </is>
      </c>
      <c r="J10" s="21" t="inlineStr">
        <is>
          <t>18</t>
        </is>
      </c>
      <c r="K10" s="19" t="inlineStr">
        <is>
          <t>ISSUES/ENFORCES</t>
        </is>
      </c>
      <c r="L10" s="22" t="inlineStr">
        <is>
          <t>Mandatory Enforcer</t>
        </is>
      </c>
      <c r="M10" s="19" t="inlineStr">
        <is>
          <t>All NCA-scope entities with social media accounts</t>
        </is>
      </c>
      <c r="N10" s="57" t="inlineStr">
        <is>
          <t>LOW</t>
        </is>
      </c>
      <c r="O10" s="24" t="inlineStr">
        <is>
          <t>https://nca.gov.sa/en/regulatory-documents/controls-list/osmacc/</t>
        </is>
      </c>
      <c r="P10" s="19" t="inlineStr">
        <is>
          <t>NCA OSMACC official</t>
        </is>
      </c>
      <c r="Q10" s="19" t="inlineStr">
        <is>
          <t>OSMACC-1:2021 (First issue)</t>
        </is>
      </c>
      <c r="R10" s="19" t="inlineStr">
        <is>
          <t>18 controls for official social media account security. Covers MFA, account monitoring, content approval workflows, incident response for account compromise. Healthcare application: hospital official accounts, MOH social media security</t>
        </is>
      </c>
      <c r="S10" s="21" t="inlineStr">
        <is>
          <t>Issued: 2021</t>
        </is>
      </c>
      <c r="T10" s="19" t="inlineStr">
        <is>
          <t>Review 2025</t>
        </is>
      </c>
      <c r="U10" s="25" t="inlineStr">
        <is>
          <t>CURRENT — first and only version</t>
        </is>
      </c>
      <c r="V10" s="19" t="inlineStr">
        <is>
          <t>Penalties defined by issuing authority; consult official source. NCA ECC-2 penalties apply if relevant</t>
        </is>
      </c>
      <c r="W10" s="20" t="inlineStr">
        <is>
          <t>Issuing authority and/or designated inspection department</t>
        </is>
      </c>
      <c r="X10" s="19" t="inlineStr">
        <is>
          <t>As specified in framework scope — consult official document</t>
        </is>
      </c>
      <c r="Y10" s="49" t="inlineStr">
        <is>
          <t>Both (unless specified otherwise in official document)</t>
        </is>
      </c>
      <c r="Z10" s="19" t="inlineStr">
        <is>
          <t>As defined by issuing authority</t>
        </is>
      </c>
      <c r="AA10" s="21" t="inlineStr">
        <is>
          <t>As defined by issuing authority</t>
        </is>
      </c>
      <c r="AB10" s="19" t="inlineStr">
        <is>
          <t>To be determined from framework text — see official source</t>
        </is>
      </c>
      <c r="AC10" s="19" t="inlineStr">
        <is>
          <t>See framework preamble for international standard references</t>
        </is>
      </c>
      <c r="AD10" s="49" t="inlineStr">
        <is>
          <t>Arabic (primary in KSA); English may be available</t>
        </is>
      </c>
      <c r="AE10" s="58" t="inlineStr">
        <is>
          <t>Mapped to relevant GH-ICGA layer — requires manual assessment</t>
        </is>
      </c>
      <c r="AF10" s="56" t="inlineStr">
        <is>
          <t>See official framework for maturity model details</t>
        </is>
      </c>
      <c r="AG10" s="19" t="inlineStr">
        <is>
          <t>Aligned with relevant Vision 2030 programme — see framework context</t>
        </is>
      </c>
      <c r="AH10" s="19" t="inlineStr">
        <is>
          <t>As specified in framework compliance requirements</t>
        </is>
      </c>
      <c r="AI10" s="28" t="inlineStr">
        <is>
          <t>Institutional theory and regulatory governance theory underpin all KSA regulatory frameworks. Specific theoretical basis varies by framework — consult academic literature via Google Scholar using framework name as search term.</t>
        </is>
      </c>
      <c r="AJ10" s="19" t="inlineStr">
        <is>
          <t>Academic debate varies by framework maturity and international adoption. For KSA-specific debate, consult: Almohammad &amp; Wills (2021) J Cybersecurity; Al-Khater et al. (2020) IEEE Access; Baker McKenzie KSA regulatory updates.</t>
        </is>
      </c>
      <c r="AK10" s="29" t="inlineStr">
        <is>
          <t>Known criticisms include: implementation gap between standards and practice; resource constraints for smaller healthcare entities; rapid technology evolution outpacing regulation. Consult framework evaluation literature for specifics.</t>
        </is>
      </c>
      <c r="AL10" s="30" t="inlineStr">
        <is>
          <t>Framework comparison requires contextual analysis. Key comparators: NIST CSF 2.0 (international benchmark), ISO 27001 (certifiable standard), ECC-2 (KSA mandatory baseline). See main database for cross-framework mapping.</t>
        </is>
      </c>
      <c r="AM10" s="31"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0" s="32" t="inlineStr">
        <is>
          <t>Official: Consult the official source URL in the database for the primary document. Training: ISACA, ISC2, RAPS, IAPP, and HIMSS offer professional development covering most regulatory domains. Estimated hours vary by framework complexity.</t>
        </is>
      </c>
      <c r="AO10" s="33" t="inlineStr">
        <is>
          <t>Relevance to GH-ICGA framework varies by layer — see GH-ICGA Layer Mapping column. All KSA mandatory frameworks are compliance inputs to GH-ICGA Layer 4. Frameworks with IoMT-specific provisions directly inform Layers 2 and 3.</t>
        </is>
      </c>
      <c r="AP10" s="51" t="inlineStr">
        <is>
          <t>G + C (Governance + Compliance — standard regulatory framework positioning)</t>
        </is>
      </c>
      <c r="AQ10" s="35" t="inlineStr">
        <is>
          <t>Senior management: accountability for framework compliance. Designated compliance officer: monitor requirements. All staff: awareness of applicable obligations</t>
        </is>
      </c>
      <c r="AR10" s="29" t="inlineStr">
        <is>
          <t>Regulatory Risk; Operational Risk; Reputational Risk — specific domains determined by framework scope</t>
        </is>
      </c>
      <c r="AS10" s="22" t="inlineStr">
        <is>
          <t>See official source — legal obligation, regulatory requirement, or voluntary standard as applicable</t>
        </is>
      </c>
      <c r="AT10" s="30" t="inlineStr">
        <is>
          <t>Administrative; Technical; Operational — specific distribution determined by framework content</t>
        </is>
      </c>
      <c r="AU10" s="36" t="inlineStr">
        <is>
          <t>1. Compliance status (compliant/non-compliant). 2. # open findings from last assessment. 3. % controls implemented. 4. Time to remediate findings. 5. Incident rate in framework scope area</t>
        </is>
      </c>
      <c r="AV10" s="37" t="inlineStr">
        <is>
          <t>Self-assessment; internal audit; external assessment as specified by issuing authority</t>
        </is>
      </c>
      <c r="AW10" s="38" t="inlineStr">
        <is>
          <t>ServiceNow GRC; IBM OpenPages; RSA Archer; MetricStream — all major GRC platforms support custom framework import. Contact vendor for framework-specific module</t>
        </is>
      </c>
      <c r="AX10" s="39" t="inlineStr">
        <is>
          <t>Third parties in scope must demonstrate equivalent compliance. Contractual compliance obligations; right-to-audit clauses; annual third-party assessment</t>
        </is>
      </c>
      <c r="AY10" s="40" t="inlineStr">
        <is>
          <t>Non-compliance: regulatory action by issuing authority; fines and penalties as specified; operational and reputational consequences</t>
        </is>
      </c>
      <c r="AZ10" s="37" t="inlineStr">
        <is>
          <t>Sector-specific — consult official source</t>
        </is>
      </c>
      <c r="BA10" s="41" t="inlineStr">
        <is>
          <t>Sector-Specific</t>
        </is>
      </c>
      <c r="BB10" s="591">
        <f>IF(E10="","",IF(ISNUMBER(SEARCH("Institutional theory and regulatory governance theory underpin",AI10)),"TEMPLATE",IF(LEN(AI10)&gt;100,"DEEP",IF(AI10="","SPARSE","SHALLOW"))))</f>
        <v/>
      </c>
      <c r="BC10" s="591">
        <f>IF(E10="","",D10&amp;"-"&amp;B10&amp;"-"&amp;E10)</f>
        <v/>
      </c>
      <c r="BD10" s="591">
        <f>IF(E10="","",SUBSTITUTE(SUBSTITUTE(B10&amp;"-"&amp;E10," ",""),":","-"))</f>
        <v/>
      </c>
      <c r="BE10" s="591">
        <f>IF(E10="","",IF(ISNUMBER(SEARCH("ECC",E10)),"NCA-ECC-2-2024",IF(ISNUMBER(SEARCH("OTCC",E10)),"NCA-ECC-2-2024",IF(ISNUMBER(SEARCH("CCC",E10)),"NCA-ECC-2-2024",IF(ISNUMBER(SEARCH("DCC",E10)),"NCA-ECC-2-2024",IF(ISNUMBER(SEARCH("CSCC",E10)),"NCA-ECC-2-2024",IF(ISNUMBER(SEARCH("PDPL-IR",E10)),"PDPL-2021",IF(ISNUMBER(SEARCH("PDPL-DTR",E10)),"PDPL-2021","NONE"))))))))</f>
        <v/>
      </c>
      <c r="BF10" s="594">
        <f>IF(E10="","",IF(BB10="DEEP",10,IF(BB10="SHALLOW",5,IF(BB10="TEMPLATE",3,1)))+IF(N10="HIGHEST",5,IF(N10="HIGH",3,IF(N10="MODERATE",1,0)))+IF(ISNUMBER(SEARCH("Mandatory",L10)),3,0))</f>
        <v/>
      </c>
    </row>
    <row r="11" ht="42" customHeight="1">
      <c r="A11" s="42" t="n">
        <v>8</v>
      </c>
      <c r="B11" s="43" t="inlineStr">
        <is>
          <t>NCA</t>
        </is>
      </c>
      <c r="C11" s="44" t="inlineStr">
        <is>
          <t>National Cybersecurity Authority</t>
        </is>
      </c>
      <c r="D11" s="44" t="inlineStr">
        <is>
          <t>3. Cybersecurity &amp; Data</t>
        </is>
      </c>
      <c r="E11" s="43" t="inlineStr">
        <is>
          <t>NCS-1:2020</t>
        </is>
      </c>
      <c r="F11" s="45" t="inlineStr">
        <is>
          <t>National Cryptographic Standards</t>
        </is>
      </c>
      <c r="G11" s="44" t="inlineStr">
        <is>
          <t>المعايير الوطنية للتشفير</t>
        </is>
      </c>
      <c r="H11" s="44" t="inlineStr">
        <is>
          <t>NCS-1:2020</t>
        </is>
      </c>
      <c r="I11" s="46" t="inlineStr">
        <is>
          <t>2020</t>
        </is>
      </c>
      <c r="J11" s="46" t="inlineStr">
        <is>
          <t>22</t>
        </is>
      </c>
      <c r="K11" s="44" t="inlineStr">
        <is>
          <t>ISSUES/ENFORCES</t>
        </is>
      </c>
      <c r="L11" s="22" t="inlineStr">
        <is>
          <t>Mandatory Enforcer</t>
        </is>
      </c>
      <c r="M11" s="44" t="inlineStr">
        <is>
          <t>All ECC-scope entities — patient data encryption</t>
        </is>
      </c>
      <c r="N11" s="54" t="inlineStr">
        <is>
          <t>HIGH</t>
        </is>
      </c>
      <c r="O11" s="48" t="inlineStr">
        <is>
          <t>https://nca.gov.sa/en/regulatory-documents/frameworks-and-standard-list/ncs/</t>
        </is>
      </c>
      <c r="P11" s="44" t="inlineStr">
        <is>
          <t>NCA NCS official; Entrust</t>
        </is>
      </c>
      <c r="Q11" s="19" t="inlineStr">
        <is>
          <t>NCS-1:2020 (First issue); quantum-safe update under consideration</t>
        </is>
      </c>
      <c r="R11" s="19" t="inlineStr">
        <is>
          <t>22 cryptographic requirements. Covers approved algorithms (AES-256, RSA-2048+, SHA-256+), key management, PKI requirements, TLS version requirements. Healthcare: patient data encryption at rest and in transit, digital signatures on clinical records</t>
        </is>
      </c>
      <c r="S11" s="21" t="inlineStr">
        <is>
          <t>Issued: 2020. Mandatory for all ECC-scope entities</t>
        </is>
      </c>
      <c r="T11" s="19" t="inlineStr">
        <is>
          <t>Quantum-safe cryptography update under consideration post-2025</t>
        </is>
      </c>
      <c r="U11" s="25" t="inlineStr">
        <is>
          <t>CURRENT — NCS-1:2020. Quantum migration guidance expected</t>
        </is>
      </c>
      <c r="V11" s="19" t="inlineStr">
        <is>
          <t>Penalties defined by issuing authority; consult official source. NCA ECC-2 penalties apply if relevant</t>
        </is>
      </c>
      <c r="W11" s="20" t="inlineStr">
        <is>
          <t>Issuing authority and/or designated inspection department</t>
        </is>
      </c>
      <c r="X11" s="19" t="inlineStr">
        <is>
          <t>As specified in framework scope — consult official document</t>
        </is>
      </c>
      <c r="Y11" s="49" t="inlineStr">
        <is>
          <t>Both (unless specified otherwise in official document)</t>
        </is>
      </c>
      <c r="Z11" s="19" t="inlineStr">
        <is>
          <t>As defined by issuing authority</t>
        </is>
      </c>
      <c r="AA11" s="21" t="inlineStr">
        <is>
          <t>As defined by issuing authority</t>
        </is>
      </c>
      <c r="AB11" s="19" t="inlineStr">
        <is>
          <t>To be determined from framework text — see official source</t>
        </is>
      </c>
      <c r="AC11" s="19" t="inlineStr">
        <is>
          <t>See framework preamble for international standard references</t>
        </is>
      </c>
      <c r="AD11" s="49" t="inlineStr">
        <is>
          <t>Arabic (primary in KSA); English may be available</t>
        </is>
      </c>
      <c r="AE11" s="58" t="inlineStr">
        <is>
          <t>Mapped to relevant GH-ICGA layer — requires manual assessment</t>
        </is>
      </c>
      <c r="AF11" s="56" t="inlineStr">
        <is>
          <t>See official framework for maturity model details</t>
        </is>
      </c>
      <c r="AG11" s="19" t="inlineStr">
        <is>
          <t>Aligned with relevant Vision 2030 programme — see framework context</t>
        </is>
      </c>
      <c r="AH11" s="19" t="inlineStr">
        <is>
          <t>As specified in framework compliance requirements</t>
        </is>
      </c>
      <c r="AI11" s="28" t="inlineStr">
        <is>
          <t>Institutional theory and regulatory governance theory underpin all KSA regulatory frameworks. Specific theoretical basis varies by framework — consult academic literature via Google Scholar using framework name as search term.</t>
        </is>
      </c>
      <c r="AJ11" s="19" t="inlineStr">
        <is>
          <t>Academic debate varies by framework maturity and international adoption. For KSA-specific debate, consult: Almohammad &amp; Wills (2021) J Cybersecurity; Al-Khater et al. (2020) IEEE Access; Baker McKenzie KSA regulatory updates.</t>
        </is>
      </c>
      <c r="AK11" s="29" t="inlineStr">
        <is>
          <t>Known criticisms include: implementation gap between standards and practice; resource constraints for smaller healthcare entities; rapid technology evolution outpacing regulation. Consult framework evaluation literature for specifics.</t>
        </is>
      </c>
      <c r="AL11" s="30" t="inlineStr">
        <is>
          <t>Framework comparison requires contextual analysis. Key comparators: NIST CSF 2.0 (international benchmark), ISO 27001 (certifiable standard), ECC-2 (KSA mandatory baseline). See main database for cross-framework mapping.</t>
        </is>
      </c>
      <c r="AM11" s="31"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1" s="32" t="inlineStr">
        <is>
          <t>Official: Consult the official source URL in the database for the primary document. Training: ISACA, ISC2, RAPS, IAPP, and HIMSS offer professional development covering most regulatory domains. Estimated hours vary by framework complexity.</t>
        </is>
      </c>
      <c r="AO11" s="33" t="inlineStr">
        <is>
          <t>Relevance to GH-ICGA framework varies by layer — see GH-ICGA Layer Mapping column. All KSA mandatory frameworks are compliance inputs to GH-ICGA Layer 4. Frameworks with IoMT-specific provisions directly inform Layers 2 and 3.</t>
        </is>
      </c>
      <c r="AP11" s="51" t="inlineStr">
        <is>
          <t>G + C (Governance + Compliance — standard regulatory framework positioning)</t>
        </is>
      </c>
      <c r="AQ11" s="35" t="inlineStr">
        <is>
          <t>Senior management: accountability for framework compliance. Designated compliance officer: monitor requirements. All staff: awareness of applicable obligations</t>
        </is>
      </c>
      <c r="AR11" s="29" t="inlineStr">
        <is>
          <t>Regulatory Risk; Operational Risk; Reputational Risk — specific domains determined by framework scope</t>
        </is>
      </c>
      <c r="AS11" s="22" t="inlineStr">
        <is>
          <t>See official source — legal obligation, regulatory requirement, or voluntary standard as applicable</t>
        </is>
      </c>
      <c r="AT11" s="30" t="inlineStr">
        <is>
          <t>Administrative; Technical; Operational — specific distribution determined by framework content</t>
        </is>
      </c>
      <c r="AU11" s="36" t="inlineStr">
        <is>
          <t>1. Compliance status (compliant/non-compliant). 2. # open findings from last assessment. 3. % controls implemented. 4. Time to remediate findings. 5. Incident rate in framework scope area</t>
        </is>
      </c>
      <c r="AV11" s="37" t="inlineStr">
        <is>
          <t>Self-assessment; internal audit; external assessment as specified by issuing authority</t>
        </is>
      </c>
      <c r="AW11" s="38" t="inlineStr">
        <is>
          <t>ServiceNow GRC; IBM OpenPages; RSA Archer; MetricStream — all major GRC platforms support custom framework import. Contact vendor for framework-specific module</t>
        </is>
      </c>
      <c r="AX11" s="39" t="inlineStr">
        <is>
          <t>Third parties in scope must demonstrate equivalent compliance. Contractual compliance obligations; right-to-audit clauses; annual third-party assessment</t>
        </is>
      </c>
      <c r="AY11" s="40" t="inlineStr">
        <is>
          <t>Non-compliance: regulatory action by issuing authority; fines and penalties as specified; operational and reputational consequences</t>
        </is>
      </c>
      <c r="AZ11" s="37" t="inlineStr">
        <is>
          <t>Sector-specific — consult official source</t>
        </is>
      </c>
      <c r="BA11" s="41" t="inlineStr">
        <is>
          <t>Sector-Specific</t>
        </is>
      </c>
      <c r="BB11" s="591">
        <f>IF(E11="","",IF(ISNUMBER(SEARCH("Institutional theory and regulatory governance theory underpin",AI11)),"TEMPLATE",IF(LEN(AI11)&gt;100,"DEEP",IF(AI11="","SPARSE","SHALLOW"))))</f>
        <v/>
      </c>
      <c r="BC11" s="591">
        <f>IF(E11="","",D11&amp;"-"&amp;B11&amp;"-"&amp;E11)</f>
        <v/>
      </c>
      <c r="BD11" s="591">
        <f>IF(E11="","",SUBSTITUTE(SUBSTITUTE(B11&amp;"-"&amp;E11," ",""),":","-"))</f>
        <v/>
      </c>
      <c r="BE11" s="591">
        <f>IF(E11="","",IF(ISNUMBER(SEARCH("ECC",E11)),"NCA-ECC-2-2024",IF(ISNUMBER(SEARCH("OTCC",E11)),"NCA-ECC-2-2024",IF(ISNUMBER(SEARCH("CCC",E11)),"NCA-ECC-2-2024",IF(ISNUMBER(SEARCH("DCC",E11)),"NCA-ECC-2-2024",IF(ISNUMBER(SEARCH("CSCC",E11)),"NCA-ECC-2-2024",IF(ISNUMBER(SEARCH("PDPL-IR",E11)),"PDPL-2021",IF(ISNUMBER(SEARCH("PDPL-DTR",E11)),"PDPL-2021","NONE"))))))))</f>
        <v/>
      </c>
      <c r="BF11" s="594">
        <f>IF(E11="","",IF(BB11="DEEP",10,IF(BB11="SHALLOW",5,IF(BB11="TEMPLATE",3,1)))+IF(N11="HIGHEST",5,IF(N11="HIGH",3,IF(N11="MODERATE",1,0)))+IF(ISNUMBER(SEARCH("Mandatory",L11)),3,0))</f>
        <v/>
      </c>
    </row>
    <row r="12" ht="42" customHeight="1">
      <c r="A12" s="17" t="n">
        <v>9</v>
      </c>
      <c r="B12" s="18" t="inlineStr">
        <is>
          <t>NCA</t>
        </is>
      </c>
      <c r="C12" s="19" t="inlineStr">
        <is>
          <t>National Cybersecurity Authority</t>
        </is>
      </c>
      <c r="D12" s="19" t="inlineStr">
        <is>
          <t>3. Cybersecurity &amp; Data</t>
        </is>
      </c>
      <c r="E12" s="18" t="inlineStr">
        <is>
          <t>SCyWF</t>
        </is>
      </c>
      <c r="F12" s="20" t="inlineStr">
        <is>
          <t>Saudi Cybersecurity Workforce Framework</t>
        </is>
      </c>
      <c r="G12" s="19" t="inlineStr">
        <is>
          <t>الإطار السعودي للكوادر السيبرانية</t>
        </is>
      </c>
      <c r="H12" s="19" t="inlineStr">
        <is>
          <t>SCyWF updated 2024</t>
        </is>
      </c>
      <c r="I12" s="21" t="inlineStr">
        <is>
          <t>2022</t>
        </is>
      </c>
      <c r="J12" s="21" t="inlineStr">
        <is>
          <t>N/A</t>
        </is>
      </c>
      <c r="K12" s="19" t="inlineStr">
        <is>
          <t>ISSUES/ENFORCES</t>
        </is>
      </c>
      <c r="L12" s="22" t="inlineStr">
        <is>
          <t>Mandatory Enforcer</t>
        </is>
      </c>
      <c r="M12" s="19" t="inlineStr">
        <is>
          <t>All NCA-scope entities — cyber roles must be Saudi nationals (ECC-2)</t>
        </is>
      </c>
      <c r="N12" s="52" t="inlineStr">
        <is>
          <t>HIGH</t>
        </is>
      </c>
      <c r="O12" s="24" t="inlineStr">
        <is>
          <t>https://nca.gov.sa/en/regulatory-documents/frameworks-and-standard-list/scywf/</t>
        </is>
      </c>
      <c r="P12" s="19" t="inlineStr">
        <is>
          <t>NCA SCyWF; Clyde &amp; Co Jan 2025</t>
        </is>
      </c>
      <c r="Q12" s="19" t="inlineStr">
        <is>
          <t>SCyWF v1 2022 → updated 2024 with ECC-2 Saudisation mandate</t>
        </is>
      </c>
      <c r="R12" s="19" t="inlineStr">
        <is>
          <t>National taxonomy of cybersecurity roles and competency levels. Updated 2024 to add mandatory Saudisation: all cybersecurity positions in ECC-scope entities must be full-time qualified Saudi nationals (ECC-2 Section 1-1-3). Healthcare CISO and SOC analyst roles affected directly</t>
        </is>
      </c>
      <c r="S12" s="21" t="inlineStr">
        <is>
          <t>v1 issued 2022. Saudisation mandate: Oct 2024 (ECC-2). Compliance window: Oct 2025</t>
        </is>
      </c>
      <c r="T12" s="19" t="inlineStr">
        <is>
          <t>Annual review with job market changes</t>
        </is>
      </c>
      <c r="U12" s="25" t="inlineStr">
        <is>
          <t>CURRENT — updated 2024</t>
        </is>
      </c>
      <c r="V12" s="19" t="inlineStr">
        <is>
          <t>Penalties defined by issuing authority; consult official source. NCA ECC-2 penalties apply if relevant</t>
        </is>
      </c>
      <c r="W12" s="20" t="inlineStr">
        <is>
          <t>Issuing authority and/or designated inspection department</t>
        </is>
      </c>
      <c r="X12" s="19" t="inlineStr">
        <is>
          <t>As specified in framework scope — consult official document</t>
        </is>
      </c>
      <c r="Y12" s="49" t="inlineStr">
        <is>
          <t>Both (unless specified otherwise in official document)</t>
        </is>
      </c>
      <c r="Z12" s="19" t="inlineStr">
        <is>
          <t>As defined by issuing authority</t>
        </is>
      </c>
      <c r="AA12" s="21" t="inlineStr">
        <is>
          <t>As defined by issuing authority</t>
        </is>
      </c>
      <c r="AB12" s="19" t="inlineStr">
        <is>
          <t>To be determined from framework text — see official source</t>
        </is>
      </c>
      <c r="AC12" s="19" t="inlineStr">
        <is>
          <t>See framework preamble for international standard references</t>
        </is>
      </c>
      <c r="AD12" s="49" t="inlineStr">
        <is>
          <t>Arabic (primary in KSA); English may be available</t>
        </is>
      </c>
      <c r="AE12" s="58" t="inlineStr">
        <is>
          <t>Mapped to relevant GH-ICGA layer — requires manual assessment</t>
        </is>
      </c>
      <c r="AF12" s="56" t="inlineStr">
        <is>
          <t>See official framework for maturity model details</t>
        </is>
      </c>
      <c r="AG12" s="19" t="inlineStr">
        <is>
          <t>Aligned with relevant Vision 2030 programme — see framework context</t>
        </is>
      </c>
      <c r="AH12" s="19" t="inlineStr">
        <is>
          <t>As specified in framework compliance requirements</t>
        </is>
      </c>
      <c r="AI12" s="28" t="inlineStr">
        <is>
          <t>Institutional theory and regulatory governance theory underpin all KSA regulatory frameworks. Specific theoretical basis varies by framework — consult academic literature via Google Scholar using framework name as search term.</t>
        </is>
      </c>
      <c r="AJ12" s="19" t="inlineStr">
        <is>
          <t>Academic debate varies by framework maturity and international adoption. For KSA-specific debate, consult: Almohammad &amp; Wills (2021) J Cybersecurity; Al-Khater et al. (2020) IEEE Access; Baker McKenzie KSA regulatory updates.</t>
        </is>
      </c>
      <c r="AK12" s="29" t="inlineStr">
        <is>
          <t>Known criticisms include: implementation gap between standards and practice; resource constraints for smaller healthcare entities; rapid technology evolution outpacing regulation. Consult framework evaluation literature for specifics.</t>
        </is>
      </c>
      <c r="AL12" s="30" t="inlineStr">
        <is>
          <t>Framework comparison requires contextual analysis. Key comparators: NIST CSF 2.0 (international benchmark), ISO 27001 (certifiable standard), ECC-2 (KSA mandatory baseline). See main database for cross-framework mapping.</t>
        </is>
      </c>
      <c r="AM12" s="31"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2" s="32" t="inlineStr">
        <is>
          <t>Official: Consult the official source URL in the database for the primary document. Training: ISACA, ISC2, RAPS, IAPP, and HIMSS offer professional development covering most regulatory domains. Estimated hours vary by framework complexity.</t>
        </is>
      </c>
      <c r="AO12" s="33" t="inlineStr">
        <is>
          <t>Relevance to GH-ICGA framework varies by layer — see GH-ICGA Layer Mapping column. All KSA mandatory frameworks are compliance inputs to GH-ICGA Layer 4. Frameworks with IoMT-specific provisions directly inform Layers 2 and 3.</t>
        </is>
      </c>
      <c r="AP12" s="51" t="inlineStr">
        <is>
          <t>G + C (Governance + Compliance — standard regulatory framework positioning)</t>
        </is>
      </c>
      <c r="AQ12" s="35" t="inlineStr">
        <is>
          <t>Senior management: accountability for framework compliance. Designated compliance officer: monitor requirements. All staff: awareness of applicable obligations</t>
        </is>
      </c>
      <c r="AR12" s="29" t="inlineStr">
        <is>
          <t>Regulatory Risk; Operational Risk; Reputational Risk — specific domains determined by framework scope</t>
        </is>
      </c>
      <c r="AS12" s="22" t="inlineStr">
        <is>
          <t>See official source — legal obligation, regulatory requirement, or voluntary standard as applicable</t>
        </is>
      </c>
      <c r="AT12" s="30" t="inlineStr">
        <is>
          <t>Administrative; Technical; Operational — specific distribution determined by framework content</t>
        </is>
      </c>
      <c r="AU12" s="36" t="inlineStr">
        <is>
          <t>1. Compliance status (compliant/non-compliant). 2. # open findings from last assessment. 3. % controls implemented. 4. Time to remediate findings. 5. Incident rate in framework scope area</t>
        </is>
      </c>
      <c r="AV12" s="37" t="inlineStr">
        <is>
          <t>Self-assessment; internal audit; external assessment as specified by issuing authority</t>
        </is>
      </c>
      <c r="AW12" s="38" t="inlineStr">
        <is>
          <t>ServiceNow GRC; IBM OpenPages; RSA Archer; MetricStream — all major GRC platforms support custom framework import. Contact vendor for framework-specific module</t>
        </is>
      </c>
      <c r="AX12" s="39" t="inlineStr">
        <is>
          <t>Third parties in scope must demonstrate equivalent compliance. Contractual compliance obligations; right-to-audit clauses; annual third-party assessment</t>
        </is>
      </c>
      <c r="AY12" s="40" t="inlineStr">
        <is>
          <t>Non-compliance: regulatory action by issuing authority; fines and penalties as specified; operational and reputational consequences</t>
        </is>
      </c>
      <c r="AZ12" s="37" t="inlineStr">
        <is>
          <t>ALL 17 SECTORS — entities with cybersecurity roles</t>
        </is>
      </c>
      <c r="BA12" s="34" t="inlineStr">
        <is>
          <t>YES — ALL SECTORS</t>
        </is>
      </c>
      <c r="BB12" s="591">
        <f>IF(E12="","",IF(ISNUMBER(SEARCH("Institutional theory and regulatory governance theory underpin",AI12)),"TEMPLATE",IF(LEN(AI12)&gt;100,"DEEP",IF(AI12="","SPARSE","SHALLOW"))))</f>
        <v/>
      </c>
      <c r="BC12" s="591">
        <f>IF(E12="","",D12&amp;"-"&amp;B12&amp;"-"&amp;E12)</f>
        <v/>
      </c>
      <c r="BD12" s="591">
        <f>IF(E12="","",SUBSTITUTE(SUBSTITUTE(B12&amp;"-"&amp;E12," ",""),":","-"))</f>
        <v/>
      </c>
      <c r="BE12" s="591">
        <f>IF(E12="","",IF(ISNUMBER(SEARCH("ECC",E12)),"NCA-ECC-2-2024",IF(ISNUMBER(SEARCH("OTCC",E12)),"NCA-ECC-2-2024",IF(ISNUMBER(SEARCH("CCC",E12)),"NCA-ECC-2-2024",IF(ISNUMBER(SEARCH("DCC",E12)),"NCA-ECC-2-2024",IF(ISNUMBER(SEARCH("CSCC",E12)),"NCA-ECC-2-2024",IF(ISNUMBER(SEARCH("PDPL-IR",E12)),"PDPL-2021",IF(ISNUMBER(SEARCH("PDPL-DTR",E12)),"PDPL-2021","NONE"))))))))</f>
        <v/>
      </c>
      <c r="BF12" s="594">
        <f>IF(E12="","",IF(BB12="DEEP",10,IF(BB12="SHALLOW",5,IF(BB12="TEMPLATE",3,1)))+IF(N12="HIGHEST",5,IF(N12="HIGH",3,IF(N12="MODERATE",1,0)))+IF(ISNUMBER(SEARCH("Mandatory",L12)),3,0))</f>
        <v/>
      </c>
    </row>
    <row r="13" ht="42" customHeight="1">
      <c r="A13" s="42" t="n">
        <v>10</v>
      </c>
      <c r="B13" s="43" t="inlineStr">
        <is>
          <t>NCA</t>
        </is>
      </c>
      <c r="C13" s="44" t="inlineStr">
        <is>
          <t>National Cybersecurity Authority</t>
        </is>
      </c>
      <c r="D13" s="44" t="inlineStr">
        <is>
          <t>3. Cybersecurity &amp; Data</t>
        </is>
      </c>
      <c r="E13" s="43" t="inlineStr">
        <is>
          <t>SCyber-Edu</t>
        </is>
      </c>
      <c r="F13" s="45" t="inlineStr">
        <is>
          <t>Saudi Cybersecurity Higher Education Framework</t>
        </is>
      </c>
      <c r="G13" s="44" t="inlineStr">
        <is>
          <t>الإطار السعودي للتعليم العالي في الأمن السيبراني</t>
        </is>
      </c>
      <c r="H13" s="44" t="inlineStr">
        <is>
          <t>SCyber-Edu-1:2022</t>
        </is>
      </c>
      <c r="I13" s="46" t="inlineStr">
        <is>
          <t>2022</t>
        </is>
      </c>
      <c r="J13" s="46" t="inlineStr">
        <is>
          <t>N/A</t>
        </is>
      </c>
      <c r="K13" s="44" t="inlineStr">
        <is>
          <t>ISSUES/ENFORCES</t>
        </is>
      </c>
      <c r="L13" s="22" t="inlineStr">
        <is>
          <t>Mandatory Enforcer</t>
        </is>
      </c>
      <c r="M13" s="44" t="inlineStr">
        <is>
          <t>Universities offering cybersecurity programmes</t>
        </is>
      </c>
      <c r="N13" s="59" t="inlineStr">
        <is>
          <t>LOW</t>
        </is>
      </c>
      <c r="O13" s="48" t="inlineStr">
        <is>
          <t>https://nca.gov.sa/en/regulatory-documents/frameworks-and-standard-list/scyberedu/</t>
        </is>
      </c>
      <c r="P13" s="44" t="inlineStr">
        <is>
          <t>NCA SCyber-Edu</t>
        </is>
      </c>
      <c r="Q13" s="19" t="inlineStr">
        <is>
          <t>SCyber-Edu v1 2022 (First issue)</t>
        </is>
      </c>
      <c r="R13" s="19" t="inlineStr">
        <is>
          <t>Curriculum framework for university-level cybersecurity programmes. Defines core competencies, elective tracks, lab requirements. Aligned with SCyWF role taxonomy. Supports national pipeline for Saudi cybersecurity professionals required by NCA frameworks</t>
        </is>
      </c>
      <c r="S13" s="21" t="inlineStr">
        <is>
          <t>Issued: 2022</t>
        </is>
      </c>
      <c r="T13" s="19" t="inlineStr">
        <is>
          <t>Review every 3 years</t>
        </is>
      </c>
      <c r="U13" s="25" t="inlineStr">
        <is>
          <t>CURRENT — first version</t>
        </is>
      </c>
      <c r="V13" s="19" t="inlineStr">
        <is>
          <t>Penalties defined by issuing authority; consult official source. NCA ECC-2 penalties apply if relevant</t>
        </is>
      </c>
      <c r="W13" s="20" t="inlineStr">
        <is>
          <t>Issuing authority and/or designated inspection department</t>
        </is>
      </c>
      <c r="X13" s="19" t="inlineStr">
        <is>
          <t>As specified in framework scope — consult official document</t>
        </is>
      </c>
      <c r="Y13" s="49" t="inlineStr">
        <is>
          <t>Both (unless specified otherwise in official document)</t>
        </is>
      </c>
      <c r="Z13" s="19" t="inlineStr">
        <is>
          <t>As defined by issuing authority</t>
        </is>
      </c>
      <c r="AA13" s="21" t="inlineStr">
        <is>
          <t>As defined by issuing authority</t>
        </is>
      </c>
      <c r="AB13" s="19" t="inlineStr">
        <is>
          <t>To be determined from framework text — see official source</t>
        </is>
      </c>
      <c r="AC13" s="19" t="inlineStr">
        <is>
          <t>See framework preamble for international standard references</t>
        </is>
      </c>
      <c r="AD13" s="49" t="inlineStr">
        <is>
          <t>Arabic (primary in KSA); English may be available</t>
        </is>
      </c>
      <c r="AE13" s="58" t="inlineStr">
        <is>
          <t>Mapped to relevant GH-ICGA layer — requires manual assessment</t>
        </is>
      </c>
      <c r="AF13" s="56" t="inlineStr">
        <is>
          <t>See official framework for maturity model details</t>
        </is>
      </c>
      <c r="AG13" s="19" t="inlineStr">
        <is>
          <t>Aligned with relevant Vision 2030 programme — see framework context</t>
        </is>
      </c>
      <c r="AH13" s="19" t="inlineStr">
        <is>
          <t>As specified in framework compliance requirements</t>
        </is>
      </c>
      <c r="AI13" s="28" t="inlineStr">
        <is>
          <t>Institutional theory and regulatory governance theory underpin all KSA regulatory frameworks. Specific theoretical basis varies by framework — consult academic literature via Google Scholar using framework name as search term.</t>
        </is>
      </c>
      <c r="AJ13" s="19" t="inlineStr">
        <is>
          <t>Academic debate varies by framework maturity and international adoption. For KSA-specific debate, consult: Almohammad &amp; Wills (2021) J Cybersecurity; Al-Khater et al. (2020) IEEE Access; Baker McKenzie KSA regulatory updates.</t>
        </is>
      </c>
      <c r="AK13" s="29" t="inlineStr">
        <is>
          <t>Known criticisms include: implementation gap between standards and practice; resource constraints for smaller healthcare entities; rapid technology evolution outpacing regulation. Consult framework evaluation literature for specifics.</t>
        </is>
      </c>
      <c r="AL13" s="30" t="inlineStr">
        <is>
          <t>Framework comparison requires contextual analysis. Key comparators: NIST CSF 2.0 (international benchmark), ISO 27001 (certifiable standard), ECC-2 (KSA mandatory baseline). See main database for cross-framework mapping.</t>
        </is>
      </c>
      <c r="AM13" s="31"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3" s="32" t="inlineStr">
        <is>
          <t>Official: Consult the official source URL in the database for the primary document. Training: ISACA, ISC2, RAPS, IAPP, and HIMSS offer professional development covering most regulatory domains. Estimated hours vary by framework complexity.</t>
        </is>
      </c>
      <c r="AO13" s="33" t="inlineStr">
        <is>
          <t>Relevance to GH-ICGA framework varies by layer — see GH-ICGA Layer Mapping column. All KSA mandatory frameworks are compliance inputs to GH-ICGA Layer 4. Frameworks with IoMT-specific provisions directly inform Layers 2 and 3.</t>
        </is>
      </c>
      <c r="AP13" s="51" t="inlineStr">
        <is>
          <t>G + C (Governance + Compliance — standard regulatory framework positioning)</t>
        </is>
      </c>
      <c r="AQ13" s="35" t="inlineStr">
        <is>
          <t>Senior management: accountability for framework compliance. Designated compliance officer: monitor requirements. All staff: awareness of applicable obligations</t>
        </is>
      </c>
      <c r="AR13" s="29" t="inlineStr">
        <is>
          <t>Regulatory Risk; Operational Risk; Reputational Risk — specific domains determined by framework scope</t>
        </is>
      </c>
      <c r="AS13" s="22" t="inlineStr">
        <is>
          <t>See official source — legal obligation, regulatory requirement, or voluntary standard as applicable</t>
        </is>
      </c>
      <c r="AT13" s="30" t="inlineStr">
        <is>
          <t>Administrative; Technical; Operational — specific distribution determined by framework content</t>
        </is>
      </c>
      <c r="AU13" s="36" t="inlineStr">
        <is>
          <t>1. Compliance status (compliant/non-compliant). 2. # open findings from last assessment. 3. % controls implemented. 4. Time to remediate findings. 5. Incident rate in framework scope area</t>
        </is>
      </c>
      <c r="AV13" s="37" t="inlineStr">
        <is>
          <t>Self-assessment; internal audit; external assessment as specified by issuing authority</t>
        </is>
      </c>
      <c r="AW13" s="38" t="inlineStr">
        <is>
          <t>ServiceNow GRC; IBM OpenPages; RSA Archer; MetricStream — all major GRC platforms support custom framework import. Contact vendor for framework-specific module</t>
        </is>
      </c>
      <c r="AX13" s="39" t="inlineStr">
        <is>
          <t>Third parties in scope must demonstrate equivalent compliance. Contractual compliance obligations; right-to-audit clauses; annual third-party assessment</t>
        </is>
      </c>
      <c r="AY13" s="40" t="inlineStr">
        <is>
          <t>Non-compliance: regulatory action by issuing authority; fines and penalties as specified; operational and reputational consequences</t>
        </is>
      </c>
      <c r="AZ13" s="37" t="inlineStr">
        <is>
          <t>Sector-specific — consult official source</t>
        </is>
      </c>
      <c r="BA13" s="41" t="inlineStr">
        <is>
          <t>Sector-Specific</t>
        </is>
      </c>
      <c r="BB13" s="591">
        <f>IF(E13="","",IF(ISNUMBER(SEARCH("Institutional theory and regulatory governance theory underpin",AI13)),"TEMPLATE",IF(LEN(AI13)&gt;100,"DEEP",IF(AI13="","SPARSE","SHALLOW"))))</f>
        <v/>
      </c>
      <c r="BC13" s="591">
        <f>IF(E13="","",D13&amp;"-"&amp;B13&amp;"-"&amp;E13)</f>
        <v/>
      </c>
      <c r="BD13" s="591">
        <f>IF(E13="","",SUBSTITUTE(SUBSTITUTE(B13&amp;"-"&amp;E13," ",""),":","-"))</f>
        <v/>
      </c>
      <c r="BE13" s="591">
        <f>IF(E13="","",IF(ISNUMBER(SEARCH("ECC",E13)),"NCA-ECC-2-2024",IF(ISNUMBER(SEARCH("OTCC",E13)),"NCA-ECC-2-2024",IF(ISNUMBER(SEARCH("CCC",E13)),"NCA-ECC-2-2024",IF(ISNUMBER(SEARCH("DCC",E13)),"NCA-ECC-2-2024",IF(ISNUMBER(SEARCH("CSCC",E13)),"NCA-ECC-2-2024",IF(ISNUMBER(SEARCH("PDPL-IR",E13)),"PDPL-2021",IF(ISNUMBER(SEARCH("PDPL-DTR",E13)),"PDPL-2021","NONE"))))))))</f>
        <v/>
      </c>
      <c r="BF13" s="594">
        <f>IF(E13="","",IF(BB13="DEEP",10,IF(BB13="SHALLOW",5,IF(BB13="TEMPLATE",3,1)))+IF(N13="HIGHEST",5,IF(N13="HIGH",3,IF(N13="MODERATE",1,0)))+IF(ISNUMBER(SEARCH("Mandatory",L13)),3,0))</f>
        <v/>
      </c>
    </row>
    <row r="14" ht="42" customHeight="1">
      <c r="A14" s="17" t="n">
        <v>11</v>
      </c>
      <c r="B14" s="18" t="inlineStr">
        <is>
          <t>NCA</t>
        </is>
      </c>
      <c r="C14" s="19" t="inlineStr">
        <is>
          <t>National Cybersecurity Authority</t>
        </is>
      </c>
      <c r="D14" s="19" t="inlineStr">
        <is>
          <t>3. Cybersecurity &amp; Data</t>
        </is>
      </c>
      <c r="E14" s="18" t="inlineStr">
        <is>
          <t>NCA-REG-2024</t>
        </is>
      </c>
      <c r="F14" s="20" t="inlineStr">
        <is>
          <t>NCA Regulatory Framework (Enforcement &amp; Penalties)</t>
        </is>
      </c>
      <c r="G14" s="19" t="inlineStr">
        <is>
          <t>لائحة الهيئة الوطنية للأمن السيبراني</t>
        </is>
      </c>
      <c r="H14" s="19" t="inlineStr">
        <is>
          <t>Dec 2024</t>
        </is>
      </c>
      <c r="I14" s="21" t="inlineStr">
        <is>
          <t>2024</t>
        </is>
      </c>
      <c r="J14" s="21" t="inlineStr">
        <is>
          <t>N/A</t>
        </is>
      </c>
      <c r="K14" s="19" t="inlineStr">
        <is>
          <t>ISSUES/ENFORCES</t>
        </is>
      </c>
      <c r="L14" s="22" t="inlineStr">
        <is>
          <t>Mandatory Enforcer</t>
        </is>
      </c>
      <c r="M14" s="19" t="inlineStr">
        <is>
          <t>All entities subject to any NCA framework — fines up to SAR 25M</t>
        </is>
      </c>
      <c r="N14" s="23" t="inlineStr">
        <is>
          <t>HIGHEST</t>
        </is>
      </c>
      <c r="O14" s="24" t="inlineStr">
        <is>
          <t>https://www.twobirds.com/en/insights/2025/</t>
        </is>
      </c>
      <c r="P14" s="19" t="inlineStr">
        <is>
          <t>Bird &amp; Bird Jan 2025; Clyde &amp; Co Jan 2025</t>
        </is>
      </c>
      <c r="Q14" s="19" t="inlineStr">
        <is>
          <t>First enforcement regulation — Dec 21, 2024</t>
        </is>
      </c>
      <c r="R14" s="19" t="inlineStr">
        <is>
          <t>First dedicated NCA enforcement mechanism. Powers: inspection/audit authority, administrative fines up to SAR 25 million, licence suspension/revocation, appointment of NCA inspectors with judicial powers, criminal referrals. Covers all NCA frameworks (ECC, OTCC, CCC, DCC, CSCC, TCC). Significant shift from guidance to enforceable compliance</t>
        </is>
      </c>
      <c r="S14" s="21" t="inlineStr">
        <is>
          <t>Issued: Dec 21, 2024. In force immediately</t>
        </is>
      </c>
      <c r="T14" s="19" t="inlineStr">
        <is>
          <t>Ongoing enforcement</t>
        </is>
      </c>
      <c r="U14" s="25" t="inlineStr">
        <is>
          <t>CURRENT — first enforcement regulation</t>
        </is>
      </c>
      <c r="V14" s="19" t="inlineStr">
        <is>
          <t>This IS the penalty framework — SAR 25M max; imprisonment via criminal referral; business suspension; public naming; appeals process defined</t>
        </is>
      </c>
      <c r="W14" s="20" t="inlineStr">
        <is>
          <t>NCA — Director General of Supervisory Affairs; NCA Inspectors (appointed Dec 2024 with judicial powers)</t>
        </is>
      </c>
      <c r="X14" s="19" t="inlineStr">
        <is>
          <t>All healthcare entities subject to any NCA framework</t>
        </is>
      </c>
      <c r="Y14" s="22" t="inlineStr">
        <is>
          <t>Both</t>
        </is>
      </c>
      <c r="Z14" s="19" t="inlineStr">
        <is>
          <t>NCA-initiated inspections; complaint-triggered; incident-triggered; scheduled sector reviews</t>
        </is>
      </c>
      <c r="AA14" s="21" t="inlineStr">
        <is>
          <t>As determined by NCA risk-based approach</t>
        </is>
      </c>
      <c r="AB14" s="19" t="inlineStr">
        <is>
          <t>N/A — enforcement mechanism, not technical controls</t>
        </is>
      </c>
      <c r="AC14" s="19" t="inlineStr">
        <is>
          <t>EU NIS2 Directive (enforcement model reference); Singapore CSA Cybersecurity Act (penalty benchmarking)</t>
        </is>
      </c>
      <c r="AD14" s="49" t="inlineStr">
        <is>
          <t>Arabic (primary); English unofficial translation</t>
        </is>
      </c>
      <c r="AE14" s="56" t="inlineStr">
        <is>
          <t>Layer 4: Compliance; Layer 5: Assurance</t>
        </is>
      </c>
      <c r="AF14" s="60" t="inlineStr">
        <is>
          <t>No maturity model — binary compliance/non-compliance</t>
        </is>
      </c>
      <c r="AG14" s="19" t="inlineStr">
        <is>
          <t>National Cybersecurity Strategy (enforcement pillar)</t>
        </is>
      </c>
      <c r="AH14" s="19" t="inlineStr">
        <is>
          <t>N/A — this is the enforcement regulation; entities must produce evidence of compliance with underlying NCA frameworks</t>
        </is>
      </c>
      <c r="AI14" s="28" t="inlineStr">
        <is>
          <t>Regulatory enforcement theory (Ayres &amp; Braithwaite 1992): responsive regulation pyramid — persuasion → warning → penalty → criminal referral. Deterrence theory (Becker 1968): SAR 25M ceiling designed as credible deterrent calibrated to entity revenue. Administrative law theory: judicial inspector powers draw from Sharia-compliant regulatory enforcement tradition unique to KSA.</t>
        </is>
      </c>
      <c r="AJ14" s="19" t="inlineStr">
        <is>
          <t>FOR: First NCA-specific enforcement mechanism closes the 'paper tiger' critique of ECC-1 era; SAR 25M cap is proportionate compared to EU NIS2 (€10M/2% revenue); criminal referral authority adds personal accountability for executives. AGAINST: Critics argue SAR 25M is insufficient for large entities (Aramco, NEOM); no explicit whistleblower protections; enforcement regulation published before ECC-2 audit methodology finalised — sequencing gap.</t>
        </is>
      </c>
      <c r="AK14" s="29" t="inlineStr">
        <is>
          <t>Criticisms: (1) Enforcement regulation lacks graduated penalty schedule — inspectors have full discretion between SAR 0 and SAR 25M with no guidance; (2) Criminal referral pathway undefined — no precedent case law; (3) No appeal mechanism specified for disputed findings; (4) Saudisation mandate in ECC-2 creates workforce bottleneck for compliance — not enough qualified Saudi cyber professionals yet; (5) Arabic-only official text creates interpretation challenges for international organisations operating in KSA.</t>
        </is>
      </c>
      <c r="AL14" s="30" t="inlineStr">
        <is>
          <t>Compared to: EU NIS2 penalties (€10M/2% revenue — higher cap, turnover-linked); UK NIS Regulations (£17M max); Singapore Cybersecurity Act (S$100K — much lower); UAE NESA (case-by-case). KSA NCA-REG-2024 is mid-range on penalty severity but HIGHEST on scope breadth (covers all CNI + government entities). Unique: KSA adds criminal referral pathway not present in EU/UK/SG enforcement.</t>
        </is>
      </c>
      <c r="AM14" s="31" t="inlineStr">
        <is>
          <t>Ayres &amp; Braithwaite (1992) Responsive Regulation; Bird &amp; Bird (2025) KSA Cybersecurity Enforcement Guide; Clyde &amp; Co (2025) NCA Regulatory Analysis; Al-Qahtani (2024) Administrative Enforcement in Saudi Law; NCA Official Gazette Publication (2024).</t>
        </is>
      </c>
      <c r="AN14" s="32" t="inlineStr">
        <is>
          <t>Official: Consult the official source URL in the database for the primary document. Training: ISACA, ISC2, RAPS, IAPP, and HIMSS offer professional development covering most regulatory domains. Estimated hours vary by framework complexity.</t>
        </is>
      </c>
      <c r="AO14" s="33" t="inlineStr">
        <is>
          <t>GH-ICGA positions NCA-REG-2024 as the ENFORCEMENT ENABLER layer — transforms the entire NCA framework stack from advisory to legally binding. Critical for thesis argument that KSA has moved from 'regulation by policy' to 'regulation by law' in healthcare cybersecurity governance.</t>
        </is>
      </c>
      <c r="AP14" s="51" t="inlineStr">
        <is>
          <t>G + C (Governance + Compliance — standard regulatory framework positioning)</t>
        </is>
      </c>
      <c r="AQ14" s="35" t="inlineStr">
        <is>
          <t>Senior management: accountability for framework compliance. Designated compliance officer: monitor requirements. All staff: awareness of applicable obligations</t>
        </is>
      </c>
      <c r="AR14" s="29" t="inlineStr">
        <is>
          <t>Regulatory Risk; Operational Risk; Reputational Risk — specific domains determined by framework scope</t>
        </is>
      </c>
      <c r="AS14" s="22" t="inlineStr">
        <is>
          <t>See official source — legal obligation, regulatory requirement, or voluntary standard as applicable</t>
        </is>
      </c>
      <c r="AT14" s="30" t="inlineStr">
        <is>
          <t>Administrative; Technical; Operational — specific distribution determined by framework content</t>
        </is>
      </c>
      <c r="AU14" s="36" t="inlineStr">
        <is>
          <t>1. Compliance status (compliant/non-compliant). 2. # open findings from last assessment. 3. % controls implemented. 4. Time to remediate findings. 5. Incident rate in framework scope area</t>
        </is>
      </c>
      <c r="AV14" s="37" t="inlineStr">
        <is>
          <t>Self-assessment; internal audit; external assessment as specified by issuing authority</t>
        </is>
      </c>
      <c r="AW14" s="38" t="inlineStr">
        <is>
          <t>ServiceNow GRC; IBM OpenPages; RSA Archer; MetricStream — all major GRC platforms support custom framework import. Contact vendor for framework-specific module</t>
        </is>
      </c>
      <c r="AX14" s="39" t="inlineStr">
        <is>
          <t>Third parties in scope must demonstrate equivalent compliance. Contractual compliance obligations; right-to-audit clauses; annual third-party assessment</t>
        </is>
      </c>
      <c r="AY14" s="40" t="inlineStr">
        <is>
          <t>Non-compliance: regulatory action by issuing authority; fines and penalties as specified; operational and reputational consequences</t>
        </is>
      </c>
      <c r="AZ14" s="37" t="inlineStr">
        <is>
          <t>ALL 17 SECTORS — all NCA framework subjects</t>
        </is>
      </c>
      <c r="BA14" s="34" t="inlineStr">
        <is>
          <t>YES — ALL SECTORS</t>
        </is>
      </c>
      <c r="BB14" s="591">
        <f>IF(E14="","",IF(ISNUMBER(SEARCH("Institutional theory and regulatory governance theory underpin",AI14)),"TEMPLATE",IF(LEN(AI14)&gt;100,"DEEP",IF(AI14="","SPARSE","SHALLOW"))))</f>
        <v/>
      </c>
      <c r="BC14" s="591">
        <f>IF(E14="","",D14&amp;"-"&amp;B14&amp;"-"&amp;E14)</f>
        <v/>
      </c>
      <c r="BD14" s="591">
        <f>IF(E14="","",SUBSTITUTE(SUBSTITUTE(B14&amp;"-"&amp;E14," ",""),":","-"))</f>
        <v/>
      </c>
      <c r="BE14" s="591">
        <f>IF(E14="","",IF(ISNUMBER(SEARCH("ECC",E14)),"NCA-ECC-2-2024",IF(ISNUMBER(SEARCH("OTCC",E14)),"NCA-ECC-2-2024",IF(ISNUMBER(SEARCH("CCC",E14)),"NCA-ECC-2-2024",IF(ISNUMBER(SEARCH("DCC",E14)),"NCA-ECC-2-2024",IF(ISNUMBER(SEARCH("CSCC",E14)),"NCA-ECC-2-2024",IF(ISNUMBER(SEARCH("PDPL-IR",E14)),"PDPL-2021",IF(ISNUMBER(SEARCH("PDPL-DTR",E14)),"PDPL-2021","NONE"))))))))</f>
        <v/>
      </c>
      <c r="BF14" s="594">
        <f>IF(E14="","",IF(BB14="DEEP",10,IF(BB14="SHALLOW",5,IF(BB14="TEMPLATE",3,1)))+IF(N14="HIGHEST",5,IF(N14="HIGH",3,IF(N14="MODERATE",1,0)))+IF(ISNUMBER(SEARCH("Mandatory",L14)),3,0))</f>
        <v/>
      </c>
    </row>
    <row r="15" ht="42" customHeight="1">
      <c r="A15" s="42" t="n">
        <v>12</v>
      </c>
      <c r="B15" s="43" t="inlineStr">
        <is>
          <t>NCA</t>
        </is>
      </c>
      <c r="C15" s="44" t="inlineStr">
        <is>
          <t>National Cybersecurity Authority</t>
        </is>
      </c>
      <c r="D15" s="44" t="inlineStr">
        <is>
          <t>3. Cybersecurity &amp; Data</t>
        </is>
      </c>
      <c r="E15" s="43" t="inlineStr">
        <is>
          <t>NCA-MCSOC</t>
        </is>
      </c>
      <c r="F15" s="45" t="inlineStr">
        <is>
          <t>Managed SOC Policy</t>
        </is>
      </c>
      <c r="G15" s="44" t="inlineStr">
        <is>
          <t>سياسة مراكز العمليات الأمنية المُدارة</t>
        </is>
      </c>
      <c r="H15" s="44" t="inlineStr">
        <is>
          <t>2024</t>
        </is>
      </c>
      <c r="I15" s="46" t="inlineStr">
        <is>
          <t>2024</t>
        </is>
      </c>
      <c r="J15" s="46" t="inlineStr">
        <is>
          <t>N/A</t>
        </is>
      </c>
      <c r="K15" s="44" t="inlineStr">
        <is>
          <t>ISSUES/ENFORCES</t>
        </is>
      </c>
      <c r="L15" s="22" t="inlineStr">
        <is>
          <t>Mandatory Enforcer</t>
        </is>
      </c>
      <c r="M15" s="44" t="inlineStr">
        <is>
          <t>MSOC service providers — hospital SOC services</t>
        </is>
      </c>
      <c r="N15" s="55" t="inlineStr">
        <is>
          <t>MODERATE</t>
        </is>
      </c>
      <c r="O15" s="48" t="inlineStr">
        <is>
          <t>https://nca.gov.sa/en/regulatory-documents/</t>
        </is>
      </c>
      <c r="P15" s="44" t="inlineStr">
        <is>
          <t>NCA official</t>
        </is>
      </c>
      <c r="Q15" s="19" t="inlineStr">
        <is>
          <t>2024 (First issue)</t>
        </is>
      </c>
      <c r="R15" s="19" t="inlineStr">
        <is>
          <t>Requirements for Managed Security Operations Centers. Defines MSOC service delivery standards, SOC analyst qualifications (Saudi nationals required), incident response SLAs, threat intelligence sharing obligations, reporting to NCA CERT. Healthcare SOCs using managed services must ensure vendor compliance</t>
        </is>
      </c>
      <c r="S15" s="21" t="inlineStr">
        <is>
          <t>Issued 2024</t>
        </is>
      </c>
      <c r="T15" s="19" t="inlineStr">
        <is>
          <t>Annual review</t>
        </is>
      </c>
      <c r="U15" s="25" t="inlineStr">
        <is>
          <t>CURRENT</t>
        </is>
      </c>
      <c r="V15" s="19" t="inlineStr">
        <is>
          <t>Penalties defined by issuing authority; consult official source. NCA ECC-2 penalties apply if relevant</t>
        </is>
      </c>
      <c r="W15" s="20" t="inlineStr">
        <is>
          <t>Issuing authority and/or designated inspection department</t>
        </is>
      </c>
      <c r="X15" s="19" t="inlineStr">
        <is>
          <t>As specified in framework scope — consult official document</t>
        </is>
      </c>
      <c r="Y15" s="49" t="inlineStr">
        <is>
          <t>Both (unless specified otherwise in official document)</t>
        </is>
      </c>
      <c r="Z15" s="19" t="inlineStr">
        <is>
          <t>As defined by issuing authority</t>
        </is>
      </c>
      <c r="AA15" s="21" t="inlineStr">
        <is>
          <t>As defined by issuing authority</t>
        </is>
      </c>
      <c r="AB15" s="19" t="inlineStr">
        <is>
          <t>To be determined from framework text — see official source</t>
        </is>
      </c>
      <c r="AC15" s="19" t="inlineStr">
        <is>
          <t>See framework preamble for international standard references</t>
        </is>
      </c>
      <c r="AD15" s="49" t="inlineStr">
        <is>
          <t>Arabic (primary in KSA); English may be available</t>
        </is>
      </c>
      <c r="AE15" s="58" t="inlineStr">
        <is>
          <t>Mapped to relevant GH-ICGA layer — requires manual assessment</t>
        </is>
      </c>
      <c r="AF15" s="56" t="inlineStr">
        <is>
          <t>See official framework for maturity model details</t>
        </is>
      </c>
      <c r="AG15" s="19" t="inlineStr">
        <is>
          <t>Aligned with relevant Vision 2030 programme — see framework context</t>
        </is>
      </c>
      <c r="AH15" s="19" t="inlineStr">
        <is>
          <t>As specified in framework compliance requirements</t>
        </is>
      </c>
      <c r="AI15" s="28" t="inlineStr">
        <is>
          <t>Institutional theory and regulatory governance theory underpin all KSA regulatory frameworks. Specific theoretical basis varies by framework — consult academic literature via Google Scholar using framework name as search term.</t>
        </is>
      </c>
      <c r="AJ15" s="19" t="inlineStr">
        <is>
          <t>Academic debate varies by framework maturity and international adoption. For KSA-specific debate, consult: Almohammad &amp; Wills (2021) J Cybersecurity; Al-Khater et al. (2020) IEEE Access; Baker McKenzie KSA regulatory updates.</t>
        </is>
      </c>
      <c r="AK15" s="29" t="inlineStr">
        <is>
          <t>Known criticisms include: implementation gap between standards and practice; resource constraints for smaller healthcare entities; rapid technology evolution outpacing regulation. Consult framework evaluation literature for specifics.</t>
        </is>
      </c>
      <c r="AL15" s="30" t="inlineStr">
        <is>
          <t>Framework comparison requires contextual analysis. Key comparators: NIST CSF 2.0 (international benchmark), ISO 27001 (certifiable standard), ECC-2 (KSA mandatory baseline). See main database for cross-framework mapping.</t>
        </is>
      </c>
      <c r="AM15" s="31"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5" s="32" t="inlineStr">
        <is>
          <t>Official: Consult the official source URL in the database for the primary document. Training: ISACA, ISC2, RAPS, IAPP, and HIMSS offer professional development covering most regulatory domains. Estimated hours vary by framework complexity.</t>
        </is>
      </c>
      <c r="AO15" s="33" t="inlineStr">
        <is>
          <t>Relevance to GH-ICGA framework varies by layer — see GH-ICGA Layer Mapping column. All KSA mandatory frameworks are compliance inputs to GH-ICGA Layer 4. Frameworks with IoMT-specific provisions directly inform Layers 2 and 3.</t>
        </is>
      </c>
      <c r="AP15" s="51" t="inlineStr">
        <is>
          <t>G + C (Governance + Compliance — standard regulatory framework positioning)</t>
        </is>
      </c>
      <c r="AQ15" s="35" t="inlineStr">
        <is>
          <t>Senior management: accountability for framework compliance. Designated compliance officer: monitor requirements. All staff: awareness of applicable obligations</t>
        </is>
      </c>
      <c r="AR15" s="29" t="inlineStr">
        <is>
          <t>Regulatory Risk; Operational Risk; Reputational Risk — specific domains determined by framework scope</t>
        </is>
      </c>
      <c r="AS15" s="22" t="inlineStr">
        <is>
          <t>See official source — legal obligation, regulatory requirement, or voluntary standard as applicable</t>
        </is>
      </c>
      <c r="AT15" s="30" t="inlineStr">
        <is>
          <t>Administrative; Technical; Operational — specific distribution determined by framework content</t>
        </is>
      </c>
      <c r="AU15" s="36" t="inlineStr">
        <is>
          <t>1. Compliance status (compliant/non-compliant). 2. # open findings from last assessment. 3. % controls implemented. 4. Time to remediate findings. 5. Incident rate in framework scope area</t>
        </is>
      </c>
      <c r="AV15" s="37" t="inlineStr">
        <is>
          <t>Self-assessment; internal audit; external assessment as specified by issuing authority</t>
        </is>
      </c>
      <c r="AW15" s="38" t="inlineStr">
        <is>
          <t>ServiceNow GRC; IBM OpenPages; RSA Archer; MetricStream — all major GRC platforms support custom framework import. Contact vendor for framework-specific module</t>
        </is>
      </c>
      <c r="AX15" s="39" t="inlineStr">
        <is>
          <t>Third parties in scope must demonstrate equivalent compliance. Contractual compliance obligations; right-to-audit clauses; annual third-party assessment</t>
        </is>
      </c>
      <c r="AY15" s="40" t="inlineStr">
        <is>
          <t>Non-compliance: regulatory action by issuing authority; fines and penalties as specified; operational and reputational consequences</t>
        </is>
      </c>
      <c r="AZ15" s="37" t="inlineStr">
        <is>
          <t>Sector-specific — consult official source</t>
        </is>
      </c>
      <c r="BA15" s="41" t="inlineStr">
        <is>
          <t>Sector-Specific</t>
        </is>
      </c>
      <c r="BB15" s="591">
        <f>IF(E15="","",IF(ISNUMBER(SEARCH("Institutional theory and regulatory governance theory underpin",AI15)),"TEMPLATE",IF(LEN(AI15)&gt;100,"DEEP",IF(AI15="","SPARSE","SHALLOW"))))</f>
        <v/>
      </c>
      <c r="BC15" s="591">
        <f>IF(E15="","",D15&amp;"-"&amp;B15&amp;"-"&amp;E15)</f>
        <v/>
      </c>
      <c r="BD15" s="591">
        <f>IF(E15="","",SUBSTITUTE(SUBSTITUTE(B15&amp;"-"&amp;E15," ",""),":","-"))</f>
        <v/>
      </c>
      <c r="BE15" s="591">
        <f>IF(E15="","",IF(ISNUMBER(SEARCH("ECC",E15)),"NCA-ECC-2-2024",IF(ISNUMBER(SEARCH("OTCC",E15)),"NCA-ECC-2-2024",IF(ISNUMBER(SEARCH("CCC",E15)),"NCA-ECC-2-2024",IF(ISNUMBER(SEARCH("DCC",E15)),"NCA-ECC-2-2024",IF(ISNUMBER(SEARCH("CSCC",E15)),"NCA-ECC-2-2024",IF(ISNUMBER(SEARCH("PDPL-IR",E15)),"PDPL-2021",IF(ISNUMBER(SEARCH("PDPL-DTR",E15)),"PDPL-2021","NONE"))))))))</f>
        <v/>
      </c>
      <c r="BF15" s="594">
        <f>IF(E15="","",IF(BB15="DEEP",10,IF(BB15="SHALLOW",5,IF(BB15="TEMPLATE",3,1)))+IF(N15="HIGHEST",5,IF(N15="HIGH",3,IF(N15="MODERATE",1,0)))+IF(ISNUMBER(SEARCH("Mandatory",L15)),3,0))</f>
        <v/>
      </c>
    </row>
    <row r="16" ht="42" customHeight="1">
      <c r="A16" s="17" t="n">
        <v>13</v>
      </c>
      <c r="B16" s="18" t="inlineStr">
        <is>
          <t>NCA</t>
        </is>
      </c>
      <c r="C16" s="19" t="inlineStr">
        <is>
          <t>National Cybersecurity Authority</t>
        </is>
      </c>
      <c r="D16" s="19" t="inlineStr">
        <is>
          <t>3. Cybersecurity &amp; Data</t>
        </is>
      </c>
      <c r="E16" s="18" t="inlineStr">
        <is>
          <t>NCA-CGEC</t>
        </is>
      </c>
      <c r="F16" s="20" t="inlineStr">
        <is>
          <t>Cybersecurity Guidelines for eCommerce</t>
        </is>
      </c>
      <c r="G16" s="19" t="inlineStr">
        <is>
          <t>إرشادات الأمن السيبراني للتجارة الإلكترونية</t>
        </is>
      </c>
      <c r="H16" s="19" t="inlineStr">
        <is>
          <t>2022</t>
        </is>
      </c>
      <c r="I16" s="21" t="inlineStr">
        <is>
          <t>2022</t>
        </is>
      </c>
      <c r="J16" s="21" t="inlineStr">
        <is>
          <t>N/A</t>
        </is>
      </c>
      <c r="K16" s="19" t="inlineStr">
        <is>
          <t>ISSUES/ENFORCES</t>
        </is>
      </c>
      <c r="L16" s="61" t="inlineStr">
        <is>
          <t>Guideline</t>
        </is>
      </c>
      <c r="M16" s="19" t="inlineStr">
        <is>
          <t>E-commerce operators — health app stores, telemedicine platforms</t>
        </is>
      </c>
      <c r="N16" s="57" t="inlineStr">
        <is>
          <t>LOW</t>
        </is>
      </c>
      <c r="O16" s="24" t="inlineStr">
        <is>
          <t>https://nca.gov.sa/en/regulatory-documents/guidelines-list/ccgec/</t>
        </is>
      </c>
      <c r="P16" s="19" t="inlineStr">
        <is>
          <t>NCA official</t>
        </is>
      </c>
      <c r="Q16" s="19" t="inlineStr">
        <is>
          <t>2022 (First issue)</t>
        </is>
      </c>
      <c r="R16" s="19" t="inlineStr">
        <is>
          <t>Guidelines for cybersecurity in e-commerce platforms. Covers payment data protection, customer authentication, fraud detection, incident disclosure. Healthcare application: online pharmacy platforms, telemedicine subscription services, hospital appointment booking portals</t>
        </is>
      </c>
      <c r="S16" s="21" t="inlineStr">
        <is>
          <t>Issued 2022</t>
        </is>
      </c>
      <c r="T16" s="19" t="inlineStr">
        <is>
          <t>Review 2025</t>
        </is>
      </c>
      <c r="U16" s="25" t="inlineStr">
        <is>
          <t>CURRENT — guideline (non-mandatory but best practice)</t>
        </is>
      </c>
      <c r="V16" s="19" t="inlineStr">
        <is>
          <t>Penalties defined by issuing authority; consult official source. NCA ECC-2 penalties apply if relevant</t>
        </is>
      </c>
      <c r="W16" s="20" t="inlineStr">
        <is>
          <t>Issuing authority and/or designated inspection department</t>
        </is>
      </c>
      <c r="X16" s="19" t="inlineStr">
        <is>
          <t>As specified in framework scope — consult official document</t>
        </is>
      </c>
      <c r="Y16" s="49" t="inlineStr">
        <is>
          <t>Both (unless specified otherwise in official document)</t>
        </is>
      </c>
      <c r="Z16" s="19" t="inlineStr">
        <is>
          <t>As defined by issuing authority</t>
        </is>
      </c>
      <c r="AA16" s="21" t="inlineStr">
        <is>
          <t>As defined by issuing authority</t>
        </is>
      </c>
      <c r="AB16" s="19" t="inlineStr">
        <is>
          <t>To be determined from framework text — see official source</t>
        </is>
      </c>
      <c r="AC16" s="19" t="inlineStr">
        <is>
          <t>See framework preamble for international standard references</t>
        </is>
      </c>
      <c r="AD16" s="49" t="inlineStr">
        <is>
          <t>Arabic (primary in KSA); English may be available</t>
        </is>
      </c>
      <c r="AE16" s="58" t="inlineStr">
        <is>
          <t>Mapped to relevant GH-ICGA layer — requires manual assessment</t>
        </is>
      </c>
      <c r="AF16" s="56" t="inlineStr">
        <is>
          <t>See official framework for maturity model details</t>
        </is>
      </c>
      <c r="AG16" s="19" t="inlineStr">
        <is>
          <t>Aligned with relevant Vision 2030 programme — see framework context</t>
        </is>
      </c>
      <c r="AH16" s="19" t="inlineStr">
        <is>
          <t>As specified in framework compliance requirements</t>
        </is>
      </c>
      <c r="AI16" s="28" t="inlineStr">
        <is>
          <t>Institutional theory and regulatory governance theory underpin all KSA regulatory frameworks. Specific theoretical basis varies by framework — consult academic literature via Google Scholar using framework name as search term.</t>
        </is>
      </c>
      <c r="AJ16" s="19" t="inlineStr">
        <is>
          <t>Academic debate varies by framework maturity and international adoption. For KSA-specific debate, consult: Almohammad &amp; Wills (2021) J Cybersecurity; Al-Khater et al. (2020) IEEE Access; Baker McKenzie KSA regulatory updates.</t>
        </is>
      </c>
      <c r="AK16" s="29" t="inlineStr">
        <is>
          <t>Known criticisms include: implementation gap between standards and practice; resource constraints for smaller healthcare entities; rapid technology evolution outpacing regulation. Consult framework evaluation literature for specifics.</t>
        </is>
      </c>
      <c r="AL16" s="30" t="inlineStr">
        <is>
          <t>Framework comparison requires contextual analysis. Key comparators: NIST CSF 2.0 (international benchmark), ISO 27001 (certifiable standard), ECC-2 (KSA mandatory baseline). See main database for cross-framework mapping.</t>
        </is>
      </c>
      <c r="AM16" s="31"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6" s="32" t="inlineStr">
        <is>
          <t>Official: Consult the official source URL in the database for the primary document. Training: ISACA, ISC2, RAPS, IAPP, and HIMSS offer professional development covering most regulatory domains. Estimated hours vary by framework complexity.</t>
        </is>
      </c>
      <c r="AO16" s="33" t="inlineStr">
        <is>
          <t>Relevance to GH-ICGA framework varies by layer — see GH-ICGA Layer Mapping column. All KSA mandatory frameworks are compliance inputs to GH-ICGA Layer 4. Frameworks with IoMT-specific provisions directly inform Layers 2 and 3.</t>
        </is>
      </c>
      <c r="AP16" s="51" t="inlineStr">
        <is>
          <t>G + C (Governance + Compliance — standard regulatory framework positioning)</t>
        </is>
      </c>
      <c r="AQ16" s="35" t="inlineStr">
        <is>
          <t>Senior management: accountability for framework compliance. Designated compliance officer: monitor requirements. All staff: awareness of applicable obligations</t>
        </is>
      </c>
      <c r="AR16" s="29" t="inlineStr">
        <is>
          <t>Regulatory Risk; Operational Risk; Reputational Risk — specific domains determined by framework scope</t>
        </is>
      </c>
      <c r="AS16" s="22" t="inlineStr">
        <is>
          <t>See official source — legal obligation, regulatory requirement, or voluntary standard as applicable</t>
        </is>
      </c>
      <c r="AT16" s="30" t="inlineStr">
        <is>
          <t>Administrative; Technical; Operational — specific distribution determined by framework content</t>
        </is>
      </c>
      <c r="AU16" s="36" t="inlineStr">
        <is>
          <t>1. Compliance status (compliant/non-compliant). 2. # open findings from last assessment. 3. % controls implemented. 4. Time to remediate findings. 5. Incident rate in framework scope area</t>
        </is>
      </c>
      <c r="AV16" s="37" t="inlineStr">
        <is>
          <t>Self-assessment; internal audit; external assessment as specified by issuing authority</t>
        </is>
      </c>
      <c r="AW16" s="38" t="inlineStr">
        <is>
          <t>ServiceNow GRC; IBM OpenPages; RSA Archer; MetricStream — all major GRC platforms support custom framework import. Contact vendor for framework-specific module</t>
        </is>
      </c>
      <c r="AX16" s="39" t="inlineStr">
        <is>
          <t>Third parties in scope must demonstrate equivalent compliance. Contractual compliance obligations; right-to-audit clauses; annual third-party assessment</t>
        </is>
      </c>
      <c r="AY16" s="40" t="inlineStr">
        <is>
          <t>Non-compliance: regulatory action by issuing authority; fines and penalties as specified; operational and reputational consequences</t>
        </is>
      </c>
      <c r="AZ16" s="37" t="inlineStr">
        <is>
          <t>Sector-specific — consult official source</t>
        </is>
      </c>
      <c r="BA16" s="41" t="inlineStr">
        <is>
          <t>Sector-Specific</t>
        </is>
      </c>
      <c r="BB16" s="591">
        <f>IF(E16="","",IF(ISNUMBER(SEARCH("Institutional theory and regulatory governance theory underpin",AI16)),"TEMPLATE",IF(LEN(AI16)&gt;100,"DEEP",IF(AI16="","SPARSE","SHALLOW"))))</f>
        <v/>
      </c>
      <c r="BC16" s="591">
        <f>IF(E16="","",D16&amp;"-"&amp;B16&amp;"-"&amp;E16)</f>
        <v/>
      </c>
      <c r="BD16" s="591">
        <f>IF(E16="","",SUBSTITUTE(SUBSTITUTE(B16&amp;"-"&amp;E16," ",""),":","-"))</f>
        <v/>
      </c>
      <c r="BE16" s="591">
        <f>IF(E16="","",IF(ISNUMBER(SEARCH("ECC",E16)),"NCA-ECC-2-2024",IF(ISNUMBER(SEARCH("OTCC",E16)),"NCA-ECC-2-2024",IF(ISNUMBER(SEARCH("CCC",E16)),"NCA-ECC-2-2024",IF(ISNUMBER(SEARCH("DCC",E16)),"NCA-ECC-2-2024",IF(ISNUMBER(SEARCH("CSCC",E16)),"NCA-ECC-2-2024",IF(ISNUMBER(SEARCH("PDPL-IR",E16)),"PDPL-2021",IF(ISNUMBER(SEARCH("PDPL-DTR",E16)),"PDPL-2021","NONE"))))))))</f>
        <v/>
      </c>
      <c r="BF16" s="594">
        <f>IF(E16="","",IF(BB16="DEEP",10,IF(BB16="SHALLOW",5,IF(BB16="TEMPLATE",3,1)))+IF(N16="HIGHEST",5,IF(N16="HIGH",3,IF(N16="MODERATE",1,0)))+IF(ISNUMBER(SEARCH("Mandatory",L16)),3,0))</f>
        <v/>
      </c>
    </row>
    <row r="17" ht="42" customHeight="1">
      <c r="A17" s="42" t="n">
        <v>14</v>
      </c>
      <c r="B17" s="43" t="inlineStr">
        <is>
          <t>SDAIA</t>
        </is>
      </c>
      <c r="C17" s="44" t="inlineStr">
        <is>
          <t>Saudi Data &amp; AI Authority + NDMO</t>
        </is>
      </c>
      <c r="D17" s="44" t="inlineStr">
        <is>
          <t>3. Cybersecurity &amp; Data</t>
        </is>
      </c>
      <c r="E17" s="43" t="inlineStr">
        <is>
          <t>PDPL-2021</t>
        </is>
      </c>
      <c r="F17" s="45" t="inlineStr">
        <is>
          <t>Personal Data Protection Law</t>
        </is>
      </c>
      <c r="G17" s="44" t="inlineStr">
        <is>
          <t>نظام حماية البيانات الشخصية</t>
        </is>
      </c>
      <c r="H17" s="44" t="inlineStr">
        <is>
          <t>Sep 2021 + Apr 2023</t>
        </is>
      </c>
      <c r="I17" s="46" t="inlineStr">
        <is>
          <t>2021</t>
        </is>
      </c>
      <c r="J17" s="46" t="inlineStr">
        <is>
          <t>45</t>
        </is>
      </c>
      <c r="K17" s="44" t="inlineStr">
        <is>
          <t>ISSUES/ENFORCES</t>
        </is>
      </c>
      <c r="L17" s="22" t="inlineStr">
        <is>
          <t>Mandatory Enforcer</t>
        </is>
      </c>
      <c r="M17" s="44" t="inlineStr">
        <is>
          <t>All organisations processing personal data — health data = sensitive</t>
        </is>
      </c>
      <c r="N17" s="47" t="inlineStr">
        <is>
          <t>HIGHEST</t>
        </is>
      </c>
      <c r="O17" s="48" t="inlineStr">
        <is>
          <t>https://sdaia.gov.sa/en/SDAIA/about/Pages/RegulationsAndPolicies.aspx</t>
        </is>
      </c>
      <c r="P17" s="44" t="inlineStr">
        <is>
          <t>SDAIA official; Baker McKenzie 2025</t>
        </is>
      </c>
      <c r="Q17" s="19" t="inlineStr">
        <is>
          <t>Royal Decree M/19 (16 Sep 2021) → amended Apr 2023</t>
        </is>
      </c>
      <c r="R17" s="19" t="inlineStr">
        <is>
          <t>Original (2021): 19 articles covering consent, data subject rights, controller obligations, sensitive data (health = sensitive), cross-border transfer. Apr 2023 amendment: strengthened enforcement, clarified health data provisions, aligned with PDPL-IR-2023. Grace period for compliance ended Sep 14, 2024. Penalties: up to SAR 5 million fine + 2 years imprisonment for sensitive data breach</t>
        </is>
      </c>
      <c r="S17" s="21" t="inlineStr">
        <is>
          <t>Issued: Sep 2021. Amended: Apr 2023. Fully enforceable: Sep 14, 2024</t>
        </is>
      </c>
      <c r="T17" s="19" t="inlineStr">
        <is>
          <t>SDAIA reviews annually; amendments expected 2025-2026</t>
        </is>
      </c>
      <c r="U17" s="25" t="inlineStr">
        <is>
          <t>CURRENT — fully enforceable since Sep 2024</t>
        </is>
      </c>
      <c r="V17" s="19" t="inlineStr">
        <is>
          <t>Criminal offence: up to 2 years imprisonment + SAR 3M fine for disclosing sensitive data (health data = sensitive); administrative fine up to SAR 5M; mandatory breach notification to SDAIA within 72 hours; data subject compensation claims</t>
        </is>
      </c>
      <c r="W17" s="20" t="inlineStr">
        <is>
          <t>SDAIA — Data Protection Authority (DPA functions); NDMO for government entities; courts for criminal penalties</t>
        </is>
      </c>
      <c r="X17" s="19" t="inlineStr">
        <is>
          <t>Hospital; Clinic; Lab; Pharmacy; Health IT Vendor; Health Insurer; Government Health Entity; Medical Device Manufacturer (all processing patient data)</t>
        </is>
      </c>
      <c r="Y17" s="49" t="inlineStr">
        <is>
          <t>Both + foreign entities processing data of KSA residents</t>
        </is>
      </c>
      <c r="Z17" s="19" t="inlineStr">
        <is>
          <t>SDAIA audit; controller self-assessment; DPO oversight; data subject complaints trigger investigation</t>
        </is>
      </c>
      <c r="AA17" s="21" t="inlineStr">
        <is>
          <t>Continuous (breach notification: 72 hours); annual DPO report; SDAIA random audits</t>
        </is>
      </c>
      <c r="AB17" s="19" t="inlineStr">
        <is>
          <t>12 (IoMT data minimisation; purpose limitation; consent management for wearable data; automated decision-making; data subject rights for IoMT-generated health data; cross-border transfer of IoMT data)</t>
        </is>
      </c>
      <c r="AC17" s="19" t="inlineStr">
        <is>
          <t>GDPR (substantial alignment — adequate protection basis); APEC Privacy Framework; ISO 29100; ISO 27701</t>
        </is>
      </c>
      <c r="AD17" s="49" t="inlineStr">
        <is>
          <t>Arabic (official); English translation (unofficial)</t>
        </is>
      </c>
      <c r="AE17" s="50" t="inlineStr">
        <is>
          <t>Layer 4: Compliance; Layer 2: Risk Management</t>
        </is>
      </c>
      <c r="AF17" s="60" t="inlineStr">
        <is>
          <t>No formal maturity model; SDAIA publishes compliance guidance</t>
        </is>
      </c>
      <c r="AG17" s="19" t="inlineStr">
        <is>
          <t>National Data Strategy; Vision 2030 Digital Economy; Digital Government transformation</t>
        </is>
      </c>
      <c r="AH17" s="19" t="inlineStr">
        <is>
          <t>Privacy notices; consent records; DPO appointment letter; data mapping/flow diagrams; breach notification records; DPIA for health data processing; controller registration</t>
        </is>
      </c>
      <c r="AI17" s="28" t="inlineStr">
        <is>
          <t>Privacy as fundamental right (Warren &amp; Brandeis 1890; Westin 1967). Contextual integrity theory (Nissenbaum 2004): health data flows must match medical context norms. Regulatory theory: data protection authority independence and enforcement. Information asymmetry theory: patients cannot protect their own data without regulation.</t>
        </is>
      </c>
      <c r="AJ17" s="19" t="inlineStr">
        <is>
          <t>FOR: Long-overdue — KSA had no comprehensive data protection law until 2021; health data explicitly protected as sensitive category; aligns KSA with global adequacy standards. AGAINST: Alrawabdeh (2014) and Aldawood &amp; Skinner (2019) documented Saudi privacy culture gap — regulation without public awareness is ineffective; 'GDPR-lite' criticism: exemptions broader than GDPR, enforcement weaker; health data provisions in IR still less specific than UK GDPR Schedule 1 conditions</t>
        </is>
      </c>
      <c r="AK17" s="29" t="inlineStr">
        <is>
          <t>No independent supervisory authority (SDAIA is both promoter and regulator — conflict of interest noted by Baker McKenzie 2025); patient data portability rights weaker than GDPR Article 20; no explicit right to explanation for AI-automated health decisions; cross-border transfer rules changed twice in 12 months (regulatory instability); small healthcare providers lack capacity for DPO requirements</t>
        </is>
      </c>
      <c r="AL17" s="30" t="inlineStr">
        <is>
          <t>PDPL vs GDPR: PDPL penalty lower (SAR 5M vs €20M); PDPL broader government exemptions; GDPR has independent DPA, PDPL does not. PDPL vs HIPAA: PDPL = all personal data (broader); HIPAA = US-specific health data only. PDPL vs UK GDPR: PDPL misses explicit Schedule 1 health data conditions. PDPL ahead of HIPAA on consent granularity; behind GDPR on enforcement independence</t>
        </is>
      </c>
      <c r="AM17" s="31" t="inlineStr">
        <is>
          <t>Baker McKenzie (2025) Saudi Arabia PDPL Global Data &amp; Cyber Handbook; Alrawabdeh W (2014) 'Internet and Social Media Challenges in Arab World' EJSR; Westin AF (1967) Privacy and Freedom NY Atheneum; Nissenbaum H (2004) 'Privacy as Contextual Integrity' Washington Law Review 79(1); CMS Law (2025) Saudi Arabia Data Protection &amp; Cybersecurity Expert Guide Oct 2025</t>
        </is>
      </c>
      <c r="AN17" s="32" t="inlineStr">
        <is>
          <t>Official: SDAIA website (sdaia.gov.sa) — Arabic + English. Training: IAPP CIPM/CIPP/E (privacy certifications applicable); OneTrust PDPL compliance course; Baker McKenzie PDPL compliance guide. Language: Arabic primary — strong Arabic reading recommended. Estimated: 50 hours for health sector DPO competence</t>
        </is>
      </c>
      <c r="AO17" s="33" t="inlineStr">
        <is>
          <t>PRIMARY driver for GH-ICGA Layer 4 (Compliance) — PDPL is the legal foundation for patient data governance in the preliminary GH-ICGA framework. Thesis argument: GH-ICGA Layer 4 operationalises PDPL requirements into IoMT-specific controls (consent management for wearable data; purpose limitation for monitoring streams; breach response for connected device incidents)</t>
        </is>
      </c>
      <c r="AP17" s="51" t="inlineStr">
        <is>
          <t>G + C (Governance + Compliance — strong compliance driver; risk implicit)</t>
        </is>
      </c>
      <c r="AQ17" s="35" t="inlineStr">
        <is>
          <t>Board/CEO: ultimate accountability for PDPL compliance. DPO: mandatory for large-scale health data processors — reports to highest management level. Privacy Committee: cross-functional oversight. All staff processing personal data: mandatory privacy awareness training annually</t>
        </is>
      </c>
      <c r="AR17" s="29" t="inlineStr">
        <is>
          <t>Privacy Risk (PRIMARY); Legal/Regulatory Risk; Reputational Risk; Strategic Risk (data monetisation constraints); Cross-Border Risk (data transfer restrictions)</t>
        </is>
      </c>
      <c r="AS17" s="22" t="inlineStr">
        <is>
          <t>LEGAL — Royal Decree M/19 2021 + Implementing Regulations Sep 2023. Criminal: imprisonment up to 2 years + SAR 3M fine for sensitive data disclosure. Administrative: SAR 5M maximum fine. Civil: data subject compensation claims</t>
        </is>
      </c>
      <c r="AT17" s="30" t="inlineStr">
        <is>
          <t>Administrative (A): consent management; privacy notices; DPO appointment; DPIA process; breach notification procedure. Technical (T): data minimisation; pseudonymisation; access controls for personal data; encryption. Operational (O): data retention enforcement; data subject rights fulfilment process; cross-border transfer review</t>
        </is>
      </c>
      <c r="AU17" s="36" t="inlineStr">
        <is>
          <t>1. # data subject rights requests fulfilled on time (target: 100% within 30 days). 2. # data breaches notified to SDAIA within 72h (target: 100%). 3. % staff completed privacy training (target: 100%). 4. # DPIAs completed for high-risk processing activities. 5. Data retention compliance rate (% records within policy). 6. % third-party processors with DPA agreements</t>
        </is>
      </c>
      <c r="AV17" s="37" t="inlineStr">
        <is>
          <t>Annual DPIA review; data mapping audit (controller record validation); consent record audit; breach response simulation (tabletop); access control review for personal data systems; third-party processor audit; SDAIA compliance self-assessment</t>
        </is>
      </c>
      <c r="AW17" s="38" t="inlineStr">
        <is>
          <t>OneTrust (market leader for PDPL); TrustArc; Nymity; DataGrail; Varonis (data discovery); Microsoft Purview (data classification). SDAIA National Data Governance Platform for registration. Arabic-capable tools preferred</t>
        </is>
      </c>
      <c r="AX17" s="39" t="inlineStr">
        <is>
          <t>All third-party data processors must have Data Processing Agreement (DPA). Processors must demonstrate equivalent PDPL compliance. Cross-border transfers require adequacy assessment or appropriate safeguards. Sub-processor disclosure mandatory. Annual processor risk assessment required</t>
        </is>
      </c>
      <c r="AY17" s="40" t="inlineStr">
        <is>
          <t>Non-compliance: SAR 5M administrative fine; criminal prosecution for sensitive data breach; SDAIA investigation; mandatory breach public disclosure. Business disruption: SDAIA can order processing suspension. Reputational: patient trust damage. Market: EU adequate protection status depends on PDPL enforcement credibility</t>
        </is>
      </c>
      <c r="AZ17" s="37" t="inlineStr">
        <is>
          <t>ALL 17 SECTORS — any entity processing personal data</t>
        </is>
      </c>
      <c r="BA17" s="34" t="inlineStr">
        <is>
          <t>YES — ALL SECTORS</t>
        </is>
      </c>
      <c r="BB17" s="591">
        <f>IF(E17="","",IF(ISNUMBER(SEARCH("Institutional theory and regulatory governance theory underpin",AI17)),"TEMPLATE",IF(LEN(AI17)&gt;100,"DEEP",IF(AI17="","SPARSE","SHALLOW"))))</f>
        <v/>
      </c>
      <c r="BC17" s="591">
        <f>IF(E17="","",D17&amp;"-"&amp;B17&amp;"-"&amp;E17)</f>
        <v/>
      </c>
      <c r="BD17" s="591">
        <f>IF(E17="","",SUBSTITUTE(SUBSTITUTE(B17&amp;"-"&amp;E17," ",""),":","-"))</f>
        <v/>
      </c>
      <c r="BE17" s="591">
        <f>IF(E17="","",IF(ISNUMBER(SEARCH("ECC",E17)),"NCA-ECC-2-2024",IF(ISNUMBER(SEARCH("OTCC",E17)),"NCA-ECC-2-2024",IF(ISNUMBER(SEARCH("CCC",E17)),"NCA-ECC-2-2024",IF(ISNUMBER(SEARCH("DCC",E17)),"NCA-ECC-2-2024",IF(ISNUMBER(SEARCH("CSCC",E17)),"NCA-ECC-2-2024",IF(ISNUMBER(SEARCH("PDPL-IR",E17)),"PDPL-2021",IF(ISNUMBER(SEARCH("PDPL-DTR",E17)),"PDPL-2021","NONE"))))))))</f>
        <v/>
      </c>
      <c r="BF17" s="594">
        <f>IF(E17="","",IF(BB17="DEEP",10,IF(BB17="SHALLOW",5,IF(BB17="TEMPLATE",3,1)))+IF(N17="HIGHEST",5,IF(N17="HIGH",3,IF(N17="MODERATE",1,0)))+IF(ISNUMBER(SEARCH("Mandatory",L17)),3,0))</f>
        <v/>
      </c>
    </row>
    <row r="18" ht="42" customHeight="1">
      <c r="A18" s="17" t="n">
        <v>15</v>
      </c>
      <c r="B18" s="18" t="inlineStr">
        <is>
          <t>SDAIA</t>
        </is>
      </c>
      <c r="C18" s="19" t="inlineStr">
        <is>
          <t>Saudi Data &amp; AI Authority + NDMO</t>
        </is>
      </c>
      <c r="D18" s="19" t="inlineStr">
        <is>
          <t>3. Cybersecurity &amp; Data</t>
        </is>
      </c>
      <c r="E18" s="18" t="inlineStr">
        <is>
          <t>PDPL-IR-2023</t>
        </is>
      </c>
      <c r="F18" s="20" t="inlineStr">
        <is>
          <t>PDPL Implementing Regulations</t>
        </is>
      </c>
      <c r="G18" s="19" t="inlineStr">
        <is>
          <t>اللائحة التنفيذية لنظام حماية البيانات</t>
        </is>
      </c>
      <c r="H18" s="19" t="inlineStr">
        <is>
          <t>7 Sep 2023</t>
        </is>
      </c>
      <c r="I18" s="21" t="inlineStr">
        <is>
          <t>2023</t>
        </is>
      </c>
      <c r="J18" s="21" t="inlineStr">
        <is>
          <t>89</t>
        </is>
      </c>
      <c r="K18" s="19" t="inlineStr">
        <is>
          <t>ISSUES/ENFORCES</t>
        </is>
      </c>
      <c r="L18" s="22" t="inlineStr">
        <is>
          <t>Mandatory Enforcer</t>
        </is>
      </c>
      <c r="M18" s="19" t="inlineStr">
        <is>
          <t>All PDPL-scope entities — fully enforced Sep 2024</t>
        </is>
      </c>
      <c r="N18" s="23" t="inlineStr">
        <is>
          <t>HIGHEST</t>
        </is>
      </c>
      <c r="O18" s="24" t="inlineStr">
        <is>
          <t>https://sdaia.gov.sa/en/SDAIA/about/Pages/RegulationsAndPolicies.aspx</t>
        </is>
      </c>
      <c r="P18" s="19" t="inlineStr">
        <is>
          <t>SDAIA official; DLA Piper 2024</t>
        </is>
      </c>
      <c r="Q18" s="19" t="inlineStr">
        <is>
          <t>Issued 7 Sep 2023 (22/2/1445H); multiple ministerial updates to Jun 2025</t>
        </is>
      </c>
      <c r="R18" s="19" t="inlineStr">
        <is>
          <t>89 detailed implementing articles. Key provisions: health data requires explicit consent + necessity justification; DPO mandatory for large-scale health data processors; 72-hour breach notification to SDAIA; cross-border transfer assessment; individual rights (access, correction, deletion, objection); registration obligation for certain controllers. Updates to Jun 2025 clarified breach notification and international transfer rules</t>
        </is>
      </c>
      <c r="S18" s="21" t="inlineStr">
        <is>
          <t>Issued: Sep 7, 2023. In force with PDPL: Sep 14, 2024</t>
        </is>
      </c>
      <c r="T18" s="19" t="inlineStr">
        <is>
          <t>SDAIA issues ministerial decisions periodically; next major update expected 2025</t>
        </is>
      </c>
      <c r="U18" s="25" t="inlineStr">
        <is>
          <t>CURRENT — with amendments to Jun 2025</t>
        </is>
      </c>
      <c r="V18" s="19" t="inlineStr">
        <is>
          <t>Same as PDPL-2021 — implementing regulation adds specificity to penalties; breach notification failure = separate penalty up to SAR 5M</t>
        </is>
      </c>
      <c r="W18" s="20" t="inlineStr">
        <is>
          <t>SDAIA (primary); NDMO (government entities); sector regulators may co-enforce (MOH for health data)</t>
        </is>
      </c>
      <c r="X18" s="19" t="inlineStr">
        <is>
          <t>All processing health data — Hospital; Clinic; Lab; Pharmacy; Health IT Vendor; Health Insurer</t>
        </is>
      </c>
      <c r="Y18" s="22" t="inlineStr">
        <is>
          <t>Both</t>
        </is>
      </c>
      <c r="Z18" s="19" t="inlineStr">
        <is>
          <t>SDAIA compliance audit; DPO internal audit; third-party DPIA</t>
        </is>
      </c>
      <c r="AA18" s="21" t="inlineStr">
        <is>
          <t>Annual DPO report; SDAIA audit (risk-based); breach-triggered</t>
        </is>
      </c>
      <c r="AB18" s="19" t="inlineStr">
        <is>
          <t>14 (health data provisions: consent specificity for IoMT wearables; purpose limitation for connected device data; data retention limits for IoMT streams; cross-border IoMT data transfer controls)</t>
        </is>
      </c>
      <c r="AC18" s="19" t="inlineStr">
        <is>
          <t>GDPR Articles 5-9 (closely mirrored); ISO 27701:2019</t>
        </is>
      </c>
      <c r="AD18" s="49" t="inlineStr">
        <is>
          <t>Arabic (official); English translation available from SDAIA</t>
        </is>
      </c>
      <c r="AE18" s="56" t="inlineStr">
        <is>
          <t>Layer 4: Compliance</t>
        </is>
      </c>
      <c r="AF18" s="60" t="inlineStr">
        <is>
          <t>No formal maturity model</t>
        </is>
      </c>
      <c r="AG18" s="19" t="inlineStr">
        <is>
          <t>National Data Strategy; Privacy framework for digital health</t>
        </is>
      </c>
      <c r="AH18" s="19" t="inlineStr">
        <is>
          <t>DPIA reports; consent records with timestamps; health data processing register; DPO appointment; breach notification log</t>
        </is>
      </c>
      <c r="AI18" s="28" t="inlineStr">
        <is>
          <t>Information privacy theory (Westin 1967): privacy as informational self-determination. Contextual integrity (Nissenbaum 2010): appropriate information flows depend on context — healthcare data flows have stricter norms than commercial. Institutional theory: PDPL Implementing Regulations represent coercive isomorphism from GDPR model adapted to KSA legal tradition (Sharia-compatible data subject rights).</t>
        </is>
      </c>
      <c r="AJ18" s="19" t="inlineStr">
        <is>
          <t>FOR: PDPL-IR provides operational specificity missing from PDPL-2021 (DPO appointment, DPIA methodology, breach notification 72hr rule paralleling GDPR); Arabic-first drafting ensures local legal enforceability; health data classified as 'sensitive' with explicit consent requirements. AGAINST: 72hr breach notification is considered too tight for complex healthcare breaches (EU experience shows average discovery-to-report of 5-7 days); DPIA methodology lacks healthcare-specific guidance for patient data processing in research contexts.</t>
        </is>
      </c>
      <c r="AK18" s="29" t="inlineStr">
        <is>
          <t>Criticisms: (1) No explicit exemption for health research — creates friction between KACST research mandates and PDPL consent requirements; (2) DPO qualification requirements undefined — no certification or experience standard specified; (3) Cross-border data transfer assessment (PDPL-DTR) referenced but was not yet published when IR took effect — temporal gap; (4) No sector-specific guidance for healthcare (unlike EU GDPR Article 9 health data provisions which have years of DPA guidance); (5) Penalty schedule for IR violations not yet published by SDAIA.</t>
        </is>
      </c>
      <c r="AL18" s="30" t="inlineStr">
        <is>
          <t>Framework comparison requires contextual analysis. Key comparators: NIST CSF 2.0 (international benchmark), ISO 27001 (certifiable standard), ECC-2 (KSA mandatory baseline). See main database for cross-framework mapping.</t>
        </is>
      </c>
      <c r="AM18" s="31" t="inlineStr">
        <is>
          <t>Westin (1967) Privacy and Freedom; Nissenbaum (2010) Privacy in Context; SDAIA Official Implementing Regulations (2023); Bird &amp; Bird (2024) KSA PDPL Analysis; Al-Jasser &amp; Smith (2024) Data Protection in GCC States; IAPP (2024) KSA PDPL Implementation Guide.</t>
        </is>
      </c>
      <c r="AN18" s="32" t="inlineStr">
        <is>
          <t>Official: Consult the official source URL in the database for the primary document. Training: ISACA, ISC2, RAPS, IAPP, and HIMSS offer professional development covering most regulatory domains. Estimated hours vary by framework complexity.</t>
        </is>
      </c>
      <c r="AO18" s="33" t="inlineStr">
        <is>
          <t>GH-ICGA positions PDPL-IR as the OPERATIONAL PRIVACY LAYER — converts PDPL-2021 principles into auditable controls. Critical for healthcare IoT: every connected medical device generating patient data triggers PDPL-IR requirements (consent, purpose limitation, retention). Thesis argues PDPL-IR + PDPL-DTR together create a 'privacy compliance sandwich' that healthcare entities must navigate alongside NCA cybersecurity controls.</t>
        </is>
      </c>
      <c r="AP18" s="62" t="inlineStr">
        <is>
          <t>C (primary Compliance instrument — implementing detail for PDPL governance)</t>
        </is>
      </c>
      <c r="AQ18" s="35" t="inlineStr">
        <is>
          <t>DPO: must be notified to SDAIA; independence from operational decision-making; access to senior management. Health data: additional justification beyond consent required (medical necessity; public health). Controller registration: mandatory for specified categories (large-scale health data processors)</t>
        </is>
      </c>
      <c r="AR18" s="29" t="inlineStr">
        <is>
          <t>Privacy Risk; Legal Risk; Operational Risk (compliance machinery); Cross-Border Data Transfer Risk</t>
        </is>
      </c>
      <c r="AS18" s="22" t="inlineStr">
        <is>
          <t>LEGAL — Implementing regulation of PDPL. Same sanctions as PDPL-2021. Ministerial decisions update periodically (latest Jun 2025)</t>
        </is>
      </c>
      <c r="AT18" s="30" t="inlineStr">
        <is>
          <t>Administrative: health data processing justification documentation; DPO notification to SDAIA; controller registration. Technical: health data access logs. Operational: individual rights fulfilment workflow; breach notification process</t>
        </is>
      </c>
      <c r="AU18" s="36" t="inlineStr">
        <is>
          <t>1. % health data processing activities with documented legal basis. 2. DPO notification status (registered with SDAIA: Y/N). 3. Controller registration status (if applicable). 4. # DPIA register entries for health IoMT data. 5. Average days to fulfil data subject rights request</t>
        </is>
      </c>
      <c r="AV18" s="37" t="inlineStr">
        <is>
          <t>SDAIA compliance audit; DPO internal audit; legal basis review; controller registration verification; health data processing register audit</t>
        </is>
      </c>
      <c r="AW18" s="38" t="inlineStr">
        <is>
          <t>OneTrust; TrustArc; Microsoft Purview — same tools as PDPL-2021. SDAIA data governance platform for controller registration</t>
        </is>
      </c>
      <c r="AX18" s="39" t="inlineStr">
        <is>
          <t>Same as PDPL-2021 + health data processor must demonstrate specific health data controls</t>
        </is>
      </c>
      <c r="AY18" s="40" t="inlineStr">
        <is>
          <t>Failure to register: SAR 5M fine. Failure to appoint DPO: enforcement action. Failure to notify breach: separate penalty. Compounding: PDPL-2021 + IR-2023 violations can attract cumulative penalties</t>
        </is>
      </c>
      <c r="AZ18" s="37" t="inlineStr">
        <is>
          <t>ALL 17 SECTORS — any entity processing personal data</t>
        </is>
      </c>
      <c r="BA18" s="34" t="inlineStr">
        <is>
          <t>YES — ALL SECTORS</t>
        </is>
      </c>
      <c r="BB18" s="591">
        <f>IF(E18="","",IF(ISNUMBER(SEARCH("Institutional theory and regulatory governance theory underpin",AI18)),"TEMPLATE",IF(LEN(AI18)&gt;100,"DEEP",IF(AI18="","SPARSE","SHALLOW"))))</f>
        <v/>
      </c>
      <c r="BC18" s="591">
        <f>IF(E18="","",D18&amp;"-"&amp;B18&amp;"-"&amp;E18)</f>
        <v/>
      </c>
      <c r="BD18" s="591">
        <f>IF(E18="","",SUBSTITUTE(SUBSTITUTE(B18&amp;"-"&amp;E18," ",""),":","-"))</f>
        <v/>
      </c>
      <c r="BE18" s="591">
        <f>IF(E18="","",IF(ISNUMBER(SEARCH("ECC",E18)),"NCA-ECC-2-2024",IF(ISNUMBER(SEARCH("OTCC",E18)),"NCA-ECC-2-2024",IF(ISNUMBER(SEARCH("CCC",E18)),"NCA-ECC-2-2024",IF(ISNUMBER(SEARCH("DCC",E18)),"NCA-ECC-2-2024",IF(ISNUMBER(SEARCH("CSCC",E18)),"NCA-ECC-2-2024",IF(ISNUMBER(SEARCH("PDPL-IR",E18)),"PDPL-2021",IF(ISNUMBER(SEARCH("PDPL-DTR",E18)),"PDPL-2021","NONE"))))))))</f>
        <v/>
      </c>
      <c r="BF18" s="594">
        <f>IF(E18="","",IF(BB18="DEEP",10,IF(BB18="SHALLOW",5,IF(BB18="TEMPLATE",3,1)))+IF(N18="HIGHEST",5,IF(N18="HIGH",3,IF(N18="MODERATE",1,0)))+IF(ISNUMBER(SEARCH("Mandatory",L18)),3,0))</f>
        <v/>
      </c>
    </row>
    <row r="19" ht="42" customHeight="1">
      <c r="A19" s="42" t="n">
        <v>16</v>
      </c>
      <c r="B19" s="43" t="inlineStr">
        <is>
          <t>SDAIA</t>
        </is>
      </c>
      <c r="C19" s="44" t="inlineStr">
        <is>
          <t>Saudi Data &amp; AI Authority + NDMO</t>
        </is>
      </c>
      <c r="D19" s="44" t="inlineStr">
        <is>
          <t>3. Cybersecurity &amp; Data</t>
        </is>
      </c>
      <c r="E19" s="43" t="inlineStr">
        <is>
          <t>PDPL-DTR-2024</t>
        </is>
      </c>
      <c r="F19" s="45" t="inlineStr">
        <is>
          <t>Data Transfer Regulation (revised)</t>
        </is>
      </c>
      <c r="G19" s="44" t="inlineStr">
        <is>
          <t>لائحة نقل البيانات الشخصية</t>
        </is>
      </c>
      <c r="H19" s="44" t="inlineStr">
        <is>
          <t>Sep 2024</t>
        </is>
      </c>
      <c r="I19" s="46" t="inlineStr">
        <is>
          <t>2023</t>
        </is>
      </c>
      <c r="J19" s="46" t="inlineStr">
        <is>
          <t>12</t>
        </is>
      </c>
      <c r="K19" s="44" t="inlineStr">
        <is>
          <t>ISSUES/ENFORCES</t>
        </is>
      </c>
      <c r="L19" s="22" t="inlineStr">
        <is>
          <t>Mandatory Enforcer</t>
        </is>
      </c>
      <c r="M19" s="44" t="inlineStr">
        <is>
          <t>All organisations transferring personal data outside KSA — cloud health data</t>
        </is>
      </c>
      <c r="N19" s="47" t="inlineStr">
        <is>
          <t>HIGHEST</t>
        </is>
      </c>
      <c r="O19" s="48" t="inlineStr">
        <is>
          <t>https://sdaia.gov.sa/en/SDAIA/about/Pages/RegulationsAndPolicies.aspx</t>
        </is>
      </c>
      <c r="P19" s="44" t="inlineStr">
        <is>
          <t>SDAIA Sep 2024; Baker McKenzie 2025</t>
        </is>
      </c>
      <c r="Q19" s="19" t="inlineStr">
        <is>
          <t>DTR v1: Sep 7, 2023 → DTR v2 (replacement): Sep 1, 2024</t>
        </is>
      </c>
      <c r="R19" s="19" t="inlineStr">
        <is>
          <t>v1 (Sep 2023): Initial data transfer regulation allowing transfers via adequacy, contractual clauses, consent, or necessity. v2 (Sep 1, 2024): Complete replacement. Significant change: removed automatic adequacy for certain jurisdictions; introduced mandatory risk assessment before any cross-border health data transfer; controller accountability strengthened; specific provisions for cloud-hosted patient data transferred to overseas servers</t>
        </is>
      </c>
      <c r="S19" s="21" t="inlineStr">
        <is>
          <t>DTR v1: Sep 2023. DTR v2 (replacement): Sep 1, 2024</t>
        </is>
      </c>
      <c r="T19" s="19" t="inlineStr">
        <is>
          <t>Annual review by SDAIA; adequacy list publication expected 2025</t>
        </is>
      </c>
      <c r="U19" s="25" t="inlineStr">
        <is>
          <t>CURRENT — DTR v2 (Sep 2024)</t>
        </is>
      </c>
      <c r="V19" s="19" t="inlineStr">
        <is>
          <t>Penalties defined by issuing authority; consult official source. NCA ECC-2 penalties apply if relevant</t>
        </is>
      </c>
      <c r="W19" s="20" t="inlineStr">
        <is>
          <t>Issuing authority and/or designated inspection department</t>
        </is>
      </c>
      <c r="X19" s="19" t="inlineStr">
        <is>
          <t>As specified in framework scope — consult official document</t>
        </is>
      </c>
      <c r="Y19" s="49" t="inlineStr">
        <is>
          <t>Both (unless specified otherwise in official document)</t>
        </is>
      </c>
      <c r="Z19" s="19" t="inlineStr">
        <is>
          <t>As defined by issuing authority</t>
        </is>
      </c>
      <c r="AA19" s="21" t="inlineStr">
        <is>
          <t>As defined by issuing authority</t>
        </is>
      </c>
      <c r="AB19" s="19" t="inlineStr">
        <is>
          <t>To be determined from framework text — see official source</t>
        </is>
      </c>
      <c r="AC19" s="19" t="inlineStr">
        <is>
          <t>See framework preamble for international standard references</t>
        </is>
      </c>
      <c r="AD19" s="49" t="inlineStr">
        <is>
          <t>Arabic (primary in KSA); English may be available</t>
        </is>
      </c>
      <c r="AE19" s="58" t="inlineStr">
        <is>
          <t>Mapped to relevant GH-ICGA layer — requires manual assessment</t>
        </is>
      </c>
      <c r="AF19" s="56" t="inlineStr">
        <is>
          <t>See official framework for maturity model details</t>
        </is>
      </c>
      <c r="AG19" s="19" t="inlineStr">
        <is>
          <t>Aligned with relevant Vision 2030 programme — see framework context</t>
        </is>
      </c>
      <c r="AH19" s="19" t="inlineStr">
        <is>
          <t>As specified in framework compliance requirements</t>
        </is>
      </c>
      <c r="AI19" s="28" t="inlineStr">
        <is>
          <t>Data sovereignty theory: state control over citizen data flows as expression of digital sovereignty (Couture &amp; Toupin 2019). Adequacy determination theory (EU model): cross-border transfers permitted only to jurisdictions with 'adequate' protection. Islamic jurisprudence: data as trust (amana) — cross-border transfer requires preservation of trust obligations.</t>
        </is>
      </c>
      <c r="AJ19" s="19" t="inlineStr">
        <is>
          <t>FOR: PDPL-DTR v2 (Sep 2024) introduces risk-based cross-border assessment — proportionate approach avoiding EU GDPR's blanket prohibition model; explicitly addresses cloud hosting (critical for KSA's cloud-first healthcare strategy); allows transfers for medical emergencies without full assessment. AGAINST: Adequacy list not yet published — creates legal uncertainty for international health data sharing; assessment methodology requires entity-level evaluation (expensive for SME healthcare providers); no mutual recognition framework with GCC states despite similar PDPL models.</t>
        </is>
      </c>
      <c r="AK19" s="29" t="inlineStr">
        <is>
          <t>Criticisms: (1) No published adequacy list as of 2025 — every cross-border transfer requires individual assessment; (2) Assessment methodology is resource-intensive — estimated 40-80 FTE hours per transfer relationship; (3) Telemedicine providers face particular burden — each international specialist consultation may constitute a 'transfer'; (4) Health research collaborations with international universities (KAUST partnerships) require complex transfer impact assessments; (5) Cloud data residency requirements interact with NCA CCC cloud controls — dual compliance pathway unclear.</t>
        </is>
      </c>
      <c r="AL19" s="30" t="inlineStr">
        <is>
          <t>Framework comparison requires contextual analysis. Key comparators: NIST CSF 2.0 (international benchmark), ISO 27001 (certifiable standard), ECC-2 (KSA mandatory baseline). See main database for cross-framework mapping.</t>
        </is>
      </c>
      <c r="AM19" s="31" t="inlineStr">
        <is>
          <t>Couture &amp; Toupin (2019) Digital Sovereignty; SDAIA PDPL Data Transfer Regulations v2 (Sep 2024); Greenleaf (2023) Global Data Privacy Laws; Al-Ahmad (2024) Cross-Border Data Flows in the GCC; IAPP (2025) KSA DTR Implementation Analysis.</t>
        </is>
      </c>
      <c r="AN19" s="32" t="inlineStr">
        <is>
          <t>Official: Consult the official source URL in the database for the primary document. Training: ISACA, ISC2, RAPS, IAPP, and HIMSS offer professional development covering most regulatory domains. Estimated hours vary by framework complexity.</t>
        </is>
      </c>
      <c r="AO19" s="33" t="inlineStr">
        <is>
          <t>GH-ICGA positions PDPL-DTR as the SOVEREIGNTY BOUNDARY CONTROL — governs where KSA health data can flow internationally. Critical intersection with NCA CCC (cloud) and NHIC NABIDH (health exchange). Thesis argues DTR creates a 'data sovereignty moat' that protects KSA health data while potentially fragmenting international health research collaboration.</t>
        </is>
      </c>
      <c r="AP19" s="51" t="inlineStr">
        <is>
          <t>G + C (Governance + Compliance — standard regulatory framework positioning)</t>
        </is>
      </c>
      <c r="AQ19" s="35" t="inlineStr">
        <is>
          <t>Senior management: accountability for framework compliance. Designated compliance officer: monitor requirements. All staff: awareness of applicable obligations</t>
        </is>
      </c>
      <c r="AR19" s="29" t="inlineStr">
        <is>
          <t>Regulatory Risk; Operational Risk; Reputational Risk — specific domains determined by framework scope</t>
        </is>
      </c>
      <c r="AS19" s="22" t="inlineStr">
        <is>
          <t>See official source — legal obligation, regulatory requirement, or voluntary standard as applicable</t>
        </is>
      </c>
      <c r="AT19" s="30" t="inlineStr">
        <is>
          <t>Administrative; Technical; Operational — specific distribution determined by framework content</t>
        </is>
      </c>
      <c r="AU19" s="36" t="inlineStr">
        <is>
          <t>1. Compliance status (compliant/non-compliant). 2. # open findings from last assessment. 3. % controls implemented. 4. Time to remediate findings. 5. Incident rate in framework scope area</t>
        </is>
      </c>
      <c r="AV19" s="37" t="inlineStr">
        <is>
          <t>Self-assessment; internal audit; external assessment as specified by issuing authority</t>
        </is>
      </c>
      <c r="AW19" s="38" t="inlineStr">
        <is>
          <t>ServiceNow GRC; IBM OpenPages; RSA Archer; MetricStream — all major GRC platforms support custom framework import. Contact vendor for framework-specific module</t>
        </is>
      </c>
      <c r="AX19" s="39" t="inlineStr">
        <is>
          <t>Third parties in scope must demonstrate equivalent compliance. Contractual compliance obligations; right-to-audit clauses; annual third-party assessment</t>
        </is>
      </c>
      <c r="AY19" s="40" t="inlineStr">
        <is>
          <t>Non-compliance: regulatory action by issuing authority; fines and penalties as specified; operational and reputational consequences</t>
        </is>
      </c>
      <c r="AZ19" s="37" t="inlineStr">
        <is>
          <t>Sector-specific — consult official source</t>
        </is>
      </c>
      <c r="BA19" s="41" t="inlineStr">
        <is>
          <t>Sector-Specific</t>
        </is>
      </c>
      <c r="BB19" s="591">
        <f>IF(E19="","",IF(ISNUMBER(SEARCH("Institutional theory and regulatory governance theory underpin",AI19)),"TEMPLATE",IF(LEN(AI19)&gt;100,"DEEP",IF(AI19="","SPARSE","SHALLOW"))))</f>
        <v/>
      </c>
      <c r="BC19" s="591">
        <f>IF(E19="","",D19&amp;"-"&amp;B19&amp;"-"&amp;E19)</f>
        <v/>
      </c>
      <c r="BD19" s="591">
        <f>IF(E19="","",SUBSTITUTE(SUBSTITUTE(B19&amp;"-"&amp;E19," ",""),":","-"))</f>
        <v/>
      </c>
      <c r="BE19" s="591">
        <f>IF(E19="","",IF(ISNUMBER(SEARCH("ECC",E19)),"NCA-ECC-2-2024",IF(ISNUMBER(SEARCH("OTCC",E19)),"NCA-ECC-2-2024",IF(ISNUMBER(SEARCH("CCC",E19)),"NCA-ECC-2-2024",IF(ISNUMBER(SEARCH("DCC",E19)),"NCA-ECC-2-2024",IF(ISNUMBER(SEARCH("CSCC",E19)),"NCA-ECC-2-2024",IF(ISNUMBER(SEARCH("PDPL-IR",E19)),"PDPL-2021",IF(ISNUMBER(SEARCH("PDPL-DTR",E19)),"PDPL-2021","NONE"))))))))</f>
        <v/>
      </c>
      <c r="BF19" s="594">
        <f>IF(E19="","",IF(BB19="DEEP",10,IF(BB19="SHALLOW",5,IF(BB19="TEMPLATE",3,1)))+IF(N19="HIGHEST",5,IF(N19="HIGH",3,IF(N19="MODERATE",1,0)))+IF(ISNUMBER(SEARCH("Mandatory",L19)),3,0))</f>
        <v/>
      </c>
    </row>
    <row r="20" ht="42" customHeight="1">
      <c r="A20" s="17" t="n">
        <v>17</v>
      </c>
      <c r="B20" s="18" t="inlineStr">
        <is>
          <t>SDAIA</t>
        </is>
      </c>
      <c r="C20" s="19" t="inlineStr">
        <is>
          <t>Saudi Data &amp; AI Authority + NDMO</t>
        </is>
      </c>
      <c r="D20" s="19" t="inlineStr">
        <is>
          <t>3. Cybersecurity &amp; Data</t>
        </is>
      </c>
      <c r="E20" s="18" t="inlineStr">
        <is>
          <t>NDMO-DGF</t>
        </is>
      </c>
      <c r="F20" s="20" t="inlineStr">
        <is>
          <t>National Data Governance Framework</t>
        </is>
      </c>
      <c r="G20" s="19" t="inlineStr">
        <is>
          <t>إطار حوكمة البيانات الوطني</t>
        </is>
      </c>
      <c r="H20" s="19" t="inlineStr">
        <is>
          <t>2021 updated</t>
        </is>
      </c>
      <c r="I20" s="21" t="inlineStr">
        <is>
          <t>2021</t>
        </is>
      </c>
      <c r="J20" s="21" t="inlineStr">
        <is>
          <t>28</t>
        </is>
      </c>
      <c r="K20" s="19" t="inlineStr">
        <is>
          <t>ISSUES/ENFORCES</t>
        </is>
      </c>
      <c r="L20" s="22" t="inlineStr">
        <is>
          <t>Mandatory Enforcer</t>
        </is>
      </c>
      <c r="M20" s="19" t="inlineStr">
        <is>
          <t>All government entities — health data classification</t>
        </is>
      </c>
      <c r="N20" s="52" t="inlineStr">
        <is>
          <t>HIGH</t>
        </is>
      </c>
      <c r="O20" s="24" t="inlineStr">
        <is>
          <t>https://sdaia.gov.sa/en/SDAIA/about/Pages/RegulationsAndPolicies.aspx</t>
        </is>
      </c>
      <c r="P20" s="19" t="inlineStr">
        <is>
          <t>SDAIA/NDMO official</t>
        </is>
      </c>
      <c r="Q20" s="19" t="inlineStr">
        <is>
          <t>First approved 2021 by SDAIA Board; updated 2022</t>
        </is>
      </c>
      <c r="R20" s="19" t="inlineStr">
        <is>
          <t>28 governance obligations. Covers data ownership, data stewardship, metadata management, data quality standards, data sharing protocols between government entities. Critical for health data interoperability between MOH, NHIC, CBAHI, CCHI systems. Mandates Data Governance Officer role in government entities</t>
        </is>
      </c>
      <c r="S20" s="21" t="inlineStr">
        <is>
          <t>Approved: 2021. Updated: 2022</t>
        </is>
      </c>
      <c r="T20" s="19" t="inlineStr">
        <is>
          <t>Biennial review</t>
        </is>
      </c>
      <c r="U20" s="25" t="inlineStr">
        <is>
          <t>CURRENT</t>
        </is>
      </c>
      <c r="V20" s="19" t="inlineStr">
        <is>
          <t>Penalties defined by issuing authority; consult official source. NCA ECC-2 penalties apply if relevant</t>
        </is>
      </c>
      <c r="W20" s="20" t="inlineStr">
        <is>
          <t>Issuing authority and/or designated inspection department</t>
        </is>
      </c>
      <c r="X20" s="19" t="inlineStr">
        <is>
          <t>As specified in framework scope — consult official document</t>
        </is>
      </c>
      <c r="Y20" s="49" t="inlineStr">
        <is>
          <t>Both (unless specified otherwise in official document)</t>
        </is>
      </c>
      <c r="Z20" s="19" t="inlineStr">
        <is>
          <t>As defined by issuing authority</t>
        </is>
      </c>
      <c r="AA20" s="21" t="inlineStr">
        <is>
          <t>As defined by issuing authority</t>
        </is>
      </c>
      <c r="AB20" s="19" t="inlineStr">
        <is>
          <t>To be determined from framework text — see official source</t>
        </is>
      </c>
      <c r="AC20" s="19" t="inlineStr">
        <is>
          <t>See framework preamble for international standard references</t>
        </is>
      </c>
      <c r="AD20" s="49" t="inlineStr">
        <is>
          <t>Arabic (primary in KSA); English may be available</t>
        </is>
      </c>
      <c r="AE20" s="58" t="inlineStr">
        <is>
          <t>Mapped to relevant GH-ICGA layer — requires manual assessment</t>
        </is>
      </c>
      <c r="AF20" s="56" t="inlineStr">
        <is>
          <t>See official framework for maturity model details</t>
        </is>
      </c>
      <c r="AG20" s="19" t="inlineStr">
        <is>
          <t>Aligned with relevant Vision 2030 programme — see framework context</t>
        </is>
      </c>
      <c r="AH20" s="19" t="inlineStr">
        <is>
          <t>As specified in framework compliance requirements</t>
        </is>
      </c>
      <c r="AI20" s="28" t="inlineStr">
        <is>
          <t>Institutional theory and regulatory governance theory underpin all KSA regulatory frameworks. Specific theoretical basis varies by framework — consult academic literature via Google Scholar using framework name as search term.</t>
        </is>
      </c>
      <c r="AJ20" s="19" t="inlineStr">
        <is>
          <t>Academic debate varies by framework maturity and international adoption. For KSA-specific debate, consult: Almohammad &amp; Wills (2021) J Cybersecurity; Al-Khater et al. (2020) IEEE Access; Baker McKenzie KSA regulatory updates.</t>
        </is>
      </c>
      <c r="AK20" s="29" t="inlineStr">
        <is>
          <t>Known criticisms include: implementation gap between standards and practice; resource constraints for smaller healthcare entities; rapid technology evolution outpacing regulation. Consult framework evaluation literature for specifics.</t>
        </is>
      </c>
      <c r="AL20" s="30" t="inlineStr">
        <is>
          <t>Framework comparison requires contextual analysis. Key comparators: NIST CSF 2.0 (international benchmark), ISO 27001 (certifiable standard), ECC-2 (KSA mandatory baseline). See main database for cross-framework mapping.</t>
        </is>
      </c>
      <c r="AM20" s="31"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0" s="32" t="inlineStr">
        <is>
          <t>Official: Consult the official source URL in the database for the primary document. Training: ISACA, ISC2, RAPS, IAPP, and HIMSS offer professional development covering most regulatory domains. Estimated hours vary by framework complexity.</t>
        </is>
      </c>
      <c r="AO20" s="33" t="inlineStr">
        <is>
          <t>Relevance to GH-ICGA framework varies by layer — see GH-ICGA Layer Mapping column. All KSA mandatory frameworks are compliance inputs to GH-ICGA Layer 4. Frameworks with IoMT-specific provisions directly inform Layers 2 and 3.</t>
        </is>
      </c>
      <c r="AP20" s="51" t="inlineStr">
        <is>
          <t>G + C (Governance + Compliance — standard regulatory framework positioning)</t>
        </is>
      </c>
      <c r="AQ20" s="35" t="inlineStr">
        <is>
          <t>Senior management: accountability for framework compliance. Designated compliance officer: monitor requirements. All staff: awareness of applicable obligations</t>
        </is>
      </c>
      <c r="AR20" s="29" t="inlineStr">
        <is>
          <t>Regulatory Risk; Operational Risk; Reputational Risk — specific domains determined by framework scope</t>
        </is>
      </c>
      <c r="AS20" s="22" t="inlineStr">
        <is>
          <t>See official source — legal obligation, regulatory requirement, or voluntary standard as applicable</t>
        </is>
      </c>
      <c r="AT20" s="30" t="inlineStr">
        <is>
          <t>Administrative; Technical; Operational — specific distribution determined by framework content</t>
        </is>
      </c>
      <c r="AU20" s="36" t="inlineStr">
        <is>
          <t>1. Compliance status (compliant/non-compliant). 2. # open findings from last assessment. 3. % controls implemented. 4. Time to remediate findings. 5. Incident rate in framework scope area</t>
        </is>
      </c>
      <c r="AV20" s="37" t="inlineStr">
        <is>
          <t>Self-assessment; internal audit; external assessment as specified by issuing authority</t>
        </is>
      </c>
      <c r="AW20" s="38" t="inlineStr">
        <is>
          <t>ServiceNow GRC; IBM OpenPages; RSA Archer; MetricStream — all major GRC platforms support custom framework import. Contact vendor for framework-specific module</t>
        </is>
      </c>
      <c r="AX20" s="39" t="inlineStr">
        <is>
          <t>Third parties in scope must demonstrate equivalent compliance. Contractual compliance obligations; right-to-audit clauses; annual third-party assessment</t>
        </is>
      </c>
      <c r="AY20" s="40" t="inlineStr">
        <is>
          <t>Non-compliance: regulatory action by issuing authority; fines and penalties as specified; operational and reputational consequences</t>
        </is>
      </c>
      <c r="AZ20" s="37" t="inlineStr">
        <is>
          <t>ALL SECTORS (government entities)</t>
        </is>
      </c>
      <c r="BA20" s="34" t="inlineStr">
        <is>
          <t>YES — ALL SECTORS</t>
        </is>
      </c>
      <c r="BB20" s="591">
        <f>IF(E20="","",IF(ISNUMBER(SEARCH("Institutional theory and regulatory governance theory underpin",AI20)),"TEMPLATE",IF(LEN(AI20)&gt;100,"DEEP",IF(AI20="","SPARSE","SHALLOW"))))</f>
        <v/>
      </c>
      <c r="BC20" s="591">
        <f>IF(E20="","",D20&amp;"-"&amp;B20&amp;"-"&amp;E20)</f>
        <v/>
      </c>
      <c r="BD20" s="591">
        <f>IF(E20="","",SUBSTITUTE(SUBSTITUTE(B20&amp;"-"&amp;E20," ",""),":","-"))</f>
        <v/>
      </c>
      <c r="BE20" s="591">
        <f>IF(E20="","",IF(ISNUMBER(SEARCH("ECC",E20)),"NCA-ECC-2-2024",IF(ISNUMBER(SEARCH("OTCC",E20)),"NCA-ECC-2-2024",IF(ISNUMBER(SEARCH("CCC",E20)),"NCA-ECC-2-2024",IF(ISNUMBER(SEARCH("DCC",E20)),"NCA-ECC-2-2024",IF(ISNUMBER(SEARCH("CSCC",E20)),"NCA-ECC-2-2024",IF(ISNUMBER(SEARCH("PDPL-IR",E20)),"PDPL-2021",IF(ISNUMBER(SEARCH("PDPL-DTR",E20)),"PDPL-2021","NONE"))))))))</f>
        <v/>
      </c>
      <c r="BF20" s="594">
        <f>IF(E20="","",IF(BB20="DEEP",10,IF(BB20="SHALLOW",5,IF(BB20="TEMPLATE",3,1)))+IF(N20="HIGHEST",5,IF(N20="HIGH",3,IF(N20="MODERATE",1,0)))+IF(ISNUMBER(SEARCH("Mandatory",L20)),3,0))</f>
        <v/>
      </c>
    </row>
    <row r="21" ht="42" customHeight="1">
      <c r="A21" s="42" t="n">
        <v>18</v>
      </c>
      <c r="B21" s="43" t="inlineStr">
        <is>
          <t>SDAIA</t>
        </is>
      </c>
      <c r="C21" s="44" t="inlineStr">
        <is>
          <t>Saudi Data &amp; AI Authority + NDMO</t>
        </is>
      </c>
      <c r="D21" s="44" t="inlineStr">
        <is>
          <t>3. Cybersecurity &amp; Data</t>
        </is>
      </c>
      <c r="E21" s="43" t="inlineStr">
        <is>
          <t>NDMO-DCP</t>
        </is>
      </c>
      <c r="F21" s="45" t="inlineStr">
        <is>
          <t>Data Classification Policy</t>
        </is>
      </c>
      <c r="G21" s="44" t="inlineStr">
        <is>
          <t>سياسة تصنيف البيانات</t>
        </is>
      </c>
      <c r="H21" s="44" t="inlineStr">
        <is>
          <t>2021</t>
        </is>
      </c>
      <c r="I21" s="46" t="inlineStr">
        <is>
          <t>2021</t>
        </is>
      </c>
      <c r="J21" s="46" t="inlineStr">
        <is>
          <t>15</t>
        </is>
      </c>
      <c r="K21" s="44" t="inlineStr">
        <is>
          <t>ISSUES/ENFORCES</t>
        </is>
      </c>
      <c r="L21" s="22" t="inlineStr">
        <is>
          <t>Mandatory Enforcer</t>
        </is>
      </c>
      <c r="M21" s="44" t="inlineStr">
        <is>
          <t>All public entities — patient records classification mandatory</t>
        </is>
      </c>
      <c r="N21" s="54" t="inlineStr">
        <is>
          <t>HIGH</t>
        </is>
      </c>
      <c r="O21" s="48" t="inlineStr">
        <is>
          <t>https://sdaia.gov.sa/en/SDAIA/about/Pages/RegulationsAndPolicies.aspx</t>
        </is>
      </c>
      <c r="P21" s="44" t="inlineStr">
        <is>
          <t>SDAIA/NDMO official</t>
        </is>
      </c>
      <c r="Q21" s="19" t="inlineStr">
        <is>
          <t>Issued 2021 (first version)</t>
        </is>
      </c>
      <c r="R21" s="19" t="inlineStr">
        <is>
          <t>4-level classification: Public / Internal Use / Confidential / Restricted. Patient health records = Confidential minimum; genetic data, mental health records = Restricted. Drives handling, storage, transmission, and disposal requirements across government health systems</t>
        </is>
      </c>
      <c r="S21" s="21" t="inlineStr">
        <is>
          <t>Issued: 2021</t>
        </is>
      </c>
      <c r="T21" s="19" t="inlineStr">
        <is>
          <t>Review 2024-2025</t>
        </is>
      </c>
      <c r="U21" s="25" t="inlineStr">
        <is>
          <t>CURRENT</t>
        </is>
      </c>
      <c r="V21" s="19" t="inlineStr">
        <is>
          <t>Penalties defined by issuing authority; consult official source. NCA ECC-2 penalties apply if relevant</t>
        </is>
      </c>
      <c r="W21" s="20" t="inlineStr">
        <is>
          <t>Issuing authority and/or designated inspection department</t>
        </is>
      </c>
      <c r="X21" s="19" t="inlineStr">
        <is>
          <t>As specified in framework scope — consult official document</t>
        </is>
      </c>
      <c r="Y21" s="49" t="inlineStr">
        <is>
          <t>Both (unless specified otherwise in official document)</t>
        </is>
      </c>
      <c r="Z21" s="19" t="inlineStr">
        <is>
          <t>As defined by issuing authority</t>
        </is>
      </c>
      <c r="AA21" s="21" t="inlineStr">
        <is>
          <t>As defined by issuing authority</t>
        </is>
      </c>
      <c r="AB21" s="19" t="inlineStr">
        <is>
          <t>To be determined from framework text — see official source</t>
        </is>
      </c>
      <c r="AC21" s="19" t="inlineStr">
        <is>
          <t>See framework preamble for international standard references</t>
        </is>
      </c>
      <c r="AD21" s="49" t="inlineStr">
        <is>
          <t>Arabic (primary in KSA); English may be available</t>
        </is>
      </c>
      <c r="AE21" s="58" t="inlineStr">
        <is>
          <t>Mapped to relevant GH-ICGA layer — requires manual assessment</t>
        </is>
      </c>
      <c r="AF21" s="56" t="inlineStr">
        <is>
          <t>See official framework for maturity model details</t>
        </is>
      </c>
      <c r="AG21" s="19" t="inlineStr">
        <is>
          <t>Aligned with relevant Vision 2030 programme — see framework context</t>
        </is>
      </c>
      <c r="AH21" s="19" t="inlineStr">
        <is>
          <t>As specified in framework compliance requirements</t>
        </is>
      </c>
      <c r="AI21" s="28" t="inlineStr">
        <is>
          <t>Institutional theory and regulatory governance theory underpin all KSA regulatory frameworks. Specific theoretical basis varies by framework — consult academic literature via Google Scholar using framework name as search term.</t>
        </is>
      </c>
      <c r="AJ21" s="19" t="inlineStr">
        <is>
          <t>Academic debate varies by framework maturity and international adoption. For KSA-specific debate, consult: Almohammad &amp; Wills (2021) J Cybersecurity; Al-Khater et al. (2020) IEEE Access; Baker McKenzie KSA regulatory updates.</t>
        </is>
      </c>
      <c r="AK21" s="29" t="inlineStr">
        <is>
          <t>Known criticisms include: implementation gap between standards and practice; resource constraints for smaller healthcare entities; rapid technology evolution outpacing regulation. Consult framework evaluation literature for specifics.</t>
        </is>
      </c>
      <c r="AL21" s="30" t="inlineStr">
        <is>
          <t>Framework comparison requires contextual analysis. Key comparators: NIST CSF 2.0 (international benchmark), ISO 27001 (certifiable standard), ECC-2 (KSA mandatory baseline). See main database for cross-framework mapping.</t>
        </is>
      </c>
      <c r="AM21" s="31"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1" s="32" t="inlineStr">
        <is>
          <t>Official: Consult the official source URL in the database for the primary document. Training: ISACA, ISC2, RAPS, IAPP, and HIMSS offer professional development covering most regulatory domains. Estimated hours vary by framework complexity.</t>
        </is>
      </c>
      <c r="AO21" s="33" t="inlineStr">
        <is>
          <t>Relevance to GH-ICGA framework varies by layer — see GH-ICGA Layer Mapping column. All KSA mandatory frameworks are compliance inputs to GH-ICGA Layer 4. Frameworks with IoMT-specific provisions directly inform Layers 2 and 3.</t>
        </is>
      </c>
      <c r="AP21" s="51" t="inlineStr">
        <is>
          <t>G + C (Governance + Compliance — standard regulatory framework positioning)</t>
        </is>
      </c>
      <c r="AQ21" s="35" t="inlineStr">
        <is>
          <t>Senior management: accountability for framework compliance. Designated compliance officer: monitor requirements. All staff: awareness of applicable obligations</t>
        </is>
      </c>
      <c r="AR21" s="29" t="inlineStr">
        <is>
          <t>Regulatory Risk; Operational Risk; Reputational Risk — specific domains determined by framework scope</t>
        </is>
      </c>
      <c r="AS21" s="22" t="inlineStr">
        <is>
          <t>See official source — legal obligation, regulatory requirement, or voluntary standard as applicable</t>
        </is>
      </c>
      <c r="AT21" s="30" t="inlineStr">
        <is>
          <t>Administrative; Technical; Operational — specific distribution determined by framework content</t>
        </is>
      </c>
      <c r="AU21" s="36" t="inlineStr">
        <is>
          <t>1. Compliance status (compliant/non-compliant). 2. # open findings from last assessment. 3. % controls implemented. 4. Time to remediate findings. 5. Incident rate in framework scope area</t>
        </is>
      </c>
      <c r="AV21" s="37" t="inlineStr">
        <is>
          <t>Self-assessment; internal audit; external assessment as specified by issuing authority</t>
        </is>
      </c>
      <c r="AW21" s="38" t="inlineStr">
        <is>
          <t>ServiceNow GRC; IBM OpenPages; RSA Archer; MetricStream — all major GRC platforms support custom framework import. Contact vendor for framework-specific module</t>
        </is>
      </c>
      <c r="AX21" s="39" t="inlineStr">
        <is>
          <t>Third parties in scope must demonstrate equivalent compliance. Contractual compliance obligations; right-to-audit clauses; annual third-party assessment</t>
        </is>
      </c>
      <c r="AY21" s="40" t="inlineStr">
        <is>
          <t>Non-compliance: regulatory action by issuing authority; fines and penalties as specified; operational and reputational consequences</t>
        </is>
      </c>
      <c r="AZ21" s="37" t="inlineStr">
        <is>
          <t>ALL SECTORS (government entities)</t>
        </is>
      </c>
      <c r="BA21" s="34" t="inlineStr">
        <is>
          <t>YES — ALL SECTORS</t>
        </is>
      </c>
      <c r="BB21" s="591">
        <f>IF(E21="","",IF(ISNUMBER(SEARCH("Institutional theory and regulatory governance theory underpin",AI21)),"TEMPLATE",IF(LEN(AI21)&gt;100,"DEEP",IF(AI21="","SPARSE","SHALLOW"))))</f>
        <v/>
      </c>
      <c r="BC21" s="591">
        <f>IF(E21="","",D21&amp;"-"&amp;B21&amp;"-"&amp;E21)</f>
        <v/>
      </c>
      <c r="BD21" s="591">
        <f>IF(E21="","",SUBSTITUTE(SUBSTITUTE(B21&amp;"-"&amp;E21," ",""),":","-"))</f>
        <v/>
      </c>
      <c r="BE21" s="591">
        <f>IF(E21="","",IF(ISNUMBER(SEARCH("ECC",E21)),"NCA-ECC-2-2024",IF(ISNUMBER(SEARCH("OTCC",E21)),"NCA-ECC-2-2024",IF(ISNUMBER(SEARCH("CCC",E21)),"NCA-ECC-2-2024",IF(ISNUMBER(SEARCH("DCC",E21)),"NCA-ECC-2-2024",IF(ISNUMBER(SEARCH("CSCC",E21)),"NCA-ECC-2-2024",IF(ISNUMBER(SEARCH("PDPL-IR",E21)),"PDPL-2021",IF(ISNUMBER(SEARCH("PDPL-DTR",E21)),"PDPL-2021","NONE"))))))))</f>
        <v/>
      </c>
      <c r="BF21" s="594">
        <f>IF(E21="","",IF(BB21="DEEP",10,IF(BB21="SHALLOW",5,IF(BB21="TEMPLATE",3,1)))+IF(N21="HIGHEST",5,IF(N21="HIGH",3,IF(N21="MODERATE",1,0)))+IF(ISNUMBER(SEARCH("Mandatory",L21)),3,0))</f>
        <v/>
      </c>
    </row>
    <row r="22" ht="42" customHeight="1">
      <c r="A22" s="17" t="n">
        <v>19</v>
      </c>
      <c r="B22" s="18" t="inlineStr">
        <is>
          <t>SDAIA</t>
        </is>
      </c>
      <c r="C22" s="19" t="inlineStr">
        <is>
          <t>Saudi Data &amp; AI Authority + NDMO</t>
        </is>
      </c>
      <c r="D22" s="19" t="inlineStr">
        <is>
          <t>3. Cybersecurity &amp; Data</t>
        </is>
      </c>
      <c r="E22" s="18" t="inlineStr">
        <is>
          <t>NDMO-NDGIR</t>
        </is>
      </c>
      <c r="F22" s="20" t="inlineStr">
        <is>
          <t>National Data Governance Interim Regulations</t>
        </is>
      </c>
      <c r="G22" s="19" t="inlineStr">
        <is>
          <t>اللوائح المؤقتة لحوكمة البيانات</t>
        </is>
      </c>
      <c r="H22" s="19" t="inlineStr">
        <is>
          <t>2020</t>
        </is>
      </c>
      <c r="I22" s="21" t="inlineStr">
        <is>
          <t>2020</t>
        </is>
      </c>
      <c r="J22" s="21" t="inlineStr">
        <is>
          <t>N/A</t>
        </is>
      </c>
      <c r="K22" s="19" t="inlineStr">
        <is>
          <t>ISSUES/ENFORCES</t>
        </is>
      </c>
      <c r="L22" s="22" t="inlineStr">
        <is>
          <t>Mandatory Enforcer</t>
        </is>
      </c>
      <c r="M22" s="19" t="inlineStr">
        <is>
          <t>Government entities — data governance baseline</t>
        </is>
      </c>
      <c r="N22" s="52" t="inlineStr">
        <is>
          <t>HIGH</t>
        </is>
      </c>
      <c r="O22" s="24" t="inlineStr">
        <is>
          <t>https://sdaia.gov.sa/en/SDAIA/about/Pages/RegulationsAndPolicies.aspx</t>
        </is>
      </c>
      <c r="P22" s="19" t="inlineStr">
        <is>
          <t>CMS Law Oct 2025</t>
        </is>
      </c>
      <c r="Q22" s="19" t="inlineStr">
        <is>
          <t>Issued 2020 (interim, pre-PDPL)</t>
        </is>
      </c>
      <c r="R22" s="19" t="inlineStr">
        <is>
          <t>Interim data governance regulations covering government data management prior to PDPL. Still operative for government-to-government data sharing aspects not fully covered by PDPL. Covers national data registry, data sharing agreements between ministries</t>
        </is>
      </c>
      <c r="S22" s="21" t="inlineStr">
        <is>
          <t>Issued: 2020</t>
        </is>
      </c>
      <c r="T22" s="19" t="inlineStr">
        <is>
          <t>Will be superseded by full NDMO Data Governance Regulations post-PDPL implementation</t>
        </is>
      </c>
      <c r="U22" s="25" t="inlineStr">
        <is>
          <t>CURRENT — interim, partial supersession by PDPL-IR-2023</t>
        </is>
      </c>
      <c r="V22" s="19" t="inlineStr">
        <is>
          <t>Penalties defined by issuing authority; consult official source. NCA ECC-2 penalties apply if relevant</t>
        </is>
      </c>
      <c r="W22" s="20" t="inlineStr">
        <is>
          <t>Issuing authority and/or designated inspection department</t>
        </is>
      </c>
      <c r="X22" s="19" t="inlineStr">
        <is>
          <t>As specified in framework scope — consult official document</t>
        </is>
      </c>
      <c r="Y22" s="49" t="inlineStr">
        <is>
          <t>Both (unless specified otherwise in official document)</t>
        </is>
      </c>
      <c r="Z22" s="19" t="inlineStr">
        <is>
          <t>As defined by issuing authority</t>
        </is>
      </c>
      <c r="AA22" s="21" t="inlineStr">
        <is>
          <t>As defined by issuing authority</t>
        </is>
      </c>
      <c r="AB22" s="19" t="inlineStr">
        <is>
          <t>To be determined from framework text — see official source</t>
        </is>
      </c>
      <c r="AC22" s="19" t="inlineStr">
        <is>
          <t>See framework preamble for international standard references</t>
        </is>
      </c>
      <c r="AD22" s="49" t="inlineStr">
        <is>
          <t>Arabic (primary in KSA); English may be available</t>
        </is>
      </c>
      <c r="AE22" s="58" t="inlineStr">
        <is>
          <t>Mapped to relevant GH-ICGA layer — requires manual assessment</t>
        </is>
      </c>
      <c r="AF22" s="56" t="inlineStr">
        <is>
          <t>See official framework for maturity model details</t>
        </is>
      </c>
      <c r="AG22" s="19" t="inlineStr">
        <is>
          <t>Aligned with relevant Vision 2030 programme — see framework context</t>
        </is>
      </c>
      <c r="AH22" s="19" t="inlineStr">
        <is>
          <t>As specified in framework compliance requirements</t>
        </is>
      </c>
      <c r="AI22" s="28" t="inlineStr">
        <is>
          <t>Institutional theory and regulatory governance theory underpin all KSA regulatory frameworks. Specific theoretical basis varies by framework — consult academic literature via Google Scholar using framework name as search term.</t>
        </is>
      </c>
      <c r="AJ22" s="19" t="inlineStr">
        <is>
          <t>Academic debate varies by framework maturity and international adoption. For KSA-specific debate, consult: Almohammad &amp; Wills (2021) J Cybersecurity; Al-Khater et al. (2020) IEEE Access; Baker McKenzie KSA regulatory updates.</t>
        </is>
      </c>
      <c r="AK22" s="29" t="inlineStr">
        <is>
          <t>Known criticisms include: implementation gap between standards and practice; resource constraints for smaller healthcare entities; rapid technology evolution outpacing regulation. Consult framework evaluation literature for specifics.</t>
        </is>
      </c>
      <c r="AL22" s="30" t="inlineStr">
        <is>
          <t>Framework comparison requires contextual analysis. Key comparators: NIST CSF 2.0 (international benchmark), ISO 27001 (certifiable standard), ECC-2 (KSA mandatory baseline). See main database for cross-framework mapping.</t>
        </is>
      </c>
      <c r="AM22" s="31"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2" s="32" t="inlineStr">
        <is>
          <t>Official: Consult the official source URL in the database for the primary document. Training: ISACA, ISC2, RAPS, IAPP, and HIMSS offer professional development covering most regulatory domains. Estimated hours vary by framework complexity.</t>
        </is>
      </c>
      <c r="AO22" s="33" t="inlineStr">
        <is>
          <t>Relevance to GH-ICGA framework varies by layer — see GH-ICGA Layer Mapping column. All KSA mandatory frameworks are compliance inputs to GH-ICGA Layer 4. Frameworks with IoMT-specific provisions directly inform Layers 2 and 3.</t>
        </is>
      </c>
      <c r="AP22" s="51" t="inlineStr">
        <is>
          <t>G + C (Governance + Compliance — standard regulatory framework positioning)</t>
        </is>
      </c>
      <c r="AQ22" s="35" t="inlineStr">
        <is>
          <t>Senior management: accountability for framework compliance. Designated compliance officer: monitor requirements. All staff: awareness of applicable obligations</t>
        </is>
      </c>
      <c r="AR22" s="29" t="inlineStr">
        <is>
          <t>Regulatory Risk; Operational Risk; Reputational Risk — specific domains determined by framework scope</t>
        </is>
      </c>
      <c r="AS22" s="22" t="inlineStr">
        <is>
          <t>See official source — legal obligation, regulatory requirement, or voluntary standard as applicable</t>
        </is>
      </c>
      <c r="AT22" s="30" t="inlineStr">
        <is>
          <t>Administrative; Technical; Operational — specific distribution determined by framework content</t>
        </is>
      </c>
      <c r="AU22" s="36" t="inlineStr">
        <is>
          <t>1. Compliance status (compliant/non-compliant). 2. # open findings from last assessment. 3. % controls implemented. 4. Time to remediate findings. 5. Incident rate in framework scope area</t>
        </is>
      </c>
      <c r="AV22" s="37" t="inlineStr">
        <is>
          <t>Self-assessment; internal audit; external assessment as specified by issuing authority</t>
        </is>
      </c>
      <c r="AW22" s="38" t="inlineStr">
        <is>
          <t>ServiceNow GRC; IBM OpenPages; RSA Archer; MetricStream — all major GRC platforms support custom framework import. Contact vendor for framework-specific module</t>
        </is>
      </c>
      <c r="AX22" s="39" t="inlineStr">
        <is>
          <t>Third parties in scope must demonstrate equivalent compliance. Contractual compliance obligations; right-to-audit clauses; annual third-party assessment</t>
        </is>
      </c>
      <c r="AY22" s="40" t="inlineStr">
        <is>
          <t>Non-compliance: regulatory action by issuing authority; fines and penalties as specified; operational and reputational consequences</t>
        </is>
      </c>
      <c r="AZ22" s="37" t="inlineStr">
        <is>
          <t>Sector-specific — consult official source</t>
        </is>
      </c>
      <c r="BA22" s="41" t="inlineStr">
        <is>
          <t>Sector-Specific</t>
        </is>
      </c>
      <c r="BB22" s="591">
        <f>IF(E22="","",IF(ISNUMBER(SEARCH("Institutional theory and regulatory governance theory underpin",AI22)),"TEMPLATE",IF(LEN(AI22)&gt;100,"DEEP",IF(AI22="","SPARSE","SHALLOW"))))</f>
        <v/>
      </c>
      <c r="BC22" s="591">
        <f>IF(E22="","",D22&amp;"-"&amp;B22&amp;"-"&amp;E22)</f>
        <v/>
      </c>
      <c r="BD22" s="591">
        <f>IF(E22="","",SUBSTITUTE(SUBSTITUTE(B22&amp;"-"&amp;E22," ",""),":","-"))</f>
        <v/>
      </c>
      <c r="BE22" s="591">
        <f>IF(E22="","",IF(ISNUMBER(SEARCH("ECC",E22)),"NCA-ECC-2-2024",IF(ISNUMBER(SEARCH("OTCC",E22)),"NCA-ECC-2-2024",IF(ISNUMBER(SEARCH("CCC",E22)),"NCA-ECC-2-2024",IF(ISNUMBER(SEARCH("DCC",E22)),"NCA-ECC-2-2024",IF(ISNUMBER(SEARCH("CSCC",E22)),"NCA-ECC-2-2024",IF(ISNUMBER(SEARCH("PDPL-IR",E22)),"PDPL-2021",IF(ISNUMBER(SEARCH("PDPL-DTR",E22)),"PDPL-2021","NONE"))))))))</f>
        <v/>
      </c>
      <c r="BF22" s="594">
        <f>IF(E22="","",IF(BB22="DEEP",10,IF(BB22="SHALLOW",5,IF(BB22="TEMPLATE",3,1)))+IF(N22="HIGHEST",5,IF(N22="HIGH",3,IF(N22="MODERATE",1,0)))+IF(ISNUMBER(SEARCH("Mandatory",L22)),3,0))</f>
        <v/>
      </c>
    </row>
    <row r="23" ht="42" customHeight="1">
      <c r="A23" s="42" t="n">
        <v>20</v>
      </c>
      <c r="B23" s="43" t="inlineStr">
        <is>
          <t>SDAIA</t>
        </is>
      </c>
      <c r="C23" s="44" t="inlineStr">
        <is>
          <t>Saudi Data &amp; AI Authority + NDMO</t>
        </is>
      </c>
      <c r="D23" s="44" t="inlineStr">
        <is>
          <t>3. Cybersecurity &amp; Data</t>
        </is>
      </c>
      <c r="E23" s="43" t="inlineStr">
        <is>
          <t>SDAIA-AI-ETH</t>
        </is>
      </c>
      <c r="F23" s="45" t="inlineStr">
        <is>
          <t>AI Ethics Principles (2nd Ed.)</t>
        </is>
      </c>
      <c r="G23" s="44" t="inlineStr">
        <is>
          <t>مبادئ أخلاقيات الذكاء الاصطناعي</t>
        </is>
      </c>
      <c r="H23" s="44" t="inlineStr">
        <is>
          <t>2nd Ed. late 2023</t>
        </is>
      </c>
      <c r="I23" s="46" t="inlineStr">
        <is>
          <t>2019</t>
        </is>
      </c>
      <c r="J23" s="46" t="inlineStr">
        <is>
          <t>N/A</t>
        </is>
      </c>
      <c r="K23" s="44" t="inlineStr">
        <is>
          <t>ISSUES/ENFORCES</t>
        </is>
      </c>
      <c r="L23" s="61" t="inlineStr">
        <is>
          <t>Guideline</t>
        </is>
      </c>
      <c r="M23" s="44" t="inlineStr">
        <is>
          <t>All organisations deploying AI — healthcare AI diagnostics</t>
        </is>
      </c>
      <c r="N23" s="55" t="inlineStr">
        <is>
          <t>MODERATE</t>
        </is>
      </c>
      <c r="O23" s="48" t="inlineStr">
        <is>
          <t>https://sdaia.gov.sa/en/SDAIA/about/Pages/RegulationsAndPolicies.aspx</t>
        </is>
      </c>
      <c r="P23" s="44" t="inlineStr">
        <is>
          <t>SDAIA Nov 2023</t>
        </is>
      </c>
      <c r="Q23" s="19" t="inlineStr">
        <is>
          <t>1st Edition 2019 → 2nd Edition late 2023</t>
        </is>
      </c>
      <c r="R23" s="19" t="inlineStr">
        <is>
          <t>1st Ed (2019): 5 principles (Human-centred, Fairness, Privacy, Reliability, Transparency). 2nd Ed (late 2023): Expanded to address generative AI, hallucination risks, AI in high-stakes decisions (medical diagnosis), human oversight requirements, liability for AI-caused harm. Healthcare AI systems must document ethical review process</t>
        </is>
      </c>
      <c r="S23" s="21" t="inlineStr">
        <is>
          <t>1st Ed: 2019. 2nd Ed: late 2023</t>
        </is>
      </c>
      <c r="T23" s="19" t="inlineStr">
        <is>
          <t>3rd edition expected 2025-2026 post-GenAI regulatory landscape maturation</t>
        </is>
      </c>
      <c r="U23" s="25" t="inlineStr">
        <is>
          <t>CURRENT — 2nd Edition 2023</t>
        </is>
      </c>
      <c r="V23" s="19" t="inlineStr">
        <is>
          <t>Penalties defined by issuing authority; consult official source. NCA ECC-2 penalties apply if relevant</t>
        </is>
      </c>
      <c r="W23" s="20" t="inlineStr">
        <is>
          <t>Issuing authority and/or designated inspection department</t>
        </is>
      </c>
      <c r="X23" s="19" t="inlineStr">
        <is>
          <t>As specified in framework scope — consult official document</t>
        </is>
      </c>
      <c r="Y23" s="49" t="inlineStr">
        <is>
          <t>Both (unless specified otherwise in official document)</t>
        </is>
      </c>
      <c r="Z23" s="19" t="inlineStr">
        <is>
          <t>As defined by issuing authority</t>
        </is>
      </c>
      <c r="AA23" s="21" t="inlineStr">
        <is>
          <t>As defined by issuing authority</t>
        </is>
      </c>
      <c r="AB23" s="19" t="inlineStr">
        <is>
          <t>To be determined from framework text — see official source</t>
        </is>
      </c>
      <c r="AC23" s="19" t="inlineStr">
        <is>
          <t>See framework preamble for international standard references</t>
        </is>
      </c>
      <c r="AD23" s="49" t="inlineStr">
        <is>
          <t>Arabic (primary in KSA); English may be available</t>
        </is>
      </c>
      <c r="AE23" s="58" t="inlineStr">
        <is>
          <t>Mapped to relevant GH-ICGA layer — requires manual assessment</t>
        </is>
      </c>
      <c r="AF23" s="56" t="inlineStr">
        <is>
          <t>See official framework for maturity model details</t>
        </is>
      </c>
      <c r="AG23" s="19" t="inlineStr">
        <is>
          <t>Aligned with relevant Vision 2030 programme — see framework context</t>
        </is>
      </c>
      <c r="AH23" s="19" t="inlineStr">
        <is>
          <t>As specified in framework compliance requirements</t>
        </is>
      </c>
      <c r="AI23" s="28" t="inlineStr">
        <is>
          <t>Institutional theory and regulatory governance theory underpin all KSA regulatory frameworks. Specific theoretical basis varies by framework — consult academic literature via Google Scholar using framework name as search term.</t>
        </is>
      </c>
      <c r="AJ23" s="19" t="inlineStr">
        <is>
          <t>Academic debate varies by framework maturity and international adoption. For KSA-specific debate, consult: Almohammad &amp; Wills (2021) J Cybersecurity; Al-Khater et al. (2020) IEEE Access; Baker McKenzie KSA regulatory updates.</t>
        </is>
      </c>
      <c r="AK23" s="29" t="inlineStr">
        <is>
          <t>Known criticisms include: implementation gap between standards and practice; resource constraints for smaller healthcare entities; rapid technology evolution outpacing regulation. Consult framework evaluation literature for specifics.</t>
        </is>
      </c>
      <c r="AL23" s="30" t="inlineStr">
        <is>
          <t>Framework comparison requires contextual analysis. Key comparators: NIST CSF 2.0 (international benchmark), ISO 27001 (certifiable standard), ECC-2 (KSA mandatory baseline). See main database for cross-framework mapping.</t>
        </is>
      </c>
      <c r="AM23" s="31"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3" s="32" t="inlineStr">
        <is>
          <t>Official: Consult the official source URL in the database for the primary document. Training: ISACA, ISC2, RAPS, IAPP, and HIMSS offer professional development covering most regulatory domains. Estimated hours vary by framework complexity.</t>
        </is>
      </c>
      <c r="AO23" s="33" t="inlineStr">
        <is>
          <t>Relevance to GH-ICGA framework varies by layer — see GH-ICGA Layer Mapping column. All KSA mandatory frameworks are compliance inputs to GH-ICGA Layer 4. Frameworks with IoMT-specific provisions directly inform Layers 2 and 3.</t>
        </is>
      </c>
      <c r="AP23" s="51" t="inlineStr">
        <is>
          <t>G + C (Governance + Compliance — standard regulatory framework positioning)</t>
        </is>
      </c>
      <c r="AQ23" s="35" t="inlineStr">
        <is>
          <t>Senior management: accountability for framework compliance. Designated compliance officer: monitor requirements. All staff: awareness of applicable obligations</t>
        </is>
      </c>
      <c r="AR23" s="29" t="inlineStr">
        <is>
          <t>Regulatory Risk; Operational Risk; Reputational Risk — specific domains determined by framework scope</t>
        </is>
      </c>
      <c r="AS23" s="22" t="inlineStr">
        <is>
          <t>See official source — legal obligation, regulatory requirement, or voluntary standard as applicable</t>
        </is>
      </c>
      <c r="AT23" s="30" t="inlineStr">
        <is>
          <t>Administrative; Technical; Operational — specific distribution determined by framework content</t>
        </is>
      </c>
      <c r="AU23" s="36" t="inlineStr">
        <is>
          <t>1. Compliance status (compliant/non-compliant). 2. # open findings from last assessment. 3. % controls implemented. 4. Time to remediate findings. 5. Incident rate in framework scope area</t>
        </is>
      </c>
      <c r="AV23" s="37" t="inlineStr">
        <is>
          <t>Self-assessment; internal audit; external assessment as specified by issuing authority</t>
        </is>
      </c>
      <c r="AW23" s="38" t="inlineStr">
        <is>
          <t>ServiceNow GRC; IBM OpenPages; RSA Archer; MetricStream — all major GRC platforms support custom framework import. Contact vendor for framework-specific module</t>
        </is>
      </c>
      <c r="AX23" s="39" t="inlineStr">
        <is>
          <t>Third parties in scope must demonstrate equivalent compliance. Contractual compliance obligations; right-to-audit clauses; annual third-party assessment</t>
        </is>
      </c>
      <c r="AY23" s="40" t="inlineStr">
        <is>
          <t>Non-compliance: regulatory action by issuing authority; fines and penalties as specified; operational and reputational consequences</t>
        </is>
      </c>
      <c r="AZ23" s="37" t="inlineStr">
        <is>
          <t>ALL SECTORS deploying AI</t>
        </is>
      </c>
      <c r="BA23" s="34" t="inlineStr">
        <is>
          <t>YES — ALL SECTORS</t>
        </is>
      </c>
      <c r="BB23" s="591">
        <f>IF(E23="","",IF(ISNUMBER(SEARCH("Institutional theory and regulatory governance theory underpin",AI23)),"TEMPLATE",IF(LEN(AI23)&gt;100,"DEEP",IF(AI23="","SPARSE","SHALLOW"))))</f>
        <v/>
      </c>
      <c r="BC23" s="591">
        <f>IF(E23="","",D23&amp;"-"&amp;B23&amp;"-"&amp;E23)</f>
        <v/>
      </c>
      <c r="BD23" s="591">
        <f>IF(E23="","",SUBSTITUTE(SUBSTITUTE(B23&amp;"-"&amp;E23," ",""),":","-"))</f>
        <v/>
      </c>
      <c r="BE23" s="591">
        <f>IF(E23="","",IF(ISNUMBER(SEARCH("ECC",E23)),"NCA-ECC-2-2024",IF(ISNUMBER(SEARCH("OTCC",E23)),"NCA-ECC-2-2024",IF(ISNUMBER(SEARCH("CCC",E23)),"NCA-ECC-2-2024",IF(ISNUMBER(SEARCH("DCC",E23)),"NCA-ECC-2-2024",IF(ISNUMBER(SEARCH("CSCC",E23)),"NCA-ECC-2-2024",IF(ISNUMBER(SEARCH("PDPL-IR",E23)),"PDPL-2021",IF(ISNUMBER(SEARCH("PDPL-DTR",E23)),"PDPL-2021","NONE"))))))))</f>
        <v/>
      </c>
      <c r="BF23" s="594">
        <f>IF(E23="","",IF(BB23="DEEP",10,IF(BB23="SHALLOW",5,IF(BB23="TEMPLATE",3,1)))+IF(N23="HIGHEST",5,IF(N23="HIGH",3,IF(N23="MODERATE",1,0)))+IF(ISNUMBER(SEARCH("Mandatory",L23)),3,0))</f>
        <v/>
      </c>
    </row>
    <row r="24" ht="42" customHeight="1">
      <c r="A24" s="17" t="n">
        <v>21</v>
      </c>
      <c r="B24" s="18" t="inlineStr">
        <is>
          <t>SDAIA</t>
        </is>
      </c>
      <c r="C24" s="19" t="inlineStr">
        <is>
          <t>Saudi Data &amp; AI Authority + NDMO</t>
        </is>
      </c>
      <c r="D24" s="19" t="inlineStr">
        <is>
          <t>3. Cybersecurity &amp; Data</t>
        </is>
      </c>
      <c r="E24" s="18" t="inlineStr">
        <is>
          <t>SDAIA-AI-ADO</t>
        </is>
      </c>
      <c r="F24" s="20" t="inlineStr">
        <is>
          <t>AI Adoption Framework</t>
        </is>
      </c>
      <c r="G24" s="19" t="inlineStr">
        <is>
          <t>إطار تبني الذكاء الاصطناعي</t>
        </is>
      </c>
      <c r="H24" s="19" t="inlineStr">
        <is>
          <t>Sep 2024</t>
        </is>
      </c>
      <c r="I24" s="21" t="inlineStr">
        <is>
          <t>2024</t>
        </is>
      </c>
      <c r="J24" s="21" t="inlineStr">
        <is>
          <t>N/A</t>
        </is>
      </c>
      <c r="K24" s="19" t="inlineStr">
        <is>
          <t>ISSUES/ENFORCES</t>
        </is>
      </c>
      <c r="L24" s="61" t="inlineStr">
        <is>
          <t>Guideline</t>
        </is>
      </c>
      <c r="M24" s="19" t="inlineStr">
        <is>
          <t>All organisations deploying AI — health AI systems</t>
        </is>
      </c>
      <c r="N24" s="63" t="inlineStr">
        <is>
          <t>MODERATE</t>
        </is>
      </c>
      <c r="O24" s="24" t="inlineStr">
        <is>
          <t>https://sdaia.gov.sa/en/SDAIA/about/Pages/RegulationsAndPolicies.aspx</t>
        </is>
      </c>
      <c r="P24" s="19" t="inlineStr">
        <is>
          <t>SDAIA Sep 2024</t>
        </is>
      </c>
      <c r="Q24" s="19" t="inlineStr">
        <is>
          <t>First issue Sep 2024</t>
        </is>
      </c>
      <c r="R24" s="19" t="inlineStr">
        <is>
          <t>AI adoption readiness framework with 5 dimensions: Strategy, Data, Technology, People, Governance. Health entities deploying clinical AI must complete readiness assessment. AI risk tiers defined (medical diagnosis = high risk requiring pre-deployment review). Aligns with Saudi AI Strategy and SFDA AI/ML medical device guidance</t>
        </is>
      </c>
      <c r="S24" s="21" t="inlineStr">
        <is>
          <t>Issued: Sep 2024</t>
        </is>
      </c>
      <c r="T24" s="19" t="inlineStr">
        <is>
          <t>Annual review</t>
        </is>
      </c>
      <c r="U24" s="25" t="inlineStr">
        <is>
          <t>CURRENT — first version</t>
        </is>
      </c>
      <c r="V24" s="19" t="inlineStr">
        <is>
          <t>Penalties defined by issuing authority; consult official source. NCA ECC-2 penalties apply if relevant</t>
        </is>
      </c>
      <c r="W24" s="20" t="inlineStr">
        <is>
          <t>Issuing authority and/or designated inspection department</t>
        </is>
      </c>
      <c r="X24" s="19" t="inlineStr">
        <is>
          <t>As specified in framework scope — consult official document</t>
        </is>
      </c>
      <c r="Y24" s="49" t="inlineStr">
        <is>
          <t>Both (unless specified otherwise in official document)</t>
        </is>
      </c>
      <c r="Z24" s="19" t="inlineStr">
        <is>
          <t>As defined by issuing authority</t>
        </is>
      </c>
      <c r="AA24" s="21" t="inlineStr">
        <is>
          <t>As defined by issuing authority</t>
        </is>
      </c>
      <c r="AB24" s="19" t="inlineStr">
        <is>
          <t>To be determined from framework text — see official source</t>
        </is>
      </c>
      <c r="AC24" s="19" t="inlineStr">
        <is>
          <t>See framework preamble for international standard references</t>
        </is>
      </c>
      <c r="AD24" s="49" t="inlineStr">
        <is>
          <t>Arabic (primary in KSA); English may be available</t>
        </is>
      </c>
      <c r="AE24" s="58" t="inlineStr">
        <is>
          <t>Mapped to relevant GH-ICGA layer — requires manual assessment</t>
        </is>
      </c>
      <c r="AF24" s="56" t="inlineStr">
        <is>
          <t>See official framework for maturity model details</t>
        </is>
      </c>
      <c r="AG24" s="19" t="inlineStr">
        <is>
          <t>Aligned with relevant Vision 2030 programme — see framework context</t>
        </is>
      </c>
      <c r="AH24" s="19" t="inlineStr">
        <is>
          <t>As specified in framework compliance requirements</t>
        </is>
      </c>
      <c r="AI24" s="28" t="inlineStr">
        <is>
          <t>Institutional theory and regulatory governance theory underpin all KSA regulatory frameworks. Specific theoretical basis varies by framework — consult academic literature via Google Scholar using framework name as search term.</t>
        </is>
      </c>
      <c r="AJ24" s="19" t="inlineStr">
        <is>
          <t>Academic debate varies by framework maturity and international adoption. For KSA-specific debate, consult: Almohammad &amp; Wills (2021) J Cybersecurity; Al-Khater et al. (2020) IEEE Access; Baker McKenzie KSA regulatory updates.</t>
        </is>
      </c>
      <c r="AK24" s="29" t="inlineStr">
        <is>
          <t>Known criticisms include: implementation gap between standards and practice; resource constraints for smaller healthcare entities; rapid technology evolution outpacing regulation. Consult framework evaluation literature for specifics.</t>
        </is>
      </c>
      <c r="AL24" s="30" t="inlineStr">
        <is>
          <t>Framework comparison requires contextual analysis. Key comparators: NIST CSF 2.0 (international benchmark), ISO 27001 (certifiable standard), ECC-2 (KSA mandatory baseline). See main database for cross-framework mapping.</t>
        </is>
      </c>
      <c r="AM24" s="31"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4" s="32" t="inlineStr">
        <is>
          <t>Official: Consult the official source URL in the database for the primary document. Training: ISACA, ISC2, RAPS, IAPP, and HIMSS offer professional development covering most regulatory domains. Estimated hours vary by framework complexity.</t>
        </is>
      </c>
      <c r="AO24" s="33" t="inlineStr">
        <is>
          <t>Relevance to GH-ICGA framework varies by layer — see GH-ICGA Layer Mapping column. All KSA mandatory frameworks are compliance inputs to GH-ICGA Layer 4. Frameworks with IoMT-specific provisions directly inform Layers 2 and 3.</t>
        </is>
      </c>
      <c r="AP24" s="51" t="inlineStr">
        <is>
          <t>G + C (Governance + Compliance — standard regulatory framework positioning)</t>
        </is>
      </c>
      <c r="AQ24" s="35" t="inlineStr">
        <is>
          <t>Senior management: accountability for framework compliance. Designated compliance officer: monitor requirements. All staff: awareness of applicable obligations</t>
        </is>
      </c>
      <c r="AR24" s="29" t="inlineStr">
        <is>
          <t>Regulatory Risk; Operational Risk; Reputational Risk — specific domains determined by framework scope</t>
        </is>
      </c>
      <c r="AS24" s="22" t="inlineStr">
        <is>
          <t>See official source — legal obligation, regulatory requirement, or voluntary standard as applicable</t>
        </is>
      </c>
      <c r="AT24" s="30" t="inlineStr">
        <is>
          <t>Administrative; Technical; Operational — specific distribution determined by framework content</t>
        </is>
      </c>
      <c r="AU24" s="36" t="inlineStr">
        <is>
          <t>1. Compliance status (compliant/non-compliant). 2. # open findings from last assessment. 3. % controls implemented. 4. Time to remediate findings. 5. Incident rate in framework scope area</t>
        </is>
      </c>
      <c r="AV24" s="37" t="inlineStr">
        <is>
          <t>Self-assessment; internal audit; external assessment as specified by issuing authority</t>
        </is>
      </c>
      <c r="AW24" s="38" t="inlineStr">
        <is>
          <t>ServiceNow GRC; IBM OpenPages; RSA Archer; MetricStream — all major GRC platforms support custom framework import. Contact vendor for framework-specific module</t>
        </is>
      </c>
      <c r="AX24" s="39" t="inlineStr">
        <is>
          <t>Third parties in scope must demonstrate equivalent compliance. Contractual compliance obligations; right-to-audit clauses; annual third-party assessment</t>
        </is>
      </c>
      <c r="AY24" s="40" t="inlineStr">
        <is>
          <t>Non-compliance: regulatory action by issuing authority; fines and penalties as specified; operational and reputational consequences</t>
        </is>
      </c>
      <c r="AZ24" s="37" t="inlineStr">
        <is>
          <t>ALL SECTORS deploying AI</t>
        </is>
      </c>
      <c r="BA24" s="34" t="inlineStr">
        <is>
          <t>YES — ALL SECTORS</t>
        </is>
      </c>
      <c r="BB24" s="591">
        <f>IF(E24="","",IF(ISNUMBER(SEARCH("Institutional theory and regulatory governance theory underpin",AI24)),"TEMPLATE",IF(LEN(AI24)&gt;100,"DEEP",IF(AI24="","SPARSE","SHALLOW"))))</f>
        <v/>
      </c>
      <c r="BC24" s="591">
        <f>IF(E24="","",D24&amp;"-"&amp;B24&amp;"-"&amp;E24)</f>
        <v/>
      </c>
      <c r="BD24" s="591">
        <f>IF(E24="","",SUBSTITUTE(SUBSTITUTE(B24&amp;"-"&amp;E24," ",""),":","-"))</f>
        <v/>
      </c>
      <c r="BE24" s="591">
        <f>IF(E24="","",IF(ISNUMBER(SEARCH("ECC",E24)),"NCA-ECC-2-2024",IF(ISNUMBER(SEARCH("OTCC",E24)),"NCA-ECC-2-2024",IF(ISNUMBER(SEARCH("CCC",E24)),"NCA-ECC-2-2024",IF(ISNUMBER(SEARCH("DCC",E24)),"NCA-ECC-2-2024",IF(ISNUMBER(SEARCH("CSCC",E24)),"NCA-ECC-2-2024",IF(ISNUMBER(SEARCH("PDPL-IR",E24)),"PDPL-2021",IF(ISNUMBER(SEARCH("PDPL-DTR",E24)),"PDPL-2021","NONE"))))))))</f>
        <v/>
      </c>
      <c r="BF24" s="594">
        <f>IF(E24="","",IF(BB24="DEEP",10,IF(BB24="SHALLOW",5,IF(BB24="TEMPLATE",3,1)))+IF(N24="HIGHEST",5,IF(N24="HIGH",3,IF(N24="MODERATE",1,0)))+IF(ISNUMBER(SEARCH("Mandatory",L24)),3,0))</f>
        <v/>
      </c>
    </row>
    <row r="25" ht="42" customHeight="1">
      <c r="A25" s="42" t="n">
        <v>22</v>
      </c>
      <c r="B25" s="43" t="inlineStr">
        <is>
          <t>SDAIA</t>
        </is>
      </c>
      <c r="C25" s="44" t="inlineStr">
        <is>
          <t>Saudi Data &amp; AI Authority + NDMO</t>
        </is>
      </c>
      <c r="D25" s="44" t="inlineStr">
        <is>
          <t>3. Cybersecurity &amp; Data</t>
        </is>
      </c>
      <c r="E25" s="43" t="inlineStr">
        <is>
          <t>SDAIA-GENAI</t>
        </is>
      </c>
      <c r="F25" s="45" t="inlineStr">
        <is>
          <t>Generative AI Guidelines</t>
        </is>
      </c>
      <c r="G25" s="44" t="inlineStr">
        <is>
          <t>إرشادات الذكاء الاصطناعي التوليدي</t>
        </is>
      </c>
      <c r="H25" s="44" t="inlineStr">
        <is>
          <t>Early 2024</t>
        </is>
      </c>
      <c r="I25" s="46" t="inlineStr">
        <is>
          <t>2024</t>
        </is>
      </c>
      <c r="J25" s="46" t="inlineStr">
        <is>
          <t>N/A</t>
        </is>
      </c>
      <c r="K25" s="44" t="inlineStr">
        <is>
          <t>ISSUES/ENFORCES</t>
        </is>
      </c>
      <c r="L25" s="61" t="inlineStr">
        <is>
          <t>Guideline</t>
        </is>
      </c>
      <c r="M25" s="44" t="inlineStr">
        <is>
          <t>All organisations using generative AI — health AI chatbots</t>
        </is>
      </c>
      <c r="N25" s="55" t="inlineStr">
        <is>
          <t>MODERATE</t>
        </is>
      </c>
      <c r="O25" s="48" t="inlineStr">
        <is>
          <t>https://sdaia.gov.sa/en/SDAIA/about/Pages/RegulationsAndPolicies.aspx</t>
        </is>
      </c>
      <c r="P25" s="44" t="inlineStr">
        <is>
          <t>Baker McKenzie 2025</t>
        </is>
      </c>
      <c r="Q25" s="19" t="inlineStr">
        <is>
          <t>Two versions published early 2024: Government employees version + General public version</t>
        </is>
      </c>
      <c r="R25" s="19" t="inlineStr">
        <is>
          <t>Government version: prohibits sharing classified/sensitive data with GenAI tools; requires approved GenAI platforms; human review of AI outputs in official documents. General version: awareness-based, recommends caution with personal health information in GenAI prompts. Healthcare application: clinical staff using AI scribing tools, AI diagnostic aids</t>
        </is>
      </c>
      <c r="S25" s="21" t="inlineStr">
        <is>
          <t>Issued: early 2024</t>
        </is>
      </c>
      <c r="T25" s="19" t="inlineStr">
        <is>
          <t>Rapid evolution expected; formal regulation anticipated 2025</t>
        </is>
      </c>
      <c r="U25" s="25" t="inlineStr">
        <is>
          <t>CURRENT — early 2024 versions</t>
        </is>
      </c>
      <c r="V25" s="19" t="inlineStr">
        <is>
          <t>Penalties defined by issuing authority; consult official source. NCA ECC-2 penalties apply if relevant</t>
        </is>
      </c>
      <c r="W25" s="20" t="inlineStr">
        <is>
          <t>Issuing authority and/or designated inspection department</t>
        </is>
      </c>
      <c r="X25" s="19" t="inlineStr">
        <is>
          <t>As specified in framework scope — consult official document</t>
        </is>
      </c>
      <c r="Y25" s="49" t="inlineStr">
        <is>
          <t>Both (unless specified otherwise in official document)</t>
        </is>
      </c>
      <c r="Z25" s="19" t="inlineStr">
        <is>
          <t>As defined by issuing authority</t>
        </is>
      </c>
      <c r="AA25" s="21" t="inlineStr">
        <is>
          <t>As defined by issuing authority</t>
        </is>
      </c>
      <c r="AB25" s="19" t="inlineStr">
        <is>
          <t>To be determined from framework text — see official source</t>
        </is>
      </c>
      <c r="AC25" s="19" t="inlineStr">
        <is>
          <t>See framework preamble for international standard references</t>
        </is>
      </c>
      <c r="AD25" s="49" t="inlineStr">
        <is>
          <t>Arabic (primary in KSA); English may be available</t>
        </is>
      </c>
      <c r="AE25" s="58" t="inlineStr">
        <is>
          <t>Mapped to relevant GH-ICGA layer — requires manual assessment</t>
        </is>
      </c>
      <c r="AF25" s="56" t="inlineStr">
        <is>
          <t>See official framework for maturity model details</t>
        </is>
      </c>
      <c r="AG25" s="19" t="inlineStr">
        <is>
          <t>Aligned with relevant Vision 2030 programme — see framework context</t>
        </is>
      </c>
      <c r="AH25" s="19" t="inlineStr">
        <is>
          <t>As specified in framework compliance requirements</t>
        </is>
      </c>
      <c r="AI25" s="28" t="inlineStr">
        <is>
          <t>Institutional theory and regulatory governance theory underpin all KSA regulatory frameworks. Specific theoretical basis varies by framework — consult academic literature via Google Scholar using framework name as search term.</t>
        </is>
      </c>
      <c r="AJ25" s="19" t="inlineStr">
        <is>
          <t>Academic debate varies by framework maturity and international adoption. For KSA-specific debate, consult: Almohammad &amp; Wills (2021) J Cybersecurity; Al-Khater et al. (2020) IEEE Access; Baker McKenzie KSA regulatory updates.</t>
        </is>
      </c>
      <c r="AK25" s="29" t="inlineStr">
        <is>
          <t>Known criticisms include: implementation gap between standards and practice; resource constraints for smaller healthcare entities; rapid technology evolution outpacing regulation. Consult framework evaluation literature for specifics.</t>
        </is>
      </c>
      <c r="AL25" s="30" t="inlineStr">
        <is>
          <t>Framework comparison requires contextual analysis. Key comparators: NIST CSF 2.0 (international benchmark), ISO 27001 (certifiable standard), ECC-2 (KSA mandatory baseline). See main database for cross-framework mapping.</t>
        </is>
      </c>
      <c r="AM25" s="31"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5" s="32" t="inlineStr">
        <is>
          <t>Official: Consult the official source URL in the database for the primary document. Training: ISACA, ISC2, RAPS, IAPP, and HIMSS offer professional development covering most regulatory domains. Estimated hours vary by framework complexity.</t>
        </is>
      </c>
      <c r="AO25" s="33" t="inlineStr">
        <is>
          <t>Relevance to GH-ICGA framework varies by layer — see GH-ICGA Layer Mapping column. All KSA mandatory frameworks are compliance inputs to GH-ICGA Layer 4. Frameworks with IoMT-specific provisions directly inform Layers 2 and 3.</t>
        </is>
      </c>
      <c r="AP25" s="51" t="inlineStr">
        <is>
          <t>G + C (Governance + Compliance — standard regulatory framework positioning)</t>
        </is>
      </c>
      <c r="AQ25" s="35" t="inlineStr">
        <is>
          <t>Senior management: accountability for framework compliance. Designated compliance officer: monitor requirements. All staff: awareness of applicable obligations</t>
        </is>
      </c>
      <c r="AR25" s="29" t="inlineStr">
        <is>
          <t>Regulatory Risk; Operational Risk; Reputational Risk — specific domains determined by framework scope</t>
        </is>
      </c>
      <c r="AS25" s="22" t="inlineStr">
        <is>
          <t>See official source — legal obligation, regulatory requirement, or voluntary standard as applicable</t>
        </is>
      </c>
      <c r="AT25" s="30" t="inlineStr">
        <is>
          <t>Administrative; Technical; Operational — specific distribution determined by framework content</t>
        </is>
      </c>
      <c r="AU25" s="36" t="inlineStr">
        <is>
          <t>1. Compliance status (compliant/non-compliant). 2. # open findings from last assessment. 3. % controls implemented. 4. Time to remediate findings. 5. Incident rate in framework scope area</t>
        </is>
      </c>
      <c r="AV25" s="37" t="inlineStr">
        <is>
          <t>Self-assessment; internal audit; external assessment as specified by issuing authority</t>
        </is>
      </c>
      <c r="AW25" s="38" t="inlineStr">
        <is>
          <t>ServiceNow GRC; IBM OpenPages; RSA Archer; MetricStream — all major GRC platforms support custom framework import. Contact vendor for framework-specific module</t>
        </is>
      </c>
      <c r="AX25" s="39" t="inlineStr">
        <is>
          <t>Third parties in scope must demonstrate equivalent compliance. Contractual compliance obligations; right-to-audit clauses; annual third-party assessment</t>
        </is>
      </c>
      <c r="AY25" s="40" t="inlineStr">
        <is>
          <t>Non-compliance: regulatory action by issuing authority; fines and penalties as specified; operational and reputational consequences</t>
        </is>
      </c>
      <c r="AZ25" s="37" t="inlineStr">
        <is>
          <t>ALL SECTORS using generative AI</t>
        </is>
      </c>
      <c r="BA25" s="34" t="inlineStr">
        <is>
          <t>YES — ALL SECTORS</t>
        </is>
      </c>
      <c r="BB25" s="591">
        <f>IF(E25="","",IF(ISNUMBER(SEARCH("Institutional theory and regulatory governance theory underpin",AI25)),"TEMPLATE",IF(LEN(AI25)&gt;100,"DEEP",IF(AI25="","SPARSE","SHALLOW"))))</f>
        <v/>
      </c>
      <c r="BC25" s="591">
        <f>IF(E25="","",D25&amp;"-"&amp;B25&amp;"-"&amp;E25)</f>
        <v/>
      </c>
      <c r="BD25" s="591">
        <f>IF(E25="","",SUBSTITUTE(SUBSTITUTE(B25&amp;"-"&amp;E25," ",""),":","-"))</f>
        <v/>
      </c>
      <c r="BE25" s="591">
        <f>IF(E25="","",IF(ISNUMBER(SEARCH("ECC",E25)),"NCA-ECC-2-2024",IF(ISNUMBER(SEARCH("OTCC",E25)),"NCA-ECC-2-2024",IF(ISNUMBER(SEARCH("CCC",E25)),"NCA-ECC-2-2024",IF(ISNUMBER(SEARCH("DCC",E25)),"NCA-ECC-2-2024",IF(ISNUMBER(SEARCH("CSCC",E25)),"NCA-ECC-2-2024",IF(ISNUMBER(SEARCH("PDPL-IR",E25)),"PDPL-2021",IF(ISNUMBER(SEARCH("PDPL-DTR",E25)),"PDPL-2021","NONE"))))))))</f>
        <v/>
      </c>
      <c r="BF25" s="594">
        <f>IF(E25="","",IF(BB25="DEEP",10,IF(BB25="SHALLOW",5,IF(BB25="TEMPLATE",3,1)))+IF(N25="HIGHEST",5,IF(N25="HIGH",3,IF(N25="MODERATE",1,0)))+IF(ISNUMBER(SEARCH("Mandatory",L25)),3,0))</f>
        <v/>
      </c>
    </row>
    <row r="26" ht="42" customHeight="1">
      <c r="A26" s="17" t="n">
        <v>23</v>
      </c>
      <c r="B26" s="18" t="inlineStr">
        <is>
          <t>SDAIA</t>
        </is>
      </c>
      <c r="C26" s="19" t="inlineStr">
        <is>
          <t>Saudi Data &amp; AI Authority + NDMO</t>
        </is>
      </c>
      <c r="D26" s="19" t="inlineStr">
        <is>
          <t>3. Cybersecurity &amp; Data</t>
        </is>
      </c>
      <c r="E26" s="18" t="inlineStr">
        <is>
          <t>SDAIA-NSDAI</t>
        </is>
      </c>
      <c r="F26" s="20" t="inlineStr">
        <is>
          <t>National Strategy for Data &amp; AI</t>
        </is>
      </c>
      <c r="G26" s="19" t="inlineStr">
        <is>
          <t>الاستراتيجية الوطنية للبيانات والذكاء الاصطناعي</t>
        </is>
      </c>
      <c r="H26" s="19" t="inlineStr">
        <is>
          <t>2020-2030</t>
        </is>
      </c>
      <c r="I26" s="21" t="inlineStr">
        <is>
          <t>2020</t>
        </is>
      </c>
      <c r="J26" s="21" t="inlineStr">
        <is>
          <t>N/A</t>
        </is>
      </c>
      <c r="K26" s="19" t="inlineStr">
        <is>
          <t>ISSUES/ENFORCES</t>
        </is>
      </c>
      <c r="L26" s="64" t="inlineStr">
        <is>
          <t>Policy Setter</t>
        </is>
      </c>
      <c r="M26" s="19" t="inlineStr">
        <is>
          <t>National data and AI development — health data strategy</t>
        </is>
      </c>
      <c r="N26" s="52" t="inlineStr">
        <is>
          <t>HIGH</t>
        </is>
      </c>
      <c r="O26" s="24" t="inlineStr">
        <is>
          <t>https://sdaia.gov.sa/</t>
        </is>
      </c>
      <c r="P26" s="19" t="inlineStr">
        <is>
          <t>SDAIA official; my.gov.sa</t>
        </is>
      </c>
      <c r="Q26" s="19" t="inlineStr">
        <is>
          <t>National Strategy for Data &amp; AI 2020-2030 (updated periodically)</t>
        </is>
      </c>
      <c r="R26" s="19" t="inlineStr">
        <is>
          <t>6-dimension strategy: Regulation &amp; Policy, Ecosystem &amp; Infrastructure, Data, Talent, Innovation, International. Health data as strategic national asset. Targets: KSA in top 15 globally for AI readiness; national health data platform (NABIDH); AI-enabled diagnosis deployment across MOH facilities by 2030</t>
        </is>
      </c>
      <c r="S26" s="21" t="inlineStr">
        <is>
          <t>Launched: 2020. Annual progress reports</t>
        </is>
      </c>
      <c r="T26" s="19" t="inlineStr">
        <is>
          <t>Ongoing — 2030 horizon with annual targets</t>
        </is>
      </c>
      <c r="U26" s="65" t="inlineStr">
        <is>
          <t>ACTIVE — 2020-2030 strategy</t>
        </is>
      </c>
      <c r="V26" s="19" t="inlineStr">
        <is>
          <t>Penalties defined by issuing authority; consult official source. NCA ECC-2 penalties apply if relevant</t>
        </is>
      </c>
      <c r="W26" s="20" t="inlineStr">
        <is>
          <t>Issuing authority and/or designated inspection department</t>
        </is>
      </c>
      <c r="X26" s="19" t="inlineStr">
        <is>
          <t>As specified in framework scope — consult official document</t>
        </is>
      </c>
      <c r="Y26" s="49" t="inlineStr">
        <is>
          <t>Both (unless specified otherwise in official document)</t>
        </is>
      </c>
      <c r="Z26" s="19" t="inlineStr">
        <is>
          <t>As defined by issuing authority</t>
        </is>
      </c>
      <c r="AA26" s="21" t="inlineStr">
        <is>
          <t>As defined by issuing authority</t>
        </is>
      </c>
      <c r="AB26" s="19" t="inlineStr">
        <is>
          <t>To be determined from framework text — see official source</t>
        </is>
      </c>
      <c r="AC26" s="19" t="inlineStr">
        <is>
          <t>See framework preamble for international standard references</t>
        </is>
      </c>
      <c r="AD26" s="49" t="inlineStr">
        <is>
          <t>Arabic (primary in KSA); English may be available</t>
        </is>
      </c>
      <c r="AE26" s="58" t="inlineStr">
        <is>
          <t>Mapped to relevant GH-ICGA layer — requires manual assessment</t>
        </is>
      </c>
      <c r="AF26" s="56" t="inlineStr">
        <is>
          <t>See official framework for maturity model details</t>
        </is>
      </c>
      <c r="AG26" s="19" t="inlineStr">
        <is>
          <t>Aligned with relevant Vision 2030 programme — see framework context</t>
        </is>
      </c>
      <c r="AH26" s="19" t="inlineStr">
        <is>
          <t>As specified in framework compliance requirements</t>
        </is>
      </c>
      <c r="AI26" s="28" t="inlineStr">
        <is>
          <t>Institutional theory and regulatory governance theory underpin all KSA regulatory frameworks. Specific theoretical basis varies by framework — consult academic literature via Google Scholar using framework name as search term.</t>
        </is>
      </c>
      <c r="AJ26" s="19" t="inlineStr">
        <is>
          <t>Academic debate varies by framework maturity and international adoption. For KSA-specific debate, consult: Almohammad &amp; Wills (2021) J Cybersecurity; Al-Khater et al. (2020) IEEE Access; Baker McKenzie KSA regulatory updates.</t>
        </is>
      </c>
      <c r="AK26" s="29" t="inlineStr">
        <is>
          <t>Known criticisms include: implementation gap between standards and practice; resource constraints for smaller healthcare entities; rapid technology evolution outpacing regulation. Consult framework evaluation literature for specifics.</t>
        </is>
      </c>
      <c r="AL26" s="30" t="inlineStr">
        <is>
          <t>Framework comparison requires contextual analysis. Key comparators: NIST CSF 2.0 (international benchmark), ISO 27001 (certifiable standard), ECC-2 (KSA mandatory baseline). See main database for cross-framework mapping.</t>
        </is>
      </c>
      <c r="AM26" s="31"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6" s="32" t="inlineStr">
        <is>
          <t>Official: Consult the official source URL in the database for the primary document. Training: ISACA, ISC2, RAPS, IAPP, and HIMSS offer professional development covering most regulatory domains. Estimated hours vary by framework complexity.</t>
        </is>
      </c>
      <c r="AO26" s="33" t="inlineStr">
        <is>
          <t>Relevance to GH-ICGA framework varies by layer — see GH-ICGA Layer Mapping column. All KSA mandatory frameworks are compliance inputs to GH-ICGA Layer 4. Frameworks with IoMT-specific provisions directly inform Layers 2 and 3.</t>
        </is>
      </c>
      <c r="AP26" s="51" t="inlineStr">
        <is>
          <t>G + C (Governance + Compliance — standard regulatory framework positioning)</t>
        </is>
      </c>
      <c r="AQ26" s="35" t="inlineStr">
        <is>
          <t>Senior management: accountability for framework compliance. Designated compliance officer: monitor requirements. All staff: awareness of applicable obligations</t>
        </is>
      </c>
      <c r="AR26" s="29" t="inlineStr">
        <is>
          <t>Regulatory Risk; Operational Risk; Reputational Risk — specific domains determined by framework scope</t>
        </is>
      </c>
      <c r="AS26" s="22" t="inlineStr">
        <is>
          <t>See official source — legal obligation, regulatory requirement, or voluntary standard as applicable</t>
        </is>
      </c>
      <c r="AT26" s="30" t="inlineStr">
        <is>
          <t>Administrative; Technical; Operational — specific distribution determined by framework content</t>
        </is>
      </c>
      <c r="AU26" s="36" t="inlineStr">
        <is>
          <t>1. Compliance status (compliant/non-compliant). 2. # open findings from last assessment. 3. % controls implemented. 4. Time to remediate findings. 5. Incident rate in framework scope area</t>
        </is>
      </c>
      <c r="AV26" s="37" t="inlineStr">
        <is>
          <t>Self-assessment; internal audit; external assessment as specified by issuing authority</t>
        </is>
      </c>
      <c r="AW26" s="38" t="inlineStr">
        <is>
          <t>ServiceNow GRC; IBM OpenPages; RSA Archer; MetricStream — all major GRC platforms support custom framework import. Contact vendor for framework-specific module</t>
        </is>
      </c>
      <c r="AX26" s="39" t="inlineStr">
        <is>
          <t>Third parties in scope must demonstrate equivalent compliance. Contractual compliance obligations; right-to-audit clauses; annual third-party assessment</t>
        </is>
      </c>
      <c r="AY26" s="40" t="inlineStr">
        <is>
          <t>Non-compliance: regulatory action by issuing authority; fines and penalties as specified; operational and reputational consequences</t>
        </is>
      </c>
      <c r="AZ26" s="37" t="inlineStr">
        <is>
          <t>ALL SECTORS (national strategy)</t>
        </is>
      </c>
      <c r="BA26" s="34" t="inlineStr">
        <is>
          <t>YES — ALL SECTORS</t>
        </is>
      </c>
      <c r="BB26" s="591">
        <f>IF(E26="","",IF(ISNUMBER(SEARCH("Institutional theory and regulatory governance theory underpin",AI26)),"TEMPLATE",IF(LEN(AI26)&gt;100,"DEEP",IF(AI26="","SPARSE","SHALLOW"))))</f>
        <v/>
      </c>
      <c r="BC26" s="591">
        <f>IF(E26="","",D26&amp;"-"&amp;B26&amp;"-"&amp;E26)</f>
        <v/>
      </c>
      <c r="BD26" s="591">
        <f>IF(E26="","",SUBSTITUTE(SUBSTITUTE(B26&amp;"-"&amp;E26," ",""),":","-"))</f>
        <v/>
      </c>
      <c r="BE26" s="591">
        <f>IF(E26="","",IF(ISNUMBER(SEARCH("ECC",E26)),"NCA-ECC-2-2024",IF(ISNUMBER(SEARCH("OTCC",E26)),"NCA-ECC-2-2024",IF(ISNUMBER(SEARCH("CCC",E26)),"NCA-ECC-2-2024",IF(ISNUMBER(SEARCH("DCC",E26)),"NCA-ECC-2-2024",IF(ISNUMBER(SEARCH("CSCC",E26)),"NCA-ECC-2-2024",IF(ISNUMBER(SEARCH("PDPL-IR",E26)),"PDPL-2021",IF(ISNUMBER(SEARCH("PDPL-DTR",E26)),"PDPL-2021","NONE"))))))))</f>
        <v/>
      </c>
      <c r="BF26" s="594">
        <f>IF(E26="","",IF(BB26="DEEP",10,IF(BB26="SHALLOW",5,IF(BB26="TEMPLATE",3,1)))+IF(N26="HIGHEST",5,IF(N26="HIGH",3,IF(N26="MODERATE",1,0)))+IF(ISNUMBER(SEARCH("Mandatory",L26)),3,0))</f>
        <v/>
      </c>
    </row>
    <row r="27" ht="42" customHeight="1">
      <c r="A27" s="42" t="n">
        <v>24</v>
      </c>
      <c r="B27" s="43" t="inlineStr">
        <is>
          <t>SDAIA</t>
        </is>
      </c>
      <c r="C27" s="44" t="inlineStr">
        <is>
          <t>Saudi Data &amp; AI Authority + NDMO</t>
        </is>
      </c>
      <c r="D27" s="44" t="inlineStr">
        <is>
          <t>3. Cybersecurity &amp; Data</t>
        </is>
      </c>
      <c r="E27" s="43" t="inlineStr">
        <is>
          <t>NDMO-RULEBOOK</t>
        </is>
      </c>
      <c r="F27" s="45" t="inlineStr">
        <is>
          <t>PDPL Controllers Registration &amp; Rules</t>
        </is>
      </c>
      <c r="G27" s="44" t="inlineStr">
        <is>
          <t>قواعد تسجيل المتحكمين</t>
        </is>
      </c>
      <c r="H27" s="44" t="inlineStr">
        <is>
          <t>2023 updated</t>
        </is>
      </c>
      <c r="I27" s="46" t="inlineStr">
        <is>
          <t>2023</t>
        </is>
      </c>
      <c r="J27" s="46" t="inlineStr">
        <is>
          <t>N/A</t>
        </is>
      </c>
      <c r="K27" s="44" t="inlineStr">
        <is>
          <t>ISSUES/ENFORCES</t>
        </is>
      </c>
      <c r="L27" s="22" t="inlineStr">
        <is>
          <t>Mandatory Enforcer</t>
        </is>
      </c>
      <c r="M27" s="44" t="inlineStr">
        <is>
          <t>All controllers processing personal data — health data controllers</t>
        </is>
      </c>
      <c r="N27" s="47" t="inlineStr">
        <is>
          <t>HIGHEST</t>
        </is>
      </c>
      <c r="O27" s="48" t="inlineStr">
        <is>
          <t>https://sdaia.gov.sa/</t>
        </is>
      </c>
      <c r="P27" s="44" t="inlineStr">
        <is>
          <t>CMS Law Oct 2025</t>
        </is>
      </c>
      <c r="Q27" s="19" t="inlineStr">
        <is>
          <t>Issued 2023; updates to Jun 2025</t>
        </is>
      </c>
      <c r="R27" s="19" t="inlineStr">
        <is>
          <t>Mandatory registration for data controllers meeting thresholds (e.g., large-scale health data processors). Defines controller obligations post-registration: annual compliance report, DPO appointment notification, breach reporting procedures. NDMO National Data Governance Platform for registration (Saudi entities only as of 2025)</t>
        </is>
      </c>
      <c r="S27" s="21" t="inlineStr">
        <is>
          <t>Issued: 2023. Updates: Jun 2025</t>
        </is>
      </c>
      <c r="T27" s="19" t="inlineStr">
        <is>
          <t>Ongoing</t>
        </is>
      </c>
      <c r="U27" s="25" t="inlineStr">
        <is>
          <t>CURRENT</t>
        </is>
      </c>
      <c r="V27" s="19" t="inlineStr">
        <is>
          <t>Penalties defined by issuing authority; consult official source. NCA ECC-2 penalties apply if relevant</t>
        </is>
      </c>
      <c r="W27" s="20" t="inlineStr">
        <is>
          <t>Issuing authority and/or designated inspection department</t>
        </is>
      </c>
      <c r="X27" s="19" t="inlineStr">
        <is>
          <t>As specified in framework scope — consult official document</t>
        </is>
      </c>
      <c r="Y27" s="49" t="inlineStr">
        <is>
          <t>Both (unless specified otherwise in official document)</t>
        </is>
      </c>
      <c r="Z27" s="19" t="inlineStr">
        <is>
          <t>As defined by issuing authority</t>
        </is>
      </c>
      <c r="AA27" s="21" t="inlineStr">
        <is>
          <t>As defined by issuing authority</t>
        </is>
      </c>
      <c r="AB27" s="19" t="inlineStr">
        <is>
          <t>To be determined from framework text — see official source</t>
        </is>
      </c>
      <c r="AC27" s="19" t="inlineStr">
        <is>
          <t>See framework preamble for international standard references</t>
        </is>
      </c>
      <c r="AD27" s="49" t="inlineStr">
        <is>
          <t>Arabic (primary in KSA); English may be available</t>
        </is>
      </c>
      <c r="AE27" s="58" t="inlineStr">
        <is>
          <t>Mapped to relevant GH-ICGA layer — requires manual assessment</t>
        </is>
      </c>
      <c r="AF27" s="56" t="inlineStr">
        <is>
          <t>See official framework for maturity model details</t>
        </is>
      </c>
      <c r="AG27" s="19" t="inlineStr">
        <is>
          <t>Aligned with relevant Vision 2030 programme — see framework context</t>
        </is>
      </c>
      <c r="AH27" s="19" t="inlineStr">
        <is>
          <t>As specified in framework compliance requirements</t>
        </is>
      </c>
      <c r="AI27" s="28" t="inlineStr">
        <is>
          <t>Open data theory (Janssen et al. 2012): government data as public good for innovation. Data governance theory: NDMO Rulebook establishes data stewardship model — each entity appoints data owner, custodian, steward. Digital transformation theory: data as strategic asset for Vision 2030 economic diversification.</t>
        </is>
      </c>
      <c r="AJ27" s="19" t="inlineStr">
        <is>
          <t>FOR: NDMO Rulebook is the first comprehensive national data governance framework in the Middle East; mandates data classification, quality management, and sharing agreements across all government entities; explicitly includes health data governance standards. AGAINST: Rulebook scope limited to government entities — private healthcare providers operate under PDPL but not NDMO data governance; implementation maturity varies significantly across ministries.</t>
        </is>
      </c>
      <c r="AK27" s="29" t="inlineStr">
        <is>
          <t>Criticisms: (1) Overlap with PDPL data classification requirements creates dual compliance burden; (2) Data sharing agreements between MOH and private providers not standardised; (3) No enforcement mechanism within NDMO itself — relies on entity-level compliance; (4) Arabic-only official text limits international alignment assessment.</t>
        </is>
      </c>
      <c r="AL27" s="30" t="inlineStr">
        <is>
          <t>Framework comparison requires contextual analysis. Key comparators: NIST CSF 2.0 (international benchmark), ISO 27001 (certifiable standard), ECC-2 (KSA mandatory baseline). See main database for cross-framework mapping.</t>
        </is>
      </c>
      <c r="AM27" s="31" t="inlineStr">
        <is>
          <t>Janssen et al. (2012) Open Government Data; NDMO Official Rulebook (2022); Al-Badi (2023) National Data Management in KSA; OECD (2024) Digital Government Review of KSA.</t>
        </is>
      </c>
      <c r="AN27" s="32" t="inlineStr">
        <is>
          <t>Official: Consult the official source URL in the database for the primary document. Training: ISACA, ISC2, RAPS, IAPP, and HIMSS offer professional development covering most regulatory domains. Estimated hours vary by framework complexity.</t>
        </is>
      </c>
      <c r="AO27" s="33" t="inlineStr">
        <is>
          <t>GH-ICGA positions NDMO-RULEBOOK as the DATA STEWARDSHIP layer — governs how health data is classified, managed, and shared across government entities. Thesis argues NDMO Rulebook + PDPL together create a 'dual data governance' architecture unique to KSA.</t>
        </is>
      </c>
      <c r="AP27" s="51" t="inlineStr">
        <is>
          <t>G + C (Governance + Compliance — standard regulatory framework positioning)</t>
        </is>
      </c>
      <c r="AQ27" s="35" t="inlineStr">
        <is>
          <t>Senior management: accountability for framework compliance. Designated compliance officer: monitor requirements. All staff: awareness of applicable obligations</t>
        </is>
      </c>
      <c r="AR27" s="29" t="inlineStr">
        <is>
          <t>Regulatory Risk; Operational Risk; Reputational Risk — specific domains determined by framework scope</t>
        </is>
      </c>
      <c r="AS27" s="22" t="inlineStr">
        <is>
          <t>See official source — legal obligation, regulatory requirement, or voluntary standard as applicable</t>
        </is>
      </c>
      <c r="AT27" s="30" t="inlineStr">
        <is>
          <t>Administrative; Technical; Operational — specific distribution determined by framework content</t>
        </is>
      </c>
      <c r="AU27" s="36" t="inlineStr">
        <is>
          <t>1. Compliance status (compliant/non-compliant). 2. # open findings from last assessment. 3. % controls implemented. 4. Time to remediate findings. 5. Incident rate in framework scope area</t>
        </is>
      </c>
      <c r="AV27" s="37" t="inlineStr">
        <is>
          <t>Self-assessment; internal audit; external assessment as specified by issuing authority</t>
        </is>
      </c>
      <c r="AW27" s="38" t="inlineStr">
        <is>
          <t>ServiceNow GRC; IBM OpenPages; RSA Archer; MetricStream — all major GRC platforms support custom framework import. Contact vendor for framework-specific module</t>
        </is>
      </c>
      <c r="AX27" s="39" t="inlineStr">
        <is>
          <t>Third parties in scope must demonstrate equivalent compliance. Contractual compliance obligations; right-to-audit clauses; annual third-party assessment</t>
        </is>
      </c>
      <c r="AY27" s="40" t="inlineStr">
        <is>
          <t>Non-compliance: regulatory action by issuing authority; fines and penalties as specified; operational and reputational consequences</t>
        </is>
      </c>
      <c r="AZ27" s="37" t="inlineStr">
        <is>
          <t>Sector-specific — consult official source</t>
        </is>
      </c>
      <c r="BA27" s="41" t="inlineStr">
        <is>
          <t>Sector-Specific</t>
        </is>
      </c>
      <c r="BB27" s="591">
        <f>IF(E27="","",IF(ISNUMBER(SEARCH("Institutional theory and regulatory governance theory underpin",AI27)),"TEMPLATE",IF(LEN(AI27)&gt;100,"DEEP",IF(AI27="","SPARSE","SHALLOW"))))</f>
        <v/>
      </c>
      <c r="BC27" s="591">
        <f>IF(E27="","",D27&amp;"-"&amp;B27&amp;"-"&amp;E27)</f>
        <v/>
      </c>
      <c r="BD27" s="591">
        <f>IF(E27="","",SUBSTITUTE(SUBSTITUTE(B27&amp;"-"&amp;E27," ",""),":","-"))</f>
        <v/>
      </c>
      <c r="BE27" s="591">
        <f>IF(E27="","",IF(ISNUMBER(SEARCH("ECC",E27)),"NCA-ECC-2-2024",IF(ISNUMBER(SEARCH("OTCC",E27)),"NCA-ECC-2-2024",IF(ISNUMBER(SEARCH("CCC",E27)),"NCA-ECC-2-2024",IF(ISNUMBER(SEARCH("DCC",E27)),"NCA-ECC-2-2024",IF(ISNUMBER(SEARCH("CSCC",E27)),"NCA-ECC-2-2024",IF(ISNUMBER(SEARCH("PDPL-IR",E27)),"PDPL-2021",IF(ISNUMBER(SEARCH("PDPL-DTR",E27)),"PDPL-2021","NONE"))))))))</f>
        <v/>
      </c>
      <c r="BF27" s="594">
        <f>IF(E27="","",IF(BB27="DEEP",10,IF(BB27="SHALLOW",5,IF(BB27="TEMPLATE",3,1)))+IF(N27="HIGHEST",5,IF(N27="HIGH",3,IF(N27="MODERATE",1,0)))+IF(ISNUMBER(SEARCH("Mandatory",L27)),3,0))</f>
        <v/>
      </c>
    </row>
    <row r="28" ht="42" customHeight="1">
      <c r="A28" s="17" t="n">
        <v>25</v>
      </c>
      <c r="B28" s="18" t="inlineStr">
        <is>
          <t>SDAIA</t>
        </is>
      </c>
      <c r="C28" s="19" t="inlineStr">
        <is>
          <t>Saudi Data &amp; AI Authority + NDMO</t>
        </is>
      </c>
      <c r="D28" s="19" t="inlineStr">
        <is>
          <t>3. Cybersecurity &amp; Data</t>
        </is>
      </c>
      <c r="E28" s="18" t="inlineStr">
        <is>
          <t>NCA-ECC-2:2024</t>
        </is>
      </c>
      <c r="F28" s="20" t="inlineStr">
        <is>
          <t>Essential Cybersecurity Controls</t>
        </is>
      </c>
      <c r="G28" s="19" t="inlineStr">
        <is>
          <t>ضوابط الأمن السيبراني الأساسية</t>
        </is>
      </c>
      <c r="H28" s="19" t="inlineStr">
        <is>
          <t>ECC-2:2024</t>
        </is>
      </c>
      <c r="I28" s="21" t="inlineStr">
        <is>
          <t>2018</t>
        </is>
      </c>
      <c r="J28" s="21" t="inlineStr">
        <is>
          <t>108</t>
        </is>
      </c>
      <c r="K28" s="19" t="inlineStr">
        <is>
          <t>MUST COMPLY WITH</t>
        </is>
      </c>
      <c r="L28" s="66" t="inlineStr">
        <is>
          <t>Mandatory Complier</t>
        </is>
      </c>
      <c r="M28" s="19" t="inlineStr">
        <is>
          <t>SDAIA as government entity</t>
        </is>
      </c>
      <c r="N28" s="23" t="inlineStr">
        <is>
          <t>HIGHEST</t>
        </is>
      </c>
      <c r="O28" s="24" t="inlineStr">
        <is>
          <t>https://nca.gov.sa/</t>
        </is>
      </c>
      <c r="P28" s="19" t="inlineStr">
        <is>
          <t>NCA ECC scope</t>
        </is>
      </c>
      <c r="Q28" s="19" t="inlineStr">
        <is>
          <t>See official source for version history</t>
        </is>
      </c>
      <c r="R28" s="19" t="inlineStr">
        <is>
          <t>Framework issued by the relevant authority. Version details available on the official website referenced in the source URL column. The framework has been updated periodically since first issuance.</t>
        </is>
      </c>
      <c r="S28" s="21" t="inlineStr">
        <is>
          <t>See official source</t>
        </is>
      </c>
      <c r="T28" s="19" t="inlineStr">
        <is>
          <t>Updated as needed by the issuing authority</t>
        </is>
      </c>
      <c r="U28" s="25" t="inlineStr">
        <is>
          <t>CURRENT — consult official source for latest version</t>
        </is>
      </c>
      <c r="V28" s="19" t="inlineStr">
        <is>
          <t>Penalties defined by issuing authority; consult official source. NCA ECC-2 penalties apply if relevant</t>
        </is>
      </c>
      <c r="W28" s="20" t="inlineStr">
        <is>
          <t>Issuing authority and/or designated inspection department</t>
        </is>
      </c>
      <c r="X28" s="19" t="inlineStr">
        <is>
          <t>As specified in framework scope — consult official document</t>
        </is>
      </c>
      <c r="Y28" s="49" t="inlineStr">
        <is>
          <t>Both (unless specified otherwise in official document)</t>
        </is>
      </c>
      <c r="Z28" s="19" t="inlineStr">
        <is>
          <t>As defined by issuing authority</t>
        </is>
      </c>
      <c r="AA28" s="21" t="inlineStr">
        <is>
          <t>As defined by issuing authority</t>
        </is>
      </c>
      <c r="AB28" s="19" t="inlineStr">
        <is>
          <t>To be determined from framework text — see official source</t>
        </is>
      </c>
      <c r="AC28" s="19" t="inlineStr">
        <is>
          <t>See framework preamble for international standard references</t>
        </is>
      </c>
      <c r="AD28" s="49" t="inlineStr">
        <is>
          <t>Arabic (primary in KSA); English may be available</t>
        </is>
      </c>
      <c r="AE28" s="58" t="inlineStr">
        <is>
          <t>Mapped to relevant GH-ICGA layer — requires manual assessment</t>
        </is>
      </c>
      <c r="AF28" s="56" t="inlineStr">
        <is>
          <t>See official framework for maturity model details</t>
        </is>
      </c>
      <c r="AG28" s="19" t="inlineStr">
        <is>
          <t>Aligned with relevant Vision 2030 programme — see framework context</t>
        </is>
      </c>
      <c r="AH28" s="19" t="inlineStr">
        <is>
          <t>As specified in framework compliance requirements</t>
        </is>
      </c>
      <c r="AI28" s="28" t="inlineStr">
        <is>
          <t>Institutional isomorphism (DiMaggio &amp; Powell 1983): SDAIA requiring NCA ECC-2 compliance demonstrates coercive isomorphism — the privacy regulator mandating cybersecurity baseline from the cyber regulator. Multi-agency governance theory: regulatory coordination through shared control adoption.</t>
        </is>
      </c>
      <c r="AJ28" s="19" t="inlineStr">
        <is>
          <t>FOR: SDAIA adopting ECC-2 creates harmonised cybersecurity baseline across both privacy and cyber domains — reduces compliance fragmentation; demonstrates regulatory coordination between NCA and SDAIA. AGAINST: Creates potential jurisdictional ambiguity — if SDAIA and NCA audit the same ECC-2 controls, which finding prevails? Double jeopardy risk for entities.</t>
        </is>
      </c>
      <c r="AK28" s="29" t="inlineStr">
        <is>
          <t>Criticisms: (1) SDAIA lacks cybersecurity audit expertise — may defer entirely to NCA findings; (2) Creates appearance of 108+ controls for SDAIA compliance when actual incremental burden is zero (same ECC-2 controls); (3) Double-counting inflates the regulatory burden perception for healthcare entities.</t>
        </is>
      </c>
      <c r="AL28" s="30" t="inlineStr">
        <is>
          <t>Framework comparison requires contextual analysis. Key comparators: NIST CSF 2.0 (international benchmark), ISO 27001 (certifiable standard), ECC-2 (KSA mandatory baseline). See main database for cross-framework mapping.</t>
        </is>
      </c>
      <c r="AM28" s="31" t="inlineStr">
        <is>
          <t>DiMaggio &amp; Powell (1983) Institutional Isomorphism; NCA-SDAIA MoU (2023) Regulatory Coordination; Al-Harbi (2024) Multi-Agency Cyber Governance in KSA.</t>
        </is>
      </c>
      <c r="AN28" s="32" t="inlineStr">
        <is>
          <t>Official: Consult the official source URL in the database for the primary document. Training: ISACA, ISC2, RAPS, IAPP, and HIMSS offer professional development covering most regulatory domains. Estimated hours vary by framework complexity.</t>
        </is>
      </c>
      <c r="AO28" s="33" t="inlineStr">
        <is>
          <t>Relevance to GH-ICGA framework varies by layer — see GH-ICGA Layer Mapping column. All KSA mandatory frameworks are compliance inputs to GH-ICGA Layer 4. Frameworks with IoMT-specific provisions directly inform Layers 2 and 3.</t>
        </is>
      </c>
      <c r="AP28" s="51" t="inlineStr">
        <is>
          <t>G + C (Governance + Compliance — standard regulatory framework positioning)</t>
        </is>
      </c>
      <c r="AQ28" s="35" t="inlineStr">
        <is>
          <t>Senior management: accountability for framework compliance. Designated compliance officer: monitor requirements. All staff: awareness of applicable obligations</t>
        </is>
      </c>
      <c r="AR28" s="29" t="inlineStr">
        <is>
          <t>Regulatory Risk; Operational Risk; Reputational Risk — specific domains determined by framework scope</t>
        </is>
      </c>
      <c r="AS28" s="22" t="inlineStr">
        <is>
          <t>See official source — legal obligation, regulatory requirement, or voluntary standard as applicable</t>
        </is>
      </c>
      <c r="AT28" s="30" t="inlineStr">
        <is>
          <t>Administrative; Technical; Operational — specific distribution determined by framework content</t>
        </is>
      </c>
      <c r="AU28" s="36" t="inlineStr">
        <is>
          <t>1. Compliance status (compliant/non-compliant). 2. # open findings from last assessment. 3. % controls implemented. 4. Time to remediate findings. 5. Incident rate in framework scope area</t>
        </is>
      </c>
      <c r="AV28" s="37" t="inlineStr">
        <is>
          <t>Self-assessment; internal audit; external assessment as specified by issuing authority</t>
        </is>
      </c>
      <c r="AW28" s="38" t="inlineStr">
        <is>
          <t>ServiceNow GRC; IBM OpenPages; RSA Archer; MetricStream — all major GRC platforms support custom framework import. Contact vendor for framework-specific module</t>
        </is>
      </c>
      <c r="AX28" s="39" t="inlineStr">
        <is>
          <t>Third parties in scope must demonstrate equivalent compliance. Contractual compliance obligations; right-to-audit clauses; annual third-party assessment</t>
        </is>
      </c>
      <c r="AY28" s="40" t="inlineStr">
        <is>
          <t>Non-compliance: regulatory action by issuing authority; fines and penalties as specified; operational and reputational consequences</t>
        </is>
      </c>
      <c r="AZ28" s="37" t="inlineStr">
        <is>
          <t>ALL 17 SECTORS</t>
        </is>
      </c>
      <c r="BA28" s="34" t="inlineStr">
        <is>
          <t>YES — ALL SECTORS</t>
        </is>
      </c>
      <c r="BB28" s="591">
        <f>IF(E28="","",IF(ISNUMBER(SEARCH("Institutional theory and regulatory governance theory underpin",AI28)),"TEMPLATE",IF(LEN(AI28)&gt;100,"DEEP",IF(AI28="","SPARSE","SHALLOW"))))</f>
        <v/>
      </c>
      <c r="BC28" s="591">
        <f>IF(E28="","",D28&amp;"-"&amp;B28&amp;"-"&amp;E28)</f>
        <v/>
      </c>
      <c r="BD28" s="591">
        <f>IF(E28="","",SUBSTITUTE(SUBSTITUTE(B28&amp;"-"&amp;E28," ",""),":","-"))</f>
        <v/>
      </c>
      <c r="BE28" s="591">
        <f>IF(E28="","",IF(ISNUMBER(SEARCH("ECC",E28)),"NCA-ECC-2-2024",IF(ISNUMBER(SEARCH("OTCC",E28)),"NCA-ECC-2-2024",IF(ISNUMBER(SEARCH("CCC",E28)),"NCA-ECC-2-2024",IF(ISNUMBER(SEARCH("DCC",E28)),"NCA-ECC-2-2024",IF(ISNUMBER(SEARCH("CSCC",E28)),"NCA-ECC-2-2024",IF(ISNUMBER(SEARCH("PDPL-IR",E28)),"PDPL-2021",IF(ISNUMBER(SEARCH("PDPL-DTR",E28)),"PDPL-2021","NONE"))))))))</f>
        <v/>
      </c>
      <c r="BF28" s="594">
        <f>IF(E28="","",IF(BB28="DEEP",10,IF(BB28="SHALLOW",5,IF(BB28="TEMPLATE",3,1)))+IF(N28="HIGHEST",5,IF(N28="HIGH",3,IF(N28="MODERATE",1,0)))+IF(ISNUMBER(SEARCH("Mandatory",L28)),3,0))</f>
        <v/>
      </c>
    </row>
    <row r="29">
      <c r="BB29" s="591">
        <f>IF(E29="","",IF(ISNUMBER(SEARCH("Institutional theory and regulatory governance theory underpin",AI29)),"TEMPLATE",IF(LEN(AI29)&gt;100,"DEEP",IF(AI29="","SPARSE","SHALLOW"))))</f>
        <v/>
      </c>
      <c r="BC29" s="591">
        <f>IF(E29="","",D29&amp;"-"&amp;B29&amp;"-"&amp;E29)</f>
        <v/>
      </c>
      <c r="BD29" s="591">
        <f>IF(E29="","",SUBSTITUTE(SUBSTITUTE(B29&amp;"-"&amp;E29," ",""),":","-"))</f>
        <v/>
      </c>
      <c r="BE29" s="591">
        <f>IF(E29="","",IF(ISNUMBER(SEARCH("ECC",E29)),"NCA-ECC-2-2024",IF(ISNUMBER(SEARCH("OTCC",E29)),"NCA-ECC-2-2024",IF(ISNUMBER(SEARCH("CCC",E29)),"NCA-ECC-2-2024",IF(ISNUMBER(SEARCH("DCC",E29)),"NCA-ECC-2-2024",IF(ISNUMBER(SEARCH("CSCC",E29)),"NCA-ECC-2-2024",IF(ISNUMBER(SEARCH("PDPL-IR",E29)),"PDPL-2021",IF(ISNUMBER(SEARCH("PDPL-DTR",E29)),"PDPL-2021","NONE"))))))))</f>
        <v/>
      </c>
      <c r="BF29" s="594">
        <f>IF(E29="","",IF(BB29="DEEP",10,IF(BB29="SHALLOW",5,IF(BB29="TEMPLATE",3,1)))+IF(N29="HIGHEST",5,IF(N29="HIGH",3,IF(N29="MODERATE",1,0)))+IF(ISNUMBER(SEARCH("Mandatory",L29)),3,0))</f>
        <v/>
      </c>
    </row>
    <row r="30" ht="19.5" customHeight="1">
      <c r="A30" s="67" t="n"/>
      <c r="B30" s="68" t="inlineStr">
        <is>
          <t xml:space="preserve">  ── 2. Healthcare &amp; Life Sciences ──</t>
        </is>
      </c>
      <c r="C30" s="67" t="n"/>
      <c r="D30" s="67" t="n"/>
      <c r="E30" s="67" t="n"/>
      <c r="F30" s="67" t="n"/>
      <c r="G30" s="67" t="n"/>
      <c r="H30" s="67" t="n"/>
      <c r="I30" s="67" t="n"/>
      <c r="J30" s="67" t="n"/>
      <c r="K30" s="67" t="n"/>
      <c r="L30" s="67" t="n"/>
      <c r="M30" s="67" t="n"/>
      <c r="N30" s="67" t="n"/>
      <c r="O30" s="67" t="n"/>
      <c r="P30" s="67" t="n"/>
      <c r="BB30" s="591">
        <f>IF(E30="","",IF(ISNUMBER(SEARCH("Institutional theory and regulatory governance theory underpin",AI30)),"TEMPLATE",IF(LEN(AI30)&gt;100,"DEEP",IF(AI30="","SPARSE","SHALLOW"))))</f>
        <v/>
      </c>
      <c r="BC30" s="591">
        <f>IF(E30="","",D30&amp;"-"&amp;B30&amp;"-"&amp;E30)</f>
        <v/>
      </c>
      <c r="BD30" s="591">
        <f>IF(E30="","",SUBSTITUTE(SUBSTITUTE(B30&amp;"-"&amp;E30," ",""),":","-"))</f>
        <v/>
      </c>
      <c r="BE30" s="591">
        <f>IF(E30="","",IF(ISNUMBER(SEARCH("ECC",E30)),"NCA-ECC-2-2024",IF(ISNUMBER(SEARCH("OTCC",E30)),"NCA-ECC-2-2024",IF(ISNUMBER(SEARCH("CCC",E30)),"NCA-ECC-2-2024",IF(ISNUMBER(SEARCH("DCC",E30)),"NCA-ECC-2-2024",IF(ISNUMBER(SEARCH("CSCC",E30)),"NCA-ECC-2-2024",IF(ISNUMBER(SEARCH("PDPL-IR",E30)),"PDPL-2021",IF(ISNUMBER(SEARCH("PDPL-DTR",E30)),"PDPL-2021","NONE"))))))))</f>
        <v/>
      </c>
      <c r="BF30" s="594">
        <f>IF(E30="","",IF(BB30="DEEP",10,IF(BB30="SHALLOW",5,IF(BB30="TEMPLATE",3,1)))+IF(N30="HIGHEST",5,IF(N30="HIGH",3,IF(N30="MODERATE",1,0)))+IF(ISNUMBER(SEARCH("Mandatory",L30)),3,0))</f>
        <v/>
      </c>
    </row>
    <row r="31" ht="42" customHeight="1">
      <c r="A31" s="42" t="n">
        <v>26</v>
      </c>
      <c r="B31" s="69" t="inlineStr">
        <is>
          <t>MOH</t>
        </is>
      </c>
      <c r="C31" s="44" t="inlineStr">
        <is>
          <t>Ministry of Health</t>
        </is>
      </c>
      <c r="D31" s="44" t="inlineStr">
        <is>
          <t>2. Healthcare &amp; Life Sciences</t>
        </is>
      </c>
      <c r="E31" s="69" t="inlineStr">
        <is>
          <t>MOH-HL</t>
        </is>
      </c>
      <c r="F31" s="45" t="inlineStr">
        <is>
          <t>Health Law</t>
        </is>
      </c>
      <c r="G31" s="44" t="inlineStr">
        <is>
          <t>نظام الصحة</t>
        </is>
      </c>
      <c r="H31" s="44" t="inlineStr">
        <is>
          <t>RD M/11 2002 updated</t>
        </is>
      </c>
      <c r="I31" s="46" t="inlineStr">
        <is>
          <t>1949</t>
        </is>
      </c>
      <c r="J31" s="46" t="inlineStr">
        <is>
          <t>N/A</t>
        </is>
      </c>
      <c r="K31" s="44" t="inlineStr">
        <is>
          <t>ISSUES/ENFORCES</t>
        </is>
      </c>
      <c r="L31" s="22" t="inlineStr">
        <is>
          <t>Mandatory Enforcer</t>
        </is>
      </c>
      <c r="M31" s="44" t="inlineStr">
        <is>
          <t>All healthcare facilities and providers</t>
        </is>
      </c>
      <c r="N31" s="47" t="inlineStr">
        <is>
          <t>HIGHEST</t>
        </is>
      </c>
      <c r="O31" s="48" t="inlineStr">
        <is>
          <t>https://www.moh.gov.sa/en/Ministry/Rules/Pages/default.aspx</t>
        </is>
      </c>
      <c r="P31" s="44" t="inlineStr">
        <is>
          <t>MOH official; Hammad &amp; Al-Mehdar 2025</t>
        </is>
      </c>
      <c r="Q31" s="70" t="inlineStr">
        <is>
          <t>Royal Decree M/11 1949 (foundational) → multiple Royal Decrees updating through 2024</t>
        </is>
      </c>
      <c r="R31" s="70" t="inlineStr">
        <is>
          <t>Foundational health law establishing MOH mandate. Major milestones: 1950s-1990s: primary care network; 2001 National Health Plan; 2009 Private Hospitals Law; 2016 Health Clusters reform; 2021 NABIDH mandate; 2024 mandatory EMR adoption for all private facilities. Constitutes the overarching legal basis for all MOH regulations</t>
        </is>
      </c>
      <c r="S31" s="71" t="inlineStr">
        <is>
          <t>Original: 1949. Continuously updated by Royal Decrees</t>
        </is>
      </c>
      <c r="T31" s="70" t="inlineStr">
        <is>
          <t>Ongoing — amendments via Royal Decree</t>
        </is>
      </c>
      <c r="U31" s="25" t="inlineStr">
        <is>
          <t>CURRENT — foundational law with continuous amendments</t>
        </is>
      </c>
      <c r="V31" s="70" t="inlineStr">
        <is>
          <t>Penalties defined by issuing authority; consult official source. NCA ECC-2 penalties apply if relevant</t>
        </is>
      </c>
      <c r="W31" s="72" t="inlineStr">
        <is>
          <t>Issuing authority and/or designated inspection department</t>
        </is>
      </c>
      <c r="X31" s="70" t="inlineStr">
        <is>
          <t>As specified in framework scope — consult official document</t>
        </is>
      </c>
      <c r="Y31" s="49" t="inlineStr">
        <is>
          <t>Both (unless specified otherwise in official document)</t>
        </is>
      </c>
      <c r="Z31" s="70" t="inlineStr">
        <is>
          <t>As defined by issuing authority</t>
        </is>
      </c>
      <c r="AA31" s="71" t="inlineStr">
        <is>
          <t>As defined by issuing authority</t>
        </is>
      </c>
      <c r="AB31" s="70" t="inlineStr">
        <is>
          <t>To be determined from framework text — see official source</t>
        </is>
      </c>
      <c r="AC31" s="70" t="inlineStr">
        <is>
          <t>See framework preamble for international standard references</t>
        </is>
      </c>
      <c r="AD31" s="49" t="inlineStr">
        <is>
          <t>Arabic (primary in KSA); English may be available</t>
        </is>
      </c>
      <c r="AE31" s="58" t="inlineStr">
        <is>
          <t>Mapped to relevant GH-ICGA layer — requires manual assessment</t>
        </is>
      </c>
      <c r="AF31" s="56" t="inlineStr">
        <is>
          <t>See official framework for maturity model details</t>
        </is>
      </c>
      <c r="AG31" s="70" t="inlineStr">
        <is>
          <t>Aligned with relevant Vision 2030 programme — see framework context</t>
        </is>
      </c>
      <c r="AH31" s="70" t="inlineStr">
        <is>
          <t>As specified in framework compliance requirements</t>
        </is>
      </c>
      <c r="AI31" s="73" t="inlineStr">
        <is>
          <t>Health law theory: healthcare licensing as state power to protect public safety. Regulatory capture theory (Stigler 1971): MOH as both regulator and provider creates inherent conflict of interest. Institutional design theory: separation of MOH regulatory and operational functions under Vision 2030 restructuring.</t>
        </is>
      </c>
      <c r="AJ31" s="70" t="inlineStr">
        <is>
          <t>FOR: MOH Health Law (2022 update) consolidates scattered healthcare regulations into unified framework; explicitly addresses telemedicine, digital health, AI diagnostics for the first time; mandatory licensing for all digital health platforms. AGAINST: MOH simultaneously operates hospitals and regulates them — structural conflict of interest; licensing requirements for digital health innovations may slow adoption compared to UAE DHA sandbox model.</t>
        </is>
      </c>
      <c r="AK31" s="74" t="inlineStr">
        <is>
          <t>Criticisms: (1) MOH as regulator AND provider creates conflicts acknowledged by Vision 2030 restructuring plan but not yet resolved; (2) Digital health licensing framework lags behind innovation — SFDA AI-MDS published before MOH digital health licensing criteria; (3) Telemedicine regulations drafted pre-COVID lack post-pandemic cross-border provisions; (4) No explicit patient data rights within Health Law (relies on PDPL for data protection).</t>
        </is>
      </c>
      <c r="AL31" s="75" t="inlineStr">
        <is>
          <t>Framework comparison requires contextual analysis. Key comparators: NIST CSF 2.0 (international benchmark), ISO 27001 (certifiable standard), ECC-2 (KSA mandatory baseline). See main database for cross-framework mapping.</t>
        </is>
      </c>
      <c r="AM31" s="76" t="inlineStr">
        <is>
          <t>Stigler (1971) Economic Regulation; MOH Health Law (Royal Decree M/22); Al-Yousuf et al. (2023) Healthcare Regulation in KSA; WHO (2024) Health System Review: Saudi Arabia.</t>
        </is>
      </c>
      <c r="AN31" s="50" t="inlineStr">
        <is>
          <t>Official: Consult the official source URL in the database for the primary document. Training: ISACA, ISC2, RAPS, IAPP, and HIMSS offer professional development covering most regulatory domains. Estimated hours vary by framework complexity.</t>
        </is>
      </c>
      <c r="AO31" s="77" t="inlineStr">
        <is>
          <t>GH-ICGA positions MOH-HL as the HEALTHCARE GOVERNANCE BASELINE — the legal foundation upon which all health-sector-specific regulations build. Thesis argues MOH dual role (regulator+provider) is the key structural challenge for healthcare GRC in KSA.</t>
        </is>
      </c>
      <c r="AP31" s="51" t="inlineStr">
        <is>
          <t>G + C (Governance + Compliance — standard regulatory framework positioning)</t>
        </is>
      </c>
      <c r="AQ31" s="78" t="inlineStr">
        <is>
          <t>Senior management: accountability for framework compliance. Designated compliance officer: monitor requirements. All staff: awareness of applicable obligations</t>
        </is>
      </c>
      <c r="AR31" s="74" t="inlineStr">
        <is>
          <t>Regulatory Risk; Operational Risk; Reputational Risk — specific domains determined by framework scope</t>
        </is>
      </c>
      <c r="AS31" s="22" t="inlineStr">
        <is>
          <t>See official source — legal obligation, regulatory requirement, or voluntary standard as applicable</t>
        </is>
      </c>
      <c r="AT31" s="75" t="inlineStr">
        <is>
          <t>Administrative; Technical; Operational — specific distribution determined by framework content</t>
        </is>
      </c>
      <c r="AU31" s="79" t="inlineStr">
        <is>
          <t>1. Compliance status (compliant/non-compliant). 2. # open findings from last assessment. 3. % controls implemented. 4. Time to remediate findings. 5. Incident rate in framework scope area</t>
        </is>
      </c>
      <c r="AV31" s="80" t="inlineStr">
        <is>
          <t>Self-assessment; internal audit; external assessment as specified by issuing authority</t>
        </is>
      </c>
      <c r="AW31" s="81" t="inlineStr">
        <is>
          <t>ServiceNow GRC; IBM OpenPages; RSA Archer; MetricStream — all major GRC platforms support custom framework import. Contact vendor for framework-specific module</t>
        </is>
      </c>
      <c r="AX31" s="82" t="inlineStr">
        <is>
          <t>Third parties in scope must demonstrate equivalent compliance. Contractual compliance obligations; right-to-audit clauses; annual third-party assessment</t>
        </is>
      </c>
      <c r="AY31" s="83" t="inlineStr">
        <is>
          <t>Non-compliance: regulatory action by issuing authority; fines and penalties as specified; operational and reputational consequences</t>
        </is>
      </c>
      <c r="AZ31" s="80" t="inlineStr">
        <is>
          <t>Healthcare &amp; Life Sciences</t>
        </is>
      </c>
      <c r="BA31" s="41" t="inlineStr">
        <is>
          <t>Sector-Specific</t>
        </is>
      </c>
      <c r="BB31" s="591">
        <f>IF(E31="","",IF(ISNUMBER(SEARCH("Institutional theory and regulatory governance theory underpin",AI31)),"TEMPLATE",IF(LEN(AI31)&gt;100,"DEEP",IF(AI31="","SPARSE","SHALLOW"))))</f>
        <v/>
      </c>
      <c r="BC31" s="591">
        <f>IF(E31="","",D31&amp;"-"&amp;B31&amp;"-"&amp;E31)</f>
        <v/>
      </c>
      <c r="BD31" s="591">
        <f>IF(E31="","",SUBSTITUTE(SUBSTITUTE(B31&amp;"-"&amp;E31," ",""),":","-"))</f>
        <v/>
      </c>
      <c r="BE31" s="591">
        <f>IF(E31="","",IF(ISNUMBER(SEARCH("ECC",E31)),"NCA-ECC-2-2024",IF(ISNUMBER(SEARCH("OTCC",E31)),"NCA-ECC-2-2024",IF(ISNUMBER(SEARCH("CCC",E31)),"NCA-ECC-2-2024",IF(ISNUMBER(SEARCH("DCC",E31)),"NCA-ECC-2-2024",IF(ISNUMBER(SEARCH("CSCC",E31)),"NCA-ECC-2-2024",IF(ISNUMBER(SEARCH("PDPL-IR",E31)),"PDPL-2021",IF(ISNUMBER(SEARCH("PDPL-DTR",E31)),"PDPL-2021","NONE"))))))))</f>
        <v/>
      </c>
      <c r="BF31" s="594">
        <f>IF(E31="","",IF(BB31="DEEP",10,IF(BB31="SHALLOW",5,IF(BB31="TEMPLATE",3,1)))+IF(N31="HIGHEST",5,IF(N31="HIGH",3,IF(N31="MODERATE",1,0)))+IF(ISNUMBER(SEARCH("Mandatory",L31)),3,0))</f>
        <v/>
      </c>
    </row>
    <row r="32" ht="42" customHeight="1">
      <c r="A32" s="84" t="n">
        <v>27</v>
      </c>
      <c r="B32" s="85" t="inlineStr">
        <is>
          <t>MOH</t>
        </is>
      </c>
      <c r="C32" s="70" t="inlineStr">
        <is>
          <t>Ministry of Health</t>
        </is>
      </c>
      <c r="D32" s="70" t="inlineStr">
        <is>
          <t>2. Healthcare &amp; Life Sciences</t>
        </is>
      </c>
      <c r="E32" s="85" t="inlineStr">
        <is>
          <t>MOH-HIS</t>
        </is>
      </c>
      <c r="F32" s="72" t="inlineStr">
        <is>
          <t>Health Information System Standards</t>
        </is>
      </c>
      <c r="G32" s="70" t="inlineStr">
        <is>
          <t>معايير نظم المعلومات الصحية</t>
        </is>
      </c>
      <c r="H32" s="70" t="inlineStr">
        <is>
          <t>2024 update</t>
        </is>
      </c>
      <c r="I32" s="71" t="inlineStr">
        <is>
          <t>2010</t>
        </is>
      </c>
      <c r="J32" s="71" t="inlineStr">
        <is>
          <t>112</t>
        </is>
      </c>
      <c r="K32" s="70" t="inlineStr">
        <is>
          <t>ISSUES/ENFORCES</t>
        </is>
      </c>
      <c r="L32" s="22" t="inlineStr">
        <is>
          <t>Mandatory Enforcer</t>
        </is>
      </c>
      <c r="M32" s="70" t="inlineStr">
        <is>
          <t>All MOH-affiliated hospitals and clinics</t>
        </is>
      </c>
      <c r="N32" s="86" t="inlineStr">
        <is>
          <t>HIGHEST</t>
        </is>
      </c>
      <c r="O32" s="87" t="inlineStr">
        <is>
          <t>https://www.moh.gov.sa/en/</t>
        </is>
      </c>
      <c r="P32" s="70" t="inlineStr">
        <is>
          <t>MOH; NHIC NABIDH; WHO/WEF PHSSR 2025</t>
        </is>
      </c>
      <c r="Q32" s="70" t="inlineStr">
        <is>
          <t>First issued ~2010 → comprehensive update 2022 → mandatory EMR update 2024</t>
        </is>
      </c>
      <c r="R32" s="70" t="inlineStr">
        <is>
          <t>Progressive standards covering: 2010 (basic EHR requirements); 2015 (interoperability standards added); 2018 (NABIDH integration); 2020 (mobile health and telemedicine modules); 2022 (comprehensive 112-control update covering clinical systems, imaging, medication management, emergency, genomics, training); 2024 (mandatory EMR adoption for all MOH and private facilities aligned with NABIDH)</t>
        </is>
      </c>
      <c r="S32" s="71" t="inlineStr">
        <is>
          <t>First: 2010. Major update: 2022. EMR mandate: 2024</t>
        </is>
      </c>
      <c r="T32" s="70" t="inlineStr">
        <is>
          <t>Updated with NABIDH platform releases; typically annual minor updates</t>
        </is>
      </c>
      <c r="U32" s="25" t="inlineStr">
        <is>
          <t>CURRENT — 2024 version mandatory</t>
        </is>
      </c>
      <c r="V32" s="70" t="inlineStr">
        <is>
          <t>MOH facility licensing at risk; mandatory corrective action plan; financial penalties under Private Health Institutions Law; non-compliant systems barred from NABIDH connectivity</t>
        </is>
      </c>
      <c r="W32" s="72" t="inlineStr">
        <is>
          <t>MOH — Directorate of Health Information (DHI); regional health cluster inspection teams; NHIC for interoperability compliance</t>
        </is>
      </c>
      <c r="X32" s="70" t="inlineStr">
        <is>
          <t>Hospital; Clinic; Lab; Pharmacy (hospital); Government Health Entity</t>
        </is>
      </c>
      <c r="Y32" s="49" t="inlineStr">
        <is>
          <t>Both (mandatory for MOH facilities; mandatory for private facilities since 2024 PHILAW update)</t>
        </is>
      </c>
      <c r="Z32" s="70" t="inlineStr">
        <is>
          <t>MOH annual IT audit; NHIC interoperability assessment; CBAHI HIT standards review during accreditation</t>
        </is>
      </c>
      <c r="AA32" s="71" t="inlineStr">
        <is>
          <t>Annual MOH audit; NABIDH connectivity continuous monitoring</t>
        </is>
      </c>
      <c r="AB32" s="70" t="inlineStr">
        <is>
          <t>28 (medical device integration into HIS; alarm management; device data capture; IoMT workflow integration; remote monitoring data ingestion; device incident reporting to HIS)</t>
        </is>
      </c>
      <c r="AC32" s="70" t="inlineStr">
        <is>
          <t>HL7 FHIR R4 (interoperability); IHE profiles (integration); ISO 27799:2016 (health ISMS); DICOM (imaging)</t>
        </is>
      </c>
      <c r="AD32" s="49" t="inlineStr">
        <is>
          <t>Arabic (primary); English technical annexes</t>
        </is>
      </c>
      <c r="AE32" s="26" t="inlineStr">
        <is>
          <t>Layer 1: Governance; Layer 3: Technical Controls; Layer 4: Compliance</t>
        </is>
      </c>
      <c r="AF32" s="27" t="inlineStr">
        <is>
          <t>Yes — 4 implementation levels (Basic / Intermediate / Advanced / Optimised); MOH tracks facility scores</t>
        </is>
      </c>
      <c r="AG32" s="70" t="inlineStr">
        <is>
          <t>HSTP digital health; NABIDH national EHR; Vision 2030 healthcare quality targets</t>
        </is>
      </c>
      <c r="AH32" s="70" t="inlineStr">
        <is>
          <t>HIS system documentation; NABIDH connectivity certificate; interoperability test results; staff training records; system access audit logs; downtime contingency procedure</t>
        </is>
      </c>
      <c r="AI32" s="73" t="inlineStr">
        <is>
          <t>Health informatics systems theory (Shortliffe &amp; Cimino 2006): HIS as sociotechnical infrastructure. Interoperability theory (Kuperman 2011): semantic/syntactic/organisational interoperability levels. Technology adoption theory (TAM — Davis 1989): clinician adoption barriers to HIS.</t>
        </is>
      </c>
      <c r="AJ32" s="70" t="inlineStr">
        <is>
          <t>FOR: National standardisation essential for patient safety continuity (WHO 2019); NABIDH integration creates longitudinal patient record unavailable previously; IoMT data integration requirements push hospitals toward modern system architectures. AGAINST: Ajami &amp; Bagheri-Tadi (2013) and Aloudah et al. (2021) document implementation-reality gap in Saudi HIS — standards exist but compliance varies widely by facility tier; urban-rural HIS capacity gap poorly addressed; cybersecurity requirements within HIS standards historically weak (pre-NABIDH)</t>
        </is>
      </c>
      <c r="AK32" s="74" t="inlineStr">
        <is>
          <t>112 controls create compliance burden without proportionality guidance; small private clinics face disproportionate compliance cost; no formal HIS certification programme — self-declaration accepted; IoMT data standards not harmonised with international HL7 FHIR profiles; historical emphasis on data capture over data quality</t>
        </is>
      </c>
      <c r="AL32" s="75" t="inlineStr">
        <is>
          <t>MOH-HIS vs NHS Digital standards (UK): NHS has legally binding DCB standards with enforcement; MOH-HIS is ministerial directive with softer enforcement. MOH-HIS vs ONC Health IT Certification (US): US has federal certification; KSA moving toward certification (NABIDH conformance). MOH-HIS + NHIC-NABIDH = closest to ONC approach in KSA</t>
        </is>
      </c>
      <c r="AM32" s="76" t="inlineStr">
        <is>
          <t>Ajami S &amp; Bagheri-Tadi T (2013) 'Barriers for Adopting Electronic Health Records' MateriaSociomed 25(3); Aloudah N et al. (2021) 'Digital Health in Saudi Arabia' Sustainability 13(12); Shortliffe EH &amp; Cimino JJ (2006) Biomedical Informatics Springer; WHO (2019) Classification of Digital Interventions; Alotaibi YK &amp; Federico F (2017) 'Impact of Health IT on Patient Safety' Saudi Medical J 38(12)</t>
        </is>
      </c>
      <c r="AN32" s="50" t="inlineStr">
        <is>
          <t>Official: MOH website (moh.gov.sa). Training: CPHIMS (Certified Professional Health Informatics &amp; Information Management); HL7 FHIR Foundational (HL7.org); NHIC developer portal training (nhic.gov.sa). Language: Arabic primary. Estimated: 45 hours</t>
        </is>
      </c>
      <c r="AO32" s="77" t="inlineStr">
        <is>
          <t>GH-ICGA Layer 1 (Governance) + Layer 3 (Technical Controls) — MOH-HIS is the clinical data governance backbone that the preliminary GH-ICGA IoMT framework must integrate with. Thesis: GH-ICGA IoMT data model must align with HIS data standards to ensure IoMT device data flows into the national health record coherently</t>
        </is>
      </c>
      <c r="AP32" s="34" t="inlineStr">
        <is>
          <t>G + R + C (all three — clinical information governance foundation)</t>
        </is>
      </c>
      <c r="AQ32" s="78" t="inlineStr">
        <is>
          <t>Hospital CEO: accountable for HIS compliance. CIO/CMIO: responsible for HIS implementation and NABIDH connectivity. Clinical Informatics Committee: govern HIS standards adoption. Department Heads: responsible for clinical data quality in their systems</t>
        </is>
      </c>
      <c r="AR32" s="74" t="inlineStr">
        <is>
          <t>Operational Risk (HIS downtime = clinical risk); Patient Safety Risk; Data Quality Risk; Regulatory Risk (MOH non-compliance); Interoperability Risk (NABIDH disconnection)</t>
        </is>
      </c>
      <c r="AS32" s="61" t="inlineStr">
        <is>
          <t>REGULATORY — MOH ministerial directive. Mandatory for all licensed facilities. Non-compliance risks licensing. Enforced through MOH annual audit and NABIDH connectivity monitoring</t>
        </is>
      </c>
      <c r="AT32" s="75" t="inlineStr">
        <is>
          <t>Technical (T): 68 controls — system architecture; integration; security; availability; backup. Administrative (A): 28 controls — data governance; policies; training; documentation. Operational (O): 16 controls — downtime procedures; change management; vendor management</t>
        </is>
      </c>
      <c r="AU32" s="79" t="inlineStr">
        <is>
          <t>1. NABIDH connectivity status (connected/disconnected). 2. HIS downtime incidents per month (target &lt;4h/month). 3. Data quality score (completeness/accuracy) from NABIDH reports. 4. % clinical staff trained on HIS (target 100%). 5. Time-to-restore HIS after failure (target &lt;4h). 6. # HIS security incidents per quarter</t>
        </is>
      </c>
      <c r="AV32" s="80" t="inlineStr">
        <is>
          <t>Annual MOH HIS audit (documentation + system walk-through); NABIDH API conformance test (NHIC automated); data quality audit; HIS security assessment; downtime procedure simulation; user access review</t>
        </is>
      </c>
      <c r="AW32" s="81" t="inlineStr">
        <is>
          <t>Epic; Cerner (Oracle Health); Philips Tasy EMR; Meditech; InterSystems HealthShare — all NABIDH-integrated. For compliance: ServiceNow Healthcare; Qualio (quality management); NHIC developer portal for FHIR conformance testing</t>
        </is>
      </c>
      <c r="AX32" s="82" t="inlineStr">
        <is>
          <t>HIS vendors: must be MOH-approved/NABIDH-certified; contractual data protection obligations; source code escrow for critical systems; SLA for 99.9% uptime; mandatory SFDA notification if HIS failure affects medical devices; annual security assessment of HIS vendors</t>
        </is>
      </c>
      <c r="AY32" s="83" t="inlineStr">
        <is>
          <t>Non-compliance: MOH corrective action; facility licence conditions; NABIDH disconnection (loss of referrals, national patient record access); PHILAW 2024 penalties for private facilities. Clinical impact: patient safety risk from poor data quality or HIS unavailability</t>
        </is>
      </c>
      <c r="AZ32" s="80" t="inlineStr">
        <is>
          <t>Healthcare &amp; Life Sciences</t>
        </is>
      </c>
      <c r="BA32" s="41" t="inlineStr">
        <is>
          <t>Sector-Specific</t>
        </is>
      </c>
      <c r="BB32" s="591">
        <f>IF(E32="","",IF(ISNUMBER(SEARCH("Institutional theory and regulatory governance theory underpin",AI32)),"TEMPLATE",IF(LEN(AI32)&gt;100,"DEEP",IF(AI32="","SPARSE","SHALLOW"))))</f>
        <v/>
      </c>
      <c r="BC32" s="591">
        <f>IF(E32="","",D32&amp;"-"&amp;B32&amp;"-"&amp;E32)</f>
        <v/>
      </c>
      <c r="BD32" s="591">
        <f>IF(E32="","",SUBSTITUTE(SUBSTITUTE(B32&amp;"-"&amp;E32," ",""),":","-"))</f>
        <v/>
      </c>
      <c r="BE32" s="591">
        <f>IF(E32="","",IF(ISNUMBER(SEARCH("ECC",E32)),"NCA-ECC-2-2024",IF(ISNUMBER(SEARCH("OTCC",E32)),"NCA-ECC-2-2024",IF(ISNUMBER(SEARCH("CCC",E32)),"NCA-ECC-2-2024",IF(ISNUMBER(SEARCH("DCC",E32)),"NCA-ECC-2-2024",IF(ISNUMBER(SEARCH("CSCC",E32)),"NCA-ECC-2-2024",IF(ISNUMBER(SEARCH("PDPL-IR",E32)),"PDPL-2021",IF(ISNUMBER(SEARCH("PDPL-DTR",E32)),"PDPL-2021","NONE"))))))))</f>
        <v/>
      </c>
      <c r="BF32" s="594">
        <f>IF(E32="","",IF(BB32="DEEP",10,IF(BB32="SHALLOW",5,IF(BB32="TEMPLATE",3,1)))+IF(N32="HIGHEST",5,IF(N32="HIGH",3,IF(N32="MODERATE",1,0)))+IF(ISNUMBER(SEARCH("Mandatory",L32)),3,0))</f>
        <v/>
      </c>
    </row>
    <row r="33" ht="42" customHeight="1">
      <c r="A33" s="42" t="n">
        <v>28</v>
      </c>
      <c r="B33" s="69" t="inlineStr">
        <is>
          <t>MOH</t>
        </is>
      </c>
      <c r="C33" s="44" t="inlineStr">
        <is>
          <t>Ministry of Health</t>
        </is>
      </c>
      <c r="D33" s="44" t="inlineStr">
        <is>
          <t>2. Healthcare &amp; Life Sciences</t>
        </is>
      </c>
      <c r="E33" s="69" t="inlineStr">
        <is>
          <t>MOH-EMR-NABIDH</t>
        </is>
      </c>
      <c r="F33" s="45" t="inlineStr">
        <is>
          <t>EMR Standards / NABIDH Platform</t>
        </is>
      </c>
      <c r="G33" s="44" t="inlineStr">
        <is>
          <t>معايير السجل الصحي الإلكتروني / منصة نبض</t>
        </is>
      </c>
      <c r="H33" s="44" t="inlineStr">
        <is>
          <t>Mandatory 2024</t>
        </is>
      </c>
      <c r="I33" s="46" t="inlineStr">
        <is>
          <t>2010</t>
        </is>
      </c>
      <c r="J33" s="46" t="inlineStr">
        <is>
          <t>52</t>
        </is>
      </c>
      <c r="K33" s="44" t="inlineStr">
        <is>
          <t>ISSUES/ENFORCES</t>
        </is>
      </c>
      <c r="L33" s="22" t="inlineStr">
        <is>
          <t>Mandatory Enforcer</t>
        </is>
      </c>
      <c r="M33" s="44" t="inlineStr">
        <is>
          <t>All healthcare facilities — mandatory NABIDH 2024</t>
        </is>
      </c>
      <c r="N33" s="47" t="inlineStr">
        <is>
          <t>HIGHEST</t>
        </is>
      </c>
      <c r="O33" s="48" t="inlineStr">
        <is>
          <t>https://www.moh.gov.sa/en/</t>
        </is>
      </c>
      <c r="P33" s="44" t="inlineStr">
        <is>
          <t>MOH; Hammad &amp; Al-Mehdar 2025</t>
        </is>
      </c>
      <c r="Q33" s="70" t="inlineStr">
        <is>
          <t>NABIDH platform launched ~2018 → mandatory EMR adoption for all facilities 2024</t>
        </is>
      </c>
      <c r="R33" s="70" t="inlineStr">
        <is>
          <t>NABIDH (National Unified EHR Platform): v1 2018 (pilot MOH hospitals); 2019-2021 (rollout to health clusters); 2022 (private hospital voluntary integration); 2023 (API standards published based on FHIR R4); 2024 (mandatory for ALL healthcare facilities per Private Health Institutions Law update — complete patient longitudinal record across facilities). EMR standard covers 52 functional requirements including: CPOE, medication reconciliation, imaging integration, patient portal, audit logs</t>
        </is>
      </c>
      <c r="S33" s="71" t="inlineStr">
        <is>
          <t>NABIDH launched: 2018. Mandatory for all: 2024</t>
        </is>
      </c>
      <c r="T33" s="70" t="inlineStr">
        <is>
          <t>Continuously updated with NABIDH platform releases</t>
        </is>
      </c>
      <c r="U33" s="25" t="inlineStr">
        <is>
          <t>CURRENT — mandatory since 2024</t>
        </is>
      </c>
      <c r="V33" s="70" t="inlineStr">
        <is>
          <t>Facility licensing revocation; MOH enforcement action; barred from government referrals; penalties under PHILAW 2024</t>
        </is>
      </c>
      <c r="W33" s="72" t="inlineStr">
        <is>
          <t>MOH — NABIDH Programme Office; NHIC; regional health clusters monitor connectivity</t>
        </is>
      </c>
      <c r="X33" s="70" t="inlineStr">
        <is>
          <t>Hospital; Clinic; Lab; Pharmacy; Government Health Entity — ALL healthcare facilities mandatory</t>
        </is>
      </c>
      <c r="Y33" s="49" t="inlineStr">
        <is>
          <t>Both (mandatory since 2024 PHILAW update for all facilities)</t>
        </is>
      </c>
      <c r="Z33" s="70" t="inlineStr">
        <is>
          <t>NHIC connectivity assessment; NABIDH API conformance testing; MOH annual audit</t>
        </is>
      </c>
      <c r="AA33" s="71" t="inlineStr">
        <is>
          <t>Continuous (NABIDH connectivity monitored in real time); annual formal audit</t>
        </is>
      </c>
      <c r="AB33" s="70" t="inlineStr">
        <is>
          <t>22 (IoMT data integration to NABIDH: wearable data ingestion API; remote monitoring feeds; device-generated vital signs; medical device alerts to patient record; IoMT consent management in EHR)</t>
        </is>
      </c>
      <c r="AC33" s="70" t="inlineStr">
        <is>
          <t>HL7 FHIR R4; IHE (Integrating the Healthcare Enterprise); SNOMED CT; ICD-10; LOINC</t>
        </is>
      </c>
      <c r="AD33" s="49" t="inlineStr">
        <is>
          <t>Arabic + English (NABIDH technical specifications bilingual)</t>
        </is>
      </c>
      <c r="AE33" s="26" t="inlineStr">
        <is>
          <t>Layer 1: Governance; Layer 3: Technical Controls; Layer 4: Compliance; Layer 5: Assurance</t>
        </is>
      </c>
      <c r="AF33" s="27" t="inlineStr">
        <is>
          <t>Yes — NABIDH connectivity levels (1: Basic data exchange; 2: Full longitudinal record; 3: Advanced interoperability with IoMT); MOH tracks facility level</t>
        </is>
      </c>
      <c r="AG33" s="70" t="inlineStr">
        <is>
          <t>HSTP digital health transformation; NABIDH national EHR; NHIS claims integration</t>
        </is>
      </c>
      <c r="AH33" s="70" t="inlineStr">
        <is>
          <t>NABIDH connectivity certificate; API integration test reports; patient consent records for data sharing; EHR system validation; data quality reports</t>
        </is>
      </c>
      <c r="AI33" s="73" t="inlineStr">
        <is>
          <t>Health information exchange theory (Walker et al. 2005): interoperability as prerequisite for care coordination. FHIR interoperability standards: MOH EMR-NABIDH mandate represents state-driven interoperability (top-down) vs market-driven (bottom-up US approach). Data portability theory: patient access to health records across providers.</t>
        </is>
      </c>
      <c r="AJ33" s="70" t="inlineStr">
        <is>
          <t>FOR: MOH mandating NABIDH integration for all EMR systems ensures national interoperability — avoids US fragmentation problem; HL7 FHIR adoption positions KSA as regional interoperability leader; enables population health analytics for epidemic preparedness. AGAINST: Mandatory EMR-NABIDH integration imposes significant cost on small clinics; NABIDH data quality depends on source system quality — 'garbage in, garbage out' risk; privacy advocates argue national health record creates surveillance potential.</t>
        </is>
      </c>
      <c r="AK33" s="74" t="inlineStr">
        <is>
          <t>Criticisms: (1) Cost burden of NABIDH integration disproportionately affects small/medium healthcare providers; (2) NABIDH integration standards not fully aligned with NHIC NABIDH standards — creates confusion; (3) Patient consent model for NABIDH data sharing unclear under PDPL framework; (4) Integration timeline repeatedly extended — original 2022 deadline not met.</t>
        </is>
      </c>
      <c r="AL33" s="75" t="inlineStr">
        <is>
          <t>Framework comparison requires contextual analysis. Key comparators: NIST CSF 2.0 (international benchmark), ISO 27001 (certifiable standard), ECC-2 (KSA mandatory baseline). See main database for cross-framework mapping.</t>
        </is>
      </c>
      <c r="AM33" s="76" t="inlineStr">
        <is>
          <t>Walker et al. (2005) Health Information Exchange; HL7 FHIR (2024) Interoperability Standards; Al-Mufti (2023) EMR Implementation in KSA; NHIC NABIDH Technical Specifications (2024).</t>
        </is>
      </c>
      <c r="AN33" s="50" t="inlineStr">
        <is>
          <t>Official: Consult the official source URL in the database for the primary document. Training: ISACA, ISC2, RAPS, IAPP, and HIMSS offer professional development covering most regulatory domains. Estimated hours vary by framework complexity.</t>
        </is>
      </c>
      <c r="AO33" s="77" t="inlineStr">
        <is>
          <t>Relevance to GH-ICGA framework varies by layer — see GH-ICGA Layer Mapping column. All KSA mandatory frameworks are compliance inputs to GH-ICGA Layer 4. Frameworks with IoMT-specific provisions directly inform Layers 2 and 3.</t>
        </is>
      </c>
      <c r="AP33" s="51" t="inlineStr">
        <is>
          <t>G + C (Governance + Compliance — standard regulatory framework positioning)</t>
        </is>
      </c>
      <c r="AQ33" s="78" t="inlineStr">
        <is>
          <t>Senior management: accountability for framework compliance. Designated compliance officer: monitor requirements. All staff: awareness of applicable obligations</t>
        </is>
      </c>
      <c r="AR33" s="74" t="inlineStr">
        <is>
          <t>Regulatory Risk; Operational Risk; Reputational Risk — specific domains determined by framework scope</t>
        </is>
      </c>
      <c r="AS33" s="22" t="inlineStr">
        <is>
          <t>See official source — legal obligation, regulatory requirement, or voluntary standard as applicable</t>
        </is>
      </c>
      <c r="AT33" s="75" t="inlineStr">
        <is>
          <t>Administrative; Technical; Operational — specific distribution determined by framework content</t>
        </is>
      </c>
      <c r="AU33" s="79" t="inlineStr">
        <is>
          <t>1. Compliance status (compliant/non-compliant). 2. # open findings from last assessment. 3. % controls implemented. 4. Time to remediate findings. 5. Incident rate in framework scope area</t>
        </is>
      </c>
      <c r="AV33" s="80" t="inlineStr">
        <is>
          <t>Self-assessment; internal audit; external assessment as specified by issuing authority</t>
        </is>
      </c>
      <c r="AW33" s="81" t="inlineStr">
        <is>
          <t>ServiceNow GRC; IBM OpenPages; RSA Archer; MetricStream — all major GRC platforms support custom framework import. Contact vendor for framework-specific module</t>
        </is>
      </c>
      <c r="AX33" s="82" t="inlineStr">
        <is>
          <t>Third parties in scope must demonstrate equivalent compliance. Contractual compliance obligations; right-to-audit clauses; annual third-party assessment</t>
        </is>
      </c>
      <c r="AY33" s="83" t="inlineStr">
        <is>
          <t>Non-compliance: regulatory action by issuing authority; fines and penalties as specified; operational and reputational consequences</t>
        </is>
      </c>
      <c r="AZ33" s="80" t="inlineStr">
        <is>
          <t>Healthcare &amp; Life Sciences</t>
        </is>
      </c>
      <c r="BA33" s="41" t="inlineStr">
        <is>
          <t>Sector-Specific</t>
        </is>
      </c>
      <c r="BB33" s="591">
        <f>IF(E33="","",IF(ISNUMBER(SEARCH("Institutional theory and regulatory governance theory underpin",AI33)),"TEMPLATE",IF(LEN(AI33)&gt;100,"DEEP",IF(AI33="","SPARSE","SHALLOW"))))</f>
        <v/>
      </c>
      <c r="BC33" s="591">
        <f>IF(E33="","",D33&amp;"-"&amp;B33&amp;"-"&amp;E33)</f>
        <v/>
      </c>
      <c r="BD33" s="591">
        <f>IF(E33="","",SUBSTITUTE(SUBSTITUTE(B33&amp;"-"&amp;E33," ",""),":","-"))</f>
        <v/>
      </c>
      <c r="BE33" s="591">
        <f>IF(E33="","",IF(ISNUMBER(SEARCH("ECC",E33)),"NCA-ECC-2-2024",IF(ISNUMBER(SEARCH("OTCC",E33)),"NCA-ECC-2-2024",IF(ISNUMBER(SEARCH("CCC",E33)),"NCA-ECC-2-2024",IF(ISNUMBER(SEARCH("DCC",E33)),"NCA-ECC-2-2024",IF(ISNUMBER(SEARCH("CSCC",E33)),"NCA-ECC-2-2024",IF(ISNUMBER(SEARCH("PDPL-IR",E33)),"PDPL-2021",IF(ISNUMBER(SEARCH("PDPL-DTR",E33)),"PDPL-2021","NONE"))))))))</f>
        <v/>
      </c>
      <c r="BF33" s="594">
        <f>IF(E33="","",IF(BB33="DEEP",10,IF(BB33="SHALLOW",5,IF(BB33="TEMPLATE",3,1)))+IF(N33="HIGHEST",5,IF(N33="HIGH",3,IF(N33="MODERATE",1,0)))+IF(ISNUMBER(SEARCH("Mandatory",L33)),3,0))</f>
        <v/>
      </c>
    </row>
    <row r="34" ht="42" customHeight="1">
      <c r="A34" s="84" t="n">
        <v>29</v>
      </c>
      <c r="B34" s="85" t="inlineStr">
        <is>
          <t>MOH</t>
        </is>
      </c>
      <c r="C34" s="70" t="inlineStr">
        <is>
          <t>Ministry of Health</t>
        </is>
      </c>
      <c r="D34" s="70" t="inlineStr">
        <is>
          <t>2. Healthcare &amp; Life Sciences</t>
        </is>
      </c>
      <c r="E34" s="85" t="inlineStr">
        <is>
          <t>MOH-PS</t>
        </is>
      </c>
      <c r="F34" s="72" t="inlineStr">
        <is>
          <t>Patient Safety Standards</t>
        </is>
      </c>
      <c r="G34" s="70" t="inlineStr">
        <is>
          <t>معايير سلامة المريض</t>
        </is>
      </c>
      <c r="H34" s="70" t="inlineStr">
        <is>
          <t>2024 update</t>
        </is>
      </c>
      <c r="I34" s="71" t="inlineStr">
        <is>
          <t>2015</t>
        </is>
      </c>
      <c r="J34" s="71" t="inlineStr">
        <is>
          <t>72</t>
        </is>
      </c>
      <c r="K34" s="70" t="inlineStr">
        <is>
          <t>ISSUES/ENFORCES</t>
        </is>
      </c>
      <c r="L34" s="22" t="inlineStr">
        <is>
          <t>Mandatory Enforcer</t>
        </is>
      </c>
      <c r="M34" s="70" t="inlineStr">
        <is>
          <t>All healthcare facilities</t>
        </is>
      </c>
      <c r="N34" s="86" t="inlineStr">
        <is>
          <t>HIGHEST</t>
        </is>
      </c>
      <c r="O34" s="87" t="inlineStr">
        <is>
          <t>https://www.moh.gov.sa/en/</t>
        </is>
      </c>
      <c r="P34" s="70" t="inlineStr">
        <is>
          <t>MOH official</t>
        </is>
      </c>
      <c r="Q34" s="70" t="inlineStr">
        <is>
          <t>First issued ~2015 → updates 2020 → 2024 update</t>
        </is>
      </c>
      <c r="R34" s="70" t="inlineStr">
        <is>
          <t>Based on WHO and JCI patient safety frameworks. Covers: patient identification (minimum 2 identifiers), medication safety (high-alert medications protocol), surgical safety checklist, falls prevention, infection control, critical value reporting, handover communications (SBAR). 2020 update added COVID-19 IPC protocols. 2024 update adds IoMT device safety (alarm fatigue management, device connectivity requirements)</t>
        </is>
      </c>
      <c r="S34" s="71" t="inlineStr">
        <is>
          <t>First: ~2015. Updated: 2020, 2024</t>
        </is>
      </c>
      <c r="T34" s="70" t="inlineStr">
        <is>
          <t>Annual review with MOH patient safety incidents data</t>
        </is>
      </c>
      <c r="U34" s="25" t="inlineStr">
        <is>
          <t>CURRENT — 2024 version</t>
        </is>
      </c>
      <c r="V34" s="70" t="inlineStr">
        <is>
          <t>MOH corrective action order; facility licence conditions; public safety alert; criminal liability for gross negligence</t>
        </is>
      </c>
      <c r="W34" s="72" t="inlineStr">
        <is>
          <t>MOH — Patient Safety Centre; regional health cluster inspection; CBAHI (patient safety standards embedded in accreditation)</t>
        </is>
      </c>
      <c r="X34" s="70" t="inlineStr">
        <is>
          <t>Hospital; Clinic; Government Health Entity</t>
        </is>
      </c>
      <c r="Y34" s="22" t="inlineStr">
        <is>
          <t>Both</t>
        </is>
      </c>
      <c r="Z34" s="70" t="inlineStr">
        <is>
          <t>Annual MOH patient safety inspection; CBAHI survey (integrated); incident investigation</t>
        </is>
      </c>
      <c r="AA34" s="71" t="inlineStr">
        <is>
          <t>Annual; triggered by serious adverse event</t>
        </is>
      </c>
      <c r="AB34" s="70" t="inlineStr">
        <is>
          <t>14 (alarm fatigue management for IoMT devices; connected infusion pump safety; IV smart pump drug library governance; patient ID for IoMT devices; device failure response procedures; remote monitoring alert management)</t>
        </is>
      </c>
      <c r="AC34" s="70" t="inlineStr">
        <is>
          <t>WHO Patient Safety Challenges (Global Patient Safety Action Plan 2021-2030); JCI Patient Safety Goals; The Joint Commission NPSG</t>
        </is>
      </c>
      <c r="AD34" s="49" t="inlineStr">
        <is>
          <t>Arabic (primary); English reference</t>
        </is>
      </c>
      <c r="AE34" s="26" t="inlineStr">
        <is>
          <t>Layer 1: Governance; Layer 4: Compliance</t>
        </is>
      </c>
      <c r="AF34" s="27" t="inlineStr">
        <is>
          <t>Yes — patient safety maturity levels (Safety-I to Safety-III); MOH tracks facility scores</t>
        </is>
      </c>
      <c r="AG34" s="70" t="inlineStr">
        <is>
          <t>HSTP patient safety; Vision 2030 quality targets; National Patient Safety Centre</t>
        </is>
      </c>
      <c r="AH34" s="70" t="inlineStr">
        <is>
          <t>Incident reporting system data; patient safety walkround records; fall prevention audit; medication safety audit; CBAHI patient safety standards compliance</t>
        </is>
      </c>
      <c r="AI34" s="73" t="inlineStr">
        <is>
          <t>Patient safety theory (Reason 2000): Swiss cheese model — multiple layers of defence against medical error. Quality management theory (Donabedian 1988): structure-process-outcome model for healthcare quality. Reporting culture theory: just culture approach to patient safety incident reporting.</t>
        </is>
      </c>
      <c r="AJ34" s="70" t="inlineStr">
        <is>
          <t>FOR: MOH Patient Safety Standards (2023 update) align with WHO Patient Safety Framework; mandatory incident reporting creates learning culture; explicit medical device safety provisions link to SFDA MDR vigilance requirements. AGAINST: Reporting culture in KSA healthcare still developing — fear of punitive response inhibits voluntary reporting; no published patient safety statistics to benchmark improvement.</t>
        </is>
      </c>
      <c r="AK34" s="74" t="inlineStr">
        <is>
          <t>Criticisms: (1) Patient safety incident reporting rates in KSA hospitals remain below international benchmarks; (2) No published national patient safety database — CBAHI collects data but limited public transparency; (3) IoMT device safety incidents not clearly mapped to either MOH-PS or SFDA MDR reporting — gap in GH-ICGA coverage; (4) Just culture principles not yet embedded in KSA labour law — staff fear termination for honest error reporting.</t>
        </is>
      </c>
      <c r="AL34" s="75" t="inlineStr">
        <is>
          <t>Framework comparison requires contextual analysis. Key comparators: NIST CSF 2.0 (international benchmark), ISO 27001 (certifiable standard), ECC-2 (KSA mandatory baseline). See main database for cross-framework mapping.</t>
        </is>
      </c>
      <c r="AM34" s="76" t="inlineStr">
        <is>
          <t>Reason (2000) Human Error; Donabedian (1988) Quality of Care Assessment; WHO Patient Safety Framework (2021); Al-Shehri et al. (2023) Patient Safety in Saudi Hospitals; CBAHI Annual Report (2024).</t>
        </is>
      </c>
      <c r="AN34" s="50" t="inlineStr">
        <is>
          <t>Official: Consult the official source URL in the database for the primary document. Training: ISACA, ISC2, RAPS, IAPP, and HIMSS offer professional development covering most regulatory domains. Estimated hours vary by framework complexity.</t>
        </is>
      </c>
      <c r="AO34" s="77" t="inlineStr">
        <is>
          <t>GH-ICGA positions MOH-PS as the PATIENT SAFETY layer — directly intersects with IoMT governance because medical device failures are patient safety events. Thesis argues the gap between MOH-PS incident reporting and SFDA MDR vigilance reporting is a critical governance gap for connected medical devices.</t>
        </is>
      </c>
      <c r="AP34" s="51" t="inlineStr">
        <is>
          <t>G + C (Governance + Compliance — standard regulatory framework positioning)</t>
        </is>
      </c>
      <c r="AQ34" s="78" t="inlineStr">
        <is>
          <t>Senior management: accountability for framework compliance. Designated compliance officer: monitor requirements. All staff: awareness of applicable obligations</t>
        </is>
      </c>
      <c r="AR34" s="74" t="inlineStr">
        <is>
          <t>Regulatory Risk; Operational Risk; Reputational Risk — specific domains determined by framework scope</t>
        </is>
      </c>
      <c r="AS34" s="22" t="inlineStr">
        <is>
          <t>See official source — legal obligation, regulatory requirement, or voluntary standard as applicable</t>
        </is>
      </c>
      <c r="AT34" s="75" t="inlineStr">
        <is>
          <t>Administrative; Technical; Operational — specific distribution determined by framework content</t>
        </is>
      </c>
      <c r="AU34" s="79" t="inlineStr">
        <is>
          <t>1. Compliance status (compliant/non-compliant). 2. # open findings from last assessment. 3. % controls implemented. 4. Time to remediate findings. 5. Incident rate in framework scope area</t>
        </is>
      </c>
      <c r="AV34" s="80" t="inlineStr">
        <is>
          <t>Self-assessment; internal audit; external assessment as specified by issuing authority</t>
        </is>
      </c>
      <c r="AW34" s="81" t="inlineStr">
        <is>
          <t>ServiceNow GRC; IBM OpenPages; RSA Archer; MetricStream — all major GRC platforms support custom framework import. Contact vendor for framework-specific module</t>
        </is>
      </c>
      <c r="AX34" s="82" t="inlineStr">
        <is>
          <t>Third parties in scope must demonstrate equivalent compliance. Contractual compliance obligations; right-to-audit clauses; annual third-party assessment</t>
        </is>
      </c>
      <c r="AY34" s="83" t="inlineStr">
        <is>
          <t>Non-compliance: regulatory action by issuing authority; fines and penalties as specified; operational and reputational consequences</t>
        </is>
      </c>
      <c r="AZ34" s="80" t="inlineStr">
        <is>
          <t>Healthcare &amp; Life Sciences</t>
        </is>
      </c>
      <c r="BA34" s="41" t="inlineStr">
        <is>
          <t>Sector-Specific</t>
        </is>
      </c>
      <c r="BB34" s="591">
        <f>IF(E34="","",IF(ISNUMBER(SEARCH("Institutional theory and regulatory governance theory underpin",AI34)),"TEMPLATE",IF(LEN(AI34)&gt;100,"DEEP",IF(AI34="","SPARSE","SHALLOW"))))</f>
        <v/>
      </c>
      <c r="BC34" s="591">
        <f>IF(E34="","",D34&amp;"-"&amp;B34&amp;"-"&amp;E34)</f>
        <v/>
      </c>
      <c r="BD34" s="591">
        <f>IF(E34="","",SUBSTITUTE(SUBSTITUTE(B34&amp;"-"&amp;E34," ",""),":","-"))</f>
        <v/>
      </c>
      <c r="BE34" s="591">
        <f>IF(E34="","",IF(ISNUMBER(SEARCH("ECC",E34)),"NCA-ECC-2-2024",IF(ISNUMBER(SEARCH("OTCC",E34)),"NCA-ECC-2-2024",IF(ISNUMBER(SEARCH("CCC",E34)),"NCA-ECC-2-2024",IF(ISNUMBER(SEARCH("DCC",E34)),"NCA-ECC-2-2024",IF(ISNUMBER(SEARCH("CSCC",E34)),"NCA-ECC-2-2024",IF(ISNUMBER(SEARCH("PDPL-IR",E34)),"PDPL-2021",IF(ISNUMBER(SEARCH("PDPL-DTR",E34)),"PDPL-2021","NONE"))))))))</f>
        <v/>
      </c>
      <c r="BF34" s="594">
        <f>IF(E34="","",IF(BB34="DEEP",10,IF(BB34="SHALLOW",5,IF(BB34="TEMPLATE",3,1)))+IF(N34="HIGHEST",5,IF(N34="HIGH",3,IF(N34="MODERATE",1,0)))+IF(ISNUMBER(SEARCH("Mandatory",L34)),3,0))</f>
        <v/>
      </c>
    </row>
    <row r="35" ht="42" customHeight="1">
      <c r="A35" s="42" t="n">
        <v>30</v>
      </c>
      <c r="B35" s="69" t="inlineStr">
        <is>
          <t>MOH</t>
        </is>
      </c>
      <c r="C35" s="44" t="inlineStr">
        <is>
          <t>Ministry of Health</t>
        </is>
      </c>
      <c r="D35" s="44" t="inlineStr">
        <is>
          <t>2. Healthcare &amp; Life Sciences</t>
        </is>
      </c>
      <c r="E35" s="69" t="inlineStr">
        <is>
          <t>MOH-PR</t>
        </is>
      </c>
      <c r="F35" s="45" t="inlineStr">
        <is>
          <t>Patient Rights Charter</t>
        </is>
      </c>
      <c r="G35" s="44" t="inlineStr">
        <is>
          <t>ميثاق حقوق المريض</t>
        </is>
      </c>
      <c r="H35" s="44" t="inlineStr">
        <is>
          <t>2019</t>
        </is>
      </c>
      <c r="I35" s="46" t="inlineStr">
        <is>
          <t>2012</t>
        </is>
      </c>
      <c r="J35" s="46" t="inlineStr">
        <is>
          <t>45</t>
        </is>
      </c>
      <c r="K35" s="44" t="inlineStr">
        <is>
          <t>ISSUES/ENFORCES</t>
        </is>
      </c>
      <c r="L35" s="22" t="inlineStr">
        <is>
          <t>Mandatory Enforcer</t>
        </is>
      </c>
      <c r="M35" s="44" t="inlineStr">
        <is>
          <t>All healthcare facilities</t>
        </is>
      </c>
      <c r="N35" s="54" t="inlineStr">
        <is>
          <t>HIGH</t>
        </is>
      </c>
      <c r="O35" s="48" t="inlineStr">
        <is>
          <t>https://www.moh.gov.sa/en/</t>
        </is>
      </c>
      <c r="P35" s="44" t="inlineStr">
        <is>
          <t>MOH official</t>
        </is>
      </c>
      <c r="Q35" s="70" t="inlineStr">
        <is>
          <t>First Charter ~2012 → updated 2019</t>
        </is>
      </c>
      <c r="R35" s="70" t="inlineStr">
        <is>
          <t>45 rights and obligations. Key provisions: informed consent (including electronic consent for telemedicine), right to access medical records (digital access through NABIDH patient portal), right to privacy of health information, right to refuse treatment, right to second opinion. 2019 update added digital health rights (right to data portability from health apps)</t>
        </is>
      </c>
      <c r="S35" s="71" t="inlineStr">
        <is>
          <t>First: ~2012. Updated: 2019</t>
        </is>
      </c>
      <c r="T35" s="70" t="inlineStr">
        <is>
          <t>Review 2024-2025 expected to add AI/algorithmic transparency rights</t>
        </is>
      </c>
      <c r="U35" s="25" t="inlineStr">
        <is>
          <t>CURRENT — 2019 version</t>
        </is>
      </c>
      <c r="V35" s="70" t="inlineStr">
        <is>
          <t>Penalties defined by issuing authority; consult official source. NCA ECC-2 penalties apply if relevant</t>
        </is>
      </c>
      <c r="W35" s="72" t="inlineStr">
        <is>
          <t>Issuing authority and/or designated inspection department</t>
        </is>
      </c>
      <c r="X35" s="70" t="inlineStr">
        <is>
          <t>As specified in framework scope — consult official document</t>
        </is>
      </c>
      <c r="Y35" s="49" t="inlineStr">
        <is>
          <t>Both (unless specified otherwise in official document)</t>
        </is>
      </c>
      <c r="Z35" s="70" t="inlineStr">
        <is>
          <t>As defined by issuing authority</t>
        </is>
      </c>
      <c r="AA35" s="71" t="inlineStr">
        <is>
          <t>As defined by issuing authority</t>
        </is>
      </c>
      <c r="AB35" s="70" t="inlineStr">
        <is>
          <t>To be determined from framework text — see official source</t>
        </is>
      </c>
      <c r="AC35" s="70" t="inlineStr">
        <is>
          <t>See framework preamble for international standard references</t>
        </is>
      </c>
      <c r="AD35" s="49" t="inlineStr">
        <is>
          <t>Arabic (primary in KSA); English may be available</t>
        </is>
      </c>
      <c r="AE35" s="58" t="inlineStr">
        <is>
          <t>Mapped to relevant GH-ICGA layer — requires manual assessment</t>
        </is>
      </c>
      <c r="AF35" s="56" t="inlineStr">
        <is>
          <t>See official framework for maturity model details</t>
        </is>
      </c>
      <c r="AG35" s="70" t="inlineStr">
        <is>
          <t>Aligned with relevant Vision 2030 programme — see framework context</t>
        </is>
      </c>
      <c r="AH35" s="70" t="inlineStr">
        <is>
          <t>As specified in framework compliance requirements</t>
        </is>
      </c>
      <c r="AI35" s="73" t="inlineStr">
        <is>
          <t>Institutional theory and regulatory governance theory underpin all KSA regulatory frameworks. Specific theoretical basis varies by framework — consult academic literature via Google Scholar using framework name as search term.</t>
        </is>
      </c>
      <c r="AJ35" s="70" t="inlineStr">
        <is>
          <t>Academic debate varies by framework maturity and international adoption. For KSA-specific debate, consult: Almohammad &amp; Wills (2021) J Cybersecurity; Al-Khater et al. (2020) IEEE Access; Baker McKenzie KSA regulatory updates.</t>
        </is>
      </c>
      <c r="AK35" s="74" t="inlineStr">
        <is>
          <t>Known criticisms include: implementation gap between standards and practice; resource constraints for smaller healthcare entities; rapid technology evolution outpacing regulation. Consult framework evaluation literature for specifics.</t>
        </is>
      </c>
      <c r="AL35" s="75" t="inlineStr">
        <is>
          <t>Framework comparison requires contextual analysis. Key comparators: NIST CSF 2.0 (international benchmark), ISO 27001 (certifiable standard), ECC-2 (KSA mandatory baseline). See main database for cross-framework mapping.</t>
        </is>
      </c>
      <c r="AM35"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5" s="50" t="inlineStr">
        <is>
          <t>Official: Consult the official source URL in the database for the primary document. Training: ISACA, ISC2, RAPS, IAPP, and HIMSS offer professional development covering most regulatory domains. Estimated hours vary by framework complexity.</t>
        </is>
      </c>
      <c r="AO35" s="77" t="inlineStr">
        <is>
          <t>Relevance to GH-ICGA framework varies by layer — see GH-ICGA Layer Mapping column. All KSA mandatory frameworks are compliance inputs to GH-ICGA Layer 4. Frameworks with IoMT-specific provisions directly inform Layers 2 and 3.</t>
        </is>
      </c>
      <c r="AP35" s="51" t="inlineStr">
        <is>
          <t>G + C (Governance + Compliance — standard regulatory framework positioning)</t>
        </is>
      </c>
      <c r="AQ35" s="78" t="inlineStr">
        <is>
          <t>Senior management: accountability for framework compliance. Designated compliance officer: monitor requirements. All staff: awareness of applicable obligations</t>
        </is>
      </c>
      <c r="AR35" s="74" t="inlineStr">
        <is>
          <t>Regulatory Risk; Operational Risk; Reputational Risk — specific domains determined by framework scope</t>
        </is>
      </c>
      <c r="AS35" s="22" t="inlineStr">
        <is>
          <t>See official source — legal obligation, regulatory requirement, or voluntary standard as applicable</t>
        </is>
      </c>
      <c r="AT35" s="75" t="inlineStr">
        <is>
          <t>Administrative; Technical; Operational — specific distribution determined by framework content</t>
        </is>
      </c>
      <c r="AU35" s="79" t="inlineStr">
        <is>
          <t>1. Compliance status (compliant/non-compliant). 2. # open findings from last assessment. 3. % controls implemented. 4. Time to remediate findings. 5. Incident rate in framework scope area</t>
        </is>
      </c>
      <c r="AV35" s="80" t="inlineStr">
        <is>
          <t>Self-assessment; internal audit; external assessment as specified by issuing authority</t>
        </is>
      </c>
      <c r="AW35" s="81" t="inlineStr">
        <is>
          <t>ServiceNow GRC; IBM OpenPages; RSA Archer; MetricStream — all major GRC platforms support custom framework import. Contact vendor for framework-specific module</t>
        </is>
      </c>
      <c r="AX35" s="82" t="inlineStr">
        <is>
          <t>Third parties in scope must demonstrate equivalent compliance. Contractual compliance obligations; right-to-audit clauses; annual third-party assessment</t>
        </is>
      </c>
      <c r="AY35" s="83" t="inlineStr">
        <is>
          <t>Non-compliance: regulatory action by issuing authority; fines and penalties as specified; operational and reputational consequences</t>
        </is>
      </c>
      <c r="AZ35" s="80" t="inlineStr">
        <is>
          <t>Healthcare &amp; Life Sciences</t>
        </is>
      </c>
      <c r="BA35" s="41" t="inlineStr">
        <is>
          <t>Sector-Specific</t>
        </is>
      </c>
      <c r="BB35" s="591">
        <f>IF(E35="","",IF(ISNUMBER(SEARCH("Institutional theory and regulatory governance theory underpin",AI35)),"TEMPLATE",IF(LEN(AI35)&gt;100,"DEEP",IF(AI35="","SPARSE","SHALLOW"))))</f>
        <v/>
      </c>
      <c r="BC35" s="591">
        <f>IF(E35="","",D35&amp;"-"&amp;B35&amp;"-"&amp;E35)</f>
        <v/>
      </c>
      <c r="BD35" s="591">
        <f>IF(E35="","",SUBSTITUTE(SUBSTITUTE(B35&amp;"-"&amp;E35," ",""),":","-"))</f>
        <v/>
      </c>
      <c r="BE35" s="591">
        <f>IF(E35="","",IF(ISNUMBER(SEARCH("ECC",E35)),"NCA-ECC-2-2024",IF(ISNUMBER(SEARCH("OTCC",E35)),"NCA-ECC-2-2024",IF(ISNUMBER(SEARCH("CCC",E35)),"NCA-ECC-2-2024",IF(ISNUMBER(SEARCH("DCC",E35)),"NCA-ECC-2-2024",IF(ISNUMBER(SEARCH("CSCC",E35)),"NCA-ECC-2-2024",IF(ISNUMBER(SEARCH("PDPL-IR",E35)),"PDPL-2021",IF(ISNUMBER(SEARCH("PDPL-DTR",E35)),"PDPL-2021","NONE"))))))))</f>
        <v/>
      </c>
      <c r="BF35" s="594">
        <f>IF(E35="","",IF(BB35="DEEP",10,IF(BB35="SHALLOW",5,IF(BB35="TEMPLATE",3,1)))+IF(N35="HIGHEST",5,IF(N35="HIGH",3,IF(N35="MODERATE",1,0)))+IF(ISNUMBER(SEARCH("Mandatory",L35)),3,0))</f>
        <v/>
      </c>
    </row>
    <row r="36" ht="42" customHeight="1">
      <c r="A36" s="84" t="n">
        <v>31</v>
      </c>
      <c r="B36" s="85" t="inlineStr">
        <is>
          <t>MOH</t>
        </is>
      </c>
      <c r="C36" s="70" t="inlineStr">
        <is>
          <t>Ministry of Health</t>
        </is>
      </c>
      <c r="D36" s="70" t="inlineStr">
        <is>
          <t>2. Healthcare &amp; Life Sciences</t>
        </is>
      </c>
      <c r="E36" s="85" t="inlineStr">
        <is>
          <t>MOH-TELE</t>
        </is>
      </c>
      <c r="F36" s="72" t="inlineStr">
        <is>
          <t>Telemedicine Regulations</t>
        </is>
      </c>
      <c r="G36" s="70" t="inlineStr">
        <is>
          <t>لائحة الرعاية الصحية عن بعد</t>
        </is>
      </c>
      <c r="H36" s="70" t="inlineStr">
        <is>
          <t>Late 2023</t>
        </is>
      </c>
      <c r="I36" s="71" t="inlineStr">
        <is>
          <t>2020</t>
        </is>
      </c>
      <c r="J36" s="71" t="inlineStr">
        <is>
          <t>38</t>
        </is>
      </c>
      <c r="K36" s="70" t="inlineStr">
        <is>
          <t>ISSUES/ENFORCES</t>
        </is>
      </c>
      <c r="L36" s="22" t="inlineStr">
        <is>
          <t>Mandatory Enforcer</t>
        </is>
      </c>
      <c r="M36" s="70" t="inlineStr">
        <is>
          <t>All licensed telemedicine platform operators</t>
        </is>
      </c>
      <c r="N36" s="86" t="inlineStr">
        <is>
          <t>HIGHEST</t>
        </is>
      </c>
      <c r="O36" s="87" t="inlineStr">
        <is>
          <t>https://www.moh.gov.sa/en/</t>
        </is>
      </c>
      <c r="P36" s="70" t="inlineStr">
        <is>
          <t>Hammad &amp; Al-Mehdar 2025</t>
        </is>
      </c>
      <c r="Q36" s="70" t="inlineStr">
        <is>
          <t>COVID-19 emergency 2020 → comprehensive regulations late 2023</t>
        </is>
      </c>
      <c r="R36" s="70" t="inlineStr">
        <is>
          <t>2020 (emergency COVID telehealth rules): basic platform licensing, identity verification, audio/video minimum standards. Late 2023 (comprehensive update, 38 controls): platform licensing requirements; patient identity verification; cross-border telemedicine restrictions; controlled substance prescribing rules (limited); data protection (PDPL alignment); patient consent requirements; clinical documentation standards; coverage by health insurance; quality assurance audit requirements</t>
        </is>
      </c>
      <c r="S36" s="71" t="inlineStr">
        <is>
          <t>Emergency 2020. Comprehensive: late 2023</t>
        </is>
      </c>
      <c r="T36" s="70" t="inlineStr">
        <is>
          <t>Annual update; cross-border rules under active development 2025</t>
        </is>
      </c>
      <c r="U36" s="25" t="inlineStr">
        <is>
          <t>CURRENT — late 2023 comprehensive version</t>
        </is>
      </c>
      <c r="V36" s="70" t="inlineStr">
        <is>
          <t>Platform licence revocation; SAR 1M–5M fine (scale by offence); clinical professional disciplinary action by SCFHS</t>
        </is>
      </c>
      <c r="W36" s="72" t="inlineStr">
        <is>
          <t>MOH — eHealth General Directorate; CST (platform technical licensing); CCHI (insurance coverage compliance); SCFHS (clinical standards)</t>
        </is>
      </c>
      <c r="X36" s="70" t="inlineStr">
        <is>
          <t>Hospital (outpatient teleconsultation); Clinic; Health IT Vendor (platform developers); Health Insurer (reimbursement compliance)</t>
        </is>
      </c>
      <c r="Y36" s="22" t="inlineStr">
        <is>
          <t>Both</t>
        </is>
      </c>
      <c r="Z36" s="70" t="inlineStr">
        <is>
          <t>MOH platform licence audit (annual); CCHI insurance compliance check; SCFHS clinical quality audit</t>
        </is>
      </c>
      <c r="AA36" s="71" t="inlineStr">
        <is>
          <t>Annual licence renewal; random clinical quality audit</t>
        </is>
      </c>
      <c r="AB36" s="70" t="inlineStr">
        <is>
          <t>15 (remote patient monitoring integration; wearable device data for teleconsultation; IoMT vital sign display during video consultation; remote device prescription; teleICU monitoring requirements)</t>
        </is>
      </c>
      <c r="AC36" s="70" t="inlineStr">
        <is>
          <t>WHO Telemedicine Guidelines (2010/updated); ISO 13131:2021 (Telehealth); ATA (American Telemedicine Association) standards (reference)</t>
        </is>
      </c>
      <c r="AD36" s="49" t="inlineStr">
        <is>
          <t>Arabic (primary); English technical guidance</t>
        </is>
      </c>
      <c r="AE36" s="26" t="inlineStr">
        <is>
          <t>Layer 1: Governance; Layer 4: Compliance</t>
        </is>
      </c>
      <c r="AF36" s="60" t="inlineStr">
        <is>
          <t>No formal maturity model; licence tiers (basic/advanced platform)</t>
        </is>
      </c>
      <c r="AG36" s="70" t="inlineStr">
        <is>
          <t>HSTP telemedicine targets (30% uptake); SEHA Virtual Hospital; Vision 2030 healthcare access targets</t>
        </is>
      </c>
      <c r="AH36" s="70" t="inlineStr">
        <is>
          <t>Platform licence certificate; patient consent records; clinical documentation standards compliance; identity verification log; prescription records; NABIDH integration evidence</t>
        </is>
      </c>
      <c r="AI36" s="73" t="inlineStr">
        <is>
          <t>Telehealth adoption theory (LeRouge &amp; Garfield 2013): patient acceptance + clinician integration. Access theory: geography-equity argument for remote care. Digital health governance theory: platform regulation vs clinical regulation tension.</t>
        </is>
      </c>
      <c r="AJ36" s="70" t="inlineStr">
        <is>
          <t>FOR: COVID-19 proved telehealth viability at scale in KSA (Al-Ataawi et al. 2022); Sehhaty platform shows government commitment; removes geographic barriers consistent with Vision 2030 equity goals; IoMT remote monitoring reimbursement framework emerging. AGAINST: Clinical quality in telehealth still debated (Hollander &amp; Sites 2020); data sovereignty for cross-border telehealth unresolved; prescription via teleconsultation remains restricted limiting scope; rural connectivity gaps undermine access equity goal</t>
        </is>
      </c>
      <c r="AK36" s="74" t="inlineStr">
        <is>
          <t>Regulations still lag technology — VR/AR clinical applications not addressed; AI-assisted teleconsultation regulatory pathway unclear; cross-border telehealth restrictions create market fragmentation; no minimum quality standards for audio/video equipment; liability for technical failure not yet codified in regulation</t>
        </is>
      </c>
      <c r="AL36" s="75" t="inlineStr">
        <is>
          <t>MOH-TELE vs NHS TECS (UK): NHS TECS has DTAC (Digital Technology Assessment Criteria) for all digital health tools — KSA equivalent absent. MOH-TELE vs FCC/CMS telehealth (US): US has federal reimbursement codes (CPT); KSA CCHI integration still developing. MOH-TELE vs WHO Telemedicine Guidelines: broadly aligned but KSA-specific cross-border rules more restrictive than WHO recommends</t>
        </is>
      </c>
      <c r="AM36" s="76" t="inlineStr">
        <is>
          <t>Al-Ataawi A et al. (2022) 'Telehealth in Saudi Arabia During COVID-19' J Healthcare Informatics Res; Hollander JE &amp; Sites FD (2020) 'Telehealth Beyond COVID-19' NEJM 2020; Hammad &amp; Al-Mehdar (2025) Saudi Healthcare Regulatory Update; WHO (2010) Telemedicine Opportunities and Developments; LeRouge C &amp; Garfield MJ (2013) 'Crossing the Telemedicine Chasm' JAMIA 20(6)</t>
        </is>
      </c>
      <c r="AN36" s="50" t="inlineStr">
        <is>
          <t>Official: MOH website. Training: American Telemedicine Association (ATA) online courses; SEHA Virtual Hospital training programme; WHO telehealth competency framework. Estimated: 25 hours</t>
        </is>
      </c>
      <c r="AO36" s="77" t="inlineStr">
        <is>
          <t>GH-ICGA Layer 1 (Governance) — telehealth regulation defines the governance boundary for remote IoMT monitoring. Thesis relevance: GH-ICGA must address the governance overlap between MOH-TELE (clinical platform regulation) and NCA-ECC (cybersecurity) and PDPL (patient data) for remote monitoring scenarios</t>
        </is>
      </c>
      <c r="AP36" s="51" t="inlineStr">
        <is>
          <t>G + C (platform governance + clinical compliance)</t>
        </is>
      </c>
      <c r="AQ36" s="78" t="inlineStr">
        <is>
          <t>CEO: platform licence accountability. Medical Director: clinical quality governance. DPO: PDPL compliance for patient data on platform. Technical Director: platform security. Pharmacy Director: prescription management compliance</t>
        </is>
      </c>
      <c r="AR36" s="74" t="inlineStr">
        <is>
          <t>Clinical Risk (misdiagnosis via teleconsultation); Regulatory Risk (licence breach); Privacy Risk (patient data); Operational Risk (platform availability); Cross-Border Risk (international teleconsultation restrictions)</t>
        </is>
      </c>
      <c r="AS36" s="61" t="inlineStr">
        <is>
          <t>REGULATORY — MOH licensing requirement. Non-compliance: platform licence revocation; SAR 1M–5M fine; SCFHS action against clinicians</t>
        </is>
      </c>
      <c r="AT36" s="75" t="inlineStr">
        <is>
          <t>Administrative (A): 20 controls — licensing; consent; documentation; clinical protocols. Technical (T): 12 controls — platform security; identity verification; audio/video standards. Operational (O): 6 controls — prescribing workflow; referral protocol; audit trail</t>
        </is>
      </c>
      <c r="AU36" s="79" t="inlineStr">
        <is>
          <t>1. Patient consent collection rate (target 100% before each session). 2. Platform availability SLA compliance (target &gt;99.5%). 3. Identity verification success rate. 4. # clinical complaints per 1,000 teleconsultations. 5. Documentation compliance rate (target 100% consultation notes in NABIDH). 6. Prescription audit pass rate</t>
        </is>
      </c>
      <c r="AV36" s="80" t="inlineStr">
        <is>
          <t>Annual MOH licence renewal audit; CCHI insurance coverage compliance check; patient record documentation audit; platform security assessment; identity verification system test; NABIDH integration test</t>
        </is>
      </c>
      <c r="AW36" s="81" t="inlineStr">
        <is>
          <t>Sehhaty / Mawid (MOH official platforms); Nabdh; Cura Health; Vezeeta; Nubaqraa — all require MOH licensing. Security tools: FortiWeb (WAF); Auth0/Okta (identity); TeleVisit security frameworks</t>
        </is>
      </c>
      <c r="AX36" s="82" t="inlineStr">
        <is>
          <t>Platform vendors: MOH-licensed telemedicine solution mandatory; PDPL DPA required; NABIDH API certification; patient data not to be shared with third-party analytics without consent; international teleconsultation providers must be MOH-approved</t>
        </is>
      </c>
      <c r="AY36" s="83" t="inlineStr">
        <is>
          <t>Unlicensed platform: immediate shutdown; SAR fine; clinical professional disciplinary action. Licence revocation: complete business cessation. Patient harm via telemedicine: malpractice liability; SCFHS investigation</t>
        </is>
      </c>
      <c r="AZ36" s="80" t="inlineStr">
        <is>
          <t>Healthcare &amp; Life Sciences; ICT/Digital (platform providers)</t>
        </is>
      </c>
      <c r="BA36" s="41" t="inlineStr">
        <is>
          <t>Sector-Specific</t>
        </is>
      </c>
      <c r="BB36" s="591">
        <f>IF(E36="","",IF(ISNUMBER(SEARCH("Institutional theory and regulatory governance theory underpin",AI36)),"TEMPLATE",IF(LEN(AI36)&gt;100,"DEEP",IF(AI36="","SPARSE","SHALLOW"))))</f>
        <v/>
      </c>
      <c r="BC36" s="591">
        <f>IF(E36="","",D36&amp;"-"&amp;B36&amp;"-"&amp;E36)</f>
        <v/>
      </c>
      <c r="BD36" s="591">
        <f>IF(E36="","",SUBSTITUTE(SUBSTITUTE(B36&amp;"-"&amp;E36," ",""),":","-"))</f>
        <v/>
      </c>
      <c r="BE36" s="591">
        <f>IF(E36="","",IF(ISNUMBER(SEARCH("ECC",E36)),"NCA-ECC-2-2024",IF(ISNUMBER(SEARCH("OTCC",E36)),"NCA-ECC-2-2024",IF(ISNUMBER(SEARCH("CCC",E36)),"NCA-ECC-2-2024",IF(ISNUMBER(SEARCH("DCC",E36)),"NCA-ECC-2-2024",IF(ISNUMBER(SEARCH("CSCC",E36)),"NCA-ECC-2-2024",IF(ISNUMBER(SEARCH("PDPL-IR",E36)),"PDPL-2021",IF(ISNUMBER(SEARCH("PDPL-DTR",E36)),"PDPL-2021","NONE"))))))))</f>
        <v/>
      </c>
      <c r="BF36" s="594">
        <f>IF(E36="","",IF(BB36="DEEP",10,IF(BB36="SHALLOW",5,IF(BB36="TEMPLATE",3,1)))+IF(N36="HIGHEST",5,IF(N36="HIGH",3,IF(N36="MODERATE",1,0)))+IF(ISNUMBER(SEARCH("Mandatory",L36)),3,0))</f>
        <v/>
      </c>
    </row>
    <row r="37" ht="42" customHeight="1">
      <c r="A37" s="42" t="n">
        <v>32</v>
      </c>
      <c r="B37" s="69" t="inlineStr">
        <is>
          <t>MOH</t>
        </is>
      </c>
      <c r="C37" s="44" t="inlineStr">
        <is>
          <t>Ministry of Health</t>
        </is>
      </c>
      <c r="D37" s="44" t="inlineStr">
        <is>
          <t>2. Healthcare &amp; Life Sciences</t>
        </is>
      </c>
      <c r="E37" s="69" t="inlineStr">
        <is>
          <t>MOH-PHILAW</t>
        </is>
      </c>
      <c r="F37" s="45" t="inlineStr">
        <is>
          <t>Private Health Institutions Law</t>
        </is>
      </c>
      <c r="G37" s="44" t="inlineStr">
        <is>
          <t>نظام المنشآت الصحية الخاصة</t>
        </is>
      </c>
      <c r="H37" s="44" t="inlineStr">
        <is>
          <t>2024 updated</t>
        </is>
      </c>
      <c r="I37" s="46" t="inlineStr">
        <is>
          <t>1990</t>
        </is>
      </c>
      <c r="J37" s="46" t="inlineStr">
        <is>
          <t>35</t>
        </is>
      </c>
      <c r="K37" s="44" t="inlineStr">
        <is>
          <t>ISSUES/ENFORCES</t>
        </is>
      </c>
      <c r="L37" s="22" t="inlineStr">
        <is>
          <t>Mandatory Enforcer</t>
        </is>
      </c>
      <c r="M37" s="44" t="inlineStr">
        <is>
          <t>Private hospitals, clinics, specialist centres</t>
        </is>
      </c>
      <c r="N37" s="54" t="inlineStr">
        <is>
          <t>HIGH</t>
        </is>
      </c>
      <c r="O37" s="48" t="inlineStr">
        <is>
          <t>https://www.moh.gov.sa/en/Ministry/Rules/Pages/default.aspx</t>
        </is>
      </c>
      <c r="P37" s="44" t="inlineStr">
        <is>
          <t>Hammad &amp; Al-Mehdar 2025</t>
        </is>
      </c>
      <c r="Q37" s="70" t="inlineStr">
        <is>
          <t>Original ~1990 → updated 2009 → major update 2024 mandating digital health</t>
        </is>
      </c>
      <c r="R37" s="70" t="inlineStr">
        <is>
          <t>2009 update: private hospital licensing criteria. 2024 major update: mandatory EMR adoption for all private facilities; mandatory NABIDH connectivity; minimum cybersecurity standards for private health facilities (aligned with NCA ECC-2); mandatory health professional licensing verification through SCFHS; civil money penalties for non-compliance. Significant governance shift for private health sector</t>
        </is>
      </c>
      <c r="S37" s="71" t="inlineStr">
        <is>
          <t>Original: ~1990. Updated: 2009, 2024</t>
        </is>
      </c>
      <c r="T37" s="70" t="inlineStr">
        <is>
          <t>Next review 2026-2027</t>
        </is>
      </c>
      <c r="U37" s="25" t="inlineStr">
        <is>
          <t>CURRENT — 2024 version</t>
        </is>
      </c>
      <c r="V37" s="70" t="inlineStr">
        <is>
          <t>Penalties defined by issuing authority; consult official source. NCA ECC-2 penalties apply if relevant</t>
        </is>
      </c>
      <c r="W37" s="72" t="inlineStr">
        <is>
          <t>Issuing authority and/or designated inspection department</t>
        </is>
      </c>
      <c r="X37" s="70" t="inlineStr">
        <is>
          <t>As specified in framework scope — consult official document</t>
        </is>
      </c>
      <c r="Y37" s="49" t="inlineStr">
        <is>
          <t>Both (unless specified otherwise in official document)</t>
        </is>
      </c>
      <c r="Z37" s="70" t="inlineStr">
        <is>
          <t>As defined by issuing authority</t>
        </is>
      </c>
      <c r="AA37" s="71" t="inlineStr">
        <is>
          <t>As defined by issuing authority</t>
        </is>
      </c>
      <c r="AB37" s="70" t="inlineStr">
        <is>
          <t>To be determined from framework text — see official source</t>
        </is>
      </c>
      <c r="AC37" s="70" t="inlineStr">
        <is>
          <t>See framework preamble for international standard references</t>
        </is>
      </c>
      <c r="AD37" s="49" t="inlineStr">
        <is>
          <t>Arabic (primary in KSA); English may be available</t>
        </is>
      </c>
      <c r="AE37" s="58" t="inlineStr">
        <is>
          <t>Mapped to relevant GH-ICGA layer — requires manual assessment</t>
        </is>
      </c>
      <c r="AF37" s="56" t="inlineStr">
        <is>
          <t>See official framework for maturity model details</t>
        </is>
      </c>
      <c r="AG37" s="70" t="inlineStr">
        <is>
          <t>Aligned with relevant Vision 2030 programme — see framework context</t>
        </is>
      </c>
      <c r="AH37" s="70" t="inlineStr">
        <is>
          <t>As specified in framework compliance requirements</t>
        </is>
      </c>
      <c r="AI37" s="73" t="inlineStr">
        <is>
          <t>Institutional theory and regulatory governance theory underpin all KSA regulatory frameworks. Specific theoretical basis varies by framework — consult academic literature via Google Scholar using framework name as search term.</t>
        </is>
      </c>
      <c r="AJ37" s="70" t="inlineStr">
        <is>
          <t>Academic debate varies by framework maturity and international adoption. For KSA-specific debate, consult: Almohammad &amp; Wills (2021) J Cybersecurity; Al-Khater et al. (2020) IEEE Access; Baker McKenzie KSA regulatory updates.</t>
        </is>
      </c>
      <c r="AK37" s="74" t="inlineStr">
        <is>
          <t>Known criticisms include: implementation gap between standards and practice; resource constraints for smaller healthcare entities; rapid technology evolution outpacing regulation. Consult framework evaluation literature for specifics.</t>
        </is>
      </c>
      <c r="AL37" s="75" t="inlineStr">
        <is>
          <t>Framework comparison requires contextual analysis. Key comparators: NIST CSF 2.0 (international benchmark), ISO 27001 (certifiable standard), ECC-2 (KSA mandatory baseline). See main database for cross-framework mapping.</t>
        </is>
      </c>
      <c r="AM37"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7" s="50" t="inlineStr">
        <is>
          <t>Official: Consult the official source URL in the database for the primary document. Training: ISACA, ISC2, RAPS, IAPP, and HIMSS offer professional development covering most regulatory domains. Estimated hours vary by framework complexity.</t>
        </is>
      </c>
      <c r="AO37" s="77" t="inlineStr">
        <is>
          <t>Relevance to GH-ICGA framework varies by layer — see GH-ICGA Layer Mapping column. All KSA mandatory frameworks are compliance inputs to GH-ICGA Layer 4. Frameworks with IoMT-specific provisions directly inform Layers 2 and 3.</t>
        </is>
      </c>
      <c r="AP37" s="51" t="inlineStr">
        <is>
          <t>G + C (Governance + Compliance — standard regulatory framework positioning)</t>
        </is>
      </c>
      <c r="AQ37" s="78" t="inlineStr">
        <is>
          <t>Senior management: accountability for framework compliance. Designated compliance officer: monitor requirements. All staff: awareness of applicable obligations</t>
        </is>
      </c>
      <c r="AR37" s="74" t="inlineStr">
        <is>
          <t>Regulatory Risk; Operational Risk; Reputational Risk — specific domains determined by framework scope</t>
        </is>
      </c>
      <c r="AS37" s="22" t="inlineStr">
        <is>
          <t>See official source — legal obligation, regulatory requirement, or voluntary standard as applicable</t>
        </is>
      </c>
      <c r="AT37" s="75" t="inlineStr">
        <is>
          <t>Administrative; Technical; Operational — specific distribution determined by framework content</t>
        </is>
      </c>
      <c r="AU37" s="79" t="inlineStr">
        <is>
          <t>1. Compliance status (compliant/non-compliant). 2. # open findings from last assessment. 3. % controls implemented. 4. Time to remediate findings. 5. Incident rate in framework scope area</t>
        </is>
      </c>
      <c r="AV37" s="80" t="inlineStr">
        <is>
          <t>Self-assessment; internal audit; external assessment as specified by issuing authority</t>
        </is>
      </c>
      <c r="AW37" s="81" t="inlineStr">
        <is>
          <t>ServiceNow GRC; IBM OpenPages; RSA Archer; MetricStream — all major GRC platforms support custom framework import. Contact vendor for framework-specific module</t>
        </is>
      </c>
      <c r="AX37" s="82" t="inlineStr">
        <is>
          <t>Third parties in scope must demonstrate equivalent compliance. Contractual compliance obligations; right-to-audit clauses; annual third-party assessment</t>
        </is>
      </c>
      <c r="AY37" s="83" t="inlineStr">
        <is>
          <t>Non-compliance: regulatory action by issuing authority; fines and penalties as specified; operational and reputational consequences</t>
        </is>
      </c>
      <c r="AZ37" s="80" t="inlineStr">
        <is>
          <t>Healthcare &amp; Life Sciences (private sector)</t>
        </is>
      </c>
      <c r="BA37" s="41" t="inlineStr">
        <is>
          <t>Sector-Specific</t>
        </is>
      </c>
      <c r="BB37" s="591">
        <f>IF(E37="","",IF(ISNUMBER(SEARCH("Institutional theory and regulatory governance theory underpin",AI37)),"TEMPLATE",IF(LEN(AI37)&gt;100,"DEEP",IF(AI37="","SPARSE","SHALLOW"))))</f>
        <v/>
      </c>
      <c r="BC37" s="591">
        <f>IF(E37="","",D37&amp;"-"&amp;B37&amp;"-"&amp;E37)</f>
        <v/>
      </c>
      <c r="BD37" s="591">
        <f>IF(E37="","",SUBSTITUTE(SUBSTITUTE(B37&amp;"-"&amp;E37," ",""),":","-"))</f>
        <v/>
      </c>
      <c r="BE37" s="591">
        <f>IF(E37="","",IF(ISNUMBER(SEARCH("ECC",E37)),"NCA-ECC-2-2024",IF(ISNUMBER(SEARCH("OTCC",E37)),"NCA-ECC-2-2024",IF(ISNUMBER(SEARCH("CCC",E37)),"NCA-ECC-2-2024",IF(ISNUMBER(SEARCH("DCC",E37)),"NCA-ECC-2-2024",IF(ISNUMBER(SEARCH("CSCC",E37)),"NCA-ECC-2-2024",IF(ISNUMBER(SEARCH("PDPL-IR",E37)),"PDPL-2021",IF(ISNUMBER(SEARCH("PDPL-DTR",E37)),"PDPL-2021","NONE"))))))))</f>
        <v/>
      </c>
      <c r="BF37" s="594">
        <f>IF(E37="","",IF(BB37="DEEP",10,IF(BB37="SHALLOW",5,IF(BB37="TEMPLATE",3,1)))+IF(N37="HIGHEST",5,IF(N37="HIGH",3,IF(N37="MODERATE",1,0)))+IF(ISNUMBER(SEARCH("Mandatory",L37)),3,0))</f>
        <v/>
      </c>
    </row>
    <row r="38" ht="42" customHeight="1">
      <c r="A38" s="84" t="n">
        <v>33</v>
      </c>
      <c r="B38" s="85" t="inlineStr">
        <is>
          <t>MOH</t>
        </is>
      </c>
      <c r="C38" s="70" t="inlineStr">
        <is>
          <t>Ministry of Health</t>
        </is>
      </c>
      <c r="D38" s="70" t="inlineStr">
        <is>
          <t>2. Healthcare &amp; Life Sciences</t>
        </is>
      </c>
      <c r="E38" s="85" t="inlineStr">
        <is>
          <t>MOH-NHIS</t>
        </is>
      </c>
      <c r="F38" s="72" t="inlineStr">
        <is>
          <t>National Health Insurance Standards</t>
        </is>
      </c>
      <c r="G38" s="70" t="inlineStr">
        <is>
          <t>معايير التأمين الصحي الوطني</t>
        </is>
      </c>
      <c r="H38" s="70" t="inlineStr">
        <is>
          <t>2024</t>
        </is>
      </c>
      <c r="I38" s="71" t="inlineStr">
        <is>
          <t>2024</t>
        </is>
      </c>
      <c r="J38" s="71" t="inlineStr">
        <is>
          <t>30</t>
        </is>
      </c>
      <c r="K38" s="70" t="inlineStr">
        <is>
          <t>ISSUES/ENFORCES</t>
        </is>
      </c>
      <c r="L38" s="22" t="inlineStr">
        <is>
          <t>Mandatory Enforcer</t>
        </is>
      </c>
      <c r="M38" s="70" t="inlineStr">
        <is>
          <t>Health clusters and public hospitals</t>
        </is>
      </c>
      <c r="N38" s="88" t="inlineStr">
        <is>
          <t>HIGH</t>
        </is>
      </c>
      <c r="O38" s="87" t="inlineStr">
        <is>
          <t>https://www.moh.gov.sa/en/</t>
        </is>
      </c>
      <c r="P38" s="70" t="inlineStr">
        <is>
          <t>Saudi HC Sector 2025</t>
        </is>
      </c>
      <c r="Q38" s="70" t="inlineStr">
        <is>
          <t>National Health Insurance System rollout 2024 onwards (in development)</t>
        </is>
      </c>
      <c r="R38" s="70" t="inlineStr">
        <is>
          <t>Universal health insurance being rolled out under Vision 2030. Phase 1 (2024): government employees and dependants. Phase 2: private sector employees. Phase 3: citizens. 30 coverage standards include digital claims, e-prior authorisation, pharmacy integration with NABIDH. Coordinates with CCHI for private sector</t>
        </is>
      </c>
      <c r="S38" s="71" t="inlineStr">
        <is>
          <t>Development: 2022-2024. Rollout: 2024 onwards</t>
        </is>
      </c>
      <c r="T38" s="70" t="inlineStr">
        <is>
          <t>Progressive rollout; full implementation target 2030</t>
        </is>
      </c>
      <c r="U38" s="89" t="inlineStr">
        <is>
          <t>IN DEVELOPMENT — phased rollout 2024-2030</t>
        </is>
      </c>
      <c r="V38" s="70" t="inlineStr">
        <is>
          <t>Penalties defined by issuing authority; consult official source. NCA ECC-2 penalties apply if relevant</t>
        </is>
      </c>
      <c r="W38" s="72" t="inlineStr">
        <is>
          <t>Issuing authority and/or designated inspection department</t>
        </is>
      </c>
      <c r="X38" s="70" t="inlineStr">
        <is>
          <t>As specified in framework scope — consult official document</t>
        </is>
      </c>
      <c r="Y38" s="49" t="inlineStr">
        <is>
          <t>Both (unless specified otherwise in official document)</t>
        </is>
      </c>
      <c r="Z38" s="70" t="inlineStr">
        <is>
          <t>As defined by issuing authority</t>
        </is>
      </c>
      <c r="AA38" s="71" t="inlineStr">
        <is>
          <t>As defined by issuing authority</t>
        </is>
      </c>
      <c r="AB38" s="70" t="inlineStr">
        <is>
          <t>To be determined from framework text — see official source</t>
        </is>
      </c>
      <c r="AC38" s="70" t="inlineStr">
        <is>
          <t>See framework preamble for international standard references</t>
        </is>
      </c>
      <c r="AD38" s="49" t="inlineStr">
        <is>
          <t>Arabic (primary in KSA); English may be available</t>
        </is>
      </c>
      <c r="AE38" s="58" t="inlineStr">
        <is>
          <t>Mapped to relevant GH-ICGA layer — requires manual assessment</t>
        </is>
      </c>
      <c r="AF38" s="56" t="inlineStr">
        <is>
          <t>See official framework for maturity model details</t>
        </is>
      </c>
      <c r="AG38" s="70" t="inlineStr">
        <is>
          <t>Aligned with relevant Vision 2030 programme — see framework context</t>
        </is>
      </c>
      <c r="AH38" s="70" t="inlineStr">
        <is>
          <t>As specified in framework compliance requirements</t>
        </is>
      </c>
      <c r="AI38" s="73" t="inlineStr">
        <is>
          <t>Institutional theory and regulatory governance theory underpin all KSA regulatory frameworks. Specific theoretical basis varies by framework — consult academic literature via Google Scholar using framework name as search term.</t>
        </is>
      </c>
      <c r="AJ38" s="70" t="inlineStr">
        <is>
          <t>Academic debate varies by framework maturity and international adoption. For KSA-specific debate, consult: Almohammad &amp; Wills (2021) J Cybersecurity; Al-Khater et al. (2020) IEEE Access; Baker McKenzie KSA regulatory updates.</t>
        </is>
      </c>
      <c r="AK38" s="74" t="inlineStr">
        <is>
          <t>Known criticisms include: implementation gap between standards and practice; resource constraints for smaller healthcare entities; rapid technology evolution outpacing regulation. Consult framework evaluation literature for specifics.</t>
        </is>
      </c>
      <c r="AL38" s="75" t="inlineStr">
        <is>
          <t>Framework comparison requires contextual analysis. Key comparators: NIST CSF 2.0 (international benchmark), ISO 27001 (certifiable standard), ECC-2 (KSA mandatory baseline). See main database for cross-framework mapping.</t>
        </is>
      </c>
      <c r="AM38"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8" s="50" t="inlineStr">
        <is>
          <t>Official: Consult the official source URL in the database for the primary document. Training: ISACA, ISC2, RAPS, IAPP, and HIMSS offer professional development covering most regulatory domains. Estimated hours vary by framework complexity.</t>
        </is>
      </c>
      <c r="AO38" s="77" t="inlineStr">
        <is>
          <t>Relevance to GH-ICGA framework varies by layer — see GH-ICGA Layer Mapping column. All KSA mandatory frameworks are compliance inputs to GH-ICGA Layer 4. Frameworks with IoMT-specific provisions directly inform Layers 2 and 3.</t>
        </is>
      </c>
      <c r="AP38" s="51" t="inlineStr">
        <is>
          <t>G + C (Governance + Compliance — standard regulatory framework positioning)</t>
        </is>
      </c>
      <c r="AQ38" s="78" t="inlineStr">
        <is>
          <t>Senior management: accountability for framework compliance. Designated compliance officer: monitor requirements. All staff: awareness of applicable obligations</t>
        </is>
      </c>
      <c r="AR38" s="74" t="inlineStr">
        <is>
          <t>Regulatory Risk; Operational Risk; Reputational Risk — specific domains determined by framework scope</t>
        </is>
      </c>
      <c r="AS38" s="22" t="inlineStr">
        <is>
          <t>See official source — legal obligation, regulatory requirement, or voluntary standard as applicable</t>
        </is>
      </c>
      <c r="AT38" s="75" t="inlineStr">
        <is>
          <t>Administrative; Technical; Operational — specific distribution determined by framework content</t>
        </is>
      </c>
      <c r="AU38" s="79" t="inlineStr">
        <is>
          <t>1. Compliance status (compliant/non-compliant). 2. # open findings from last assessment. 3. % controls implemented. 4. Time to remediate findings. 5. Incident rate in framework scope area</t>
        </is>
      </c>
      <c r="AV38" s="80" t="inlineStr">
        <is>
          <t>Self-assessment; internal audit; external assessment as specified by issuing authority</t>
        </is>
      </c>
      <c r="AW38" s="81" t="inlineStr">
        <is>
          <t>ServiceNow GRC; IBM OpenPages; RSA Archer; MetricStream — all major GRC platforms support custom framework import. Contact vendor for framework-specific module</t>
        </is>
      </c>
      <c r="AX38" s="82" t="inlineStr">
        <is>
          <t>Third parties in scope must demonstrate equivalent compliance. Contractual compliance obligations; right-to-audit clauses; annual third-party assessment</t>
        </is>
      </c>
      <c r="AY38" s="83" t="inlineStr">
        <is>
          <t>Non-compliance: regulatory action by issuing authority; fines and penalties as specified; operational and reputational consequences</t>
        </is>
      </c>
      <c r="AZ38" s="80" t="inlineStr">
        <is>
          <t>Sector-specific — consult official source</t>
        </is>
      </c>
      <c r="BA38" s="41" t="inlineStr">
        <is>
          <t>Sector-Specific</t>
        </is>
      </c>
      <c r="BB38" s="591">
        <f>IF(E38="","",IF(ISNUMBER(SEARCH("Institutional theory and regulatory governance theory underpin",AI38)),"TEMPLATE",IF(LEN(AI38)&gt;100,"DEEP",IF(AI38="","SPARSE","SHALLOW"))))</f>
        <v/>
      </c>
      <c r="BC38" s="591">
        <f>IF(E38="","",D38&amp;"-"&amp;B38&amp;"-"&amp;E38)</f>
        <v/>
      </c>
      <c r="BD38" s="591">
        <f>IF(E38="","",SUBSTITUTE(SUBSTITUTE(B38&amp;"-"&amp;E38," ",""),":","-"))</f>
        <v/>
      </c>
      <c r="BE38" s="591">
        <f>IF(E38="","",IF(ISNUMBER(SEARCH("ECC",E38)),"NCA-ECC-2-2024",IF(ISNUMBER(SEARCH("OTCC",E38)),"NCA-ECC-2-2024",IF(ISNUMBER(SEARCH("CCC",E38)),"NCA-ECC-2-2024",IF(ISNUMBER(SEARCH("DCC",E38)),"NCA-ECC-2-2024",IF(ISNUMBER(SEARCH("CSCC",E38)),"NCA-ECC-2-2024",IF(ISNUMBER(SEARCH("PDPL-IR",E38)),"PDPL-2021",IF(ISNUMBER(SEARCH("PDPL-DTR",E38)),"PDPL-2021","NONE"))))))))</f>
        <v/>
      </c>
      <c r="BF38" s="594">
        <f>IF(E38="","",IF(BB38="DEEP",10,IF(BB38="SHALLOW",5,IF(BB38="TEMPLATE",3,1)))+IF(N38="HIGHEST",5,IF(N38="HIGH",3,IF(N38="MODERATE",1,0)))+IF(ISNUMBER(SEARCH("Mandatory",L38)),3,0))</f>
        <v/>
      </c>
    </row>
    <row r="39" ht="42" customHeight="1">
      <c r="A39" s="42" t="n">
        <v>34</v>
      </c>
      <c r="B39" s="69" t="inlineStr">
        <is>
          <t>MOH</t>
        </is>
      </c>
      <c r="C39" s="44" t="inlineStr">
        <is>
          <t>Ministry of Health</t>
        </is>
      </c>
      <c r="D39" s="44" t="inlineStr">
        <is>
          <t>2. Healthcare &amp; Life Sciences</t>
        </is>
      </c>
      <c r="E39" s="69" t="inlineStr">
        <is>
          <t>MOH-HAJHLT</t>
        </is>
      </c>
      <c r="F39" s="45" t="inlineStr">
        <is>
          <t>Hajj &amp; Umrah Health Standards</t>
        </is>
      </c>
      <c r="G39" s="44" t="inlineStr">
        <is>
          <t>معايير صحة الحج والعمرة</t>
        </is>
      </c>
      <c r="H39" s="44" t="inlineStr">
        <is>
          <t>Annual</t>
        </is>
      </c>
      <c r="I39" s="46" t="inlineStr">
        <is>
          <t>2000</t>
        </is>
      </c>
      <c r="J39" s="46" t="inlineStr">
        <is>
          <t>25</t>
        </is>
      </c>
      <c r="K39" s="44" t="inlineStr">
        <is>
          <t>ISSUES/ENFORCES</t>
        </is>
      </c>
      <c r="L39" s="22" t="inlineStr">
        <is>
          <t>Mandatory Enforcer</t>
        </is>
      </c>
      <c r="M39" s="44" t="inlineStr">
        <is>
          <t>All HC providers during Hajj/Umrah season</t>
        </is>
      </c>
      <c r="N39" s="54" t="inlineStr">
        <is>
          <t>HIGH</t>
        </is>
      </c>
      <c r="O39" s="48" t="inlineStr">
        <is>
          <t>https://www.moh.gov.sa/en/</t>
        </is>
      </c>
      <c r="P39" s="44" t="inlineStr">
        <is>
          <t>MOH official</t>
        </is>
      </c>
      <c r="Q39" s="70" t="inlineStr">
        <is>
          <t>Annual issuance since 2000; updated every year before Hajj season</t>
        </is>
      </c>
      <c r="R39" s="70" t="inlineStr">
        <is>
          <t>Annual standards updated based on prior year experience and WHO mass-gathering guidance. 2022 added COVID-19 health screening protocols. 2023-2024: IoT crowd monitoring standards (wearable health monitors for high-risk pilgrims), real-time disease surveillance system integration with WHO. Covers: vaccination requirements, emergency response, disease surveillance, mass casualty management, coordination with WHO GOARN</t>
        </is>
      </c>
      <c r="S39" s="71" t="inlineStr">
        <is>
          <t>Annual issuance since 2000; 2024 version current</t>
        </is>
      </c>
      <c r="T39" s="70" t="inlineStr">
        <is>
          <t>Issued annually before Hajj season (approx. March-April each year)</t>
        </is>
      </c>
      <c r="U39" s="25" t="inlineStr">
        <is>
          <t>CURRENT — 2024 version (annual)</t>
        </is>
      </c>
      <c r="V39" s="70" t="inlineStr">
        <is>
          <t>Penalties defined by issuing authority; consult official source. NCA ECC-2 penalties apply if relevant</t>
        </is>
      </c>
      <c r="W39" s="72" t="inlineStr">
        <is>
          <t>Issuing authority and/or designated inspection department</t>
        </is>
      </c>
      <c r="X39" s="70" t="inlineStr">
        <is>
          <t>As specified in framework scope — consult official document</t>
        </is>
      </c>
      <c r="Y39" s="49" t="inlineStr">
        <is>
          <t>Both (unless specified otherwise in official document)</t>
        </is>
      </c>
      <c r="Z39" s="70" t="inlineStr">
        <is>
          <t>As defined by issuing authority</t>
        </is>
      </c>
      <c r="AA39" s="71" t="inlineStr">
        <is>
          <t>As defined by issuing authority</t>
        </is>
      </c>
      <c r="AB39" s="70" t="inlineStr">
        <is>
          <t>To be determined from framework text — see official source</t>
        </is>
      </c>
      <c r="AC39" s="70" t="inlineStr">
        <is>
          <t>See framework preamble for international standard references</t>
        </is>
      </c>
      <c r="AD39" s="49" t="inlineStr">
        <is>
          <t>Arabic (primary in KSA); English may be available</t>
        </is>
      </c>
      <c r="AE39" s="58" t="inlineStr">
        <is>
          <t>Mapped to relevant GH-ICGA layer — requires manual assessment</t>
        </is>
      </c>
      <c r="AF39" s="56" t="inlineStr">
        <is>
          <t>See official framework for maturity model details</t>
        </is>
      </c>
      <c r="AG39" s="70" t="inlineStr">
        <is>
          <t>Aligned with relevant Vision 2030 programme — see framework context</t>
        </is>
      </c>
      <c r="AH39" s="70" t="inlineStr">
        <is>
          <t>As specified in framework compliance requirements</t>
        </is>
      </c>
      <c r="AI39" s="73" t="inlineStr">
        <is>
          <t>Institutional theory and regulatory governance theory underpin all KSA regulatory frameworks. Specific theoretical basis varies by framework — consult academic literature via Google Scholar using framework name as search term.</t>
        </is>
      </c>
      <c r="AJ39" s="70" t="inlineStr">
        <is>
          <t>Academic debate varies by framework maturity and international adoption. For KSA-specific debate, consult: Almohammad &amp; Wills (2021) J Cybersecurity; Al-Khater et al. (2020) IEEE Access; Baker McKenzie KSA regulatory updates.</t>
        </is>
      </c>
      <c r="AK39" s="74" t="inlineStr">
        <is>
          <t>Known criticisms include: implementation gap between standards and practice; resource constraints for smaller healthcare entities; rapid technology evolution outpacing regulation. Consult framework evaluation literature for specifics.</t>
        </is>
      </c>
      <c r="AL39" s="75" t="inlineStr">
        <is>
          <t>Framework comparison requires contextual analysis. Key comparators: NIST CSF 2.0 (international benchmark), ISO 27001 (certifiable standard), ECC-2 (KSA mandatory baseline). See main database for cross-framework mapping.</t>
        </is>
      </c>
      <c r="AM39"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9" s="50" t="inlineStr">
        <is>
          <t>Official: Consult the official source URL in the database for the primary document. Training: ISACA, ISC2, RAPS, IAPP, and HIMSS offer professional development covering most regulatory domains. Estimated hours vary by framework complexity.</t>
        </is>
      </c>
      <c r="AO39" s="77" t="inlineStr">
        <is>
          <t>Relevance to GH-ICGA framework varies by layer — see GH-ICGA Layer Mapping column. All KSA mandatory frameworks are compliance inputs to GH-ICGA Layer 4. Frameworks with IoMT-specific provisions directly inform Layers 2 and 3.</t>
        </is>
      </c>
      <c r="AP39" s="51" t="inlineStr">
        <is>
          <t>G + C (Governance + Compliance — standard regulatory framework positioning)</t>
        </is>
      </c>
      <c r="AQ39" s="78" t="inlineStr">
        <is>
          <t>Senior management: accountability for framework compliance. Designated compliance officer: monitor requirements. All staff: awareness of applicable obligations</t>
        </is>
      </c>
      <c r="AR39" s="74" t="inlineStr">
        <is>
          <t>Regulatory Risk; Operational Risk; Reputational Risk — specific domains determined by framework scope</t>
        </is>
      </c>
      <c r="AS39" s="22" t="inlineStr">
        <is>
          <t>See official source — legal obligation, regulatory requirement, or voluntary standard as applicable</t>
        </is>
      </c>
      <c r="AT39" s="75" t="inlineStr">
        <is>
          <t>Administrative; Technical; Operational — specific distribution determined by framework content</t>
        </is>
      </c>
      <c r="AU39" s="79" t="inlineStr">
        <is>
          <t>1. Compliance status (compliant/non-compliant). 2. # open findings from last assessment. 3. % controls implemented. 4. Time to remediate findings. 5. Incident rate in framework scope area</t>
        </is>
      </c>
      <c r="AV39" s="80" t="inlineStr">
        <is>
          <t>Self-assessment; internal audit; external assessment as specified by issuing authority</t>
        </is>
      </c>
      <c r="AW39" s="81" t="inlineStr">
        <is>
          <t>ServiceNow GRC; IBM OpenPages; RSA Archer; MetricStream — all major GRC platforms support custom framework import. Contact vendor for framework-specific module</t>
        </is>
      </c>
      <c r="AX39" s="82" t="inlineStr">
        <is>
          <t>Third parties in scope must demonstrate equivalent compliance. Contractual compliance obligations; right-to-audit clauses; annual third-party assessment</t>
        </is>
      </c>
      <c r="AY39" s="83" t="inlineStr">
        <is>
          <t>Non-compliance: regulatory action by issuing authority; fines and penalties as specified; operational and reputational consequences</t>
        </is>
      </c>
      <c r="AZ39" s="80" t="inlineStr">
        <is>
          <t>Healthcare &amp; Life Sciences; Councils/Committees (MOHAJ)</t>
        </is>
      </c>
      <c r="BA39" s="41" t="inlineStr">
        <is>
          <t>Sector-Specific</t>
        </is>
      </c>
      <c r="BB39" s="591">
        <f>IF(E39="","",IF(ISNUMBER(SEARCH("Institutional theory and regulatory governance theory underpin",AI39)),"TEMPLATE",IF(LEN(AI39)&gt;100,"DEEP",IF(AI39="","SPARSE","SHALLOW"))))</f>
        <v/>
      </c>
      <c r="BC39" s="591">
        <f>IF(E39="","",D39&amp;"-"&amp;B39&amp;"-"&amp;E39)</f>
        <v/>
      </c>
      <c r="BD39" s="591">
        <f>IF(E39="","",SUBSTITUTE(SUBSTITUTE(B39&amp;"-"&amp;E39," ",""),":","-"))</f>
        <v/>
      </c>
      <c r="BE39" s="591">
        <f>IF(E39="","",IF(ISNUMBER(SEARCH("ECC",E39)),"NCA-ECC-2-2024",IF(ISNUMBER(SEARCH("OTCC",E39)),"NCA-ECC-2-2024",IF(ISNUMBER(SEARCH("CCC",E39)),"NCA-ECC-2-2024",IF(ISNUMBER(SEARCH("DCC",E39)),"NCA-ECC-2-2024",IF(ISNUMBER(SEARCH("CSCC",E39)),"NCA-ECC-2-2024",IF(ISNUMBER(SEARCH("PDPL-IR",E39)),"PDPL-2021",IF(ISNUMBER(SEARCH("PDPL-DTR",E39)),"PDPL-2021","NONE"))))))))</f>
        <v/>
      </c>
      <c r="BF39" s="594">
        <f>IF(E39="","",IF(BB39="DEEP",10,IF(BB39="SHALLOW",5,IF(BB39="TEMPLATE",3,1)))+IF(N39="HIGHEST",5,IF(N39="HIGH",3,IF(N39="MODERATE",1,0)))+IF(ISNUMBER(SEARCH("Mandatory",L39)),3,0))</f>
        <v/>
      </c>
    </row>
    <row r="40" ht="42" customHeight="1">
      <c r="A40" s="84" t="n">
        <v>35</v>
      </c>
      <c r="B40" s="85" t="inlineStr">
        <is>
          <t>MOH</t>
        </is>
      </c>
      <c r="C40" s="70" t="inlineStr">
        <is>
          <t>Ministry of Health</t>
        </is>
      </c>
      <c r="D40" s="70" t="inlineStr">
        <is>
          <t>2. Healthcare &amp; Life Sciences</t>
        </is>
      </c>
      <c r="E40" s="85" t="inlineStr">
        <is>
          <t>NCA-ECC-2:2024</t>
        </is>
      </c>
      <c r="F40" s="72" t="inlineStr">
        <is>
          <t>Essential Cybersecurity Controls</t>
        </is>
      </c>
      <c r="G40" s="70" t="inlineStr">
        <is>
          <t>ضوابط الأمن السيبراني الأساسية</t>
        </is>
      </c>
      <c r="H40" s="70" t="inlineStr">
        <is>
          <t>ECC-2:2024</t>
        </is>
      </c>
      <c r="I40" s="71" t="inlineStr">
        <is>
          <t>2018</t>
        </is>
      </c>
      <c r="J40" s="71" t="inlineStr">
        <is>
          <t>108</t>
        </is>
      </c>
      <c r="K40" s="70" t="inlineStr">
        <is>
          <t>MUST COMPLY WITH</t>
        </is>
      </c>
      <c r="L40" s="66" t="inlineStr">
        <is>
          <t>Mandatory Complier</t>
        </is>
      </c>
      <c r="M40" s="70" t="inlineStr">
        <is>
          <t>MOH as government entity</t>
        </is>
      </c>
      <c r="N40" s="86" t="inlineStr">
        <is>
          <t>HIGHEST</t>
        </is>
      </c>
      <c r="O40" s="87" t="inlineStr">
        <is>
          <t>https://nca.gov.sa/</t>
        </is>
      </c>
      <c r="P40" s="70" t="inlineStr">
        <is>
          <t>NCA official; ECC-2 scope</t>
        </is>
      </c>
      <c r="Q40" s="70" t="inlineStr">
        <is>
          <t>See official source for version history</t>
        </is>
      </c>
      <c r="R40" s="70" t="inlineStr">
        <is>
          <t>Framework issued by the relevant authority. Version details available on the official website referenced in the source URL column. The framework has been updated periodically since first issuance.</t>
        </is>
      </c>
      <c r="S40" s="71" t="inlineStr">
        <is>
          <t>See official source</t>
        </is>
      </c>
      <c r="T40" s="70" t="inlineStr">
        <is>
          <t>Updated as needed by the issuing authority</t>
        </is>
      </c>
      <c r="U40" s="25" t="inlineStr">
        <is>
          <t>CURRENT — consult official source for latest version</t>
        </is>
      </c>
      <c r="V40" s="70" t="inlineStr">
        <is>
          <t>Penalties defined by issuing authority; consult official source. NCA ECC-2 penalties apply if relevant</t>
        </is>
      </c>
      <c r="W40" s="72" t="inlineStr">
        <is>
          <t>Issuing authority and/or designated inspection department</t>
        </is>
      </c>
      <c r="X40" s="70" t="inlineStr">
        <is>
          <t>As specified in framework scope — consult official document</t>
        </is>
      </c>
      <c r="Y40" s="49" t="inlineStr">
        <is>
          <t>Both (unless specified otherwise in official document)</t>
        </is>
      </c>
      <c r="Z40" s="70" t="inlineStr">
        <is>
          <t>As defined by issuing authority</t>
        </is>
      </c>
      <c r="AA40" s="71" t="inlineStr">
        <is>
          <t>As defined by issuing authority</t>
        </is>
      </c>
      <c r="AB40" s="70" t="inlineStr">
        <is>
          <t>To be determined from framework text — see official source</t>
        </is>
      </c>
      <c r="AC40" s="70" t="inlineStr">
        <is>
          <t>See framework preamble for international standard references</t>
        </is>
      </c>
      <c r="AD40" s="49" t="inlineStr">
        <is>
          <t>Arabic (primary in KSA); English may be available</t>
        </is>
      </c>
      <c r="AE40" s="58" t="inlineStr">
        <is>
          <t>Mapped to relevant GH-ICGA layer — requires manual assessment</t>
        </is>
      </c>
      <c r="AF40" s="56" t="inlineStr">
        <is>
          <t>See official framework for maturity model details</t>
        </is>
      </c>
      <c r="AG40" s="70" t="inlineStr">
        <is>
          <t>Aligned with relevant Vision 2030 programme — see framework context</t>
        </is>
      </c>
      <c r="AH40" s="70" t="inlineStr">
        <is>
          <t>As specified in framework compliance requirements</t>
        </is>
      </c>
      <c r="AI40" s="73" t="inlineStr">
        <is>
          <t>Multi-agency compliance theory: MOH as healthcare regulator requiring its entities to adopt NCA cybersecurity controls demonstrates cross-sector regulatory coordination. Institutional isomorphism: healthcare sector adopting cybersecurity baseline through coercive mechanism (MOH mandate) rather than voluntary adoption.</t>
        </is>
      </c>
      <c r="AJ40" s="70" t="inlineStr">
        <is>
          <t>FOR: MOH mandating ECC-2 for all healthcare entities ensures cybersecurity baseline regardless of entity maturity — addresses the weakest-link problem in health data protection. Creates unified compliance requirement across MOH hospitals, PHCs, and digital health platforms. AGAINST: MOH entities may lack cybersecurity budget and expertise to implement 108 ECC-2 controls; dual reporting (MOH + NCA) creates audit fatigue; timeline for compliance not specified in MOH mandate.</t>
        </is>
      </c>
      <c r="AK40" s="74" t="inlineStr">
        <is>
          <t>Criticisms: (1) MOH hospitals historically under-resourced for cybersecurity — ECC-2 mandate without additional funding creates unfunded mandate; (2) NCA audit of MOH entities creates sovereignty tension — NCA inspecting another ministry's operations; (3) ECC-2 Saudisation requirement particularly challenging for MOH — limited Saudi cyber workforce in healthcare sector; (4) 108 controls + 53 OTCC controls + 67 CCC controls = 228+ total cyber controls for a single MOH hospital — proportionality question.</t>
        </is>
      </c>
      <c r="AL40" s="75" t="inlineStr">
        <is>
          <t>Framework comparison requires contextual analysis. Key comparators: NIST CSF 2.0 (international benchmark), ISO 27001 (certifiable standard), ECC-2 (KSA mandatory baseline). See main database for cross-framework mapping.</t>
        </is>
      </c>
      <c r="AM40" s="76" t="inlineStr">
        <is>
          <t>NCA-MOH MoU (2023) Cybersecurity in Healthcare; Al-Qahtani (2024) Multi-Agency Cyber Governance; MOH Digital Transformation Strategy (2024).</t>
        </is>
      </c>
      <c r="AN40" s="50" t="inlineStr">
        <is>
          <t>Official: Consult the official source URL in the database for the primary document. Training: ISACA, ISC2, RAPS, IAPP, and HIMSS offer professional development covering most regulatory domains. Estimated hours vary by framework complexity.</t>
        </is>
      </c>
      <c r="AO40" s="77" t="inlineStr">
        <is>
          <t>GH-ICGA positions MOH→NCA-ECC-2 adoption as the HEALTHCARE CYBER BASELINE — proves thesis argument that healthcare GRC requires multi-regulator coordination. The 228+ control total for a single hospital demonstrates 'compliance stacking' — a unique KSA GRC challenge.</t>
        </is>
      </c>
      <c r="AP40" s="51" t="inlineStr">
        <is>
          <t>G + C (Governance + Compliance — standard regulatory framework positioning)</t>
        </is>
      </c>
      <c r="AQ40" s="78" t="inlineStr">
        <is>
          <t>Senior management: accountability for framework compliance. Designated compliance officer: monitor requirements. All staff: awareness of applicable obligations</t>
        </is>
      </c>
      <c r="AR40" s="74" t="inlineStr">
        <is>
          <t>Regulatory Risk; Operational Risk; Reputational Risk — specific domains determined by framework scope</t>
        </is>
      </c>
      <c r="AS40" s="22" t="inlineStr">
        <is>
          <t>See official source — legal obligation, regulatory requirement, or voluntary standard as applicable</t>
        </is>
      </c>
      <c r="AT40" s="75" t="inlineStr">
        <is>
          <t>Administrative; Technical; Operational — specific distribution determined by framework content</t>
        </is>
      </c>
      <c r="AU40" s="79" t="inlineStr">
        <is>
          <t>1. Compliance status (compliant/non-compliant). 2. # open findings from last assessment. 3. % controls implemented. 4. Time to remediate findings. 5. Incident rate in framework scope area</t>
        </is>
      </c>
      <c r="AV40" s="80" t="inlineStr">
        <is>
          <t>Self-assessment; internal audit; external assessment as specified by issuing authority</t>
        </is>
      </c>
      <c r="AW40" s="81" t="inlineStr">
        <is>
          <t>ServiceNow GRC; IBM OpenPages; RSA Archer; MetricStream — all major GRC platforms support custom framework import. Contact vendor for framework-specific module</t>
        </is>
      </c>
      <c r="AX40" s="82" t="inlineStr">
        <is>
          <t>Third parties in scope must demonstrate equivalent compliance. Contractual compliance obligations; right-to-audit clauses; annual third-party assessment</t>
        </is>
      </c>
      <c r="AY40" s="83" t="inlineStr">
        <is>
          <t>Non-compliance: regulatory action by issuing authority; fines and penalties as specified; operational and reputational consequences</t>
        </is>
      </c>
      <c r="AZ40" s="80" t="inlineStr">
        <is>
          <t>ALL 17 SECTORS</t>
        </is>
      </c>
      <c r="BA40" s="34" t="inlineStr">
        <is>
          <t>YES — ALL SECTORS</t>
        </is>
      </c>
      <c r="BB40" s="591">
        <f>IF(E40="","",IF(ISNUMBER(SEARCH("Institutional theory and regulatory governance theory underpin",AI40)),"TEMPLATE",IF(LEN(AI40)&gt;100,"DEEP",IF(AI40="","SPARSE","SHALLOW"))))</f>
        <v/>
      </c>
      <c r="BC40" s="591">
        <f>IF(E40="","",D40&amp;"-"&amp;B40&amp;"-"&amp;E40)</f>
        <v/>
      </c>
      <c r="BD40" s="591">
        <f>IF(E40="","",SUBSTITUTE(SUBSTITUTE(B40&amp;"-"&amp;E40," ",""),":","-"))</f>
        <v/>
      </c>
      <c r="BE40" s="591">
        <f>IF(E40="","",IF(ISNUMBER(SEARCH("ECC",E40)),"NCA-ECC-2-2024",IF(ISNUMBER(SEARCH("OTCC",E40)),"NCA-ECC-2-2024",IF(ISNUMBER(SEARCH("CCC",E40)),"NCA-ECC-2-2024",IF(ISNUMBER(SEARCH("DCC",E40)),"NCA-ECC-2-2024",IF(ISNUMBER(SEARCH("CSCC",E40)),"NCA-ECC-2-2024",IF(ISNUMBER(SEARCH("PDPL-IR",E40)),"PDPL-2021",IF(ISNUMBER(SEARCH("PDPL-DTR",E40)),"PDPL-2021","NONE"))))))))</f>
        <v/>
      </c>
      <c r="BF40" s="594">
        <f>IF(E40="","",IF(BB40="DEEP",10,IF(BB40="SHALLOW",5,IF(BB40="TEMPLATE",3,1)))+IF(N40="HIGHEST",5,IF(N40="HIGH",3,IF(N40="MODERATE",1,0)))+IF(ISNUMBER(SEARCH("Mandatory",L40)),3,0))</f>
        <v/>
      </c>
    </row>
    <row r="41" ht="42" customHeight="1">
      <c r="A41" s="42" t="n">
        <v>36</v>
      </c>
      <c r="B41" s="69" t="inlineStr">
        <is>
          <t>MOH</t>
        </is>
      </c>
      <c r="C41" s="44" t="inlineStr">
        <is>
          <t>Ministry of Health</t>
        </is>
      </c>
      <c r="D41" s="44" t="inlineStr">
        <is>
          <t>2. Healthcare &amp; Life Sciences</t>
        </is>
      </c>
      <c r="E41" s="69" t="inlineStr">
        <is>
          <t>PDPL-2021</t>
        </is>
      </c>
      <c r="F41" s="45" t="inlineStr">
        <is>
          <t>Personal Data Protection Law</t>
        </is>
      </c>
      <c r="G41" s="44" t="inlineStr">
        <is>
          <t>نظام حماية البيانات الشخصية</t>
        </is>
      </c>
      <c r="H41" s="44" t="inlineStr">
        <is>
          <t>2021+IR 2023</t>
        </is>
      </c>
      <c r="I41" s="46" t="inlineStr">
        <is>
          <t>2021</t>
        </is>
      </c>
      <c r="J41" s="46" t="inlineStr">
        <is>
          <t>45</t>
        </is>
      </c>
      <c r="K41" s="44" t="inlineStr">
        <is>
          <t>MUST COMPLY WITH</t>
        </is>
      </c>
      <c r="L41" s="66" t="inlineStr">
        <is>
          <t>Mandatory Complier</t>
        </is>
      </c>
      <c r="M41" s="44" t="inlineStr">
        <is>
          <t>MOH processes patient personal data</t>
        </is>
      </c>
      <c r="N41" s="47" t="inlineStr">
        <is>
          <t>HIGHEST</t>
        </is>
      </c>
      <c r="O41" s="48" t="inlineStr">
        <is>
          <t>https://sdaia.gov.sa/</t>
        </is>
      </c>
      <c r="P41" s="44" t="inlineStr">
        <is>
          <t>SDAIA; Baker McKenzie 2025</t>
        </is>
      </c>
      <c r="Q41" s="70" t="inlineStr">
        <is>
          <t>Royal Decree M/19 (16 Sep 2021) → amended Apr 2023</t>
        </is>
      </c>
      <c r="R41" s="70" t="inlineStr">
        <is>
          <t>Original (2021): 19 articles covering consent, data subject rights, controller obligations, sensitive data (health = sensitive), cross-border transfer. Apr 2023 amendment: strengthened enforcement, clarified health data provisions, aligned with PDPL-IR-2023. Grace period for compliance ended Sep 14, 2024. Penalties: up to SAR 5 million fine + 2 years imprisonment for sensitive data breach</t>
        </is>
      </c>
      <c r="S41" s="71" t="inlineStr">
        <is>
          <t>Issued: Sep 2021. Amended: Apr 2023. Fully enforceable: Sep 14, 2024</t>
        </is>
      </c>
      <c r="T41" s="70" t="inlineStr">
        <is>
          <t>SDAIA reviews annually; amendments expected 2025-2026</t>
        </is>
      </c>
      <c r="U41" s="25" t="inlineStr">
        <is>
          <t>CURRENT — fully enforceable since Sep 2024</t>
        </is>
      </c>
      <c r="V41" s="70" t="inlineStr">
        <is>
          <t>Criminal offence: up to 2 years imprisonment + SAR 3M fine for disclosing sensitive data (health data = sensitive); administrative fine up to SAR 5M; mandatory breach notification to SDAIA within 72 hours; data subject compensation claims</t>
        </is>
      </c>
      <c r="W41" s="72" t="inlineStr">
        <is>
          <t>SDAIA — Data Protection Authority (DPA functions); NDMO for government entities; courts for criminal penalties</t>
        </is>
      </c>
      <c r="X41" s="70" t="inlineStr">
        <is>
          <t>Hospital; Clinic; Lab; Pharmacy; Health IT Vendor; Health Insurer; Government Health Entity; Medical Device Manufacturer (all processing patient data)</t>
        </is>
      </c>
      <c r="Y41" s="49" t="inlineStr">
        <is>
          <t>Both + foreign entities processing data of KSA residents</t>
        </is>
      </c>
      <c r="Z41" s="70" t="inlineStr">
        <is>
          <t>SDAIA audit; controller self-assessment; DPO oversight; data subject complaints trigger investigation</t>
        </is>
      </c>
      <c r="AA41" s="71" t="inlineStr">
        <is>
          <t>Continuous (breach notification: 72 hours); annual DPO report; SDAIA random audits</t>
        </is>
      </c>
      <c r="AB41" s="70" t="inlineStr">
        <is>
          <t>12 (IoMT data minimisation; purpose limitation; consent management for wearable data; automated decision-making; data subject rights for IoMT-generated health data; cross-border transfer of IoMT data)</t>
        </is>
      </c>
      <c r="AC41" s="70" t="inlineStr">
        <is>
          <t>GDPR (substantial alignment — adequate protection basis); APEC Privacy Framework; ISO 29100; ISO 27701</t>
        </is>
      </c>
      <c r="AD41" s="49" t="inlineStr">
        <is>
          <t>Arabic (official); English translation (unofficial)</t>
        </is>
      </c>
      <c r="AE41" s="50" t="inlineStr">
        <is>
          <t>Layer 4: Compliance; Layer 2: Risk Management</t>
        </is>
      </c>
      <c r="AF41" s="60" t="inlineStr">
        <is>
          <t>No formal maturity model; SDAIA publishes compliance guidance</t>
        </is>
      </c>
      <c r="AG41" s="70" t="inlineStr">
        <is>
          <t>National Data Strategy; Vision 2030 Digital Economy; Digital Government transformation</t>
        </is>
      </c>
      <c r="AH41" s="70" t="inlineStr">
        <is>
          <t>Privacy notices; consent records; DPO appointment letter; data mapping/flow diagrams; breach notification records; DPIA for health data processing; controller registration</t>
        </is>
      </c>
      <c r="AI41" s="73" t="inlineStr">
        <is>
          <t>Privacy as fundamental right (Warren &amp; Brandeis 1890; Westin 1967). Contextual integrity theory (Nissenbaum 2004): health data flows must match medical context norms. Regulatory theory: data protection authority independence and enforcement. Information asymmetry theory: patients cannot protect their own data without regulation.</t>
        </is>
      </c>
      <c r="AJ41" s="70" t="inlineStr">
        <is>
          <t>FOR: Long-overdue — KSA had no comprehensive data protection law until 2021; health data explicitly protected as sensitive category; aligns KSA with global adequacy standards. AGAINST: Alrawabdeh (2014) and Aldawood &amp; Skinner (2019) documented Saudi privacy culture gap — regulation without public awareness is ineffective; 'GDPR-lite' criticism: exemptions broader than GDPR, enforcement weaker; health data provisions in IR still less specific than UK GDPR Schedule 1 conditions</t>
        </is>
      </c>
      <c r="AK41" s="74" t="inlineStr">
        <is>
          <t>No independent supervisory authority (SDAIA is both promoter and regulator — conflict of interest noted by Baker McKenzie 2025); patient data portability rights weaker than GDPR Article 20; no explicit right to explanation for AI-automated health decisions; cross-border transfer rules changed twice in 12 months (regulatory instability); small healthcare providers lack capacity for DPO requirements</t>
        </is>
      </c>
      <c r="AL41" s="75" t="inlineStr">
        <is>
          <t>PDPL vs GDPR: PDPL penalty lower (SAR 5M vs €20M); PDPL broader government exemptions; GDPR has independent DPA, PDPL does not. PDPL vs HIPAA: PDPL = all personal data (broader); HIPAA = US-specific health data only. PDPL vs UK GDPR: PDPL misses explicit Schedule 1 health data conditions. PDPL ahead of HIPAA on consent granularity; behind GDPR on enforcement independence</t>
        </is>
      </c>
      <c r="AM41" s="76" t="inlineStr">
        <is>
          <t>Baker McKenzie (2025) Saudi Arabia PDPL Global Data &amp; Cyber Handbook; Alrawabdeh W (2014) 'Internet and Social Media Challenges in Arab World' EJSR; Westin AF (1967) Privacy and Freedom NY Atheneum; Nissenbaum H (2004) 'Privacy as Contextual Integrity' Washington Law Review 79(1); CMS Law (2025) Saudi Arabia Data Protection &amp; Cybersecurity Expert Guide Oct 2025</t>
        </is>
      </c>
      <c r="AN41" s="50" t="inlineStr">
        <is>
          <t>Official: SDAIA website (sdaia.gov.sa) — Arabic + English. Training: IAPP CIPM/CIPP/E (privacy certifications applicable); OneTrust PDPL compliance course; Baker McKenzie PDPL compliance guide. Language: Arabic primary — strong Arabic reading recommended. Estimated: 50 hours for health sector DPO competence</t>
        </is>
      </c>
      <c r="AO41" s="77" t="inlineStr">
        <is>
          <t>PRIMARY driver for GH-ICGA Layer 4 (Compliance) — PDPL is the legal foundation for patient data governance in the preliminary GH-ICGA framework. Thesis argument: GH-ICGA Layer 4 operationalises PDPL requirements into IoMT-specific controls (consent management for wearable data; purpose limitation for monitoring streams; breach response for connected device incidents)</t>
        </is>
      </c>
      <c r="AP41" s="51" t="inlineStr">
        <is>
          <t>G + C (Governance + Compliance — strong compliance driver; risk implicit)</t>
        </is>
      </c>
      <c r="AQ41" s="78" t="inlineStr">
        <is>
          <t>Board/CEO: ultimate accountability for PDPL compliance. DPO: mandatory for large-scale health data processors — reports to highest management level. Privacy Committee: cross-functional oversight. All staff processing personal data: mandatory privacy awareness training annually</t>
        </is>
      </c>
      <c r="AR41" s="74" t="inlineStr">
        <is>
          <t>Privacy Risk (PRIMARY); Legal/Regulatory Risk; Reputational Risk; Strategic Risk (data monetisation constraints); Cross-Border Risk (data transfer restrictions)</t>
        </is>
      </c>
      <c r="AS41" s="22" t="inlineStr">
        <is>
          <t>LEGAL — Royal Decree M/19 2021 + Implementing Regulations Sep 2023. Criminal: imprisonment up to 2 years + SAR 3M fine for sensitive data disclosure. Administrative: SAR 5M maximum fine. Civil: data subject compensation claims</t>
        </is>
      </c>
      <c r="AT41" s="75" t="inlineStr">
        <is>
          <t>Administrative (A): consent management; privacy notices; DPO appointment; DPIA process; breach notification procedure. Technical (T): data minimisation; pseudonymisation; access controls for personal data; encryption. Operational (O): data retention enforcement; data subject rights fulfilment process; cross-border transfer review</t>
        </is>
      </c>
      <c r="AU41" s="79" t="inlineStr">
        <is>
          <t>1. # data subject rights requests fulfilled on time (target: 100% within 30 days). 2. # data breaches notified to SDAIA within 72h (target: 100%). 3. % staff completed privacy training (target: 100%). 4. # DPIAs completed for high-risk processing activities. 5. Data retention compliance rate (% records within policy). 6. % third-party processors with DPA agreements</t>
        </is>
      </c>
      <c r="AV41" s="80" t="inlineStr">
        <is>
          <t>Annual DPIA review; data mapping audit (controller record validation); consent record audit; breach response simulation (tabletop); access control review for personal data systems; third-party processor audit; SDAIA compliance self-assessment</t>
        </is>
      </c>
      <c r="AW41" s="81" t="inlineStr">
        <is>
          <t>OneTrust (market leader for PDPL); TrustArc; Nymity; DataGrail; Varonis (data discovery); Microsoft Purview (data classification). SDAIA National Data Governance Platform for registration. Arabic-capable tools preferred</t>
        </is>
      </c>
      <c r="AX41" s="82" t="inlineStr">
        <is>
          <t>All third-party data processors must have Data Processing Agreement (DPA). Processors must demonstrate equivalent PDPL compliance. Cross-border transfers require adequacy assessment or appropriate safeguards. Sub-processor disclosure mandatory. Annual processor risk assessment required</t>
        </is>
      </c>
      <c r="AY41" s="83" t="inlineStr">
        <is>
          <t>Non-compliance: SAR 5M administrative fine; criminal prosecution for sensitive data breach; SDAIA investigation; mandatory breach public disclosure. Business disruption: SDAIA can order processing suspension. Reputational: patient trust damage. Market: EU adequate protection status depends on PDPL enforcement credibility</t>
        </is>
      </c>
      <c r="AZ41" s="80" t="inlineStr">
        <is>
          <t>ALL 17 SECTORS — any entity processing personal data</t>
        </is>
      </c>
      <c r="BA41" s="34" t="inlineStr">
        <is>
          <t>YES — ALL SECTORS</t>
        </is>
      </c>
      <c r="BB41" s="591">
        <f>IF(E41="","",IF(ISNUMBER(SEARCH("Institutional theory and regulatory governance theory underpin",AI41)),"TEMPLATE",IF(LEN(AI41)&gt;100,"DEEP",IF(AI41="","SPARSE","SHALLOW"))))</f>
        <v/>
      </c>
      <c r="BC41" s="591">
        <f>IF(E41="","",D41&amp;"-"&amp;B41&amp;"-"&amp;E41)</f>
        <v/>
      </c>
      <c r="BD41" s="591">
        <f>IF(E41="","",SUBSTITUTE(SUBSTITUTE(B41&amp;"-"&amp;E41," ",""),":","-"))</f>
        <v/>
      </c>
      <c r="BE41" s="591">
        <f>IF(E41="","",IF(ISNUMBER(SEARCH("ECC",E41)),"NCA-ECC-2-2024",IF(ISNUMBER(SEARCH("OTCC",E41)),"NCA-ECC-2-2024",IF(ISNUMBER(SEARCH("CCC",E41)),"NCA-ECC-2-2024",IF(ISNUMBER(SEARCH("DCC",E41)),"NCA-ECC-2-2024",IF(ISNUMBER(SEARCH("CSCC",E41)),"NCA-ECC-2-2024",IF(ISNUMBER(SEARCH("PDPL-IR",E41)),"PDPL-2021",IF(ISNUMBER(SEARCH("PDPL-DTR",E41)),"PDPL-2021","NONE"))))))))</f>
        <v/>
      </c>
      <c r="BF41" s="594">
        <f>IF(E41="","",IF(BB41="DEEP",10,IF(BB41="SHALLOW",5,IF(BB41="TEMPLATE",3,1)))+IF(N41="HIGHEST",5,IF(N41="HIGH",3,IF(N41="MODERATE",1,0)))+IF(ISNUMBER(SEARCH("Mandatory",L41)),3,0))</f>
        <v/>
      </c>
    </row>
    <row r="42" ht="42" customHeight="1">
      <c r="A42" s="84" t="n">
        <v>37</v>
      </c>
      <c r="B42" s="85" t="inlineStr">
        <is>
          <t>MOH</t>
        </is>
      </c>
      <c r="C42" s="70" t="inlineStr">
        <is>
          <t>Ministry of Health</t>
        </is>
      </c>
      <c r="D42" s="70" t="inlineStr">
        <is>
          <t>2. Healthcare &amp; Life Sciences</t>
        </is>
      </c>
      <c r="E42" s="85" t="inlineStr">
        <is>
          <t>NCA-DCC</t>
        </is>
      </c>
      <c r="F42" s="72" t="inlineStr">
        <is>
          <t>Data Cybersecurity Controls</t>
        </is>
      </c>
      <c r="G42" s="70" t="inlineStr">
        <is>
          <t>ضوابط أمن البيانات</t>
        </is>
      </c>
      <c r="H42" s="70" t="inlineStr">
        <is>
          <t>DCC-1:2022</t>
        </is>
      </c>
      <c r="I42" s="71" t="inlineStr">
        <is>
          <t>2022</t>
        </is>
      </c>
      <c r="J42" s="71" t="inlineStr">
        <is>
          <t>40</t>
        </is>
      </c>
      <c r="K42" s="70" t="inlineStr">
        <is>
          <t>MUST COMPLY WITH</t>
        </is>
      </c>
      <c r="L42" s="66" t="inlineStr">
        <is>
          <t>Mandatory Complier</t>
        </is>
      </c>
      <c r="M42" s="70" t="inlineStr">
        <is>
          <t>MOH as ECC-scope entity</t>
        </is>
      </c>
      <c r="N42" s="88" t="inlineStr">
        <is>
          <t>HIGH</t>
        </is>
      </c>
      <c r="O42" s="87" t="inlineStr">
        <is>
          <t>https://nca.gov.sa/</t>
        </is>
      </c>
      <c r="P42" s="70" t="inlineStr">
        <is>
          <t>NCA official</t>
        </is>
      </c>
      <c r="Q42" s="70" t="inlineStr">
        <is>
          <t>See official source for version history</t>
        </is>
      </c>
      <c r="R42" s="70" t="inlineStr">
        <is>
          <t>Framework issued by the relevant authority. Version details available on the official website referenced in the source URL column. The framework has been updated periodically since first issuance.</t>
        </is>
      </c>
      <c r="S42" s="71" t="inlineStr">
        <is>
          <t>See official source</t>
        </is>
      </c>
      <c r="T42" s="70" t="inlineStr">
        <is>
          <t>Updated as needed by the issuing authority</t>
        </is>
      </c>
      <c r="U42" s="25" t="inlineStr">
        <is>
          <t>CURRENT — consult official source for latest version</t>
        </is>
      </c>
      <c r="V42" s="70" t="inlineStr">
        <is>
          <t>Penalties defined by issuing authority; consult official source. NCA ECC-2 penalties apply if relevant</t>
        </is>
      </c>
      <c r="W42" s="72" t="inlineStr">
        <is>
          <t>Issuing authority and/or designated inspection department</t>
        </is>
      </c>
      <c r="X42" s="70" t="inlineStr">
        <is>
          <t>As specified in framework scope — consult official document</t>
        </is>
      </c>
      <c r="Y42" s="49" t="inlineStr">
        <is>
          <t>Both (unless specified otherwise in official document)</t>
        </is>
      </c>
      <c r="Z42" s="70" t="inlineStr">
        <is>
          <t>As defined by issuing authority</t>
        </is>
      </c>
      <c r="AA42" s="71" t="inlineStr">
        <is>
          <t>As defined by issuing authority</t>
        </is>
      </c>
      <c r="AB42" s="70" t="inlineStr">
        <is>
          <t>To be determined from framework text — see official source</t>
        </is>
      </c>
      <c r="AC42" s="70" t="inlineStr">
        <is>
          <t>See framework preamble for international standard references</t>
        </is>
      </c>
      <c r="AD42" s="49" t="inlineStr">
        <is>
          <t>Arabic (primary in KSA); English may be available</t>
        </is>
      </c>
      <c r="AE42" s="58" t="inlineStr">
        <is>
          <t>Mapped to relevant GH-ICGA layer — requires manual assessment</t>
        </is>
      </c>
      <c r="AF42" s="56" t="inlineStr">
        <is>
          <t>See official framework for maturity model details</t>
        </is>
      </c>
      <c r="AG42" s="70" t="inlineStr">
        <is>
          <t>Aligned with relevant Vision 2030 programme — see framework context</t>
        </is>
      </c>
      <c r="AH42" s="70" t="inlineStr">
        <is>
          <t>As specified in framework compliance requirements</t>
        </is>
      </c>
      <c r="AI42" s="73" t="inlineStr">
        <is>
          <t>Institutional theory and regulatory governance theory underpin all KSA regulatory frameworks. Specific theoretical basis varies by framework — consult academic literature via Google Scholar using framework name as search term.</t>
        </is>
      </c>
      <c r="AJ42" s="70" t="inlineStr">
        <is>
          <t>Academic debate varies by framework maturity and international adoption. For KSA-specific debate, consult: Almohammad &amp; Wills (2021) J Cybersecurity; Al-Khater et al. (2020) IEEE Access; Baker McKenzie KSA regulatory updates.</t>
        </is>
      </c>
      <c r="AK42" s="74" t="inlineStr">
        <is>
          <t>Known criticisms include: implementation gap between standards and practice; resource constraints for smaller healthcare entities; rapid technology evolution outpacing regulation. Consult framework evaluation literature for specifics.</t>
        </is>
      </c>
      <c r="AL42" s="75" t="inlineStr">
        <is>
          <t>Framework comparison requires contextual analysis. Key comparators: NIST CSF 2.0 (international benchmark), ISO 27001 (certifiable standard), ECC-2 (KSA mandatory baseline). See main database for cross-framework mapping.</t>
        </is>
      </c>
      <c r="AM42"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2" s="50" t="inlineStr">
        <is>
          <t>Official: Consult the official source URL in the database for the primary document. Training: ISACA, ISC2, RAPS, IAPP, and HIMSS offer professional development covering most regulatory domains. Estimated hours vary by framework complexity.</t>
        </is>
      </c>
      <c r="AO42" s="77" t="inlineStr">
        <is>
          <t>Relevance to GH-ICGA framework varies by layer — see GH-ICGA Layer Mapping column. All KSA mandatory frameworks are compliance inputs to GH-ICGA Layer 4. Frameworks with IoMT-specific provisions directly inform Layers 2 and 3.</t>
        </is>
      </c>
      <c r="AP42" s="51" t="inlineStr">
        <is>
          <t>G + C (Governance + Compliance — standard regulatory framework positioning)</t>
        </is>
      </c>
      <c r="AQ42" s="78" t="inlineStr">
        <is>
          <t>Senior management: accountability for framework compliance. Designated compliance officer: monitor requirements. All staff: awareness of applicable obligations</t>
        </is>
      </c>
      <c r="AR42" s="74" t="inlineStr">
        <is>
          <t>Regulatory Risk; Operational Risk; Reputational Risk — specific domains determined by framework scope</t>
        </is>
      </c>
      <c r="AS42" s="22" t="inlineStr">
        <is>
          <t>See official source — legal obligation, regulatory requirement, or voluntary standard as applicable</t>
        </is>
      </c>
      <c r="AT42" s="75" t="inlineStr">
        <is>
          <t>Administrative; Technical; Operational — specific distribution determined by framework content</t>
        </is>
      </c>
      <c r="AU42" s="79" t="inlineStr">
        <is>
          <t>1. Compliance status (compliant/non-compliant). 2. # open findings from last assessment. 3. % controls implemented. 4. Time to remediate findings. 5. Incident rate in framework scope area</t>
        </is>
      </c>
      <c r="AV42" s="80" t="inlineStr">
        <is>
          <t>Self-assessment; internal audit; external assessment as specified by issuing authority</t>
        </is>
      </c>
      <c r="AW42" s="81" t="inlineStr">
        <is>
          <t>ServiceNow GRC; IBM OpenPages; RSA Archer; MetricStream — all major GRC platforms support custom framework import. Contact vendor for framework-specific module</t>
        </is>
      </c>
      <c r="AX42" s="82" t="inlineStr">
        <is>
          <t>Third parties in scope must demonstrate equivalent compliance. Contractual compliance obligations; right-to-audit clauses; annual third-party assessment</t>
        </is>
      </c>
      <c r="AY42" s="83" t="inlineStr">
        <is>
          <t>Non-compliance: regulatory action by issuing authority; fines and penalties as specified; operational and reputational consequences</t>
        </is>
      </c>
      <c r="AZ42" s="80" t="inlineStr">
        <is>
          <t>Sector-specific — consult official source</t>
        </is>
      </c>
      <c r="BA42" s="41" t="inlineStr">
        <is>
          <t>Sector-Specific</t>
        </is>
      </c>
      <c r="BB42" s="591">
        <f>IF(E42="","",IF(ISNUMBER(SEARCH("Institutional theory and regulatory governance theory underpin",AI42)),"TEMPLATE",IF(LEN(AI42)&gt;100,"DEEP",IF(AI42="","SPARSE","SHALLOW"))))</f>
        <v/>
      </c>
      <c r="BC42" s="591">
        <f>IF(E42="","",D42&amp;"-"&amp;B42&amp;"-"&amp;E42)</f>
        <v/>
      </c>
      <c r="BD42" s="591">
        <f>IF(E42="","",SUBSTITUTE(SUBSTITUTE(B42&amp;"-"&amp;E42," ",""),":","-"))</f>
        <v/>
      </c>
      <c r="BE42" s="591">
        <f>IF(E42="","",IF(ISNUMBER(SEARCH("ECC",E42)),"NCA-ECC-2-2024",IF(ISNUMBER(SEARCH("OTCC",E42)),"NCA-ECC-2-2024",IF(ISNUMBER(SEARCH("CCC",E42)),"NCA-ECC-2-2024",IF(ISNUMBER(SEARCH("DCC",E42)),"NCA-ECC-2-2024",IF(ISNUMBER(SEARCH("CSCC",E42)),"NCA-ECC-2-2024",IF(ISNUMBER(SEARCH("PDPL-IR",E42)),"PDPL-2021",IF(ISNUMBER(SEARCH("PDPL-DTR",E42)),"PDPL-2021","NONE"))))))))</f>
        <v/>
      </c>
      <c r="BF42" s="594">
        <f>IF(E42="","",IF(BB42="DEEP",10,IF(BB42="SHALLOW",5,IF(BB42="TEMPLATE",3,1)))+IF(N42="HIGHEST",5,IF(N42="HIGH",3,IF(N42="MODERATE",1,0)))+IF(ISNUMBER(SEARCH("Mandatory",L42)),3,0))</f>
        <v/>
      </c>
    </row>
    <row r="43" ht="42" customHeight="1">
      <c r="A43" s="42" t="n">
        <v>38</v>
      </c>
      <c r="B43" s="69" t="inlineStr">
        <is>
          <t>MOH</t>
        </is>
      </c>
      <c r="C43" s="44" t="inlineStr">
        <is>
          <t>Ministry of Health</t>
        </is>
      </c>
      <c r="D43" s="44" t="inlineStr">
        <is>
          <t>2. Healthcare &amp; Life Sciences</t>
        </is>
      </c>
      <c r="E43" s="69" t="inlineStr">
        <is>
          <t>NCA-OTCC</t>
        </is>
      </c>
      <c r="F43" s="45" t="inlineStr">
        <is>
          <t>OT Cybersecurity Controls</t>
        </is>
      </c>
      <c r="G43" s="44" t="inlineStr">
        <is>
          <t>ضوابط الأمن السيبراني للتقنيات التشغيلية</t>
        </is>
      </c>
      <c r="H43" s="44" t="inlineStr">
        <is>
          <t>OTCC-1:2022</t>
        </is>
      </c>
      <c r="I43" s="46" t="inlineStr">
        <is>
          <t>2022</t>
        </is>
      </c>
      <c r="J43" s="46" t="inlineStr">
        <is>
          <t>53</t>
        </is>
      </c>
      <c r="K43" s="44" t="inlineStr">
        <is>
          <t>MUST COMPLY WITH</t>
        </is>
      </c>
      <c r="L43" s="66" t="inlineStr">
        <is>
          <t>Mandatory Complier</t>
        </is>
      </c>
      <c r="M43" s="44" t="inlineStr">
        <is>
          <t>MOH hospital medical device networks as CNI</t>
        </is>
      </c>
      <c r="N43" s="47" t="inlineStr">
        <is>
          <t>HIGHEST</t>
        </is>
      </c>
      <c r="O43" s="48" t="inlineStr">
        <is>
          <t>https://nca.gov.sa/</t>
        </is>
      </c>
      <c r="P43" s="44" t="inlineStr">
        <is>
          <t>NCA OTCC scope</t>
        </is>
      </c>
      <c r="Q43" s="70" t="inlineStr">
        <is>
          <t>See official source for version history</t>
        </is>
      </c>
      <c r="R43" s="70" t="inlineStr">
        <is>
          <t>Framework issued by the relevant authority. Version details available on the official website referenced in the source URL column. The framework has been updated periodically since first issuance.</t>
        </is>
      </c>
      <c r="S43" s="71" t="inlineStr">
        <is>
          <t>See official source</t>
        </is>
      </c>
      <c r="T43" s="70" t="inlineStr">
        <is>
          <t>Updated as needed by the issuing authority</t>
        </is>
      </c>
      <c r="U43" s="25" t="inlineStr">
        <is>
          <t>CURRENT — consult official source for latest version</t>
        </is>
      </c>
      <c r="V43" s="70" t="inlineStr">
        <is>
          <t>Penalties defined by issuing authority; consult official source. NCA ECC-2 penalties apply if relevant</t>
        </is>
      </c>
      <c r="W43" s="72" t="inlineStr">
        <is>
          <t>Issuing authority and/or designated inspection department</t>
        </is>
      </c>
      <c r="X43" s="70" t="inlineStr">
        <is>
          <t>As specified in framework scope — consult official document</t>
        </is>
      </c>
      <c r="Y43" s="49" t="inlineStr">
        <is>
          <t>Both (unless specified otherwise in official document)</t>
        </is>
      </c>
      <c r="Z43" s="70" t="inlineStr">
        <is>
          <t>As defined by issuing authority</t>
        </is>
      </c>
      <c r="AA43" s="71" t="inlineStr">
        <is>
          <t>As defined by issuing authority</t>
        </is>
      </c>
      <c r="AB43" s="70" t="inlineStr">
        <is>
          <t>To be determined from framework text — see official source</t>
        </is>
      </c>
      <c r="AC43" s="70" t="inlineStr">
        <is>
          <t>See framework preamble for international standard references</t>
        </is>
      </c>
      <c r="AD43" s="49" t="inlineStr">
        <is>
          <t>Arabic (primary in KSA); English may be available</t>
        </is>
      </c>
      <c r="AE43" s="58" t="inlineStr">
        <is>
          <t>Mapped to relevant GH-ICGA layer — requires manual assessment</t>
        </is>
      </c>
      <c r="AF43" s="56" t="inlineStr">
        <is>
          <t>See official framework for maturity model details</t>
        </is>
      </c>
      <c r="AG43" s="70" t="inlineStr">
        <is>
          <t>Aligned with relevant Vision 2030 programme — see framework context</t>
        </is>
      </c>
      <c r="AH43" s="70" t="inlineStr">
        <is>
          <t>As specified in framework compliance requirements</t>
        </is>
      </c>
      <c r="AI43" s="73" t="inlineStr">
        <is>
          <t>Operational Technology security theory: convergence of IT and OT networks in healthcare creates expanded attack surface (Knowles et al. 2015). Critical infrastructure protection theory: hospitals as critical national infrastructure requiring OT-specific controls beyond IT security baseline.</t>
        </is>
      </c>
      <c r="AJ43" s="70" t="inlineStr">
        <is>
          <t>FOR: MOH requiring OTCC compliance for healthcare OT networks (medical devices, building management, HVAC) addresses a globally under-regulated domain; positions KSA ahead of EU NIS2 which lacks healthcare-specific OT provisions. AGAINST: OTCC designed for industrial OT (oil/gas, utilities) — healthcare OT has different characteristics (patient safety priority vs production continuity); 53 OTCC controls may not map cleanly to clinical engineering workflows.</t>
        </is>
      </c>
      <c r="AK43" s="74" t="inlineStr">
        <is>
          <t>Criticisms: (1) OTCC control language uses industrial OT terminology — clinical engineers unfamiliar with ICS/SCADA vocabulary; (2) No healthcare-specific OTCC implementation guide from NCA; (3) Medical device OT networks blur line between NCA OTCC and SFDA MDR — jurisdictional gap in GH-ICGA; (4) Asset inventory requirement (OTCC foundation) extremely difficult for hospitals with 5,000-50,000 connected devices.</t>
        </is>
      </c>
      <c r="AL43" s="75" t="inlineStr">
        <is>
          <t>Framework comparison requires contextual analysis. Key comparators: NIST CSF 2.0 (international benchmark), ISO 27001 (certifiable standard), ECC-2 (KSA mandatory baseline). See main database for cross-framework mapping.</t>
        </is>
      </c>
      <c r="AM43" s="76" t="inlineStr">
        <is>
          <t>Knowles et al. (2015) IoT Security in Healthcare; NCA OTCC-1 (2022); Coventry &amp; Branley (2018) Cybersecurity in Healthcare; FDA Premarket Cybersecurity Guidance (2023).</t>
        </is>
      </c>
      <c r="AN43" s="50" t="inlineStr">
        <is>
          <t>Official: Consult the official source URL in the database for the primary document. Training: ISACA, ISC2, RAPS, IAPP, and HIMSS offer professional development covering most regulatory domains. Estimated hours vary by framework complexity.</t>
        </is>
      </c>
      <c r="AO43" s="77" t="inlineStr">
        <is>
          <t>GH-ICGA positions MOH→NCA-OTCC as the HEALTHCARE OT SECURITY layer — the most critical gap in global healthcare cybersecurity governance. Thesis argues the NCA OTCC + SFDA MDR boundary for IoMT devices is the primary research contribution of the GH-ICGA framework.</t>
        </is>
      </c>
      <c r="AP43" s="53" t="inlineStr">
        <is>
          <t>R + C (Risk and Compliance — technically oriented; governance implied)</t>
        </is>
      </c>
      <c r="AQ43" s="78" t="inlineStr">
        <is>
          <t>CISO/OT Security Manager: own OTCC compliance. Clinical Engineering/Biomedical Engineering: co-responsible for medical device OT compliance. CTO: responsible for OT architecture. Board: informed of OT risk posture annually. OT security roles: Saudi nationals required per ECC-2 Saudisation mandate</t>
        </is>
      </c>
      <c r="AR43" s="74" t="inlineStr">
        <is>
          <t>Cyber Risk (OT/ICS); Operational Risk (process disruption); Physical Safety Risk (clinical impact of OT compromise); Supply Chain Risk (OT vendor remote access); Availability Risk (OT always-on requirement)</t>
        </is>
      </c>
      <c r="AS43" s="22" t="inlineStr">
        <is>
          <t>LEGAL — Mandatory for CNI OT operators under NCA-REG-2024. Hospitals as CNI: healthcare OT networks are in scope. Penalties: NCA-REG-2024 (SAR 25M max) + potential operational shutdown of non-compliant OT systems</t>
        </is>
      </c>
      <c r="AT43" s="75" t="inlineStr">
        <is>
          <t>Technical (T): 40 controls — OT network segmentation; secure remote access; OT monitoring; patch management for ICS. Administrative (A): 8 controls — OT governance; vendor management; OT incident response. Operational (O): 5 controls — OT change management; OT BCP</t>
        </is>
      </c>
      <c r="AU43" s="79" t="inlineStr">
        <is>
          <t>1. % OT assets inventoried (target 100%). 2. % OT systems with current patches within defined window. 3. # OT network zone violations detected. 4. % third-party OT vendor accesses logged. 5. OT system availability rate (target &gt;99.9% for life-critical). 6. Time-to-detect OT anomaly (target &lt;15 min for CNI)</t>
        </is>
      </c>
      <c r="AV43" s="80" t="inlineStr">
        <is>
          <t>OT vulnerability scan (passive — non-disruptive tools: Claroty, Nozomi, Dragos); OT network traffic analysis; OT penetration test (annual — must not disrupt clinical operations); vendor remote access audit; zone/conduit diagram validation</t>
        </is>
      </c>
      <c r="AW43" s="81" t="inlineStr">
        <is>
          <t>Claroty (medical IoT OT visibility); Nozomi Networks; Dragos; Tenable.ot; Fortinet OT; Medigate (healthcare-specific OT). For GRC integration: ServiceNow OT module; IBM QRadar SIEM with OT signatures</t>
        </is>
      </c>
      <c r="AX43" s="82" t="inlineStr">
        <is>
          <t>All OT vendors with remote access: mandatory access logging; time-limited access; multi-factor authentication; vendor security assessment before engagement; NDA for OT architecture access; OT vendor incident notification within 4 hours</t>
        </is>
      </c>
      <c r="AY43" s="83" t="inlineStr">
        <is>
          <t>OT breach in hospital: potential life-critical impact (ventilator, infusion pump disruption); NCA shutdown order; SAR 25M fine; criminal referral; SFDA recall if device compromise detected; massive reputational and legal exposure</t>
        </is>
      </c>
      <c r="AZ43" s="80" t="inlineStr">
        <is>
          <t>Sector-specific — consult official source</t>
        </is>
      </c>
      <c r="BA43" s="41" t="inlineStr">
        <is>
          <t>Sector-Specific</t>
        </is>
      </c>
      <c r="BB43" s="591">
        <f>IF(E43="","",IF(ISNUMBER(SEARCH("Institutional theory and regulatory governance theory underpin",AI43)),"TEMPLATE",IF(LEN(AI43)&gt;100,"DEEP",IF(AI43="","SPARSE","SHALLOW"))))</f>
        <v/>
      </c>
      <c r="BC43" s="591">
        <f>IF(E43="","",D43&amp;"-"&amp;B43&amp;"-"&amp;E43)</f>
        <v/>
      </c>
      <c r="BD43" s="591">
        <f>IF(E43="","",SUBSTITUTE(SUBSTITUTE(B43&amp;"-"&amp;E43," ",""),":","-"))</f>
        <v/>
      </c>
      <c r="BE43" s="591">
        <f>IF(E43="","",IF(ISNUMBER(SEARCH("ECC",E43)),"NCA-ECC-2-2024",IF(ISNUMBER(SEARCH("OTCC",E43)),"NCA-ECC-2-2024",IF(ISNUMBER(SEARCH("CCC",E43)),"NCA-ECC-2-2024",IF(ISNUMBER(SEARCH("DCC",E43)),"NCA-ECC-2-2024",IF(ISNUMBER(SEARCH("CSCC",E43)),"NCA-ECC-2-2024",IF(ISNUMBER(SEARCH("PDPL-IR",E43)),"PDPL-2021",IF(ISNUMBER(SEARCH("PDPL-DTR",E43)),"PDPL-2021","NONE"))))))))</f>
        <v/>
      </c>
      <c r="BF43" s="594">
        <f>IF(E43="","",IF(BB43="DEEP",10,IF(BB43="SHALLOW",5,IF(BB43="TEMPLATE",3,1)))+IF(N43="HIGHEST",5,IF(N43="HIGH",3,IF(N43="MODERATE",1,0)))+IF(ISNUMBER(SEARCH("Mandatory",L43)),3,0))</f>
        <v/>
      </c>
    </row>
    <row r="44" ht="42" customHeight="1">
      <c r="A44" s="84" t="n">
        <v>39</v>
      </c>
      <c r="B44" s="85" t="inlineStr">
        <is>
          <t>SFDA</t>
        </is>
      </c>
      <c r="C44" s="70" t="inlineStr">
        <is>
          <t>Saudi Food &amp; Drug Authority</t>
        </is>
      </c>
      <c r="D44" s="70" t="inlineStr">
        <is>
          <t>2. Healthcare &amp; Life Sciences</t>
        </is>
      </c>
      <c r="E44" s="85" t="inlineStr">
        <is>
          <t>SFDA-MDR</t>
        </is>
      </c>
      <c r="F44" s="72" t="inlineStr">
        <is>
          <t>Medical Device Regulations</t>
        </is>
      </c>
      <c r="G44" s="70" t="inlineStr">
        <is>
          <t>نظام الأجهزة الطبية</t>
        </is>
      </c>
      <c r="H44" s="70" t="inlineStr">
        <is>
          <t>2022 updated</t>
        </is>
      </c>
      <c r="I44" s="71" t="inlineStr">
        <is>
          <t>2013</t>
        </is>
      </c>
      <c r="J44" s="71" t="inlineStr">
        <is>
          <t>87</t>
        </is>
      </c>
      <c r="K44" s="70" t="inlineStr">
        <is>
          <t>ISSUES/ENFORCES</t>
        </is>
      </c>
      <c r="L44" s="22" t="inlineStr">
        <is>
          <t>Mandatory Enforcer</t>
        </is>
      </c>
      <c r="M44" s="70" t="inlineStr">
        <is>
          <t>All medical device manufacturers, importers, distributors, facilities</t>
        </is>
      </c>
      <c r="N44" s="86" t="inlineStr">
        <is>
          <t>HIGHEST</t>
        </is>
      </c>
      <c r="O44" s="87" t="inlineStr">
        <is>
          <t>https://www.sfda.gov.sa/en</t>
        </is>
      </c>
      <c r="P44" s="70" t="inlineStr">
        <is>
          <t>SFDA official; Hammad &amp; Al-Mehdar 2025</t>
        </is>
      </c>
      <c r="Q44" s="70" t="inlineStr">
        <is>
          <t>Royal Decree M/42 2013 → comprehensive revision 2022</t>
        </is>
      </c>
      <c r="R44" s="70" t="inlineStr">
        <is>
          <t>2013: Basic medical device registration system. 2018: Mandatory registration on SFDA e-portal (Estshary). 2020: Class III device pathway accelerated. 2022 comprehensive revision: aligned with IMDRF Global Model; 87 controls covering pre-market/post-market; mandatory UDID (Unique Device Identification) for implantable devices; AI/ML device pathway (leads to MDS-G010 guidance); IVD separate classification. Aligns with EU MDR 2017/745 and FDA 21 CFR Part 820</t>
        </is>
      </c>
      <c r="S44" s="71" t="inlineStr">
        <is>
          <t>Issued: 2013. Comprehensive revision: 2022</t>
        </is>
      </c>
      <c r="T44" s="70" t="inlineStr">
        <is>
          <t>Next major revision expected 2025-2026 addressing AI medical devices more broadly</t>
        </is>
      </c>
      <c r="U44" s="25" t="inlineStr">
        <is>
          <t>CURRENT — 2022 version</t>
        </is>
      </c>
      <c r="V44" s="70" t="inlineStr">
        <is>
          <t>Product recall; import ban; market withdrawal; facility closure; SAR 1M–5M fine; criminal prosecution for adulterated devices</t>
        </is>
      </c>
      <c r="W44" s="72" t="inlineStr">
        <is>
          <t>SFDA — Medical Devices Sector; Port of entry inspection (ZATCA coordination); Post-Market Surveillance Department</t>
        </is>
      </c>
      <c r="X44" s="70" t="inlineStr">
        <is>
          <t>Medical Device Manufacturer; Hospital (using devices); Clinic; Lab; Health IT Vendor (SaMD = Software as Medical Device); Medical Equipment Importer</t>
        </is>
      </c>
      <c r="Y44" s="22" t="inlineStr">
        <is>
          <t>Both</t>
        </is>
      </c>
      <c r="Z44" s="70" t="inlineStr">
        <is>
          <t>SFDA pre-market conformity assessment; GMP audit; post-market surveillance review; adverse event investigation</t>
        </is>
      </c>
      <c r="AA44" s="71" t="inlineStr">
        <is>
          <t>Pre-market: before registration. Post-market: continuous PMS. GMP audit: every 3-5 years</t>
        </is>
      </c>
      <c r="AB44" s="70" t="inlineStr">
        <is>
          <t>34 (connected device classification; cybersecurity design requirements; software lifecycle; network security; firmware update mechanism; UDID for connected devices; adverse event reporting for cyber incidents; post-market monitoring of connected device performance)</t>
        </is>
      </c>
      <c r="AC44" s="70" t="inlineStr">
        <is>
          <t>IMDRF GHTF documents; ISO 13485:2016; ISO 14971:2019; IEC 62443-4-2 (IoMT); EU MDR 2017/745; FDA 21 CFR Part 820</t>
        </is>
      </c>
      <c r="AD44" s="49" t="inlineStr">
        <is>
          <t>Arabic + English (official bilingual); Arabic official text prevails</t>
        </is>
      </c>
      <c r="AE44" s="26" t="inlineStr">
        <is>
          <t>Layer 1: Governance; Layer 2: Risk Management; Layer 3: Technical Controls; Layer 4: Compliance</t>
        </is>
      </c>
      <c r="AF44" s="56" t="inlineStr">
        <is>
          <t>Risk-based classification (Class I/II/III) + conformity assessment levels, not a maturity model per se</t>
        </is>
      </c>
      <c r="AG44" s="70" t="inlineStr">
        <is>
          <t>HSTP medical technology; Vision 2030 healthcare quality; Saudi MedTech sector development (SFDA's 2030 regulatory roadmap)</t>
        </is>
      </c>
      <c r="AH44" s="70" t="inlineStr">
        <is>
          <t>SFDA registration certificate; technical file / design dossier; conformity assessment certificate; UDID; PMS plan; adverse event reports; GMP certificate</t>
        </is>
      </c>
      <c r="AI44" s="73" t="inlineStr">
        <is>
          <t>Medical device regulation theory: pre-market vs post-market balance (Rathi et al. 2019). Risk classification theory: proportionate regulation by clinical risk. Regulatory science: evidence standards for novel technologies (AI/IoMT).</t>
        </is>
      </c>
      <c r="AJ44" s="70" t="inlineStr">
        <is>
          <t>FOR: 2022 revision brought KSA alignment with IMDRF global model — first time KSA device regulation internationally benchmarked; UDID implementation enables post-market traceability critical for IoMT security recall. AGAINST: Al-Hamdan et al. (2020) and Aziz (2021) document significant classification and registration delays — average 18-24 months for Class III devices; cybersecurity requirements in MDR still underdeveloped relative to FDA premarket cybersecurity guidance; AI medical device pathway (MDS-G010) issued 2024 but enforcement timeline unclear</t>
        </is>
      </c>
      <c r="AK44" s="74" t="inlineStr">
        <is>
          <t>SaMD (Software as Medical Device) classification grey areas create regulatory uncertainty for IoMT apps; post-market surveillance reporting rates historically very low (SFDA 2022 annual report); no KSA-specific clinical data requirement — global clinical evidence accepted without Saudi population validation; SFDA capacity constraints limit inspection frequency</t>
        </is>
      </c>
      <c r="AL44" s="75" t="inlineStr">
        <is>
          <t>SFDA-MDR vs EU MDR 2017/745: EU MDR stricter clinical evidence; SFDA-MDR aligned with IMDRF GHTF but lighter on UDI requirements. SFDA-MDR vs FDA 510(k)/PMA: SFDA uses similar risk classification but faster pathway. SFDA-MDR vs UK MHRA: post-Brexit UK developing own pathway; KSA monitors UK trajectory. Key gap vs all: KSA MDR cybersecurity requirements less developed than FDA Cybersecurity in Medical Devices 2023</t>
        </is>
      </c>
      <c r="AM44" s="76" t="inlineStr">
        <is>
          <t>Al-Hamdan N et al. (2020) 'Medical Device Regulation in Saudi Arabia' Saudi Med J; Aziz MT (2021) 'SFDA and Medical Devices' Arabian J; SFDA (2022) Annual Report sfda.gov.sa; Rathi VK et al. (2019) 'Medical Device Regulation' JMIR Biomed Eng 4(1); FDA (2023) Cybersecurity in Medical Devices: Quality System Considerations</t>
        </is>
      </c>
      <c r="AN44" s="50" t="inlineStr">
        <is>
          <t>Official: SFDA website (sfda.gov.sa) + SFDA e-portal Estshary. Training: RAPS (Regulatory Affairs Professionals Society) — RAC (Regulatory Affairs Certification); AAMI (medical device standards body) training; ISO 13485:2016 lead auditor course. Estimated: 80 hours for full regulatory affairs competence</t>
        </is>
      </c>
      <c r="AO44" s="77" t="inlineStr">
        <is>
          <t>CRITICAL for GH-ICGA Layer 2 (Risk Management) and Layer 3 (Technical Controls) — SFDA-MDR is the primary device governance framework that GH-ICGA must interface with. Thesis: GH-ICGA proposes a cybersecurity governance layer that SFDA-MDR currently lacks — the regulatory gap between SFDA device safety regulation and NCA cybersecurity regulation creates the IoMT governance void that GH-ICGA addresses</t>
        </is>
      </c>
      <c r="AP44" s="53" t="inlineStr">
        <is>
          <t>R + C (device risk management + regulatory compliance)</t>
        </is>
      </c>
      <c r="AQ44" s="78" t="inlineStr">
        <is>
          <t>Board/CEO: accountable for device regulatory compliance. Medical Device Officer (MDO): mandatory — responsible for device registration and post-market surveillance. Procurement: verify SFDA registration before purchase. Biomedical Engineering: maintain registered device inventory. Legal: manage SFDA regulatory submissions</t>
        </is>
      </c>
      <c r="AR44" s="74" t="inlineStr">
        <is>
          <t>Regulatory Risk (unregistered device use); Patient Safety Risk (unsafe device); Cyber Risk (connected device vulnerability); Supply Chain Risk (counterfeit devices); Reputational Risk (device recall)</t>
        </is>
      </c>
      <c r="AS44" s="22" t="inlineStr">
        <is>
          <t>LEGAL — Royal Decree M/42 2013 (as revised 2022). Criminal penalties for adulterated/counterfeit devices. Administrative: SAR 1M–5M fine; product recall; facility closure; import ban</t>
        </is>
      </c>
      <c r="AT44" s="75" t="inlineStr">
        <is>
          <t>Administrative (A): 32 controls — device registration; incident reporting; recall procedures; labelling. Technical (T): 34 controls — cybersecurity for connected devices; software validation; design controls. Operational (O): 21 controls — post-market surveillance; complaint handling; field corrective actions</t>
        </is>
      </c>
      <c r="AU44" s="79" t="inlineStr">
        <is>
          <t>1. % medical devices with current SFDA registration (target 100%). 2. # unregistered devices identified in audit (target 0). 3. Adverse event reporting rate within SFDA timelines (target 100%). 4. # open field safety corrective actions (FSCA) per quarter. 5. Time from complaint to SFDA notification (target &lt;48h for serious). 6. % connected devices with documented cybersecurity assessment</t>
        </is>
      </c>
      <c r="AV44" s="80" t="inlineStr">
        <is>
          <t>SFDA market surveillance inspection (unannounced); annual device inventory audit; adverse event report review; FSCA completion verification; GMP audit for manufacturers; connected device cybersecurity assessment (annually per SFDA-AI-MDS-G010)</t>
        </is>
      </c>
      <c r="AW44" s="81" t="inlineStr">
        <is>
          <t>SFDA e-portal Estshary (mandatory for registration); Greenlight Guru (medical device QMS); Qualio; MasterControl; Arena; Veeva Vault (regulatory submissions); Trackwise (complaints). For cybersecurity: MedCrypt; Cylera (IoMT security)</t>
        </is>
      </c>
      <c r="AX44" s="82" t="inlineStr">
        <is>
          <t>Importers: verify SFDA registration before import; maintain traceability records; file FSCA within 48h; manufacturer quality agreements; SABER conformity certification for device safety (SASO); cold chain compliance documentation for temperature-sensitive devices</t>
        </is>
      </c>
      <c r="AY44" s="83" t="inlineStr">
        <is>
          <t>Unregistered device use: SAR 1M+ fine; facility closure; criminal prosecution; patient harm liability. Device recall: operational disruption; reputational damage; MOH investigation. Non-PMS compliance: market authorisation withdrawal; SFDA blacklist (import ban)</t>
        </is>
      </c>
      <c r="AZ44" s="80" t="inlineStr">
        <is>
          <t>Healthcare &amp; Life Sciences; Industry &amp; Trade (device manufacturers/importers)</t>
        </is>
      </c>
      <c r="BA44" s="41" t="inlineStr">
        <is>
          <t>Sector-Specific</t>
        </is>
      </c>
      <c r="BB44" s="591">
        <f>IF(E44="","",IF(ISNUMBER(SEARCH("Institutional theory and regulatory governance theory underpin",AI44)),"TEMPLATE",IF(LEN(AI44)&gt;100,"DEEP",IF(AI44="","SPARSE","SHALLOW"))))</f>
        <v/>
      </c>
      <c r="BC44" s="591">
        <f>IF(E44="","",D44&amp;"-"&amp;B44&amp;"-"&amp;E44)</f>
        <v/>
      </c>
      <c r="BD44" s="591">
        <f>IF(E44="","",SUBSTITUTE(SUBSTITUTE(B44&amp;"-"&amp;E44," ",""),":","-"))</f>
        <v/>
      </c>
      <c r="BE44" s="591">
        <f>IF(E44="","",IF(ISNUMBER(SEARCH("ECC",E44)),"NCA-ECC-2-2024",IF(ISNUMBER(SEARCH("OTCC",E44)),"NCA-ECC-2-2024",IF(ISNUMBER(SEARCH("CCC",E44)),"NCA-ECC-2-2024",IF(ISNUMBER(SEARCH("DCC",E44)),"NCA-ECC-2-2024",IF(ISNUMBER(SEARCH("CSCC",E44)),"NCA-ECC-2-2024",IF(ISNUMBER(SEARCH("PDPL-IR",E44)),"PDPL-2021",IF(ISNUMBER(SEARCH("PDPL-DTR",E44)),"PDPL-2021","NONE"))))))))</f>
        <v/>
      </c>
      <c r="BF44" s="594">
        <f>IF(E44="","",IF(BB44="DEEP",10,IF(BB44="SHALLOW",5,IF(BB44="TEMPLATE",3,1)))+IF(N44="HIGHEST",5,IF(N44="HIGH",3,IF(N44="MODERATE",1,0)))+IF(ISNUMBER(SEARCH("Mandatory",L44)),3,0))</f>
        <v/>
      </c>
    </row>
    <row r="45" ht="42" customHeight="1">
      <c r="A45" s="42" t="n">
        <v>40</v>
      </c>
      <c r="B45" s="69" t="inlineStr">
        <is>
          <t>SFDA</t>
        </is>
      </c>
      <c r="C45" s="44" t="inlineStr">
        <is>
          <t>Saudi Food &amp; Drug Authority</t>
        </is>
      </c>
      <c r="D45" s="44" t="inlineStr">
        <is>
          <t>2. Healthcare &amp; Life Sciences</t>
        </is>
      </c>
      <c r="E45" s="69" t="inlineStr">
        <is>
          <t>SFDA-PHARMA</t>
        </is>
      </c>
      <c r="F45" s="45" t="inlineStr">
        <is>
          <t>Drug &amp; Pharmacy Law</t>
        </is>
      </c>
      <c r="G45" s="44" t="inlineStr">
        <is>
          <t>نظام الدواء والصيدلة</t>
        </is>
      </c>
      <c r="H45" s="44" t="inlineStr">
        <is>
          <t>2020 updated</t>
        </is>
      </c>
      <c r="I45" s="46" t="inlineStr">
        <is>
          <t>1978</t>
        </is>
      </c>
      <c r="J45" s="46" t="inlineStr">
        <is>
          <t>134</t>
        </is>
      </c>
      <c r="K45" s="44" t="inlineStr">
        <is>
          <t>ISSUES/ENFORCES</t>
        </is>
      </c>
      <c r="L45" s="22" t="inlineStr">
        <is>
          <t>Mandatory Enforcer</t>
        </is>
      </c>
      <c r="M45" s="44" t="inlineStr">
        <is>
          <t>Pharma manufacturers, distributors, importers, pharmacies</t>
        </is>
      </c>
      <c r="N45" s="47" t="inlineStr">
        <is>
          <t>HIGHEST</t>
        </is>
      </c>
      <c r="O45" s="48" t="inlineStr">
        <is>
          <t>https://www.sfda.gov.sa/en</t>
        </is>
      </c>
      <c r="P45" s="44" t="inlineStr">
        <is>
          <t>SFDA official</t>
        </is>
      </c>
      <c r="Q45" s="70" t="inlineStr">
        <is>
          <t>Royal Decree 1978 → major update 2020; accelerated pathways 2023-2025</t>
        </is>
      </c>
      <c r="R45" s="70" t="inlineStr">
        <is>
          <t>1978: Basic drug and pharmacy law. Multiple updates to 2020 (comprehensive revision). 2020 update: GMP alignment with PIC/S; pharmacovigilance system (SFDA NPC); smart dispensing pharmacy requirements; electronic prescribing integration. 2023-2025: accelerated approval pathways for oncology and rare disease; conditional approval pathway; real-world evidence acceptance; digital pharmacy licensing</t>
        </is>
      </c>
      <c r="S45" s="71" t="inlineStr">
        <is>
          <t>Original: 1978. Major update: 2020. Accelerated pathways: 2023-2025</t>
        </is>
      </c>
      <c r="T45" s="70" t="inlineStr">
        <is>
          <t>Annual updates; accelerated pathway regulations ongoing</t>
        </is>
      </c>
      <c r="U45" s="25" t="inlineStr">
        <is>
          <t>CURRENT — 2020 base with 2023-2025 pathway additions</t>
        </is>
      </c>
      <c r="V45" s="70" t="inlineStr">
        <is>
          <t>Penalties defined by issuing authority; consult official source. NCA ECC-2 penalties apply if relevant</t>
        </is>
      </c>
      <c r="W45" s="72" t="inlineStr">
        <is>
          <t>Issuing authority and/or designated inspection department</t>
        </is>
      </c>
      <c r="X45" s="70" t="inlineStr">
        <is>
          <t>As specified in framework scope — consult official document</t>
        </is>
      </c>
      <c r="Y45" s="49" t="inlineStr">
        <is>
          <t>Both (unless specified otherwise in official document)</t>
        </is>
      </c>
      <c r="Z45" s="70" t="inlineStr">
        <is>
          <t>As defined by issuing authority</t>
        </is>
      </c>
      <c r="AA45" s="71" t="inlineStr">
        <is>
          <t>As defined by issuing authority</t>
        </is>
      </c>
      <c r="AB45" s="70" t="inlineStr">
        <is>
          <t>To be determined from framework text — see official source</t>
        </is>
      </c>
      <c r="AC45" s="70" t="inlineStr">
        <is>
          <t>See framework preamble for international standard references</t>
        </is>
      </c>
      <c r="AD45" s="49" t="inlineStr">
        <is>
          <t>Arabic (primary in KSA); English may be available</t>
        </is>
      </c>
      <c r="AE45" s="58" t="inlineStr">
        <is>
          <t>Mapped to relevant GH-ICGA layer — requires manual assessment</t>
        </is>
      </c>
      <c r="AF45" s="56" t="inlineStr">
        <is>
          <t>See official framework for maturity model details</t>
        </is>
      </c>
      <c r="AG45" s="70" t="inlineStr">
        <is>
          <t>Aligned with relevant Vision 2030 programme — see framework context</t>
        </is>
      </c>
      <c r="AH45" s="70" t="inlineStr">
        <is>
          <t>As specified in framework compliance requirements</t>
        </is>
      </c>
      <c r="AI45" s="73" t="inlineStr">
        <is>
          <t>Pharmaceutical regulation theory: lifecycle approach to drug safety (pre-market approval → manufacturing → distribution → post-market surveillance). Public health theory: medication safety as population-level risk management. Supply chain integrity theory: traceability as fraud prevention in pharmaceutical distribution.</t>
        </is>
      </c>
      <c r="AJ45" s="70" t="inlineStr">
        <is>
          <t>FOR: SFDA pharmaceutical regulations align with ICH (International Council for Harmonisation) standards, enabling global drug manufacturer access to KSA market; Rashid Track &amp; Trace system provides end-to-end supply chain visibility unique in GCC. AGAINST: ICH alignment may disadvantage local KSA pharmaceutical manufacturers with less sophisticated QMS; Rashid system implementation costs particularly high for small distributors.</t>
        </is>
      </c>
      <c r="AK45" s="74" t="inlineStr">
        <is>
          <t>Criticisms: (1) Drug registration timelines in KSA (18-24 months) slower than UAE DHA (12-16 months) — reduces patient access speed; (2) No explicit IoMT controls for smart pharmaceutical devices (connected inhalers, insulin pumps with drug delivery) — falls between SFDA pharma and SFDA MDR jurisdictions; (3) Rashid system IT security requirements reference NCA ECC but not explicitly mapped to CCC for cloud-hosted tracking platforms.</t>
        </is>
      </c>
      <c r="AL45" s="75" t="inlineStr">
        <is>
          <t>Framework comparison requires contextual analysis. Key comparators: NIST CSF 2.0 (international benchmark), ISO 27001 (certifiable standard), ECC-2 (KSA mandatory baseline). See main database for cross-framework mapping.</t>
        </is>
      </c>
      <c r="AM45" s="76" t="inlineStr">
        <is>
          <t>ICH Quality Guidelines (2024); SFDA Drug Registration Regulations (2023); Rashid Track &amp; Trace Specifications (2024); Al-Jedai et al. (2023) Pharmaceutical Regulation in KSA.</t>
        </is>
      </c>
      <c r="AN45" s="50" t="inlineStr">
        <is>
          <t>Official: Consult the official source URL in the database for the primary document. Training: ISACA, ISC2, RAPS, IAPP, and HIMSS offer professional development covering most regulatory domains. Estimated hours vary by framework complexity.</t>
        </is>
      </c>
      <c r="AO45" s="77" t="inlineStr">
        <is>
          <t>GH-ICGA positions SFDA-PHARMA as the DRUG SAFETY layer. Thesis identifies gap: connected drug delivery devices (smart inhalers, insulin pumps) fall between SFDA-PHARMA (drug regulation) and SFDA-MDR (device regulation) — a critical IoMT governance gap.</t>
        </is>
      </c>
      <c r="AP45" s="51" t="inlineStr">
        <is>
          <t>G + C (Governance + Compliance — standard regulatory framework positioning)</t>
        </is>
      </c>
      <c r="AQ45" s="78" t="inlineStr">
        <is>
          <t>Senior management: accountability for framework compliance. Designated compliance officer: monitor requirements. All staff: awareness of applicable obligations</t>
        </is>
      </c>
      <c r="AR45" s="74" t="inlineStr">
        <is>
          <t>Regulatory Risk; Operational Risk; Reputational Risk — specific domains determined by framework scope</t>
        </is>
      </c>
      <c r="AS45" s="22" t="inlineStr">
        <is>
          <t>See official source — legal obligation, regulatory requirement, or voluntary standard as applicable</t>
        </is>
      </c>
      <c r="AT45" s="75" t="inlineStr">
        <is>
          <t>Administrative; Technical; Operational — specific distribution determined by framework content</t>
        </is>
      </c>
      <c r="AU45" s="79" t="inlineStr">
        <is>
          <t>1. Compliance status (compliant/non-compliant). 2. # open findings from last assessment. 3. % controls implemented. 4. Time to remediate findings. 5. Incident rate in framework scope area</t>
        </is>
      </c>
      <c r="AV45" s="80" t="inlineStr">
        <is>
          <t>Self-assessment; internal audit; external assessment as specified by issuing authority</t>
        </is>
      </c>
      <c r="AW45" s="81" t="inlineStr">
        <is>
          <t>ServiceNow GRC; IBM OpenPages; RSA Archer; MetricStream — all major GRC platforms support custom framework import. Contact vendor for framework-specific module</t>
        </is>
      </c>
      <c r="AX45" s="82" t="inlineStr">
        <is>
          <t>Third parties in scope must demonstrate equivalent compliance. Contractual compliance obligations; right-to-audit clauses; annual third-party assessment</t>
        </is>
      </c>
      <c r="AY45" s="83" t="inlineStr">
        <is>
          <t>Non-compliance: regulatory action by issuing authority; fines and penalties as specified; operational and reputational consequences</t>
        </is>
      </c>
      <c r="AZ45" s="80" t="inlineStr">
        <is>
          <t>Healthcare &amp; Life Sciences; Industry &amp; Trade (pharma manufacturers)</t>
        </is>
      </c>
      <c r="BA45" s="41" t="inlineStr">
        <is>
          <t>Sector-Specific</t>
        </is>
      </c>
      <c r="BB45" s="591">
        <f>IF(E45="","",IF(ISNUMBER(SEARCH("Institutional theory and regulatory governance theory underpin",AI45)),"TEMPLATE",IF(LEN(AI45)&gt;100,"DEEP",IF(AI45="","SPARSE","SHALLOW"))))</f>
        <v/>
      </c>
      <c r="BC45" s="591">
        <f>IF(E45="","",D45&amp;"-"&amp;B45&amp;"-"&amp;E45)</f>
        <v/>
      </c>
      <c r="BD45" s="591">
        <f>IF(E45="","",SUBSTITUTE(SUBSTITUTE(B45&amp;"-"&amp;E45," ",""),":","-"))</f>
        <v/>
      </c>
      <c r="BE45" s="591">
        <f>IF(E45="","",IF(ISNUMBER(SEARCH("ECC",E45)),"NCA-ECC-2-2024",IF(ISNUMBER(SEARCH("OTCC",E45)),"NCA-ECC-2-2024",IF(ISNUMBER(SEARCH("CCC",E45)),"NCA-ECC-2-2024",IF(ISNUMBER(SEARCH("DCC",E45)),"NCA-ECC-2-2024",IF(ISNUMBER(SEARCH("CSCC",E45)),"NCA-ECC-2-2024",IF(ISNUMBER(SEARCH("PDPL-IR",E45)),"PDPL-2021",IF(ISNUMBER(SEARCH("PDPL-DTR",E45)),"PDPL-2021","NONE"))))))))</f>
        <v/>
      </c>
      <c r="BF45" s="594">
        <f>IF(E45="","",IF(BB45="DEEP",10,IF(BB45="SHALLOW",5,IF(BB45="TEMPLATE",3,1)))+IF(N45="HIGHEST",5,IF(N45="HIGH",3,IF(N45="MODERATE",1,0)))+IF(ISNUMBER(SEARCH("Mandatory",L45)),3,0))</f>
        <v/>
      </c>
    </row>
    <row r="46" ht="42" customHeight="1">
      <c r="A46" s="84" t="n">
        <v>41</v>
      </c>
      <c r="B46" s="85" t="inlineStr">
        <is>
          <t>SFDA</t>
        </is>
      </c>
      <c r="C46" s="70" t="inlineStr">
        <is>
          <t>Saudi Food &amp; Drug Authority</t>
        </is>
      </c>
      <c r="D46" s="70" t="inlineStr">
        <is>
          <t>2. Healthcare &amp; Life Sciences</t>
        </is>
      </c>
      <c r="E46" s="85" t="inlineStr">
        <is>
          <t>SFDA-AI-MDS-G010</t>
        </is>
      </c>
      <c r="F46" s="72" t="inlineStr">
        <is>
          <t>AI/ML in Medical Devices (MDS-G010)</t>
        </is>
      </c>
      <c r="G46" s="70" t="inlineStr">
        <is>
          <t>المبادئ التوجيهية للذكاء الاصطناعي في الأجهزة الطبية</t>
        </is>
      </c>
      <c r="H46" s="70" t="inlineStr">
        <is>
          <t>2024</t>
        </is>
      </c>
      <c r="I46" s="71" t="inlineStr">
        <is>
          <t>2024</t>
        </is>
      </c>
      <c r="J46" s="71" t="inlineStr">
        <is>
          <t>N/A</t>
        </is>
      </c>
      <c r="K46" s="70" t="inlineStr">
        <is>
          <t>ISSUES/ENFORCES</t>
        </is>
      </c>
      <c r="L46" s="22" t="inlineStr">
        <is>
          <t>Mandatory Enforcer</t>
        </is>
      </c>
      <c r="M46" s="70" t="inlineStr">
        <is>
          <t>Medical device manufacturers using AI/ML; healthcare AI devices</t>
        </is>
      </c>
      <c r="N46" s="86" t="inlineStr">
        <is>
          <t>HIGHEST</t>
        </is>
      </c>
      <c r="O46" s="87" t="inlineStr">
        <is>
          <t>https://www.sfda.gov.sa/en</t>
        </is>
      </c>
      <c r="P46" s="70" t="inlineStr">
        <is>
          <t>SFDA 2024; Healthcare World Nov 2025</t>
        </is>
      </c>
      <c r="Q46" s="70" t="inlineStr">
        <is>
          <t>First KSA AI medical device guidance 2024 (no predecessor)</t>
        </is>
      </c>
      <c r="R46" s="70" t="inlineStr">
        <is>
          <t>KSA's first AI/ML medical device regulatory guidance. Key provisions: predetermined change control plan for adaptive algorithms; transparency requirements for AI decision-making in diagnosis; risk-based approach (high-risk: AI for cancer screening, sepsis detection, ICU monitoring); post-market performance monitoring for AI models; labelling requirements for AI-enabled devices; clinical validation requirements specific to Saudi patient populations. Aligns with FDA AI/ML Action Plan and EU AI Act healthcare provisions</t>
        </is>
      </c>
      <c r="S46" s="71" t="inlineStr">
        <is>
          <t>Issued: 2024</t>
        </is>
      </c>
      <c r="T46" s="70" t="inlineStr">
        <is>
          <t>Expected updates 2025-2026 as regulatory science matures</t>
        </is>
      </c>
      <c r="U46" s="25" t="inlineStr">
        <is>
          <t>CURRENT — 2024, first version</t>
        </is>
      </c>
      <c r="V46" s="70" t="inlineStr">
        <is>
          <t>Device registration refusal; market withdrawal of non-compliant AI devices; criminal liability if patient harm results</t>
        </is>
      </c>
      <c r="W46" s="72" t="inlineStr">
        <is>
          <t>SFDA — Medical Devices Sector (AI/Digital Health Sub-unit); SFDA post-market surveillance</t>
        </is>
      </c>
      <c r="X46" s="70" t="inlineStr">
        <is>
          <t>Medical Device Manufacturer (AI devices); Hospital (deploying AI diagnostics); Health IT Vendor (SaMD/AI algorithms); Radiology; Pathology</t>
        </is>
      </c>
      <c r="Y46" s="22" t="inlineStr">
        <is>
          <t>Both</t>
        </is>
      </c>
      <c r="Z46" s="70" t="inlineStr">
        <is>
          <t>Pre-market AI/ML review (integrated with MDR); post-market AI performance monitoring</t>
        </is>
      </c>
      <c r="AA46" s="71" t="inlineStr">
        <is>
          <t>Pre-market: before deployment. Post-market: continuous algorithm monitoring</t>
        </is>
      </c>
      <c r="AB46" s="70" t="inlineStr">
        <is>
          <t>18 (AI-enabled IoMT: algorithm validation on diverse populations; real-world performance monitoring; adaptive algorithm change control; AI transparency for clinical users; cybersecurity of AI inference engines in connected devices)</t>
        </is>
      </c>
      <c r="AC46" s="70" t="inlineStr">
        <is>
          <t>FDA AI/ML Action Plan (Feb 2021); EU AI Act (high-risk AI in medical devices); IMDRF AI/ML SaMD working group; ISO/IEC JTC 1/SC 42 (AI standards)</t>
        </is>
      </c>
      <c r="AD46" s="49" t="inlineStr">
        <is>
          <t>Arabic + English (guidance document bilingual)</t>
        </is>
      </c>
      <c r="AE46" s="50" t="inlineStr">
        <is>
          <t>Layer 2: Risk Management; Layer 3: Technical Controls; Layer 4: Compliance</t>
        </is>
      </c>
      <c r="AF46" s="56" t="inlineStr">
        <is>
          <t>Risk tier classification (not maturity levels): Tier I/II/III by clinical risk</t>
        </is>
      </c>
      <c r="AG46" s="70" t="inlineStr">
        <is>
          <t>SDAIA AI Strategy; HSTP AI-enabled diagnostics; SFDA 2030 Digital Health Regulatory Roadmap</t>
        </is>
      </c>
      <c r="AH46" s="70" t="inlineStr">
        <is>
          <t>Algorithm validation report; clinical evidence study; Predetermined Change Control Plan; real-world performance monitoring data; labelling compliance; cybersecurity assessment</t>
        </is>
      </c>
      <c r="AI46" s="73" t="inlineStr">
        <is>
          <t>Algorithmic accountability theory (Diakopoulos 2016): transparency and explainability for high-stakes AI. Regulatory theory for emerging tech: iterative governance (sandbox approach). Medical AI safety theory: validation vs real-world performance divergence.</t>
        </is>
      </c>
      <c r="AJ46" s="70" t="inlineStr">
        <is>
          <t>FOR: First-mover advantage in GCC region for AI device regulation; aligns with FDA AI/ML Action Plan and EU AI Act direction; Topol (2019) argues clinical AI requires national regulatory clarity to enable safe adoption. AGAINST: Guidance issued 2024 but no enforcement date confirmed — Parikh et al. (2019) document regulatory ambiguity as the primary barrier to clinical AI deployment; black-box AI in diagnostics conflicts with explainability requirements — WHO (2021) AI ethics in health highlights tension; small hospitals cannot validate AI devices on Saudi patient populations alone</t>
        </is>
      </c>
      <c r="AK46" s="74" t="inlineStr">
        <is>
          <t>Non-binding guidance only — no mandatory pre-market AI review yet; no SFDA AI/ML device registry; Saudi patient population representativeness in global AI training data poorly addressed; limited SFDA technical expertise in AI/ML evaluation documented; no clinical trial requirement specific to AI performance in Saudi clinical settings</t>
        </is>
      </c>
      <c r="AL46" s="75" t="inlineStr">
        <is>
          <t>SFDA MDS-G010 vs FDA AI/ML SaMD Action Plan (2021): FDA has iterative change protocol; SFDA guidance analogous but less detailed. vs EU AI Act (2024): EU AI Act classifies medical AI as high-risk with mandatory conformity assessment — SFDA guidance voluntary. vs MHRA AI guidance (UK): UK AI/ML SaMD multi-stakeholder framework more advanced. KSA is behind FDA/EU but ahead of most GCC peers</t>
        </is>
      </c>
      <c r="AM46" s="76" t="inlineStr">
        <is>
          <t>Topol EJ (2019) 'High-Performance Medicine' Nature Medicine 25(1); Parikh RB et al. (2019) 'Regulation of Predictive Algorithms' JAMA; WHO (2021) Ethics and Governance of AI for Health; SFDA (2024) MDS-G010 AI/ML Medical Devices; FDA (2021) AI/ML-Based SaMD Action Plan</t>
        </is>
      </c>
      <c r="AN46" s="50" t="inlineStr">
        <is>
          <t>Official: SFDA MDS-G010 document (sfda.gov.sa). Training: Stanford AI in Medicine (Coursera); AI4Health (WHO-ITU); RAPS AI in regulatory affairs course; AAMI AI in medical devices webinar series. Estimated: 50 hours</t>
        </is>
      </c>
      <c r="AO46" s="77" t="inlineStr">
        <is>
          <t>GH-ICGA Layer 2 (Risk Management) — AI-enabled IoMT devices require specific risk governance that both SFDA-MDR and NCA-ECC miss. GH-ICGA thesis positions AI medical device governance as a cross-layer challenge spanning all 5 layers: governance (L1), AI risk assessment (L2), algorithm security (L3), regulatory compliance (L4), AI assurance (L5)</t>
        </is>
      </c>
      <c r="AP46" s="53" t="inlineStr">
        <is>
          <t>R + C (risk-based AI device governance + compliance)</t>
        </is>
      </c>
      <c r="AQ46" s="78" t="inlineStr">
        <is>
          <t>CEO: accountable for AI device compliance. MDO (Medical Device Officer): AI device registration. AI Safety Officer (new role — AI devices): responsible for algorithm monitoring. Clinical users: mandatory training on AI device limitations</t>
        </is>
      </c>
      <c r="AR46" s="74" t="inlineStr">
        <is>
          <t>Patient Safety Risk (AI misdiagnosis); Algorithmic Risk; Regulatory Risk; Reputational Risk (AI failure); Supply Chain Risk (AI model provenance)</t>
        </is>
      </c>
      <c r="AS46" s="90" t="inlineStr">
        <is>
          <t>GUIDELINE (2024) — enforcement timeline pending. Expected to become MANDATORY requirement for AI device registration by 2025-2026. Pre-market AI review by SFDA will be required for Class II+</t>
        </is>
      </c>
      <c r="AT46" s="75" t="inlineStr">
        <is>
          <t>Technical (T): algorithm validation; change control; monitoring; cybersecurity. Administrative (A): transparency documentation; clinical evidence dossier; labelling. Operational (O): post-market performance monitoring; clinician training; incident reporting</t>
        </is>
      </c>
      <c r="AU46" s="79" t="inlineStr">
        <is>
          <t>1. # AI devices with completed pre-market cybersecurity assessment. 2. Algorithm performance drift detection rate. 3. # AI-related adverse events reported to SFDA. 4. % AI devices with Predetermined Change Control Plan. 5. Clinician AI training completion rate</t>
        </is>
      </c>
      <c r="AV46" s="80" t="inlineStr">
        <is>
          <t>Pre-market: algorithm validation on diverse datasets (including Saudi patients); cybersecurity testing; safety/risk assessment (ISO 14971). Post-market: real-world performance monitoring; drift detection; adverse event analysis</t>
        </is>
      </c>
      <c r="AW46" s="81" t="inlineStr">
        <is>
          <t>SFDA e-portal Estshary (device registration). AI monitoring: WhyLabs; Evidently AI; Fiddler AI (algorithm monitoring). Quality: Greenlight Guru AI module; Qualio. Cybersecurity for AI: MedCrypt</t>
        </is>
      </c>
      <c r="AX46" s="82" t="inlineStr">
        <is>
          <t>AI model developers: must provide algorithm documentation; training data provenance; bias assessment. Cloud AI inference providers: data residency compliance; model security; audit logs. CROs for AI clinical validation: ICH E6 GCP + AI-specific validation protocol</t>
        </is>
      </c>
      <c r="AY46" s="83" t="inlineStr">
        <is>
          <t>Non-compliant AI device: SFDA market withdrawal; patient harm liability; criminal prosecution if negligent. Regulatory lag: AI devices deployed before guidance formalisation risk retroactive enforcement action. Reputational: AI-caused clinical error = significant media and regulatory scrutiny</t>
        </is>
      </c>
      <c r="AZ46" s="80" t="inlineStr">
        <is>
          <t>Healthcare &amp; Life Sciences; Industry &amp; Trade (AI device manufacturers)</t>
        </is>
      </c>
      <c r="BA46" s="41" t="inlineStr">
        <is>
          <t>Sector-Specific</t>
        </is>
      </c>
      <c r="BB46" s="591">
        <f>IF(E46="","",IF(ISNUMBER(SEARCH("Institutional theory and regulatory governance theory underpin",AI46)),"TEMPLATE",IF(LEN(AI46)&gt;100,"DEEP",IF(AI46="","SPARSE","SHALLOW"))))</f>
        <v/>
      </c>
      <c r="BC46" s="591">
        <f>IF(E46="","",D46&amp;"-"&amp;B46&amp;"-"&amp;E46)</f>
        <v/>
      </c>
      <c r="BD46" s="591">
        <f>IF(E46="","",SUBSTITUTE(SUBSTITUTE(B46&amp;"-"&amp;E46," ",""),":","-"))</f>
        <v/>
      </c>
      <c r="BE46" s="591">
        <f>IF(E46="","",IF(ISNUMBER(SEARCH("ECC",E46)),"NCA-ECC-2-2024",IF(ISNUMBER(SEARCH("OTCC",E46)),"NCA-ECC-2-2024",IF(ISNUMBER(SEARCH("CCC",E46)),"NCA-ECC-2-2024",IF(ISNUMBER(SEARCH("DCC",E46)),"NCA-ECC-2-2024",IF(ISNUMBER(SEARCH("CSCC",E46)),"NCA-ECC-2-2024",IF(ISNUMBER(SEARCH("PDPL-IR",E46)),"PDPL-2021",IF(ISNUMBER(SEARCH("PDPL-DTR",E46)),"PDPL-2021","NONE"))))))))</f>
        <v/>
      </c>
      <c r="BF46" s="594">
        <f>IF(E46="","",IF(BB46="DEEP",10,IF(BB46="SHALLOW",5,IF(BB46="TEMPLATE",3,1)))+IF(N46="HIGHEST",5,IF(N46="HIGH",3,IF(N46="MODERATE",1,0)))+IF(ISNUMBER(SEARCH("Mandatory",L46)),3,0))</f>
        <v/>
      </c>
    </row>
    <row r="47" ht="42" customHeight="1">
      <c r="A47" s="42" t="n">
        <v>42</v>
      </c>
      <c r="B47" s="69" t="inlineStr">
        <is>
          <t>SFDA</t>
        </is>
      </c>
      <c r="C47" s="44" t="inlineStr">
        <is>
          <t>Saudi Food &amp; Drug Authority</t>
        </is>
      </c>
      <c r="D47" s="44" t="inlineStr">
        <is>
          <t>2. Healthcare &amp; Life Sciences</t>
        </is>
      </c>
      <c r="E47" s="69" t="inlineStr">
        <is>
          <t>SFDA-GMP</t>
        </is>
      </c>
      <c r="F47" s="45" t="inlineStr">
        <is>
          <t>Good Manufacturing Practice</t>
        </is>
      </c>
      <c r="G47" s="44" t="inlineStr">
        <is>
          <t>ممارسات التصنيع الجيدة</t>
        </is>
      </c>
      <c r="H47" s="44" t="inlineStr">
        <is>
          <t>Updated 2021</t>
        </is>
      </c>
      <c r="I47" s="46" t="inlineStr">
        <is>
          <t>2005</t>
        </is>
      </c>
      <c r="J47" s="46" t="inlineStr">
        <is>
          <t>68</t>
        </is>
      </c>
      <c r="K47" s="44" t="inlineStr">
        <is>
          <t>ISSUES/ENFORCES</t>
        </is>
      </c>
      <c r="L47" s="22" t="inlineStr">
        <is>
          <t>Mandatory Enforcer</t>
        </is>
      </c>
      <c r="M47" s="44" t="inlineStr">
        <is>
          <t>Drug and medical device manufacturers</t>
        </is>
      </c>
      <c r="N47" s="54" t="inlineStr">
        <is>
          <t>HIGH</t>
        </is>
      </c>
      <c r="O47" s="48" t="inlineStr">
        <is>
          <t>https://www.sfda.gov.sa/en</t>
        </is>
      </c>
      <c r="P47" s="44" t="inlineStr">
        <is>
          <t>SFDA official</t>
        </is>
      </c>
      <c r="Q47" s="70" t="inlineStr">
        <is>
          <t>Based on PIC/S GMP guide; KSA-specific updates 2021; ISO 13485 cross-reference</t>
        </is>
      </c>
      <c r="R47" s="70" t="inlineStr">
        <is>
          <t>Aligned with PIC/S PE 009 Guide to GMP. Major elements: Quality Management System, personnel qualification, premises/equipment, documentation, production, quality control, contract manufacturing, complaints/recall. 2021 KSA update: Arabic GMP inspection forms; Saudi-specific requirements for halal APIs and excipients; enhanced requirements for biologics and ATMPs</t>
        </is>
      </c>
      <c r="S47" s="71" t="inlineStr">
        <is>
          <t>Based on PIC/S GMP (continuously updated). KSA update: 2021</t>
        </is>
      </c>
      <c r="T47" s="70" t="inlineStr">
        <is>
          <t>Updated with PIC/S revisions; next expected 2024-2025</t>
        </is>
      </c>
      <c r="U47" s="25" t="inlineStr">
        <is>
          <t>CURRENT — 2021 KSA version</t>
        </is>
      </c>
      <c r="V47" s="70" t="inlineStr">
        <is>
          <t>Penalties defined by issuing authority; consult official source. NCA ECC-2 penalties apply if relevant</t>
        </is>
      </c>
      <c r="W47" s="72" t="inlineStr">
        <is>
          <t>Issuing authority and/or designated inspection department</t>
        </is>
      </c>
      <c r="X47" s="70" t="inlineStr">
        <is>
          <t>As specified in framework scope — consult official document</t>
        </is>
      </c>
      <c r="Y47" s="49" t="inlineStr">
        <is>
          <t>Both (unless specified otherwise in official document)</t>
        </is>
      </c>
      <c r="Z47" s="70" t="inlineStr">
        <is>
          <t>As defined by issuing authority</t>
        </is>
      </c>
      <c r="AA47" s="71" t="inlineStr">
        <is>
          <t>As defined by issuing authority</t>
        </is>
      </c>
      <c r="AB47" s="70" t="inlineStr">
        <is>
          <t>To be determined from framework text — see official source</t>
        </is>
      </c>
      <c r="AC47" s="70" t="inlineStr">
        <is>
          <t>See framework preamble for international standard references</t>
        </is>
      </c>
      <c r="AD47" s="49" t="inlineStr">
        <is>
          <t>Arabic (primary in KSA); English may be available</t>
        </is>
      </c>
      <c r="AE47" s="58" t="inlineStr">
        <is>
          <t>Mapped to relevant GH-ICGA layer — requires manual assessment</t>
        </is>
      </c>
      <c r="AF47" s="56" t="inlineStr">
        <is>
          <t>See official framework for maturity model details</t>
        </is>
      </c>
      <c r="AG47" s="70" t="inlineStr">
        <is>
          <t>Aligned with relevant Vision 2030 programme — see framework context</t>
        </is>
      </c>
      <c r="AH47" s="70" t="inlineStr">
        <is>
          <t>As specified in framework compliance requirements</t>
        </is>
      </c>
      <c r="AI47" s="73" t="inlineStr">
        <is>
          <t>Institutional theory and regulatory governance theory underpin all KSA regulatory frameworks. Specific theoretical basis varies by framework — consult academic literature via Google Scholar using framework name as search term.</t>
        </is>
      </c>
      <c r="AJ47" s="70" t="inlineStr">
        <is>
          <t>Academic debate varies by framework maturity and international adoption. For KSA-specific debate, consult: Almohammad &amp; Wills (2021) J Cybersecurity; Al-Khater et al. (2020) IEEE Access; Baker McKenzie KSA regulatory updates.</t>
        </is>
      </c>
      <c r="AK47" s="74" t="inlineStr">
        <is>
          <t>Known criticisms include: implementation gap between standards and practice; resource constraints for smaller healthcare entities; rapid technology evolution outpacing regulation. Consult framework evaluation literature for specifics.</t>
        </is>
      </c>
      <c r="AL47" s="75" t="inlineStr">
        <is>
          <t>Framework comparison requires contextual analysis. Key comparators: NIST CSF 2.0 (international benchmark), ISO 27001 (certifiable standard), ECC-2 (KSA mandatory baseline). See main database for cross-framework mapping.</t>
        </is>
      </c>
      <c r="AM47"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7" s="50" t="inlineStr">
        <is>
          <t>Official: Consult the official source URL in the database for the primary document. Training: ISACA, ISC2, RAPS, IAPP, and HIMSS offer professional development covering most regulatory domains. Estimated hours vary by framework complexity.</t>
        </is>
      </c>
      <c r="AO47" s="77" t="inlineStr">
        <is>
          <t>Relevance to GH-ICGA framework varies by layer — see GH-ICGA Layer Mapping column. All KSA mandatory frameworks are compliance inputs to GH-ICGA Layer 4. Frameworks with IoMT-specific provisions directly inform Layers 2 and 3.</t>
        </is>
      </c>
      <c r="AP47" s="51" t="inlineStr">
        <is>
          <t>G + C (Governance + Compliance — standard regulatory framework positioning)</t>
        </is>
      </c>
      <c r="AQ47" s="78" t="inlineStr">
        <is>
          <t>Senior management: accountability for framework compliance. Designated compliance officer: monitor requirements. All staff: awareness of applicable obligations</t>
        </is>
      </c>
      <c r="AR47" s="74" t="inlineStr">
        <is>
          <t>Regulatory Risk; Operational Risk; Reputational Risk — specific domains determined by framework scope</t>
        </is>
      </c>
      <c r="AS47" s="22" t="inlineStr">
        <is>
          <t>See official source — legal obligation, regulatory requirement, or voluntary standard as applicable</t>
        </is>
      </c>
      <c r="AT47" s="75" t="inlineStr">
        <is>
          <t>Administrative; Technical; Operational — specific distribution determined by framework content</t>
        </is>
      </c>
      <c r="AU47" s="79" t="inlineStr">
        <is>
          <t>1. Compliance status (compliant/non-compliant). 2. # open findings from last assessment. 3. % controls implemented. 4. Time to remediate findings. 5. Incident rate in framework scope area</t>
        </is>
      </c>
      <c r="AV47" s="80" t="inlineStr">
        <is>
          <t>Self-assessment; internal audit; external assessment as specified by issuing authority</t>
        </is>
      </c>
      <c r="AW47" s="81" t="inlineStr">
        <is>
          <t>ServiceNow GRC; IBM OpenPages; RSA Archer; MetricStream — all major GRC platforms support custom framework import. Contact vendor for framework-specific module</t>
        </is>
      </c>
      <c r="AX47" s="82" t="inlineStr">
        <is>
          <t>Third parties in scope must demonstrate equivalent compliance. Contractual compliance obligations; right-to-audit clauses; annual third-party assessment</t>
        </is>
      </c>
      <c r="AY47" s="83" t="inlineStr">
        <is>
          <t>Non-compliance: regulatory action by issuing authority; fines and penalties as specified; operational and reputational consequences</t>
        </is>
      </c>
      <c r="AZ47" s="80" t="inlineStr">
        <is>
          <t>Healthcare &amp; Life Sciences; Industry &amp; Trade</t>
        </is>
      </c>
      <c r="BA47" s="41" t="inlineStr">
        <is>
          <t>Sector-Specific</t>
        </is>
      </c>
      <c r="BB47" s="591">
        <f>IF(E47="","",IF(ISNUMBER(SEARCH("Institutional theory and regulatory governance theory underpin",AI47)),"TEMPLATE",IF(LEN(AI47)&gt;100,"DEEP",IF(AI47="","SPARSE","SHALLOW"))))</f>
        <v/>
      </c>
      <c r="BC47" s="591">
        <f>IF(E47="","",D47&amp;"-"&amp;B47&amp;"-"&amp;E47)</f>
        <v/>
      </c>
      <c r="BD47" s="591">
        <f>IF(E47="","",SUBSTITUTE(SUBSTITUTE(B47&amp;"-"&amp;E47," ",""),":","-"))</f>
        <v/>
      </c>
      <c r="BE47" s="591">
        <f>IF(E47="","",IF(ISNUMBER(SEARCH("ECC",E47)),"NCA-ECC-2-2024",IF(ISNUMBER(SEARCH("OTCC",E47)),"NCA-ECC-2-2024",IF(ISNUMBER(SEARCH("CCC",E47)),"NCA-ECC-2-2024",IF(ISNUMBER(SEARCH("DCC",E47)),"NCA-ECC-2-2024",IF(ISNUMBER(SEARCH("CSCC",E47)),"NCA-ECC-2-2024",IF(ISNUMBER(SEARCH("PDPL-IR",E47)),"PDPL-2021",IF(ISNUMBER(SEARCH("PDPL-DTR",E47)),"PDPL-2021","NONE"))))))))</f>
        <v/>
      </c>
      <c r="BF47" s="594">
        <f>IF(E47="","",IF(BB47="DEEP",10,IF(BB47="SHALLOW",5,IF(BB47="TEMPLATE",3,1)))+IF(N47="HIGHEST",5,IF(N47="HIGH",3,IF(N47="MODERATE",1,0)))+IF(ISNUMBER(SEARCH("Mandatory",L47)),3,0))</f>
        <v/>
      </c>
    </row>
    <row r="48" ht="42" customHeight="1">
      <c r="A48" s="84" t="n">
        <v>43</v>
      </c>
      <c r="B48" s="85" t="inlineStr">
        <is>
          <t>SFDA</t>
        </is>
      </c>
      <c r="C48" s="70" t="inlineStr">
        <is>
          <t>Saudi Food &amp; Drug Authority</t>
        </is>
      </c>
      <c r="D48" s="70" t="inlineStr">
        <is>
          <t>2. Healthcare &amp; Life Sciences</t>
        </is>
      </c>
      <c r="E48" s="85" t="inlineStr">
        <is>
          <t>SFDA-PMS</t>
        </is>
      </c>
      <c r="F48" s="72" t="inlineStr">
        <is>
          <t>Post-Market Surveillance Requirements</t>
        </is>
      </c>
      <c r="G48" s="70" t="inlineStr">
        <is>
          <t>متطلبات مراقبة ما بعد التسويق</t>
        </is>
      </c>
      <c r="H48" s="70" t="inlineStr">
        <is>
          <t>2022</t>
        </is>
      </c>
      <c r="I48" s="71" t="inlineStr">
        <is>
          <t>2022</t>
        </is>
      </c>
      <c r="J48" s="71" t="inlineStr">
        <is>
          <t>25</t>
        </is>
      </c>
      <c r="K48" s="70" t="inlineStr">
        <is>
          <t>ISSUES/ENFORCES</t>
        </is>
      </c>
      <c r="L48" s="22" t="inlineStr">
        <is>
          <t>Mandatory Enforcer</t>
        </is>
      </c>
      <c r="M48" s="70" t="inlineStr">
        <is>
          <t>All medical device market authorisation holders and facilities</t>
        </is>
      </c>
      <c r="N48" s="86" t="inlineStr">
        <is>
          <t>HIGHEST</t>
        </is>
      </c>
      <c r="O48" s="87" t="inlineStr">
        <is>
          <t>https://www.sfda.gov.sa/en</t>
        </is>
      </c>
      <c r="P48" s="70" t="inlineStr">
        <is>
          <t>SFDA official</t>
        </is>
      </c>
      <c r="Q48" s="70" t="inlineStr">
        <is>
          <t>First comprehensive PMS regulation 2022</t>
        </is>
      </c>
      <c r="R48" s="70" t="inlineStr">
        <is>
          <t>38 control obligations covering: Vigilance reporting timelines (serious incidents: 48 hours; non-serious: 10 days to SFDA); Field Safety Corrective Actions (FSCA) notification; periodic safety update reports; post-market clinical follow-up requirements; trend analysis obligations. IoMT application: connected medical device cyber incidents classified as device safety incidents requiring PMS reporting if patient harm potential exists</t>
        </is>
      </c>
      <c r="S48" s="71" t="inlineStr">
        <is>
          <t>Issued: 2022</t>
        </is>
      </c>
      <c r="T48" s="70" t="inlineStr">
        <is>
          <t>Review 2025</t>
        </is>
      </c>
      <c r="U48" s="25" t="inlineStr">
        <is>
          <t>CURRENT — 2022</t>
        </is>
      </c>
      <c r="V48" s="70" t="inlineStr">
        <is>
          <t>Penalties defined by issuing authority; consult official source. NCA ECC-2 penalties apply if relevant</t>
        </is>
      </c>
      <c r="W48" s="72" t="inlineStr">
        <is>
          <t>Issuing authority and/or designated inspection department</t>
        </is>
      </c>
      <c r="X48" s="70" t="inlineStr">
        <is>
          <t>As specified in framework scope — consult official document</t>
        </is>
      </c>
      <c r="Y48" s="49" t="inlineStr">
        <is>
          <t>Both (unless specified otherwise in official document)</t>
        </is>
      </c>
      <c r="Z48" s="70" t="inlineStr">
        <is>
          <t>As defined by issuing authority</t>
        </is>
      </c>
      <c r="AA48" s="71" t="inlineStr">
        <is>
          <t>As defined by issuing authority</t>
        </is>
      </c>
      <c r="AB48" s="70" t="inlineStr">
        <is>
          <t>To be determined from framework text — see official source</t>
        </is>
      </c>
      <c r="AC48" s="70" t="inlineStr">
        <is>
          <t>See framework preamble for international standard references</t>
        </is>
      </c>
      <c r="AD48" s="49" t="inlineStr">
        <is>
          <t>Arabic (primary in KSA); English may be available</t>
        </is>
      </c>
      <c r="AE48" s="58" t="inlineStr">
        <is>
          <t>Mapped to relevant GH-ICGA layer — requires manual assessment</t>
        </is>
      </c>
      <c r="AF48" s="56" t="inlineStr">
        <is>
          <t>See official framework for maturity model details</t>
        </is>
      </c>
      <c r="AG48" s="70" t="inlineStr">
        <is>
          <t>Aligned with relevant Vision 2030 programme — see framework context</t>
        </is>
      </c>
      <c r="AH48" s="70" t="inlineStr">
        <is>
          <t>As specified in framework compliance requirements</t>
        </is>
      </c>
      <c r="AI48" s="73" t="inlineStr">
        <is>
          <t>Post-market surveillance theory (WHO framework): ongoing safety monitoring after product approval. Signal detection theory: pharmacovigilance and medical device vigilance as statistical signal detection from adverse event reports. Regulatory learning theory: PMS data feeds back into pre-market requirements.</t>
        </is>
      </c>
      <c r="AJ48" s="70" t="inlineStr">
        <is>
          <t>FOR: SFDA PMS aligns with IMDRF post-market surveillance guidelines; mandatory adverse event reporting creates national safety database; explicit link between PMS findings and device re-classification decisions. AGAINST: PMS reporting compliance in KSA healthcare facilities remains below international benchmarks; no published aggregate PMS statistics to assess system effectiveness.</t>
        </is>
      </c>
      <c r="AK48" s="74" t="inlineStr">
        <is>
          <t>Criticisms: (1) Adverse event under-reporting is the primary weakness — estimated &lt;10% of medical device incidents reported to SFDA; (2) No electronic PMS reporting system — still largely paper/email-based; (3) PMS for IoMT/SaMD devices lacks specific guidance — how do you conduct vigilance for AI diagnostic software? (4) No integration between SFDA PMS and MOH Patient Safety reporting — duplicate reporting creates gaps.</t>
        </is>
      </c>
      <c r="AL48" s="75" t="inlineStr">
        <is>
          <t>Framework comparison requires contextual analysis. Key comparators: NIST CSF 2.0 (international benchmark), ISO 27001 (certifiable standard), ECC-2 (KSA mandatory baseline). See main database for cross-framework mapping.</t>
        </is>
      </c>
      <c r="AM48" s="76" t="inlineStr">
        <is>
          <t>WHO Post-Market Surveillance Framework (2023); IMDRF GRRP Guidance (2022); SFDA PMS Guidelines (2023); Al-Shaikh (2024) Medical Device Vigilance in KSA.</t>
        </is>
      </c>
      <c r="AN48" s="50" t="inlineStr">
        <is>
          <t>Official: Consult the official source URL in the database for the primary document. Training: ISACA, ISC2, RAPS, IAPP, and HIMSS offer professional development covering most regulatory domains. Estimated hours vary by framework complexity.</t>
        </is>
      </c>
      <c r="AO48" s="77" t="inlineStr">
        <is>
          <t>GH-ICGA positions SFDA-PMS as the POST-MARKET SAFETY layer. The thesis identifies SFDA PMS ↔ MOH Patient Safety reporting gap as a critical governance failure for IoMT — an AI diagnostic misdiagnosis is simultaneously a medical device incident (SFDA) and a patient safety event (MOH) but reported through separate, unlinked systems.</t>
        </is>
      </c>
      <c r="AP48" s="51" t="inlineStr">
        <is>
          <t>G + C (Governance + Compliance — standard regulatory framework positioning)</t>
        </is>
      </c>
      <c r="AQ48" s="78" t="inlineStr">
        <is>
          <t>Senior management: accountability for framework compliance. Designated compliance officer: monitor requirements. All staff: awareness of applicable obligations</t>
        </is>
      </c>
      <c r="AR48" s="74" t="inlineStr">
        <is>
          <t>Regulatory Risk; Operational Risk; Reputational Risk — specific domains determined by framework scope</t>
        </is>
      </c>
      <c r="AS48" s="22" t="inlineStr">
        <is>
          <t>See official source — legal obligation, regulatory requirement, or voluntary standard as applicable</t>
        </is>
      </c>
      <c r="AT48" s="75" t="inlineStr">
        <is>
          <t>Administrative; Technical; Operational — specific distribution determined by framework content</t>
        </is>
      </c>
      <c r="AU48" s="79" t="inlineStr">
        <is>
          <t>1. Compliance status (compliant/non-compliant). 2. # open findings from last assessment. 3. % controls implemented. 4. Time to remediate findings. 5. Incident rate in framework scope area</t>
        </is>
      </c>
      <c r="AV48" s="80" t="inlineStr">
        <is>
          <t>Self-assessment; internal audit; external assessment as specified by issuing authority</t>
        </is>
      </c>
      <c r="AW48" s="81" t="inlineStr">
        <is>
          <t>ServiceNow GRC; IBM OpenPages; RSA Archer; MetricStream — all major GRC platforms support custom framework import. Contact vendor for framework-specific module</t>
        </is>
      </c>
      <c r="AX48" s="82" t="inlineStr">
        <is>
          <t>Third parties in scope must demonstrate equivalent compliance. Contractual compliance obligations; right-to-audit clauses; annual third-party assessment</t>
        </is>
      </c>
      <c r="AY48" s="83" t="inlineStr">
        <is>
          <t>Non-compliance: regulatory action by issuing authority; fines and penalties as specified; operational and reputational consequences</t>
        </is>
      </c>
      <c r="AZ48" s="80" t="inlineStr">
        <is>
          <t>Healthcare &amp; Life Sciences</t>
        </is>
      </c>
      <c r="BA48" s="41" t="inlineStr">
        <is>
          <t>Sector-Specific</t>
        </is>
      </c>
      <c r="BB48" s="591">
        <f>IF(E48="","",IF(ISNUMBER(SEARCH("Institutional theory and regulatory governance theory underpin",AI48)),"TEMPLATE",IF(LEN(AI48)&gt;100,"DEEP",IF(AI48="","SPARSE","SHALLOW"))))</f>
        <v/>
      </c>
      <c r="BC48" s="591">
        <f>IF(E48="","",D48&amp;"-"&amp;B48&amp;"-"&amp;E48)</f>
        <v/>
      </c>
      <c r="BD48" s="591">
        <f>IF(E48="","",SUBSTITUTE(SUBSTITUTE(B48&amp;"-"&amp;E48," ",""),":","-"))</f>
        <v/>
      </c>
      <c r="BE48" s="591">
        <f>IF(E48="","",IF(ISNUMBER(SEARCH("ECC",E48)),"NCA-ECC-2-2024",IF(ISNUMBER(SEARCH("OTCC",E48)),"NCA-ECC-2-2024",IF(ISNUMBER(SEARCH("CCC",E48)),"NCA-ECC-2-2024",IF(ISNUMBER(SEARCH("DCC",E48)),"NCA-ECC-2-2024",IF(ISNUMBER(SEARCH("CSCC",E48)),"NCA-ECC-2-2024",IF(ISNUMBER(SEARCH("PDPL-IR",E48)),"PDPL-2021",IF(ISNUMBER(SEARCH("PDPL-DTR",E48)),"PDPL-2021","NONE"))))))))</f>
        <v/>
      </c>
      <c r="BF48" s="594">
        <f>IF(E48="","",IF(BB48="DEEP",10,IF(BB48="SHALLOW",5,IF(BB48="TEMPLATE",3,1)))+IF(N48="HIGHEST",5,IF(N48="HIGH",3,IF(N48="MODERATE",1,0)))+IF(ISNUMBER(SEARCH("Mandatory",L48)),3,0))</f>
        <v/>
      </c>
    </row>
    <row r="49" ht="42" customHeight="1">
      <c r="A49" s="42" t="n">
        <v>44</v>
      </c>
      <c r="B49" s="69" t="inlineStr">
        <is>
          <t>SFDA</t>
        </is>
      </c>
      <c r="C49" s="44" t="inlineStr">
        <is>
          <t>Saudi Food &amp; Drug Authority</t>
        </is>
      </c>
      <c r="D49" s="44" t="inlineStr">
        <is>
          <t>2. Healthcare &amp; Life Sciences</t>
        </is>
      </c>
      <c r="E49" s="69" t="inlineStr">
        <is>
          <t>SFDA-COSM</t>
        </is>
      </c>
      <c r="F49" s="45" t="inlineStr">
        <is>
          <t>Cosmetics Regulations</t>
        </is>
      </c>
      <c r="G49" s="44" t="inlineStr">
        <is>
          <t>نظام مستحضرات التجميل</t>
        </is>
      </c>
      <c r="H49" s="44" t="inlineStr">
        <is>
          <t>Updated 2020</t>
        </is>
      </c>
      <c r="I49" s="46" t="inlineStr">
        <is>
          <t>2004</t>
        </is>
      </c>
      <c r="J49" s="46" t="inlineStr">
        <is>
          <t>45</t>
        </is>
      </c>
      <c r="K49" s="44" t="inlineStr">
        <is>
          <t>ISSUES/ENFORCES</t>
        </is>
      </c>
      <c r="L49" s="22" t="inlineStr">
        <is>
          <t>Mandatory Enforcer</t>
        </is>
      </c>
      <c r="M49" s="44" t="inlineStr">
        <is>
          <t>Cosmetic manufacturers and importers</t>
        </is>
      </c>
      <c r="N49" s="59" t="inlineStr">
        <is>
          <t>LOW</t>
        </is>
      </c>
      <c r="O49" s="48" t="inlineStr">
        <is>
          <t>https://www.sfda.gov.sa/en</t>
        </is>
      </c>
      <c r="P49" s="44" t="inlineStr">
        <is>
          <t>SFDA official</t>
        </is>
      </c>
      <c r="Q49" s="70" t="inlineStr">
        <is>
          <t>See official source for version history</t>
        </is>
      </c>
      <c r="R49" s="70" t="inlineStr">
        <is>
          <t>Framework issued by the relevant authority. Version details available on the official website referenced in the source URL column. The framework has been updated periodically since first issuance.</t>
        </is>
      </c>
      <c r="S49" s="71" t="inlineStr">
        <is>
          <t>See official source</t>
        </is>
      </c>
      <c r="T49" s="70" t="inlineStr">
        <is>
          <t>Updated as needed by the issuing authority</t>
        </is>
      </c>
      <c r="U49" s="25" t="inlineStr">
        <is>
          <t>CURRENT — consult official source for latest version</t>
        </is>
      </c>
      <c r="V49" s="70" t="inlineStr">
        <is>
          <t>Penalties defined by issuing authority; consult official source. NCA ECC-2 penalties apply if relevant</t>
        </is>
      </c>
      <c r="W49" s="72" t="inlineStr">
        <is>
          <t>Issuing authority and/or designated inspection department</t>
        </is>
      </c>
      <c r="X49" s="70" t="inlineStr">
        <is>
          <t>As specified in framework scope — consult official document</t>
        </is>
      </c>
      <c r="Y49" s="49" t="inlineStr">
        <is>
          <t>Both (unless specified otherwise in official document)</t>
        </is>
      </c>
      <c r="Z49" s="70" t="inlineStr">
        <is>
          <t>As defined by issuing authority</t>
        </is>
      </c>
      <c r="AA49" s="71" t="inlineStr">
        <is>
          <t>As defined by issuing authority</t>
        </is>
      </c>
      <c r="AB49" s="70" t="inlineStr">
        <is>
          <t>To be determined from framework text — see official source</t>
        </is>
      </c>
      <c r="AC49" s="70" t="inlineStr">
        <is>
          <t>See framework preamble for international standard references</t>
        </is>
      </c>
      <c r="AD49" s="49" t="inlineStr">
        <is>
          <t>Arabic (primary in KSA); English may be available</t>
        </is>
      </c>
      <c r="AE49" s="58" t="inlineStr">
        <is>
          <t>Mapped to relevant GH-ICGA layer — requires manual assessment</t>
        </is>
      </c>
      <c r="AF49" s="56" t="inlineStr">
        <is>
          <t>See official framework for maturity model details</t>
        </is>
      </c>
      <c r="AG49" s="70" t="inlineStr">
        <is>
          <t>Aligned with relevant Vision 2030 programme — see framework context</t>
        </is>
      </c>
      <c r="AH49" s="70" t="inlineStr">
        <is>
          <t>As specified in framework compliance requirements</t>
        </is>
      </c>
      <c r="AI49" s="73" t="inlineStr">
        <is>
          <t>Institutional theory and regulatory governance theory underpin all KSA regulatory frameworks. Specific theoretical basis varies by framework — consult academic literature via Google Scholar using framework name as search term.</t>
        </is>
      </c>
      <c r="AJ49" s="70" t="inlineStr">
        <is>
          <t>Academic debate varies by framework maturity and international adoption. For KSA-specific debate, consult: Almohammad &amp; Wills (2021) J Cybersecurity; Al-Khater et al. (2020) IEEE Access; Baker McKenzie KSA regulatory updates.</t>
        </is>
      </c>
      <c r="AK49" s="74" t="inlineStr">
        <is>
          <t>Known criticisms include: implementation gap between standards and practice; resource constraints for smaller healthcare entities; rapid technology evolution outpacing regulation. Consult framework evaluation literature for specifics.</t>
        </is>
      </c>
      <c r="AL49" s="75" t="inlineStr">
        <is>
          <t>Framework comparison requires contextual analysis. Key comparators: NIST CSF 2.0 (international benchmark), ISO 27001 (certifiable standard), ECC-2 (KSA mandatory baseline). See main database for cross-framework mapping.</t>
        </is>
      </c>
      <c r="AM49"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9" s="50" t="inlineStr">
        <is>
          <t>Official: Consult the official source URL in the database for the primary document. Training: ISACA, ISC2, RAPS, IAPP, and HIMSS offer professional development covering most regulatory domains. Estimated hours vary by framework complexity.</t>
        </is>
      </c>
      <c r="AO49" s="77" t="inlineStr">
        <is>
          <t>Relevance to GH-ICGA framework varies by layer — see GH-ICGA Layer Mapping column. All KSA mandatory frameworks are compliance inputs to GH-ICGA Layer 4. Frameworks with IoMT-specific provisions directly inform Layers 2 and 3.</t>
        </is>
      </c>
      <c r="AP49" s="51" t="inlineStr">
        <is>
          <t>G + C (Governance + Compliance — standard regulatory framework positioning)</t>
        </is>
      </c>
      <c r="AQ49" s="78" t="inlineStr">
        <is>
          <t>Senior management: accountability for framework compliance. Designated compliance officer: monitor requirements. All staff: awareness of applicable obligations</t>
        </is>
      </c>
      <c r="AR49" s="74" t="inlineStr">
        <is>
          <t>Regulatory Risk; Operational Risk; Reputational Risk — specific domains determined by framework scope</t>
        </is>
      </c>
      <c r="AS49" s="22" t="inlineStr">
        <is>
          <t>See official source — legal obligation, regulatory requirement, or voluntary standard as applicable</t>
        </is>
      </c>
      <c r="AT49" s="75" t="inlineStr">
        <is>
          <t>Administrative; Technical; Operational — specific distribution determined by framework content</t>
        </is>
      </c>
      <c r="AU49" s="79" t="inlineStr">
        <is>
          <t>1. Compliance status (compliant/non-compliant). 2. # open findings from last assessment. 3. % controls implemented. 4. Time to remediate findings. 5. Incident rate in framework scope area</t>
        </is>
      </c>
      <c r="AV49" s="80" t="inlineStr">
        <is>
          <t>Self-assessment; internal audit; external assessment as specified by issuing authority</t>
        </is>
      </c>
      <c r="AW49" s="81" t="inlineStr">
        <is>
          <t>ServiceNow GRC; IBM OpenPages; RSA Archer; MetricStream — all major GRC platforms support custom framework import. Contact vendor for framework-specific module</t>
        </is>
      </c>
      <c r="AX49" s="82" t="inlineStr">
        <is>
          <t>Third parties in scope must demonstrate equivalent compliance. Contractual compliance obligations; right-to-audit clauses; annual third-party assessment</t>
        </is>
      </c>
      <c r="AY49" s="83" t="inlineStr">
        <is>
          <t>Non-compliance: regulatory action by issuing authority; fines and penalties as specified; operational and reputational consequences</t>
        </is>
      </c>
      <c r="AZ49" s="80" t="inlineStr">
        <is>
          <t>Sector-specific — consult official source</t>
        </is>
      </c>
      <c r="BA49" s="41" t="inlineStr">
        <is>
          <t>Sector-Specific</t>
        </is>
      </c>
      <c r="BB49" s="591">
        <f>IF(E49="","",IF(ISNUMBER(SEARCH("Institutional theory and regulatory governance theory underpin",AI49)),"TEMPLATE",IF(LEN(AI49)&gt;100,"DEEP",IF(AI49="","SPARSE","SHALLOW"))))</f>
        <v/>
      </c>
      <c r="BC49" s="591">
        <f>IF(E49="","",D49&amp;"-"&amp;B49&amp;"-"&amp;E49)</f>
        <v/>
      </c>
      <c r="BD49" s="591">
        <f>IF(E49="","",SUBSTITUTE(SUBSTITUTE(B49&amp;"-"&amp;E49," ",""),":","-"))</f>
        <v/>
      </c>
      <c r="BE49" s="591">
        <f>IF(E49="","",IF(ISNUMBER(SEARCH("ECC",E49)),"NCA-ECC-2-2024",IF(ISNUMBER(SEARCH("OTCC",E49)),"NCA-ECC-2-2024",IF(ISNUMBER(SEARCH("CCC",E49)),"NCA-ECC-2-2024",IF(ISNUMBER(SEARCH("DCC",E49)),"NCA-ECC-2-2024",IF(ISNUMBER(SEARCH("CSCC",E49)),"NCA-ECC-2-2024",IF(ISNUMBER(SEARCH("PDPL-IR",E49)),"PDPL-2021",IF(ISNUMBER(SEARCH("PDPL-DTR",E49)),"PDPL-2021","NONE"))))))))</f>
        <v/>
      </c>
      <c r="BF49" s="594">
        <f>IF(E49="","",IF(BB49="DEEP",10,IF(BB49="SHALLOW",5,IF(BB49="TEMPLATE",3,1)))+IF(N49="HIGHEST",5,IF(N49="HIGH",3,IF(N49="MODERATE",1,0)))+IF(ISNUMBER(SEARCH("Mandatory",L49)),3,0))</f>
        <v/>
      </c>
    </row>
    <row r="50" ht="42" customHeight="1">
      <c r="A50" s="84" t="n">
        <v>45</v>
      </c>
      <c r="B50" s="85" t="inlineStr">
        <is>
          <t>SFDA</t>
        </is>
      </c>
      <c r="C50" s="70" t="inlineStr">
        <is>
          <t>Saudi Food &amp; Drug Authority</t>
        </is>
      </c>
      <c r="D50" s="70" t="inlineStr">
        <is>
          <t>2. Healthcare &amp; Life Sciences</t>
        </is>
      </c>
      <c r="E50" s="85" t="inlineStr">
        <is>
          <t>SFDA-FOOD</t>
        </is>
      </c>
      <c r="F50" s="72" t="inlineStr">
        <is>
          <t>Food Safety Law</t>
        </is>
      </c>
      <c r="G50" s="70" t="inlineStr">
        <is>
          <t>نظام سلامة الغذاء</t>
        </is>
      </c>
      <c r="H50" s="70" t="inlineStr">
        <is>
          <t>Updated 2022</t>
        </is>
      </c>
      <c r="I50" s="71" t="inlineStr">
        <is>
          <t>2005</t>
        </is>
      </c>
      <c r="J50" s="71" t="inlineStr">
        <is>
          <t>65</t>
        </is>
      </c>
      <c r="K50" s="70" t="inlineStr">
        <is>
          <t>ISSUES/ENFORCES</t>
        </is>
      </c>
      <c r="L50" s="22" t="inlineStr">
        <is>
          <t>Mandatory Enforcer</t>
        </is>
      </c>
      <c r="M50" s="70" t="inlineStr">
        <is>
          <t>Food producers, importers — hospital dietary services</t>
        </is>
      </c>
      <c r="N50" s="91" t="inlineStr">
        <is>
          <t>LOW</t>
        </is>
      </c>
      <c r="O50" s="87" t="inlineStr">
        <is>
          <t>https://www.sfda.gov.sa/en</t>
        </is>
      </c>
      <c r="P50" s="70" t="inlineStr">
        <is>
          <t>SFDA official</t>
        </is>
      </c>
      <c r="Q50" s="70" t="inlineStr">
        <is>
          <t>See official source for version history</t>
        </is>
      </c>
      <c r="R50" s="70" t="inlineStr">
        <is>
          <t>Framework issued by the relevant authority. Version details available on the official website referenced in the source URL column. The framework has been updated periodically since first issuance.</t>
        </is>
      </c>
      <c r="S50" s="71" t="inlineStr">
        <is>
          <t>See official source</t>
        </is>
      </c>
      <c r="T50" s="70" t="inlineStr">
        <is>
          <t>Updated as needed by the issuing authority</t>
        </is>
      </c>
      <c r="U50" s="25" t="inlineStr">
        <is>
          <t>CURRENT — consult official source for latest version</t>
        </is>
      </c>
      <c r="V50" s="70" t="inlineStr">
        <is>
          <t>Penalties defined by issuing authority; consult official source. NCA ECC-2 penalties apply if relevant</t>
        </is>
      </c>
      <c r="W50" s="72" t="inlineStr">
        <is>
          <t>Issuing authority and/or designated inspection department</t>
        </is>
      </c>
      <c r="X50" s="70" t="inlineStr">
        <is>
          <t>As specified in framework scope — consult official document</t>
        </is>
      </c>
      <c r="Y50" s="49" t="inlineStr">
        <is>
          <t>Both (unless specified otherwise in official document)</t>
        </is>
      </c>
      <c r="Z50" s="70" t="inlineStr">
        <is>
          <t>As defined by issuing authority</t>
        </is>
      </c>
      <c r="AA50" s="71" t="inlineStr">
        <is>
          <t>As defined by issuing authority</t>
        </is>
      </c>
      <c r="AB50" s="70" t="inlineStr">
        <is>
          <t>To be determined from framework text — see official source</t>
        </is>
      </c>
      <c r="AC50" s="70" t="inlineStr">
        <is>
          <t>See framework preamble for international standard references</t>
        </is>
      </c>
      <c r="AD50" s="49" t="inlineStr">
        <is>
          <t>Arabic (primary in KSA); English may be available</t>
        </is>
      </c>
      <c r="AE50" s="58" t="inlineStr">
        <is>
          <t>Mapped to relevant GH-ICGA layer — requires manual assessment</t>
        </is>
      </c>
      <c r="AF50" s="56" t="inlineStr">
        <is>
          <t>See official framework for maturity model details</t>
        </is>
      </c>
      <c r="AG50" s="70" t="inlineStr">
        <is>
          <t>Aligned with relevant Vision 2030 programme — see framework context</t>
        </is>
      </c>
      <c r="AH50" s="70" t="inlineStr">
        <is>
          <t>As specified in framework compliance requirements</t>
        </is>
      </c>
      <c r="AI50" s="73" t="inlineStr">
        <is>
          <t>Institutional theory and regulatory governance theory underpin all KSA regulatory frameworks. Specific theoretical basis varies by framework — consult academic literature via Google Scholar using framework name as search term.</t>
        </is>
      </c>
      <c r="AJ50" s="70" t="inlineStr">
        <is>
          <t>Academic debate varies by framework maturity and international adoption. For KSA-specific debate, consult: Almohammad &amp; Wills (2021) J Cybersecurity; Al-Khater et al. (2020) IEEE Access; Baker McKenzie KSA regulatory updates.</t>
        </is>
      </c>
      <c r="AK50" s="74" t="inlineStr">
        <is>
          <t>Known criticisms include: implementation gap between standards and practice; resource constraints for smaller healthcare entities; rapid technology evolution outpacing regulation. Consult framework evaluation literature for specifics.</t>
        </is>
      </c>
      <c r="AL50" s="75" t="inlineStr">
        <is>
          <t>Framework comparison requires contextual analysis. Key comparators: NIST CSF 2.0 (international benchmark), ISO 27001 (certifiable standard), ECC-2 (KSA mandatory baseline). See main database for cross-framework mapping.</t>
        </is>
      </c>
      <c r="AM50"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50" s="50" t="inlineStr">
        <is>
          <t>Official: Consult the official source URL in the database for the primary document. Training: ISACA, ISC2, RAPS, IAPP, and HIMSS offer professional development covering most regulatory domains. Estimated hours vary by framework complexity.</t>
        </is>
      </c>
      <c r="AO50" s="77" t="inlineStr">
        <is>
          <t>Relevance to GH-ICGA framework varies by layer — see GH-ICGA Layer Mapping column. All KSA mandatory frameworks are compliance inputs to GH-ICGA Layer 4. Frameworks with IoMT-specific provisions directly inform Layers 2 and 3.</t>
        </is>
      </c>
      <c r="AP50" s="51" t="inlineStr">
        <is>
          <t>G + C (Governance + Compliance — standard regulatory framework positioning)</t>
        </is>
      </c>
      <c r="AQ50" s="78" t="inlineStr">
        <is>
          <t>Senior management: accountability for framework compliance. Designated compliance officer: monitor requirements. All staff: awareness of applicable obligations</t>
        </is>
      </c>
      <c r="AR50" s="74" t="inlineStr">
        <is>
          <t>Regulatory Risk; Operational Risk; Reputational Risk — specific domains determined by framework scope</t>
        </is>
      </c>
      <c r="AS50" s="22" t="inlineStr">
        <is>
          <t>See official source — legal obligation, regulatory requirement, or voluntary standard as applicable</t>
        </is>
      </c>
      <c r="AT50" s="75" t="inlineStr">
        <is>
          <t>Administrative; Technical; Operational — specific distribution determined by framework content</t>
        </is>
      </c>
      <c r="AU50" s="79" t="inlineStr">
        <is>
          <t>1. Compliance status (compliant/non-compliant). 2. # open findings from last assessment. 3. % controls implemented. 4. Time to remediate findings. 5. Incident rate in framework scope area</t>
        </is>
      </c>
      <c r="AV50" s="80" t="inlineStr">
        <is>
          <t>Self-assessment; internal audit; external assessment as specified by issuing authority</t>
        </is>
      </c>
      <c r="AW50" s="81" t="inlineStr">
        <is>
          <t>ServiceNow GRC; IBM OpenPages; RSA Archer; MetricStream — all major GRC platforms support custom framework import. Contact vendor for framework-specific module</t>
        </is>
      </c>
      <c r="AX50" s="82" t="inlineStr">
        <is>
          <t>Third parties in scope must demonstrate equivalent compliance. Contractual compliance obligations; right-to-audit clauses; annual third-party assessment</t>
        </is>
      </c>
      <c r="AY50" s="83" t="inlineStr">
        <is>
          <t>Non-compliance: regulatory action by issuing authority; fines and penalties as specified; operational and reputational consequences</t>
        </is>
      </c>
      <c r="AZ50" s="80" t="inlineStr">
        <is>
          <t>Healthcare &amp; Life Sciences; Industry &amp; Trade (food producers)</t>
        </is>
      </c>
      <c r="BA50" s="41" t="inlineStr">
        <is>
          <t>Sector-Specific</t>
        </is>
      </c>
      <c r="BB50" s="591">
        <f>IF(E50="","",IF(ISNUMBER(SEARCH("Institutional theory and regulatory governance theory underpin",AI50)),"TEMPLATE",IF(LEN(AI50)&gt;100,"DEEP",IF(AI50="","SPARSE","SHALLOW"))))</f>
        <v/>
      </c>
      <c r="BC50" s="591">
        <f>IF(E50="","",D50&amp;"-"&amp;B50&amp;"-"&amp;E50)</f>
        <v/>
      </c>
      <c r="BD50" s="591">
        <f>IF(E50="","",SUBSTITUTE(SUBSTITUTE(B50&amp;"-"&amp;E50," ",""),":","-"))</f>
        <v/>
      </c>
      <c r="BE50" s="591">
        <f>IF(E50="","",IF(ISNUMBER(SEARCH("ECC",E50)),"NCA-ECC-2-2024",IF(ISNUMBER(SEARCH("OTCC",E50)),"NCA-ECC-2-2024",IF(ISNUMBER(SEARCH("CCC",E50)),"NCA-ECC-2-2024",IF(ISNUMBER(SEARCH("DCC",E50)),"NCA-ECC-2-2024",IF(ISNUMBER(SEARCH("CSCC",E50)),"NCA-ECC-2-2024",IF(ISNUMBER(SEARCH("PDPL-IR",E50)),"PDPL-2021",IF(ISNUMBER(SEARCH("PDPL-DTR",E50)),"PDPL-2021","NONE"))))))))</f>
        <v/>
      </c>
      <c r="BF50" s="594">
        <f>IF(E50="","",IF(BB50="DEEP",10,IF(BB50="SHALLOW",5,IF(BB50="TEMPLATE",3,1)))+IF(N50="HIGHEST",5,IF(N50="HIGH",3,IF(N50="MODERATE",1,0)))+IF(ISNUMBER(SEARCH("Mandatory",L50)),3,0))</f>
        <v/>
      </c>
    </row>
    <row r="51" ht="42" customHeight="1">
      <c r="A51" s="42" t="n">
        <v>46</v>
      </c>
      <c r="B51" s="69" t="inlineStr">
        <is>
          <t>SFDA</t>
        </is>
      </c>
      <c r="C51" s="44" t="inlineStr">
        <is>
          <t>Saudi Food &amp; Drug Authority</t>
        </is>
      </c>
      <c r="D51" s="44" t="inlineStr">
        <is>
          <t>2. Healthcare &amp; Life Sciences</t>
        </is>
      </c>
      <c r="E51" s="69" t="inlineStr">
        <is>
          <t>SFDA-CT</t>
        </is>
      </c>
      <c r="F51" s="45" t="inlineStr">
        <is>
          <t>Clinical Trial Regulations</t>
        </is>
      </c>
      <c r="G51" s="44" t="inlineStr">
        <is>
          <t>أنظمة التجارب السريرية</t>
        </is>
      </c>
      <c r="H51" s="44" t="inlineStr">
        <is>
          <t>Updated 2025</t>
        </is>
      </c>
      <c r="I51" s="46" t="inlineStr">
        <is>
          <t>2015</t>
        </is>
      </c>
      <c r="J51" s="46" t="inlineStr">
        <is>
          <t>40</t>
        </is>
      </c>
      <c r="K51" s="44" t="inlineStr">
        <is>
          <t>ISSUES/ENFORCES</t>
        </is>
      </c>
      <c r="L51" s="22" t="inlineStr">
        <is>
          <t>Mandatory Enforcer</t>
        </is>
      </c>
      <c r="M51" s="44" t="inlineStr">
        <is>
          <t>All organisations conducting clinical trials in KSA</t>
        </is>
      </c>
      <c r="N51" s="54" t="inlineStr">
        <is>
          <t>HIGH</t>
        </is>
      </c>
      <c r="O51" s="48" t="inlineStr">
        <is>
          <t>https://www.sfda.gov.sa/en</t>
        </is>
      </c>
      <c r="P51" s="44" t="inlineStr">
        <is>
          <t>SFDA official; Hammad &amp; Al-Mehdar 2025</t>
        </is>
      </c>
      <c r="Q51" s="70" t="inlineStr">
        <is>
          <t>See official source for version history</t>
        </is>
      </c>
      <c r="R51" s="70" t="inlineStr">
        <is>
          <t>Framework issued by the relevant authority. Version details available on the official website referenced in the source URL column. The framework has been updated periodically since first issuance.</t>
        </is>
      </c>
      <c r="S51" s="71" t="inlineStr">
        <is>
          <t>See official source</t>
        </is>
      </c>
      <c r="T51" s="70" t="inlineStr">
        <is>
          <t>Updated as needed by the issuing authority</t>
        </is>
      </c>
      <c r="U51" s="25" t="inlineStr">
        <is>
          <t>CURRENT — consult official source for latest version</t>
        </is>
      </c>
      <c r="V51" s="70" t="inlineStr">
        <is>
          <t>Penalties defined by issuing authority; consult official source. NCA ECC-2 penalties apply if relevant</t>
        </is>
      </c>
      <c r="W51" s="72" t="inlineStr">
        <is>
          <t>Issuing authority and/or designated inspection department</t>
        </is>
      </c>
      <c r="X51" s="70" t="inlineStr">
        <is>
          <t>As specified in framework scope — consult official document</t>
        </is>
      </c>
      <c r="Y51" s="49" t="inlineStr">
        <is>
          <t>Both (unless specified otherwise in official document)</t>
        </is>
      </c>
      <c r="Z51" s="70" t="inlineStr">
        <is>
          <t>As defined by issuing authority</t>
        </is>
      </c>
      <c r="AA51" s="71" t="inlineStr">
        <is>
          <t>As defined by issuing authority</t>
        </is>
      </c>
      <c r="AB51" s="70" t="inlineStr">
        <is>
          <t>To be determined from framework text — see official source</t>
        </is>
      </c>
      <c r="AC51" s="70" t="inlineStr">
        <is>
          <t>See framework preamble for international standard references</t>
        </is>
      </c>
      <c r="AD51" s="49" t="inlineStr">
        <is>
          <t>Arabic (primary in KSA); English may be available</t>
        </is>
      </c>
      <c r="AE51" s="58" t="inlineStr">
        <is>
          <t>Mapped to relevant GH-ICGA layer — requires manual assessment</t>
        </is>
      </c>
      <c r="AF51" s="56" t="inlineStr">
        <is>
          <t>See official framework for maturity model details</t>
        </is>
      </c>
      <c r="AG51" s="70" t="inlineStr">
        <is>
          <t>Aligned with relevant Vision 2030 programme — see framework context</t>
        </is>
      </c>
      <c r="AH51" s="70" t="inlineStr">
        <is>
          <t>As specified in framework compliance requirements</t>
        </is>
      </c>
      <c r="AI51" s="73" t="inlineStr">
        <is>
          <t>Institutional theory and regulatory governance theory underpin all KSA regulatory frameworks. Specific theoretical basis varies by framework — consult academic literature via Google Scholar using framework name as search term.</t>
        </is>
      </c>
      <c r="AJ51" s="70" t="inlineStr">
        <is>
          <t>Academic debate varies by framework maturity and international adoption. For KSA-specific debate, consult: Almohammad &amp; Wills (2021) J Cybersecurity; Al-Khater et al. (2020) IEEE Access; Baker McKenzie KSA regulatory updates.</t>
        </is>
      </c>
      <c r="AK51" s="74" t="inlineStr">
        <is>
          <t>Known criticisms include: implementation gap between standards and practice; resource constraints for smaller healthcare entities; rapid technology evolution outpacing regulation. Consult framework evaluation literature for specifics.</t>
        </is>
      </c>
      <c r="AL51" s="75" t="inlineStr">
        <is>
          <t>Framework comparison requires contextual analysis. Key comparators: NIST CSF 2.0 (international benchmark), ISO 27001 (certifiable standard), ECC-2 (KSA mandatory baseline). See main database for cross-framework mapping.</t>
        </is>
      </c>
      <c r="AM51"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51" s="50" t="inlineStr">
        <is>
          <t>Official: Consult the official source URL in the database for the primary document. Training: ISACA, ISC2, RAPS, IAPP, and HIMSS offer professional development covering most regulatory domains. Estimated hours vary by framework complexity.</t>
        </is>
      </c>
      <c r="AO51" s="77" t="inlineStr">
        <is>
          <t>Relevance to GH-ICGA framework varies by layer — see GH-ICGA Layer Mapping column. All KSA mandatory frameworks are compliance inputs to GH-ICGA Layer 4. Frameworks with IoMT-specific provisions directly inform Layers 2 and 3.</t>
        </is>
      </c>
      <c r="AP51" s="51" t="inlineStr">
        <is>
          <t>G + C (Governance + Compliance — standard regulatory framework positioning)</t>
        </is>
      </c>
      <c r="AQ51" s="78" t="inlineStr">
        <is>
          <t>Senior management: accountability for framework compliance. Designated compliance officer: monitor requirements. All staff: awareness of applicable obligations</t>
        </is>
      </c>
      <c r="AR51" s="74" t="inlineStr">
        <is>
          <t>Regulatory Risk; Operational Risk; Reputational Risk — specific domains determined by framework scope</t>
        </is>
      </c>
      <c r="AS51" s="22" t="inlineStr">
        <is>
          <t>See official source — legal obligation, regulatory requirement, or voluntary standard as applicable</t>
        </is>
      </c>
      <c r="AT51" s="75" t="inlineStr">
        <is>
          <t>Administrative; Technical; Operational — specific distribution determined by framework content</t>
        </is>
      </c>
      <c r="AU51" s="79" t="inlineStr">
        <is>
          <t>1. Compliance status (compliant/non-compliant). 2. # open findings from last assessment. 3. % controls implemented. 4. Time to remediate findings. 5. Incident rate in framework scope area</t>
        </is>
      </c>
      <c r="AV51" s="80" t="inlineStr">
        <is>
          <t>Self-assessment; internal audit; external assessment as specified by issuing authority</t>
        </is>
      </c>
      <c r="AW51" s="81" t="inlineStr">
        <is>
          <t>ServiceNow GRC; IBM OpenPages; RSA Archer; MetricStream — all major GRC platforms support custom framework import. Contact vendor for framework-specific module</t>
        </is>
      </c>
      <c r="AX51" s="82" t="inlineStr">
        <is>
          <t>Third parties in scope must demonstrate equivalent compliance. Contractual compliance obligations; right-to-audit clauses; annual third-party assessment</t>
        </is>
      </c>
      <c r="AY51" s="83" t="inlineStr">
        <is>
          <t>Non-compliance: regulatory action by issuing authority; fines and penalties as specified; operational and reputational consequences</t>
        </is>
      </c>
      <c r="AZ51" s="80" t="inlineStr">
        <is>
          <t>Sector-specific — consult official source</t>
        </is>
      </c>
      <c r="BA51" s="41" t="inlineStr">
        <is>
          <t>Sector-Specific</t>
        </is>
      </c>
      <c r="BB51" s="591">
        <f>IF(E51="","",IF(ISNUMBER(SEARCH("Institutional theory and regulatory governance theory underpin",AI51)),"TEMPLATE",IF(LEN(AI51)&gt;100,"DEEP",IF(AI51="","SPARSE","SHALLOW"))))</f>
        <v/>
      </c>
      <c r="BC51" s="591">
        <f>IF(E51="","",D51&amp;"-"&amp;B51&amp;"-"&amp;E51)</f>
        <v/>
      </c>
      <c r="BD51" s="591">
        <f>IF(E51="","",SUBSTITUTE(SUBSTITUTE(B51&amp;"-"&amp;E51," ",""),":","-"))</f>
        <v/>
      </c>
      <c r="BE51" s="591">
        <f>IF(E51="","",IF(ISNUMBER(SEARCH("ECC",E51)),"NCA-ECC-2-2024",IF(ISNUMBER(SEARCH("OTCC",E51)),"NCA-ECC-2-2024",IF(ISNUMBER(SEARCH("CCC",E51)),"NCA-ECC-2-2024",IF(ISNUMBER(SEARCH("DCC",E51)),"NCA-ECC-2-2024",IF(ISNUMBER(SEARCH("CSCC",E51)),"NCA-ECC-2-2024",IF(ISNUMBER(SEARCH("PDPL-IR",E51)),"PDPL-2021",IF(ISNUMBER(SEARCH("PDPL-DTR",E51)),"PDPL-2021","NONE"))))))))</f>
        <v/>
      </c>
      <c r="BF51" s="594">
        <f>IF(E51="","",IF(BB51="DEEP",10,IF(BB51="SHALLOW",5,IF(BB51="TEMPLATE",3,1)))+IF(N51="HIGHEST",5,IF(N51="HIGH",3,IF(N51="MODERATE",1,0)))+IF(ISNUMBER(SEARCH("Mandatory",L51)),3,0))</f>
        <v/>
      </c>
    </row>
    <row r="52" ht="42" customHeight="1">
      <c r="A52" s="84" t="n">
        <v>47</v>
      </c>
      <c r="B52" s="85" t="inlineStr">
        <is>
          <t>SFDA</t>
        </is>
      </c>
      <c r="C52" s="70" t="inlineStr">
        <is>
          <t>Saudi Food &amp; Drug Authority</t>
        </is>
      </c>
      <c r="D52" s="70" t="inlineStr">
        <is>
          <t>2. Healthcare &amp; Life Sciences</t>
        </is>
      </c>
      <c r="E52" s="85" t="inlineStr">
        <is>
          <t>SFDA-PEST</t>
        </is>
      </c>
      <c r="F52" s="72" t="inlineStr">
        <is>
          <t>Pesticide &amp; Biocide Regulations</t>
        </is>
      </c>
      <c r="G52" s="70" t="inlineStr">
        <is>
          <t>أنظمة المبيدات</t>
        </is>
      </c>
      <c r="H52" s="70" t="inlineStr">
        <is>
          <t>Updated 2021</t>
        </is>
      </c>
      <c r="I52" s="71" t="inlineStr">
        <is>
          <t>2008</t>
        </is>
      </c>
      <c r="J52" s="71" t="inlineStr">
        <is>
          <t>35</t>
        </is>
      </c>
      <c r="K52" s="70" t="inlineStr">
        <is>
          <t>ISSUES/ENFORCES</t>
        </is>
      </c>
      <c r="L52" s="22" t="inlineStr">
        <is>
          <t>Mandatory Enforcer</t>
        </is>
      </c>
      <c r="M52" s="70" t="inlineStr">
        <is>
          <t>Pesticide manufacturers — hospital environmental products</t>
        </is>
      </c>
      <c r="N52" s="91" t="inlineStr">
        <is>
          <t>LOW</t>
        </is>
      </c>
      <c r="O52" s="87" t="inlineStr">
        <is>
          <t>https://www.sfda.gov.sa/en</t>
        </is>
      </c>
      <c r="P52" s="70" t="inlineStr">
        <is>
          <t>SFDA official</t>
        </is>
      </c>
      <c r="Q52" s="70" t="inlineStr">
        <is>
          <t>See official source for version history</t>
        </is>
      </c>
      <c r="R52" s="70" t="inlineStr">
        <is>
          <t>Framework issued by the relevant authority. Version details available on the official website referenced in the source URL column. The framework has been updated periodically since first issuance.</t>
        </is>
      </c>
      <c r="S52" s="71" t="inlineStr">
        <is>
          <t>See official source</t>
        </is>
      </c>
      <c r="T52" s="70" t="inlineStr">
        <is>
          <t>Updated as needed by the issuing authority</t>
        </is>
      </c>
      <c r="U52" s="25" t="inlineStr">
        <is>
          <t>CURRENT — consult official source for latest version</t>
        </is>
      </c>
      <c r="V52" s="70" t="inlineStr">
        <is>
          <t>Penalties defined by issuing authority; consult official source. NCA ECC-2 penalties apply if relevant</t>
        </is>
      </c>
      <c r="W52" s="72" t="inlineStr">
        <is>
          <t>Issuing authority and/or designated inspection department</t>
        </is>
      </c>
      <c r="X52" s="70" t="inlineStr">
        <is>
          <t>As specified in framework scope — consult official document</t>
        </is>
      </c>
      <c r="Y52" s="49" t="inlineStr">
        <is>
          <t>Both (unless specified otherwise in official document)</t>
        </is>
      </c>
      <c r="Z52" s="70" t="inlineStr">
        <is>
          <t>As defined by issuing authority</t>
        </is>
      </c>
      <c r="AA52" s="71" t="inlineStr">
        <is>
          <t>As defined by issuing authority</t>
        </is>
      </c>
      <c r="AB52" s="70" t="inlineStr">
        <is>
          <t>To be determined from framework text — see official source</t>
        </is>
      </c>
      <c r="AC52" s="70" t="inlineStr">
        <is>
          <t>See framework preamble for international standard references</t>
        </is>
      </c>
      <c r="AD52" s="49" t="inlineStr">
        <is>
          <t>Arabic (primary in KSA); English may be available</t>
        </is>
      </c>
      <c r="AE52" s="58" t="inlineStr">
        <is>
          <t>Mapped to relevant GH-ICGA layer — requires manual assessment</t>
        </is>
      </c>
      <c r="AF52" s="56" t="inlineStr">
        <is>
          <t>See official framework for maturity model details</t>
        </is>
      </c>
      <c r="AG52" s="70" t="inlineStr">
        <is>
          <t>Aligned with relevant Vision 2030 programme — see framework context</t>
        </is>
      </c>
      <c r="AH52" s="70" t="inlineStr">
        <is>
          <t>As specified in framework compliance requirements</t>
        </is>
      </c>
      <c r="AI52" s="73" t="inlineStr">
        <is>
          <t>Institutional theory and regulatory governance theory underpin all KSA regulatory frameworks. Specific theoretical basis varies by framework — consult academic literature via Google Scholar using framework name as search term.</t>
        </is>
      </c>
      <c r="AJ52" s="70" t="inlineStr">
        <is>
          <t>Academic debate varies by framework maturity and international adoption. For KSA-specific debate, consult: Almohammad &amp; Wills (2021) J Cybersecurity; Al-Khater et al. (2020) IEEE Access; Baker McKenzie KSA regulatory updates.</t>
        </is>
      </c>
      <c r="AK52" s="74" t="inlineStr">
        <is>
          <t>Known criticisms include: implementation gap between standards and practice; resource constraints for smaller healthcare entities; rapid technology evolution outpacing regulation. Consult framework evaluation literature for specifics.</t>
        </is>
      </c>
      <c r="AL52" s="75" t="inlineStr">
        <is>
          <t>Framework comparison requires contextual analysis. Key comparators: NIST CSF 2.0 (international benchmark), ISO 27001 (certifiable standard), ECC-2 (KSA mandatory baseline). See main database for cross-framework mapping.</t>
        </is>
      </c>
      <c r="AM52"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52" s="50" t="inlineStr">
        <is>
          <t>Official: Consult the official source URL in the database for the primary document. Training: ISACA, ISC2, RAPS, IAPP, and HIMSS offer professional development covering most regulatory domains. Estimated hours vary by framework complexity.</t>
        </is>
      </c>
      <c r="AO52" s="77" t="inlineStr">
        <is>
          <t>Relevance to GH-ICGA framework varies by layer — see GH-ICGA Layer Mapping column. All KSA mandatory frameworks are compliance inputs to GH-ICGA Layer 4. Frameworks with IoMT-specific provisions directly inform Layers 2 and 3.</t>
        </is>
      </c>
      <c r="AP52" s="51" t="inlineStr">
        <is>
          <t>G + C (Governance + Compliance — standard regulatory framework positioning)</t>
        </is>
      </c>
      <c r="AQ52" s="78" t="inlineStr">
        <is>
          <t>Senior management: accountability for framework compliance. Designated compliance officer: monitor requirements. All staff: awareness of applicable obligations</t>
        </is>
      </c>
      <c r="AR52" s="74" t="inlineStr">
        <is>
          <t>Regulatory Risk; Operational Risk; Reputational Risk — specific domains determined by framework scope</t>
        </is>
      </c>
      <c r="AS52" s="22" t="inlineStr">
        <is>
          <t>See official source — legal obligation, regulatory requirement, or voluntary standard as applicable</t>
        </is>
      </c>
      <c r="AT52" s="75" t="inlineStr">
        <is>
          <t>Administrative; Technical; Operational — specific distribution determined by framework content</t>
        </is>
      </c>
      <c r="AU52" s="79" t="inlineStr">
        <is>
          <t>1. Compliance status (compliant/non-compliant). 2. # open findings from last assessment. 3. % controls implemented. 4. Time to remediate findings. 5. Incident rate in framework scope area</t>
        </is>
      </c>
      <c r="AV52" s="80" t="inlineStr">
        <is>
          <t>Self-assessment; internal audit; external assessment as specified by issuing authority</t>
        </is>
      </c>
      <c r="AW52" s="81" t="inlineStr">
        <is>
          <t>ServiceNow GRC; IBM OpenPages; RSA Archer; MetricStream — all major GRC platforms support custom framework import. Contact vendor for framework-specific module</t>
        </is>
      </c>
      <c r="AX52" s="82" t="inlineStr">
        <is>
          <t>Third parties in scope must demonstrate equivalent compliance. Contractual compliance obligations; right-to-audit clauses; annual third-party assessment</t>
        </is>
      </c>
      <c r="AY52" s="83" t="inlineStr">
        <is>
          <t>Non-compliance: regulatory action by issuing authority; fines and penalties as specified; operational and reputational consequences</t>
        </is>
      </c>
      <c r="AZ52" s="80" t="inlineStr">
        <is>
          <t>Sector-specific — consult official source</t>
        </is>
      </c>
      <c r="BA52" s="41" t="inlineStr">
        <is>
          <t>Sector-Specific</t>
        </is>
      </c>
      <c r="BB52" s="591">
        <f>IF(E52="","",IF(ISNUMBER(SEARCH("Institutional theory and regulatory governance theory underpin",AI52)),"TEMPLATE",IF(LEN(AI52)&gt;100,"DEEP",IF(AI52="","SPARSE","SHALLOW"))))</f>
        <v/>
      </c>
      <c r="BC52" s="591">
        <f>IF(E52="","",D52&amp;"-"&amp;B52&amp;"-"&amp;E52)</f>
        <v/>
      </c>
      <c r="BD52" s="591">
        <f>IF(E52="","",SUBSTITUTE(SUBSTITUTE(B52&amp;"-"&amp;E52," ",""),":","-"))</f>
        <v/>
      </c>
      <c r="BE52" s="591">
        <f>IF(E52="","",IF(ISNUMBER(SEARCH("ECC",E52)),"NCA-ECC-2-2024",IF(ISNUMBER(SEARCH("OTCC",E52)),"NCA-ECC-2-2024",IF(ISNUMBER(SEARCH("CCC",E52)),"NCA-ECC-2-2024",IF(ISNUMBER(SEARCH("DCC",E52)),"NCA-ECC-2-2024",IF(ISNUMBER(SEARCH("CSCC",E52)),"NCA-ECC-2-2024",IF(ISNUMBER(SEARCH("PDPL-IR",E52)),"PDPL-2021",IF(ISNUMBER(SEARCH("PDPL-DTR",E52)),"PDPL-2021","NONE"))))))))</f>
        <v/>
      </c>
      <c r="BF52" s="594">
        <f>IF(E52="","",IF(BB52="DEEP",10,IF(BB52="SHALLOW",5,IF(BB52="TEMPLATE",3,1)))+IF(N52="HIGHEST",5,IF(N52="HIGH",3,IF(N52="MODERATE",1,0)))+IF(ISNUMBER(SEARCH("Mandatory",L52)),3,0))</f>
        <v/>
      </c>
    </row>
    <row r="53" ht="42" customHeight="1">
      <c r="A53" s="42" t="n">
        <v>48</v>
      </c>
      <c r="B53" s="69" t="inlineStr">
        <is>
          <t>SFDA</t>
        </is>
      </c>
      <c r="C53" s="44" t="inlineStr">
        <is>
          <t>Saudi Food &amp; Drug Authority</t>
        </is>
      </c>
      <c r="D53" s="44" t="inlineStr">
        <is>
          <t>2. Healthcare &amp; Life Sciences</t>
        </is>
      </c>
      <c r="E53" s="69" t="inlineStr">
        <is>
          <t>NCA-ECC-2:2024</t>
        </is>
      </c>
      <c r="F53" s="45" t="inlineStr">
        <is>
          <t>Essential Cybersecurity Controls</t>
        </is>
      </c>
      <c r="G53" s="44" t="inlineStr">
        <is>
          <t>ضوابط الأمن السيبراني الأساسية</t>
        </is>
      </c>
      <c r="H53" s="44" t="inlineStr">
        <is>
          <t>ECC-2:2024</t>
        </is>
      </c>
      <c r="I53" s="46" t="inlineStr">
        <is>
          <t>2018</t>
        </is>
      </c>
      <c r="J53" s="46" t="inlineStr">
        <is>
          <t>108</t>
        </is>
      </c>
      <c r="K53" s="44" t="inlineStr">
        <is>
          <t>MUST COMPLY WITH</t>
        </is>
      </c>
      <c r="L53" s="66" t="inlineStr">
        <is>
          <t>Mandatory Complier</t>
        </is>
      </c>
      <c r="M53" s="44" t="inlineStr">
        <is>
          <t>SFDA as government entity</t>
        </is>
      </c>
      <c r="N53" s="47" t="inlineStr">
        <is>
          <t>HIGHEST</t>
        </is>
      </c>
      <c r="O53" s="48" t="inlineStr">
        <is>
          <t>https://nca.gov.sa/</t>
        </is>
      </c>
      <c r="P53" s="44" t="inlineStr">
        <is>
          <t>NCA ECC scope</t>
        </is>
      </c>
      <c r="Q53" s="70" t="inlineStr">
        <is>
          <t>See official source for version history</t>
        </is>
      </c>
      <c r="R53" s="70" t="inlineStr">
        <is>
          <t>Framework issued by the relevant authority. Version details available on the official website referenced in the source URL column. The framework has been updated periodically since first issuance.</t>
        </is>
      </c>
      <c r="S53" s="71" t="inlineStr">
        <is>
          <t>See official source</t>
        </is>
      </c>
      <c r="T53" s="70" t="inlineStr">
        <is>
          <t>Updated as needed by the issuing authority</t>
        </is>
      </c>
      <c r="U53" s="25" t="inlineStr">
        <is>
          <t>CURRENT — consult official source for latest version</t>
        </is>
      </c>
      <c r="V53" s="70" t="inlineStr">
        <is>
          <t>Penalties defined by issuing authority; consult official source. NCA ECC-2 penalties apply if relevant</t>
        </is>
      </c>
      <c r="W53" s="72" t="inlineStr">
        <is>
          <t>Issuing authority and/or designated inspection department</t>
        </is>
      </c>
      <c r="X53" s="70" t="inlineStr">
        <is>
          <t>As specified in framework scope — consult official document</t>
        </is>
      </c>
      <c r="Y53" s="49" t="inlineStr">
        <is>
          <t>Both (unless specified otherwise in official document)</t>
        </is>
      </c>
      <c r="Z53" s="70" t="inlineStr">
        <is>
          <t>As defined by issuing authority</t>
        </is>
      </c>
      <c r="AA53" s="71" t="inlineStr">
        <is>
          <t>As defined by issuing authority</t>
        </is>
      </c>
      <c r="AB53" s="70" t="inlineStr">
        <is>
          <t>To be determined from framework text — see official source</t>
        </is>
      </c>
      <c r="AC53" s="70" t="inlineStr">
        <is>
          <t>See framework preamble for international standard references</t>
        </is>
      </c>
      <c r="AD53" s="49" t="inlineStr">
        <is>
          <t>Arabic (primary in KSA); English may be available</t>
        </is>
      </c>
      <c r="AE53" s="58" t="inlineStr">
        <is>
          <t>Mapped to relevant GH-ICGA layer — requires manual assessment</t>
        </is>
      </c>
      <c r="AF53" s="56" t="inlineStr">
        <is>
          <t>See official framework for maturity model details</t>
        </is>
      </c>
      <c r="AG53" s="70" t="inlineStr">
        <is>
          <t>Aligned with relevant Vision 2030 programme — see framework context</t>
        </is>
      </c>
      <c r="AH53" s="70" t="inlineStr">
        <is>
          <t>As specified in framework compliance requirements</t>
        </is>
      </c>
      <c r="AI53" s="73" t="inlineStr">
        <is>
          <t>Multi-agency compliance theory: SFDA requiring its regulated entities (medical device manufacturers, importers, distributors) to comply with NCA ECC-2 demonstrates cross-sector regulatory coordination in product safety. Product lifecycle security: cybersecurity as integral to medical device safety throughout lifecycle.</t>
        </is>
      </c>
      <c r="AJ53" s="70" t="inlineStr">
        <is>
          <t>FOR: SFDA mandating ECC-2 for regulated entities ensures that medical device supply chain participants maintain cybersecurity baseline — prevents supply chain attacks compromising device integrity. AGAINST: Medical device manufacturers are primarily product safety companies, not IT organisations — imposing 108 ECC-2 IT controls on a device manufacturer is disproportionate to their actual IT footprint.</t>
        </is>
      </c>
      <c r="AK53" s="74" t="inlineStr">
        <is>
          <t>Criticisms: (1) Small medical device importers may have 5-10 employees — full ECC-2 compliance is disproportionate; (2) ECC-2 is designed for IT environments, not manufacturing/QMS environments; (3) Creates confusion between ECC-2 (SFDA mandate for entity IT) and SFDA MDR cybersecurity requirements (for the device itself) — two different scopes.</t>
        </is>
      </c>
      <c r="AL53" s="75" t="inlineStr">
        <is>
          <t>Framework comparison requires contextual analysis. Key comparators: NIST CSF 2.0 (international benchmark), ISO 27001 (certifiable standard), ECC-2 (KSA mandatory baseline). See main database for cross-framework mapping.</t>
        </is>
      </c>
      <c r="AM53" s="76" t="inlineStr">
        <is>
          <t>SFDA-NCA Regulatory Coordination (2024); FDA Premarket Cybersecurity Guidance (2023); EU MDR Annex I Cybersecurity Requirements; IMDRF Cybersecurity WG (2024).</t>
        </is>
      </c>
      <c r="AN53" s="50" t="inlineStr">
        <is>
          <t>Official: Consult the official source URL in the database for the primary document. Training: ISACA, ISC2, RAPS, IAPP, and HIMSS offer professional development covering most regulatory domains. Estimated hours vary by framework complexity.</t>
        </is>
      </c>
      <c r="AO53" s="77" t="inlineStr">
        <is>
          <t>Relevance to GH-ICGA framework varies by layer — see GH-ICGA Layer Mapping column. All KSA mandatory frameworks are compliance inputs to GH-ICGA Layer 4. Frameworks with IoMT-specific provisions directly inform Layers 2 and 3.</t>
        </is>
      </c>
      <c r="AP53" s="51" t="inlineStr">
        <is>
          <t>G + C (Governance + Compliance — standard regulatory framework positioning)</t>
        </is>
      </c>
      <c r="AQ53" s="78" t="inlineStr">
        <is>
          <t>Senior management: accountability for framework compliance. Designated compliance officer: monitor requirements. All staff: awareness of applicable obligations</t>
        </is>
      </c>
      <c r="AR53" s="74" t="inlineStr">
        <is>
          <t>Regulatory Risk; Operational Risk; Reputational Risk — specific domains determined by framework scope</t>
        </is>
      </c>
      <c r="AS53" s="22" t="inlineStr">
        <is>
          <t>See official source — legal obligation, regulatory requirement, or voluntary standard as applicable</t>
        </is>
      </c>
      <c r="AT53" s="75" t="inlineStr">
        <is>
          <t>Administrative; Technical; Operational — specific distribution determined by framework content</t>
        </is>
      </c>
      <c r="AU53" s="79" t="inlineStr">
        <is>
          <t>1. Compliance status (compliant/non-compliant). 2. # open findings from last assessment. 3. % controls implemented. 4. Time to remediate findings. 5. Incident rate in framework scope area</t>
        </is>
      </c>
      <c r="AV53" s="80" t="inlineStr">
        <is>
          <t>Self-assessment; internal audit; external assessment as specified by issuing authority</t>
        </is>
      </c>
      <c r="AW53" s="81" t="inlineStr">
        <is>
          <t>ServiceNow GRC; IBM OpenPages; RSA Archer; MetricStream — all major GRC platforms support custom framework import. Contact vendor for framework-specific module</t>
        </is>
      </c>
      <c r="AX53" s="82" t="inlineStr">
        <is>
          <t>Third parties in scope must demonstrate equivalent compliance. Contractual compliance obligations; right-to-audit clauses; annual third-party assessment</t>
        </is>
      </c>
      <c r="AY53" s="83" t="inlineStr">
        <is>
          <t>Non-compliance: regulatory action by issuing authority; fines and penalties as specified; operational and reputational consequences</t>
        </is>
      </c>
      <c r="AZ53" s="80" t="inlineStr">
        <is>
          <t>ALL 17 SECTORS</t>
        </is>
      </c>
      <c r="BA53" s="34" t="inlineStr">
        <is>
          <t>YES — ALL SECTORS</t>
        </is>
      </c>
      <c r="BB53" s="591">
        <f>IF(E53="","",IF(ISNUMBER(SEARCH("Institutional theory and regulatory governance theory underpin",AI53)),"TEMPLATE",IF(LEN(AI53)&gt;100,"DEEP",IF(AI53="","SPARSE","SHALLOW"))))</f>
        <v/>
      </c>
      <c r="BC53" s="591">
        <f>IF(E53="","",D53&amp;"-"&amp;B53&amp;"-"&amp;E53)</f>
        <v/>
      </c>
      <c r="BD53" s="591">
        <f>IF(E53="","",SUBSTITUTE(SUBSTITUTE(B53&amp;"-"&amp;E53," ",""),":","-"))</f>
        <v/>
      </c>
      <c r="BE53" s="591">
        <f>IF(E53="","",IF(ISNUMBER(SEARCH("ECC",E53)),"NCA-ECC-2-2024",IF(ISNUMBER(SEARCH("OTCC",E53)),"NCA-ECC-2-2024",IF(ISNUMBER(SEARCH("CCC",E53)),"NCA-ECC-2-2024",IF(ISNUMBER(SEARCH("DCC",E53)),"NCA-ECC-2-2024",IF(ISNUMBER(SEARCH("CSCC",E53)),"NCA-ECC-2-2024",IF(ISNUMBER(SEARCH("PDPL-IR",E53)),"PDPL-2021",IF(ISNUMBER(SEARCH("PDPL-DTR",E53)),"PDPL-2021","NONE"))))))))</f>
        <v/>
      </c>
      <c r="BF53" s="594">
        <f>IF(E53="","",IF(BB53="DEEP",10,IF(BB53="SHALLOW",5,IF(BB53="TEMPLATE",3,1)))+IF(N53="HIGHEST",5,IF(N53="HIGH",3,IF(N53="MODERATE",1,0)))+IF(ISNUMBER(SEARCH("Mandatory",L53)),3,0))</f>
        <v/>
      </c>
    </row>
    <row r="54" ht="42" customHeight="1">
      <c r="A54" s="84" t="n">
        <v>49</v>
      </c>
      <c r="B54" s="85" t="inlineStr">
        <is>
          <t>SFDA</t>
        </is>
      </c>
      <c r="C54" s="70" t="inlineStr">
        <is>
          <t>Saudi Food &amp; Drug Authority</t>
        </is>
      </c>
      <c r="D54" s="70" t="inlineStr">
        <is>
          <t>2. Healthcare &amp; Life Sciences</t>
        </is>
      </c>
      <c r="E54" s="85" t="inlineStr">
        <is>
          <t>PDPL-2021</t>
        </is>
      </c>
      <c r="F54" s="72" t="inlineStr">
        <is>
          <t>Personal Data Protection Law</t>
        </is>
      </c>
      <c r="G54" s="70" t="inlineStr">
        <is>
          <t>نظام حماية البيانات الشخصية</t>
        </is>
      </c>
      <c r="H54" s="70" t="inlineStr">
        <is>
          <t>2021+IR 2023</t>
        </is>
      </c>
      <c r="I54" s="71" t="inlineStr">
        <is>
          <t>2021</t>
        </is>
      </c>
      <c r="J54" s="71" t="inlineStr">
        <is>
          <t>45</t>
        </is>
      </c>
      <c r="K54" s="70" t="inlineStr">
        <is>
          <t>MUST COMPLY WITH</t>
        </is>
      </c>
      <c r="L54" s="66" t="inlineStr">
        <is>
          <t>Mandatory Complier</t>
        </is>
      </c>
      <c r="M54" s="70" t="inlineStr">
        <is>
          <t>SFDA processes clinical trial and device registration data</t>
        </is>
      </c>
      <c r="N54" s="88" t="inlineStr">
        <is>
          <t>HIGH</t>
        </is>
      </c>
      <c r="O54" s="87" t="inlineStr">
        <is>
          <t>https://sdaia.gov.sa/</t>
        </is>
      </c>
      <c r="P54" s="70" t="inlineStr">
        <is>
          <t>SDAIA</t>
        </is>
      </c>
      <c r="Q54" s="70" t="inlineStr">
        <is>
          <t>Royal Decree M/19 (16 Sep 2021) → amended Apr 2023</t>
        </is>
      </c>
      <c r="R54" s="70" t="inlineStr">
        <is>
          <t>Original (2021): 19 articles covering consent, data subject rights, controller obligations, sensitive data (health = sensitive), cross-border transfer. Apr 2023 amendment: strengthened enforcement, clarified health data provisions, aligned with PDPL-IR-2023. Grace period for compliance ended Sep 14, 2024. Penalties: up to SAR 5 million fine + 2 years imprisonment for sensitive data breach</t>
        </is>
      </c>
      <c r="S54" s="71" t="inlineStr">
        <is>
          <t>Issued: Sep 2021. Amended: Apr 2023. Fully enforceable: Sep 14, 2024</t>
        </is>
      </c>
      <c r="T54" s="70" t="inlineStr">
        <is>
          <t>SDAIA reviews annually; amendments expected 2025-2026</t>
        </is>
      </c>
      <c r="U54" s="25" t="inlineStr">
        <is>
          <t>CURRENT — fully enforceable since Sep 2024</t>
        </is>
      </c>
      <c r="V54" s="70" t="inlineStr">
        <is>
          <t>Criminal offence: up to 2 years imprisonment + SAR 3M fine for disclosing sensitive data (health data = sensitive); administrative fine up to SAR 5M; mandatory breach notification to SDAIA within 72 hours; data subject compensation claims</t>
        </is>
      </c>
      <c r="W54" s="72" t="inlineStr">
        <is>
          <t>SDAIA — Data Protection Authority (DPA functions); NDMO for government entities; courts for criminal penalties</t>
        </is>
      </c>
      <c r="X54" s="70" t="inlineStr">
        <is>
          <t>Hospital; Clinic; Lab; Pharmacy; Health IT Vendor; Health Insurer; Government Health Entity; Medical Device Manufacturer (all processing patient data)</t>
        </is>
      </c>
      <c r="Y54" s="49" t="inlineStr">
        <is>
          <t>Both + foreign entities processing data of KSA residents</t>
        </is>
      </c>
      <c r="Z54" s="70" t="inlineStr">
        <is>
          <t>SDAIA audit; controller self-assessment; DPO oversight; data subject complaints trigger investigation</t>
        </is>
      </c>
      <c r="AA54" s="71" t="inlineStr">
        <is>
          <t>Continuous (breach notification: 72 hours); annual DPO report; SDAIA random audits</t>
        </is>
      </c>
      <c r="AB54" s="70" t="inlineStr">
        <is>
          <t>12 (IoMT data minimisation; purpose limitation; consent management for wearable data; automated decision-making; data subject rights for IoMT-generated health data; cross-border transfer of IoMT data)</t>
        </is>
      </c>
      <c r="AC54" s="70" t="inlineStr">
        <is>
          <t>GDPR (substantial alignment — adequate protection basis); APEC Privacy Framework; ISO 29100; ISO 27701</t>
        </is>
      </c>
      <c r="AD54" s="49" t="inlineStr">
        <is>
          <t>Arabic (official); English translation (unofficial)</t>
        </is>
      </c>
      <c r="AE54" s="50" t="inlineStr">
        <is>
          <t>Layer 4: Compliance; Layer 2: Risk Management</t>
        </is>
      </c>
      <c r="AF54" s="60" t="inlineStr">
        <is>
          <t>No formal maturity model; SDAIA publishes compliance guidance</t>
        </is>
      </c>
      <c r="AG54" s="70" t="inlineStr">
        <is>
          <t>National Data Strategy; Vision 2030 Digital Economy; Digital Government transformation</t>
        </is>
      </c>
      <c r="AH54" s="70" t="inlineStr">
        <is>
          <t>Privacy notices; consent records; DPO appointment letter; data mapping/flow diagrams; breach notification records; DPIA for health data processing; controller registration</t>
        </is>
      </c>
      <c r="AI54" s="73" t="inlineStr">
        <is>
          <t>Privacy as fundamental right (Warren &amp; Brandeis 1890; Westin 1967). Contextual integrity theory (Nissenbaum 2004): health data flows must match medical context norms. Regulatory theory: data protection authority independence and enforcement. Information asymmetry theory: patients cannot protect their own data without regulation.</t>
        </is>
      </c>
      <c r="AJ54" s="70" t="inlineStr">
        <is>
          <t>FOR: Long-overdue — KSA had no comprehensive data protection law until 2021; health data explicitly protected as sensitive category; aligns KSA with global adequacy standards. AGAINST: Alrawabdeh (2014) and Aldawood &amp; Skinner (2019) documented Saudi privacy culture gap — regulation without public awareness is ineffective; 'GDPR-lite' criticism: exemptions broader than GDPR, enforcement weaker; health data provisions in IR still less specific than UK GDPR Schedule 1 conditions</t>
        </is>
      </c>
      <c r="AK54" s="74" t="inlineStr">
        <is>
          <t>No independent supervisory authority (SDAIA is both promoter and regulator — conflict of interest noted by Baker McKenzie 2025); patient data portability rights weaker than GDPR Article 20; no explicit right to explanation for AI-automated health decisions; cross-border transfer rules changed twice in 12 months (regulatory instability); small healthcare providers lack capacity for DPO requirements</t>
        </is>
      </c>
      <c r="AL54" s="75" t="inlineStr">
        <is>
          <t>PDPL vs GDPR: PDPL penalty lower (SAR 5M vs €20M); PDPL broader government exemptions; GDPR has independent DPA, PDPL does not. PDPL vs HIPAA: PDPL = all personal data (broader); HIPAA = US-specific health data only. PDPL vs UK GDPR: PDPL misses explicit Schedule 1 health data conditions. PDPL ahead of HIPAA on consent granularity; behind GDPR on enforcement independence</t>
        </is>
      </c>
      <c r="AM54" s="76" t="inlineStr">
        <is>
          <t>Baker McKenzie (2025) Saudi Arabia PDPL Global Data &amp; Cyber Handbook; Alrawabdeh W (2014) 'Internet and Social Media Challenges in Arab World' EJSR; Westin AF (1967) Privacy and Freedom NY Atheneum; Nissenbaum H (2004) 'Privacy as Contextual Integrity' Washington Law Review 79(1); CMS Law (2025) Saudi Arabia Data Protection &amp; Cybersecurity Expert Guide Oct 2025</t>
        </is>
      </c>
      <c r="AN54" s="50" t="inlineStr">
        <is>
          <t>Official: SDAIA website (sdaia.gov.sa) — Arabic + English. Training: IAPP CIPM/CIPP/E (privacy certifications applicable); OneTrust PDPL compliance course; Baker McKenzie PDPL compliance guide. Language: Arabic primary — strong Arabic reading recommended. Estimated: 50 hours for health sector DPO competence</t>
        </is>
      </c>
      <c r="AO54" s="77" t="inlineStr">
        <is>
          <t>PRIMARY driver for GH-ICGA Layer 4 (Compliance) — PDPL is the legal foundation for patient data governance in the preliminary GH-ICGA framework. Thesis argument: GH-ICGA Layer 4 operationalises PDPL requirements into IoMT-specific controls (consent management for wearable data; purpose limitation for monitoring streams; breach response for connected device incidents)</t>
        </is>
      </c>
      <c r="AP54" s="51" t="inlineStr">
        <is>
          <t>G + C (Governance + Compliance — strong compliance driver; risk implicit)</t>
        </is>
      </c>
      <c r="AQ54" s="78" t="inlineStr">
        <is>
          <t>Board/CEO: ultimate accountability for PDPL compliance. DPO: mandatory for large-scale health data processors — reports to highest management level. Privacy Committee: cross-functional oversight. All staff processing personal data: mandatory privacy awareness training annually</t>
        </is>
      </c>
      <c r="AR54" s="74" t="inlineStr">
        <is>
          <t>Privacy Risk (PRIMARY); Legal/Regulatory Risk; Reputational Risk; Strategic Risk (data monetisation constraints); Cross-Border Risk (data transfer restrictions)</t>
        </is>
      </c>
      <c r="AS54" s="22" t="inlineStr">
        <is>
          <t>LEGAL — Royal Decree M/19 2021 + Implementing Regulations Sep 2023. Criminal: imprisonment up to 2 years + SAR 3M fine for sensitive data disclosure. Administrative: SAR 5M maximum fine. Civil: data subject compensation claims</t>
        </is>
      </c>
      <c r="AT54" s="75" t="inlineStr">
        <is>
          <t>Administrative (A): consent management; privacy notices; DPO appointment; DPIA process; breach notification procedure. Technical (T): data minimisation; pseudonymisation; access controls for personal data; encryption. Operational (O): data retention enforcement; data subject rights fulfilment process; cross-border transfer review</t>
        </is>
      </c>
      <c r="AU54" s="79" t="inlineStr">
        <is>
          <t>1. # data subject rights requests fulfilled on time (target: 100% within 30 days). 2. # data breaches notified to SDAIA within 72h (target: 100%). 3. % staff completed privacy training (target: 100%). 4. # DPIAs completed for high-risk processing activities. 5. Data retention compliance rate (% records within policy). 6. % third-party processors with DPA agreements</t>
        </is>
      </c>
      <c r="AV54" s="80" t="inlineStr">
        <is>
          <t>Annual DPIA review; data mapping audit (controller record validation); consent record audit; breach response simulation (tabletop); access control review for personal data systems; third-party processor audit; SDAIA compliance self-assessment</t>
        </is>
      </c>
      <c r="AW54" s="81" t="inlineStr">
        <is>
          <t>OneTrust (market leader for PDPL); TrustArc; Nymity; DataGrail; Varonis (data discovery); Microsoft Purview (data classification). SDAIA National Data Governance Platform for registration. Arabic-capable tools preferred</t>
        </is>
      </c>
      <c r="AX54" s="82" t="inlineStr">
        <is>
          <t>All third-party data processors must have Data Processing Agreement (DPA). Processors must demonstrate equivalent PDPL compliance. Cross-border transfers require adequacy assessment or appropriate safeguards. Sub-processor disclosure mandatory. Annual processor risk assessment required</t>
        </is>
      </c>
      <c r="AY54" s="83" t="inlineStr">
        <is>
          <t>Non-compliance: SAR 5M administrative fine; criminal prosecution for sensitive data breach; SDAIA investigation; mandatory breach public disclosure. Business disruption: SDAIA can order processing suspension. Reputational: patient trust damage. Market: EU adequate protection status depends on PDPL enforcement credibility</t>
        </is>
      </c>
      <c r="AZ54" s="80" t="inlineStr">
        <is>
          <t>ALL 17 SECTORS — any entity processing personal data</t>
        </is>
      </c>
      <c r="BA54" s="34" t="inlineStr">
        <is>
          <t>YES — ALL SECTORS</t>
        </is>
      </c>
      <c r="BB54" s="591">
        <f>IF(E54="","",IF(ISNUMBER(SEARCH("Institutional theory and regulatory governance theory underpin",AI54)),"TEMPLATE",IF(LEN(AI54)&gt;100,"DEEP",IF(AI54="","SPARSE","SHALLOW"))))</f>
        <v/>
      </c>
      <c r="BC54" s="591">
        <f>IF(E54="","",D54&amp;"-"&amp;B54&amp;"-"&amp;E54)</f>
        <v/>
      </c>
      <c r="BD54" s="591">
        <f>IF(E54="","",SUBSTITUTE(SUBSTITUTE(B54&amp;"-"&amp;E54," ",""),":","-"))</f>
        <v/>
      </c>
      <c r="BE54" s="591">
        <f>IF(E54="","",IF(ISNUMBER(SEARCH("ECC",E54)),"NCA-ECC-2-2024",IF(ISNUMBER(SEARCH("OTCC",E54)),"NCA-ECC-2-2024",IF(ISNUMBER(SEARCH("CCC",E54)),"NCA-ECC-2-2024",IF(ISNUMBER(SEARCH("DCC",E54)),"NCA-ECC-2-2024",IF(ISNUMBER(SEARCH("CSCC",E54)),"NCA-ECC-2-2024",IF(ISNUMBER(SEARCH("PDPL-IR",E54)),"PDPL-2021",IF(ISNUMBER(SEARCH("PDPL-DTR",E54)),"PDPL-2021","NONE"))))))))</f>
        <v/>
      </c>
      <c r="BF54" s="594">
        <f>IF(E54="","",IF(BB54="DEEP",10,IF(BB54="SHALLOW",5,IF(BB54="TEMPLATE",3,1)))+IF(N54="HIGHEST",5,IF(N54="HIGH",3,IF(N54="MODERATE",1,0)))+IF(ISNUMBER(SEARCH("Mandatory",L54)),3,0))</f>
        <v/>
      </c>
    </row>
    <row r="55" ht="42" customHeight="1">
      <c r="A55" s="42" t="n">
        <v>50</v>
      </c>
      <c r="B55" s="69" t="inlineStr">
        <is>
          <t>CBAHI</t>
        </is>
      </c>
      <c r="C55" s="44" t="inlineStr">
        <is>
          <t>Central Board for Accreditation of HCI</t>
        </is>
      </c>
      <c r="D55" s="44" t="inlineStr">
        <is>
          <t>2. Healthcare &amp; Life Sciences</t>
        </is>
      </c>
      <c r="E55" s="69" t="inlineStr">
        <is>
          <t>CBAHI-HAS-H</t>
        </is>
      </c>
      <c r="F55" s="45" t="inlineStr">
        <is>
          <t>Hospital Accreditation Standards (5th Ed.)</t>
        </is>
      </c>
      <c r="G55" s="44" t="inlineStr">
        <is>
          <t>معايير اعتماد المستشفيات</t>
        </is>
      </c>
      <c r="H55" s="44" t="inlineStr">
        <is>
          <t>5th Edition 2021</t>
        </is>
      </c>
      <c r="I55" s="46" t="inlineStr">
        <is>
          <t>2008</t>
        </is>
      </c>
      <c r="J55" s="46" t="inlineStr">
        <is>
          <t>298</t>
        </is>
      </c>
      <c r="K55" s="44" t="inlineStr">
        <is>
          <t>ISSUES/ENFORCES</t>
        </is>
      </c>
      <c r="L55" s="92" t="inlineStr">
        <is>
          <t>Voluntary</t>
        </is>
      </c>
      <c r="M55" s="44" t="inlineStr">
        <is>
          <t>Hospitals — voluntary but required for MOH facility operation</t>
        </is>
      </c>
      <c r="N55" s="47" t="inlineStr">
        <is>
          <t>HIGHEST</t>
        </is>
      </c>
      <c r="O55" s="48" t="inlineStr">
        <is>
          <t>https://www.cbahi.gov.sa/</t>
        </is>
      </c>
      <c r="P55" s="44" t="inlineStr">
        <is>
          <t>CBAHI official; WHO/WEF PHSSR 2025</t>
        </is>
      </c>
      <c r="Q55" s="70" t="inlineStr">
        <is>
          <t>1st Ed 2008 → 2nd Ed 2011 → 3rd Ed 2014 → 4th Ed 2017 → 5th Ed 2021</t>
        </is>
      </c>
      <c r="R55" s="70" t="inlineStr">
        <is>
          <t>5th Edition (2021, current): 298 standards across domains including Patient and Family Rights, Patient Assessment, Care of Patients, Patient Safety, Medication Management, Infection Prevention, Facility Management, Staff Qualifications, Quality Improvement, Governance, HIT (Health Information Technology). HIT standards require EMR, NABIDH connectivity, access control, audit trails, downtime procedures. IoMT requirements added in 5th Ed: medical device integration standards, alarm management policy. Benchmarked against JCI standards</t>
        </is>
      </c>
      <c r="S55" s="71" t="inlineStr">
        <is>
          <t>1st Ed: 2008. 2nd: 2011. 3rd: 2014. 4th: 2017. 5th: 2021</t>
        </is>
      </c>
      <c r="T55" s="70" t="inlineStr">
        <is>
          <t>6th Edition expected 2025-2026</t>
        </is>
      </c>
      <c r="U55" s="25" t="inlineStr">
        <is>
          <t>CURRENT — 5th Edition 2021</t>
        </is>
      </c>
      <c r="V55" s="70" t="inlineStr">
        <is>
          <t>Accreditation denial; accreditation suspension; accreditation withdrawal; MOH facility licensing risk (accreditation linked to licensing in practice)</t>
        </is>
      </c>
      <c r="W55" s="72" t="inlineStr">
        <is>
          <t>CBAHI — Accreditation Survey Teams (peer surveyors); MOH recognises CBAHI as national accreditor</t>
        </is>
      </c>
      <c r="X55" s="70" t="inlineStr">
        <is>
          <t>Hospital (primary scope); Teaching Hospital; Specialist Centre</t>
        </is>
      </c>
      <c r="Y55" s="49" t="inlineStr">
        <is>
          <t>Both (voluntary but operationally required)</t>
        </is>
      </c>
      <c r="Z55" s="70" t="inlineStr">
        <is>
          <t>Full survey every 3 years; midterm (focused) survey at 18 months; unannounced visits; corrective action follow-up</t>
        </is>
      </c>
      <c r="AA55" s="71" t="inlineStr">
        <is>
          <t>Full survey: 3-year cycle. Midterm: 18 months. Unannounced: possible at any time</t>
        </is>
      </c>
      <c r="AB55" s="70" t="inlineStr">
        <is>
          <t>22 (HIT standards: medical device integration; alarm management policy mandatory; device maintenance logs; remote monitoring governance; downtime procedures; device inventory; cybersecurity of clinical systems as patient safety issue)</t>
        </is>
      </c>
      <c r="AC55" s="70" t="inlineStr">
        <is>
          <t>JCI (Joint Commission International) — benchmarked; ISQua (accreditation body accreditor); WHO Safe Hospitals Framework</t>
        </is>
      </c>
      <c r="AD55" s="22" t="inlineStr">
        <is>
          <t>Arabic + English (official bilingual)</t>
        </is>
      </c>
      <c r="AE55" s="26" t="inlineStr">
        <is>
          <t>Layer 1: Governance; Layer 4: Compliance; Layer 5: Assurance</t>
        </is>
      </c>
      <c r="AF55" s="27" t="inlineStr">
        <is>
          <t>Yes — Met / Partially Met / Not Met / Not Applicable per standard; overall accreditation decision = scored threshold</t>
        </is>
      </c>
      <c r="AG55" s="70" t="inlineStr">
        <is>
          <t>HSTP quality transformation; Vision 2030 healthcare quality targets (JCI/CBAHI accreditation for all tertiary hospitals)</t>
        </is>
      </c>
      <c r="AH55" s="70" t="inlineStr">
        <is>
          <t>Survey self-assessment; policy documentation; staff credential files; patient safety incident log; HIT system audit; quality improvement data; patient satisfaction scores</t>
        </is>
      </c>
      <c r="AI55" s="73" t="inlineStr">
        <is>
          <t>Healthcare quality theory (Donabedian 1988): structure-process-outcome triad. Accreditation theory: third-party external validation as quality assurance mechanism. Institutional isomorphism: accreditation spreads best practices through mimetic pressure. Patient safety culture theory (Reason 2000): systems-based safety vs blame culture.</t>
        </is>
      </c>
      <c r="AJ55" s="70" t="inlineStr">
        <is>
          <t>FOR: Almutairi et al. (2015) and Alkhenizan &amp; Shaw (2011) find CBAHI-accredited hospitals show measurable quality improvements; national benchmark grounded in Saudi context unlike JCI (US-centric); patient safety improvements documented post-accreditation. AGAINST: Voluntariness undermines universal coverage — only ~40% of KSA hospitals accredited (WHO PHSSR 2025); Greenfield &amp; Braithwaite (2008) meta-analysis questions causal link between accreditation and patient outcomes; survey preparation creates compliance-oriented behaviours rather than genuine quality improvement (gaming risk)</t>
        </is>
      </c>
      <c r="AK55" s="74" t="inlineStr">
        <is>
          <t>3-year survey cycle too long for rapid IoMT deployment environment; HIT standards in 5th Ed still less specific than HIMSS EMRAM Stage 6/7 requirements; cybersecurity standards within CBAHI remain minimal compared to NCA ECC-2 requirements; no dedicated IoMT governance chapter despite medical device proliferation; rural and small facility accreditation rates critically low</t>
        </is>
      </c>
      <c r="AL55" s="75" t="inlineStr">
        <is>
          <t>CBAHI vs JCI: JCI globally recognised; CBAHI nationally recognised — JCI preferred for medical tourism attracting hospitals. CBAHI vs HIMSS EMRAM: CBAHI is broad clinical; HIMSS EMRAM is digital health maturity-specific. CBAHI vs DNV: CBAHI similar survey model. CBAHI + HIMSS EMRAM combined = most comprehensive digital health quality picture for KSA hospitals</t>
        </is>
      </c>
      <c r="AM55" s="76" t="inlineStr">
        <is>
          <t>Alkhenizan A &amp; Shaw C (2011) 'Impact of Accreditation' Ann Saudi Med 31(4); Almutairi AF et al. (2015) 'Perceptions of CBAHI Accreditation' BMC Health Services Research; Donabedian A (1988) 'Quality of Care' JAMA 260(12); Greenfield D &amp; Braithwaite J (2008) 'Health Sector Accreditation Research' Int J Quality Health Care 20(3); WHO (2025) PHSSR Saudi Arabia</t>
        </is>
      </c>
      <c r="AN55" s="50" t="inlineStr">
        <is>
          <t>Official: CBAHI website (cbahi.gov.sa) — standards available to purchase. Training: CBAHI education programmes; surveyor training; CPHQ (Certified Professional in Healthcare Quality). Estimated: 60 hours for surveyors; 20 hours for department leads</t>
        </is>
      </c>
      <c r="AO55" s="77" t="inlineStr">
        <is>
          <t>GH-ICGA Layer 5 (Assurance) — CBAHI accreditation is the primary assurance mechanism for hospital IoMT governance. Thesis argument: CBAHI-HAS-H 5th Ed HIT standards need a cybersecurity annex for IoMT — GH-ICGA Layer 5 Assurance proposes an IoMT-specific evaluation framework that could be adopted within CBAHI survey process</t>
        </is>
      </c>
      <c r="AP55" s="51" t="inlineStr">
        <is>
          <t>G + C (Governance through quality standards + voluntary compliance assurance)</t>
        </is>
      </c>
      <c r="AQ55" s="78" t="inlineStr">
        <is>
          <t>CEO: accountable for accreditation status. CMO: responsible for clinical quality chapter compliance. CNO: responsible for nursing quality. Quality/Patient Safety Director: coordinates accreditation programme. Department heads: responsible for chapter compliance in their domain. Accreditation Committee: cross-functional governance body</t>
        </is>
      </c>
      <c r="AR55" s="74" t="inlineStr">
        <is>
          <t>Quality Risk; Patient Safety Risk; Operational Risk (accreditation loss = licensing risk); Reputational Risk; Regulatory Risk (MOH links accreditation to licensing in practice)</t>
        </is>
      </c>
      <c r="AS55" s="92" t="inlineStr">
        <is>
          <t>VOLUNTARY — but operationally MANDATORY (MOH licensing increasingly linked to CBAHI in practice; required for JCI-referencing hospitals and private insurance network participation)</t>
        </is>
      </c>
      <c r="AT55" s="75" t="inlineStr">
        <is>
          <t>Administrative (A): 150 controls — policies; procedures; governance; quality committees. Technical (T): 48 controls — HIT; equipment maintenance; diagnostic systems. Operational (O): 100 controls — clinical procedures; patient safety practices; staff competencies</t>
        </is>
      </c>
      <c r="AU55" s="79" t="inlineStr">
        <is>
          <t>1. CBAHI survey score per chapter (target ≥90% Met). 2. # sentinel events per 1,000 admissions. 3. Falls rate per 1,000 patient days. 4. Hospital-acquired infection rate. 5. Patient satisfaction score (target &gt;90%). 6. Medication error rate. 7. HIT compliance score (CBAHI HIT chapter)</t>
        </is>
      </c>
      <c r="AV55" s="80" t="inlineStr">
        <is>
          <t>CBAHI full survey (3-year cycle — 2-3 day on-site assessment); midterm survey (18 months — focused chapters); unannounced visit (possible any time); tracer methodology; document review; staff interviews; facility inspection</t>
        </is>
      </c>
      <c r="AW55" s="81" t="inlineStr">
        <is>
          <t>Accreditation Manager (CBAHI online platform); EQUIP (quality management platform); PowerDMS; Quantros; Press Ganey (patient satisfaction); Meditech/Epic quality modules; RL6 (incident reporting)</t>
        </is>
      </c>
      <c r="AX55" s="82" t="inlineStr">
        <is>
          <t>Contractors and service providers in clinical areas must meet CBAHI competency requirements; credentialing of contracted physicians required; outsourced services (laundry, catering, security) must meet CBAHI environment chapter standards; medical device vendors: CBAHI biomedical equipment requirements</t>
        </is>
      </c>
      <c r="AY55" s="83" t="inlineStr">
        <is>
          <t>Accreditation denial: cannot be MOH referral centre; excluded from major insurance networks; reputational damage. Accreditation suspension: immediate revenue impact from insurance exclusion. MOH can condition facility licence on CBAHI compliance</t>
        </is>
      </c>
      <c r="AZ55" s="80" t="inlineStr">
        <is>
          <t>Healthcare &amp; Life Sciences</t>
        </is>
      </c>
      <c r="BA55" s="41" t="inlineStr">
        <is>
          <t>Sector-Specific</t>
        </is>
      </c>
      <c r="BB55" s="591">
        <f>IF(E55="","",IF(ISNUMBER(SEARCH("Institutional theory and regulatory governance theory underpin",AI55)),"TEMPLATE",IF(LEN(AI55)&gt;100,"DEEP",IF(AI55="","SPARSE","SHALLOW"))))</f>
        <v/>
      </c>
      <c r="BC55" s="591">
        <f>IF(E55="","",D55&amp;"-"&amp;B55&amp;"-"&amp;E55)</f>
        <v/>
      </c>
      <c r="BD55" s="591">
        <f>IF(E55="","",SUBSTITUTE(SUBSTITUTE(B55&amp;"-"&amp;E55," ",""),":","-"))</f>
        <v/>
      </c>
      <c r="BE55" s="591">
        <f>IF(E55="","",IF(ISNUMBER(SEARCH("ECC",E55)),"NCA-ECC-2-2024",IF(ISNUMBER(SEARCH("OTCC",E55)),"NCA-ECC-2-2024",IF(ISNUMBER(SEARCH("CCC",E55)),"NCA-ECC-2-2024",IF(ISNUMBER(SEARCH("DCC",E55)),"NCA-ECC-2-2024",IF(ISNUMBER(SEARCH("CSCC",E55)),"NCA-ECC-2-2024",IF(ISNUMBER(SEARCH("PDPL-IR",E55)),"PDPL-2021",IF(ISNUMBER(SEARCH("PDPL-DTR",E55)),"PDPL-2021","NONE"))))))))</f>
        <v/>
      </c>
      <c r="BF55" s="594">
        <f>IF(E55="","",IF(BB55="DEEP",10,IF(BB55="SHALLOW",5,IF(BB55="TEMPLATE",3,1)))+IF(N55="HIGHEST",5,IF(N55="HIGH",3,IF(N55="MODERATE",1,0)))+IF(ISNUMBER(SEARCH("Mandatory",L55)),3,0))</f>
        <v/>
      </c>
    </row>
    <row r="56" ht="42" customHeight="1">
      <c r="A56" s="84" t="n">
        <v>51</v>
      </c>
      <c r="B56" s="85" t="inlineStr">
        <is>
          <t>CBAHI</t>
        </is>
      </c>
      <c r="C56" s="70" t="inlineStr">
        <is>
          <t>Central Board for Accreditation of HCI</t>
        </is>
      </c>
      <c r="D56" s="70" t="inlineStr">
        <is>
          <t>2. Healthcare &amp; Life Sciences</t>
        </is>
      </c>
      <c r="E56" s="85" t="inlineStr">
        <is>
          <t>CBAHI-HAS-PHC</t>
        </is>
      </c>
      <c r="F56" s="72" t="inlineStr">
        <is>
          <t>Primary Health Care Accreditation Standards</t>
        </is>
      </c>
      <c r="G56" s="70" t="inlineStr">
        <is>
          <t>معايير اعتماد الرعاية الصحية الأولية</t>
        </is>
      </c>
      <c r="H56" s="70" t="inlineStr">
        <is>
          <t>3rd Edition 2020</t>
        </is>
      </c>
      <c r="I56" s="71" t="inlineStr">
        <is>
          <t>2010</t>
        </is>
      </c>
      <c r="J56" s="71" t="inlineStr">
        <is>
          <t>145</t>
        </is>
      </c>
      <c r="K56" s="70" t="inlineStr">
        <is>
          <t>ISSUES/ENFORCES</t>
        </is>
      </c>
      <c r="L56" s="92" t="inlineStr">
        <is>
          <t>Voluntary</t>
        </is>
      </c>
      <c r="M56" s="70" t="inlineStr">
        <is>
          <t>Primary health care centres</t>
        </is>
      </c>
      <c r="N56" s="88" t="inlineStr">
        <is>
          <t>HIGH</t>
        </is>
      </c>
      <c r="O56" s="87" t="inlineStr">
        <is>
          <t>https://www.cbahi.gov.sa/</t>
        </is>
      </c>
      <c r="P56" s="70" t="inlineStr">
        <is>
          <t>CBAHI official</t>
        </is>
      </c>
      <c r="Q56" s="70" t="inlineStr">
        <is>
          <t>1st Ed 2010 → 2nd Ed 2015 → 3rd Ed 2020</t>
        </is>
      </c>
      <c r="R56" s="70" t="inlineStr">
        <is>
          <t>3rd Edition (2020): 145 standards for PHC centres. Covers chronic disease management (diabetes, hypertension), preventive services, family medicine, mental health services, pharmacy, infection control, records management. IoMT: remote patient monitoring for chronic disease management; telemedicine integration requirements aligned with MOH-TELE</t>
        </is>
      </c>
      <c r="S56" s="71" t="inlineStr">
        <is>
          <t>1st: 2010. 2nd: 2015. 3rd: 2020</t>
        </is>
      </c>
      <c r="T56" s="70" t="inlineStr">
        <is>
          <t>4th Edition expected 2024-2025</t>
        </is>
      </c>
      <c r="U56" s="25" t="inlineStr">
        <is>
          <t>CURRENT — 3rd Edition 2020</t>
        </is>
      </c>
      <c r="V56" s="70" t="inlineStr">
        <is>
          <t>Penalties defined by issuing authority; consult official source. NCA ECC-2 penalties apply if relevant</t>
        </is>
      </c>
      <c r="W56" s="72" t="inlineStr">
        <is>
          <t>Issuing authority and/or designated inspection department</t>
        </is>
      </c>
      <c r="X56" s="70" t="inlineStr">
        <is>
          <t>As specified in framework scope — consult official document</t>
        </is>
      </c>
      <c r="Y56" s="49" t="inlineStr">
        <is>
          <t>Both (unless specified otherwise in official document)</t>
        </is>
      </c>
      <c r="Z56" s="70" t="inlineStr">
        <is>
          <t>As defined by issuing authority</t>
        </is>
      </c>
      <c r="AA56" s="71" t="inlineStr">
        <is>
          <t>As defined by issuing authority</t>
        </is>
      </c>
      <c r="AB56" s="70" t="inlineStr">
        <is>
          <t>To be determined from framework text — see official source</t>
        </is>
      </c>
      <c r="AC56" s="70" t="inlineStr">
        <is>
          <t>See framework preamble for international standard references</t>
        </is>
      </c>
      <c r="AD56" s="49" t="inlineStr">
        <is>
          <t>Arabic (primary in KSA); English may be available</t>
        </is>
      </c>
      <c r="AE56" s="58" t="inlineStr">
        <is>
          <t>Mapped to relevant GH-ICGA layer — requires manual assessment</t>
        </is>
      </c>
      <c r="AF56" s="56" t="inlineStr">
        <is>
          <t>See official framework for maturity model details</t>
        </is>
      </c>
      <c r="AG56" s="70" t="inlineStr">
        <is>
          <t>Aligned with relevant Vision 2030 programme — see framework context</t>
        </is>
      </c>
      <c r="AH56" s="70" t="inlineStr">
        <is>
          <t>As specified in framework compliance requirements</t>
        </is>
      </c>
      <c r="AI56" s="73" t="inlineStr">
        <is>
          <t>Institutional theory and regulatory governance theory underpin all KSA regulatory frameworks. Specific theoretical basis varies by framework — consult academic literature via Google Scholar using framework name as search term.</t>
        </is>
      </c>
      <c r="AJ56" s="70" t="inlineStr">
        <is>
          <t>Academic debate varies by framework maturity and international adoption. For KSA-specific debate, consult: Almohammad &amp; Wills (2021) J Cybersecurity; Al-Khater et al. (2020) IEEE Access; Baker McKenzie KSA regulatory updates.</t>
        </is>
      </c>
      <c r="AK56" s="74" t="inlineStr">
        <is>
          <t>Known criticisms include: implementation gap between standards and practice; resource constraints for smaller healthcare entities; rapid technology evolution outpacing regulation. Consult framework evaluation literature for specifics.</t>
        </is>
      </c>
      <c r="AL56" s="75" t="inlineStr">
        <is>
          <t>Framework comparison requires contextual analysis. Key comparators: NIST CSF 2.0 (international benchmark), ISO 27001 (certifiable standard), ECC-2 (KSA mandatory baseline). See main database for cross-framework mapping.</t>
        </is>
      </c>
      <c r="AM56"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56" s="50" t="inlineStr">
        <is>
          <t>Official: Consult the official source URL in the database for the primary document. Training: ISACA, ISC2, RAPS, IAPP, and HIMSS offer professional development covering most regulatory domains. Estimated hours vary by framework complexity.</t>
        </is>
      </c>
      <c r="AO56" s="77" t="inlineStr">
        <is>
          <t>Relevance to GH-ICGA framework varies by layer — see GH-ICGA Layer Mapping column. All KSA mandatory frameworks are compliance inputs to GH-ICGA Layer 4. Frameworks with IoMT-specific provisions directly inform Layers 2 and 3.</t>
        </is>
      </c>
      <c r="AP56" s="51" t="inlineStr">
        <is>
          <t>G + C (Governance + Compliance — standard regulatory framework positioning)</t>
        </is>
      </c>
      <c r="AQ56" s="78" t="inlineStr">
        <is>
          <t>Senior management: accountability for framework compliance. Designated compliance officer: monitor requirements. All staff: awareness of applicable obligations</t>
        </is>
      </c>
      <c r="AR56" s="74" t="inlineStr">
        <is>
          <t>Regulatory Risk; Operational Risk; Reputational Risk — specific domains determined by framework scope</t>
        </is>
      </c>
      <c r="AS56" s="22" t="inlineStr">
        <is>
          <t>See official source — legal obligation, regulatory requirement, or voluntary standard as applicable</t>
        </is>
      </c>
      <c r="AT56" s="75" t="inlineStr">
        <is>
          <t>Administrative; Technical; Operational — specific distribution determined by framework content</t>
        </is>
      </c>
      <c r="AU56" s="79" t="inlineStr">
        <is>
          <t>1. Compliance status (compliant/non-compliant). 2. # open findings from last assessment. 3. % controls implemented. 4. Time to remediate findings. 5. Incident rate in framework scope area</t>
        </is>
      </c>
      <c r="AV56" s="80" t="inlineStr">
        <is>
          <t>Self-assessment; internal audit; external assessment as specified by issuing authority</t>
        </is>
      </c>
      <c r="AW56" s="81" t="inlineStr">
        <is>
          <t>ServiceNow GRC; IBM OpenPages; RSA Archer; MetricStream — all major GRC platforms support custom framework import. Contact vendor for framework-specific module</t>
        </is>
      </c>
      <c r="AX56" s="82" t="inlineStr">
        <is>
          <t>Third parties in scope must demonstrate equivalent compliance. Contractual compliance obligations; right-to-audit clauses; annual third-party assessment</t>
        </is>
      </c>
      <c r="AY56" s="83" t="inlineStr">
        <is>
          <t>Non-compliance: regulatory action by issuing authority; fines and penalties as specified; operational and reputational consequences</t>
        </is>
      </c>
      <c r="AZ56" s="80" t="inlineStr">
        <is>
          <t>Healthcare &amp; Life Sciences</t>
        </is>
      </c>
      <c r="BA56" s="41" t="inlineStr">
        <is>
          <t>Sector-Specific</t>
        </is>
      </c>
      <c r="BB56" s="591">
        <f>IF(E56="","",IF(ISNUMBER(SEARCH("Institutional theory and regulatory governance theory underpin",AI56)),"TEMPLATE",IF(LEN(AI56)&gt;100,"DEEP",IF(AI56="","SPARSE","SHALLOW"))))</f>
        <v/>
      </c>
      <c r="BC56" s="591">
        <f>IF(E56="","",D56&amp;"-"&amp;B56&amp;"-"&amp;E56)</f>
        <v/>
      </c>
      <c r="BD56" s="591">
        <f>IF(E56="","",SUBSTITUTE(SUBSTITUTE(B56&amp;"-"&amp;E56," ",""),":","-"))</f>
        <v/>
      </c>
      <c r="BE56" s="591">
        <f>IF(E56="","",IF(ISNUMBER(SEARCH("ECC",E56)),"NCA-ECC-2-2024",IF(ISNUMBER(SEARCH("OTCC",E56)),"NCA-ECC-2-2024",IF(ISNUMBER(SEARCH("CCC",E56)),"NCA-ECC-2-2024",IF(ISNUMBER(SEARCH("DCC",E56)),"NCA-ECC-2-2024",IF(ISNUMBER(SEARCH("CSCC",E56)),"NCA-ECC-2-2024",IF(ISNUMBER(SEARCH("PDPL-IR",E56)),"PDPL-2021",IF(ISNUMBER(SEARCH("PDPL-DTR",E56)),"PDPL-2021","NONE"))))))))</f>
        <v/>
      </c>
      <c r="BF56" s="594">
        <f>IF(E56="","",IF(BB56="DEEP",10,IF(BB56="SHALLOW",5,IF(BB56="TEMPLATE",3,1)))+IF(N56="HIGHEST",5,IF(N56="HIGH",3,IF(N56="MODERATE",1,0)))+IF(ISNUMBER(SEARCH("Mandatory",L56)),3,0))</f>
        <v/>
      </c>
    </row>
    <row r="57" ht="42" customHeight="1">
      <c r="A57" s="42" t="n">
        <v>52</v>
      </c>
      <c r="B57" s="69" t="inlineStr">
        <is>
          <t>CBAHI</t>
        </is>
      </c>
      <c r="C57" s="44" t="inlineStr">
        <is>
          <t>Central Board for Accreditation of HCI</t>
        </is>
      </c>
      <c r="D57" s="44" t="inlineStr">
        <is>
          <t>2. Healthcare &amp; Life Sciences</t>
        </is>
      </c>
      <c r="E57" s="69" t="inlineStr">
        <is>
          <t>CBAHI-HAS-LAB</t>
        </is>
      </c>
      <c r="F57" s="45" t="inlineStr">
        <is>
          <t>Laboratory Accreditation Standards</t>
        </is>
      </c>
      <c r="G57" s="44" t="inlineStr">
        <is>
          <t>معايير اعتماد المختبرات</t>
        </is>
      </c>
      <c r="H57" s="44" t="inlineStr">
        <is>
          <t>2nd Edition 2019</t>
        </is>
      </c>
      <c r="I57" s="46" t="inlineStr">
        <is>
          <t>2012</t>
        </is>
      </c>
      <c r="J57" s="46" t="inlineStr">
        <is>
          <t>80</t>
        </is>
      </c>
      <c r="K57" s="44" t="inlineStr">
        <is>
          <t>ISSUES/ENFORCES</t>
        </is>
      </c>
      <c r="L57" s="92" t="inlineStr">
        <is>
          <t>Voluntary</t>
        </is>
      </c>
      <c r="M57" s="44" t="inlineStr">
        <is>
          <t>Clinical laboratories</t>
        </is>
      </c>
      <c r="N57" s="54" t="inlineStr">
        <is>
          <t>HIGH</t>
        </is>
      </c>
      <c r="O57" s="48" t="inlineStr">
        <is>
          <t>https://www.cbahi.gov.sa/</t>
        </is>
      </c>
      <c r="P57" s="44" t="inlineStr">
        <is>
          <t>CBAHI official</t>
        </is>
      </c>
      <c r="Q57" s="70" t="inlineStr">
        <is>
          <t>1st Ed 2012 → 2nd Ed 2019</t>
        </is>
      </c>
      <c r="R57" s="70" t="inlineStr">
        <is>
          <t>2nd Edition (2019): 80 standards for clinical laboratories. Aligned with ISO 15189 and ISO 17025. Covers pre-analytical, analytical, post-analytical phases; quality management; proficiency testing; biosafety; result reporting (including critical values); LIS integration requirements for NABIDH</t>
        </is>
      </c>
      <c r="S57" s="71" t="inlineStr">
        <is>
          <t>1st: 2012. 2nd: 2019</t>
        </is>
      </c>
      <c r="T57" s="70" t="inlineStr">
        <is>
          <t>3rd Edition expected 2024</t>
        </is>
      </c>
      <c r="U57" s="25" t="inlineStr">
        <is>
          <t>CURRENT — 2nd Edition 2019</t>
        </is>
      </c>
      <c r="V57" s="70" t="inlineStr">
        <is>
          <t>Penalties defined by issuing authority; consult official source. NCA ECC-2 penalties apply if relevant</t>
        </is>
      </c>
      <c r="W57" s="72" t="inlineStr">
        <is>
          <t>Issuing authority and/or designated inspection department</t>
        </is>
      </c>
      <c r="X57" s="70" t="inlineStr">
        <is>
          <t>As specified in framework scope — consult official document</t>
        </is>
      </c>
      <c r="Y57" s="49" t="inlineStr">
        <is>
          <t>Both (unless specified otherwise in official document)</t>
        </is>
      </c>
      <c r="Z57" s="70" t="inlineStr">
        <is>
          <t>As defined by issuing authority</t>
        </is>
      </c>
      <c r="AA57" s="71" t="inlineStr">
        <is>
          <t>As defined by issuing authority</t>
        </is>
      </c>
      <c r="AB57" s="70" t="inlineStr">
        <is>
          <t>To be determined from framework text — see official source</t>
        </is>
      </c>
      <c r="AC57" s="70" t="inlineStr">
        <is>
          <t>See framework preamble for international standard references</t>
        </is>
      </c>
      <c r="AD57" s="49" t="inlineStr">
        <is>
          <t>Arabic (primary in KSA); English may be available</t>
        </is>
      </c>
      <c r="AE57" s="58" t="inlineStr">
        <is>
          <t>Mapped to relevant GH-ICGA layer — requires manual assessment</t>
        </is>
      </c>
      <c r="AF57" s="56" t="inlineStr">
        <is>
          <t>See official framework for maturity model details</t>
        </is>
      </c>
      <c r="AG57" s="70" t="inlineStr">
        <is>
          <t>Aligned with relevant Vision 2030 programme — see framework context</t>
        </is>
      </c>
      <c r="AH57" s="70" t="inlineStr">
        <is>
          <t>As specified in framework compliance requirements</t>
        </is>
      </c>
      <c r="AI57" s="73" t="inlineStr">
        <is>
          <t>Institutional theory and regulatory governance theory underpin all KSA regulatory frameworks. Specific theoretical basis varies by framework — consult academic literature via Google Scholar using framework name as search term.</t>
        </is>
      </c>
      <c r="AJ57" s="70" t="inlineStr">
        <is>
          <t>Academic debate varies by framework maturity and international adoption. For KSA-specific debate, consult: Almohammad &amp; Wills (2021) J Cybersecurity; Al-Khater et al. (2020) IEEE Access; Baker McKenzie KSA regulatory updates.</t>
        </is>
      </c>
      <c r="AK57" s="74" t="inlineStr">
        <is>
          <t>Known criticisms include: implementation gap between standards and practice; resource constraints for smaller healthcare entities; rapid technology evolution outpacing regulation. Consult framework evaluation literature for specifics.</t>
        </is>
      </c>
      <c r="AL57" s="75" t="inlineStr">
        <is>
          <t>Framework comparison requires contextual analysis. Key comparators: NIST CSF 2.0 (international benchmark), ISO 27001 (certifiable standard), ECC-2 (KSA mandatory baseline). See main database for cross-framework mapping.</t>
        </is>
      </c>
      <c r="AM57"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57" s="50" t="inlineStr">
        <is>
          <t>Official: Consult the official source URL in the database for the primary document. Training: ISACA, ISC2, RAPS, IAPP, and HIMSS offer professional development covering most regulatory domains. Estimated hours vary by framework complexity.</t>
        </is>
      </c>
      <c r="AO57" s="77" t="inlineStr">
        <is>
          <t>Relevance to GH-ICGA framework varies by layer — see GH-ICGA Layer Mapping column. All KSA mandatory frameworks are compliance inputs to GH-ICGA Layer 4. Frameworks with IoMT-specific provisions directly inform Layers 2 and 3.</t>
        </is>
      </c>
      <c r="AP57" s="51" t="inlineStr">
        <is>
          <t>G + C (Governance + Compliance — standard regulatory framework positioning)</t>
        </is>
      </c>
      <c r="AQ57" s="78" t="inlineStr">
        <is>
          <t>Senior management: accountability for framework compliance. Designated compliance officer: monitor requirements. All staff: awareness of applicable obligations</t>
        </is>
      </c>
      <c r="AR57" s="74" t="inlineStr">
        <is>
          <t>Regulatory Risk; Operational Risk; Reputational Risk — specific domains determined by framework scope</t>
        </is>
      </c>
      <c r="AS57" s="22" t="inlineStr">
        <is>
          <t>See official source — legal obligation, regulatory requirement, or voluntary standard as applicable</t>
        </is>
      </c>
      <c r="AT57" s="75" t="inlineStr">
        <is>
          <t>Administrative; Technical; Operational — specific distribution determined by framework content</t>
        </is>
      </c>
      <c r="AU57" s="79" t="inlineStr">
        <is>
          <t>1. Compliance status (compliant/non-compliant). 2. # open findings from last assessment. 3. % controls implemented. 4. Time to remediate findings. 5. Incident rate in framework scope area</t>
        </is>
      </c>
      <c r="AV57" s="80" t="inlineStr">
        <is>
          <t>Self-assessment; internal audit; external assessment as specified by issuing authority</t>
        </is>
      </c>
      <c r="AW57" s="81" t="inlineStr">
        <is>
          <t>ServiceNow GRC; IBM OpenPages; RSA Archer; MetricStream — all major GRC platforms support custom framework import. Contact vendor for framework-specific module</t>
        </is>
      </c>
      <c r="AX57" s="82" t="inlineStr">
        <is>
          <t>Third parties in scope must demonstrate equivalent compliance. Contractual compliance obligations; right-to-audit clauses; annual third-party assessment</t>
        </is>
      </c>
      <c r="AY57" s="83" t="inlineStr">
        <is>
          <t>Non-compliance: regulatory action by issuing authority; fines and penalties as specified; operational and reputational consequences</t>
        </is>
      </c>
      <c r="AZ57" s="80" t="inlineStr">
        <is>
          <t>Healthcare &amp; Life Sciences</t>
        </is>
      </c>
      <c r="BA57" s="41" t="inlineStr">
        <is>
          <t>Sector-Specific</t>
        </is>
      </c>
      <c r="BB57" s="591">
        <f>IF(E57="","",IF(ISNUMBER(SEARCH("Institutional theory and regulatory governance theory underpin",AI57)),"TEMPLATE",IF(LEN(AI57)&gt;100,"DEEP",IF(AI57="","SPARSE","SHALLOW"))))</f>
        <v/>
      </c>
      <c r="BC57" s="591">
        <f>IF(E57="","",D57&amp;"-"&amp;B57&amp;"-"&amp;E57)</f>
        <v/>
      </c>
      <c r="BD57" s="591">
        <f>IF(E57="","",SUBSTITUTE(SUBSTITUTE(B57&amp;"-"&amp;E57," ",""),":","-"))</f>
        <v/>
      </c>
      <c r="BE57" s="591">
        <f>IF(E57="","",IF(ISNUMBER(SEARCH("ECC",E57)),"NCA-ECC-2-2024",IF(ISNUMBER(SEARCH("OTCC",E57)),"NCA-ECC-2-2024",IF(ISNUMBER(SEARCH("CCC",E57)),"NCA-ECC-2-2024",IF(ISNUMBER(SEARCH("DCC",E57)),"NCA-ECC-2-2024",IF(ISNUMBER(SEARCH("CSCC",E57)),"NCA-ECC-2-2024",IF(ISNUMBER(SEARCH("PDPL-IR",E57)),"PDPL-2021",IF(ISNUMBER(SEARCH("PDPL-DTR",E57)),"PDPL-2021","NONE"))))))))</f>
        <v/>
      </c>
      <c r="BF57" s="594">
        <f>IF(E57="","",IF(BB57="DEEP",10,IF(BB57="SHALLOW",5,IF(BB57="TEMPLATE",3,1)))+IF(N57="HIGHEST",5,IF(N57="HIGH",3,IF(N57="MODERATE",1,0)))+IF(ISNUMBER(SEARCH("Mandatory",L57)),3,0))</f>
        <v/>
      </c>
    </row>
    <row r="58" ht="42" customHeight="1">
      <c r="A58" s="84" t="n">
        <v>53</v>
      </c>
      <c r="B58" s="85" t="inlineStr">
        <is>
          <t>CBAHI</t>
        </is>
      </c>
      <c r="C58" s="70" t="inlineStr">
        <is>
          <t>Central Board for Accreditation of HCI</t>
        </is>
      </c>
      <c r="D58" s="70" t="inlineStr">
        <is>
          <t>2. Healthcare &amp; Life Sciences</t>
        </is>
      </c>
      <c r="E58" s="85" t="inlineStr">
        <is>
          <t>CBAHI-HAS-LTC</t>
        </is>
      </c>
      <c r="F58" s="72" t="inlineStr">
        <is>
          <t>Long-Term Care Standards</t>
        </is>
      </c>
      <c r="G58" s="70" t="inlineStr">
        <is>
          <t>معايير الرعاية طويلة الأمد</t>
        </is>
      </c>
      <c r="H58" s="70" t="inlineStr">
        <is>
          <t>1st Edition 2018</t>
        </is>
      </c>
      <c r="I58" s="71" t="inlineStr">
        <is>
          <t>2018</t>
        </is>
      </c>
      <c r="J58" s="71" t="inlineStr">
        <is>
          <t>90</t>
        </is>
      </c>
      <c r="K58" s="70" t="inlineStr">
        <is>
          <t>ISSUES/ENFORCES</t>
        </is>
      </c>
      <c r="L58" s="92" t="inlineStr">
        <is>
          <t>Voluntary</t>
        </is>
      </c>
      <c r="M58" s="70" t="inlineStr">
        <is>
          <t>Long-term care facilities and rehabilitation centres</t>
        </is>
      </c>
      <c r="N58" s="88" t="inlineStr">
        <is>
          <t>HIGH</t>
        </is>
      </c>
      <c r="O58" s="87" t="inlineStr">
        <is>
          <t>https://www.cbahi.gov.sa/</t>
        </is>
      </c>
      <c r="P58" s="70" t="inlineStr">
        <is>
          <t>CBAHI official</t>
        </is>
      </c>
      <c r="Q58" s="70" t="inlineStr">
        <is>
          <t>1st Ed 2018 (First issue)</t>
        </is>
      </c>
      <c r="R58" s="70" t="inlineStr">
        <is>
          <t>First dedicated long-term care accreditation standards in KSA. 90 standards covering care planning, activities of daily living, dementia care, palliative care, medication management, safety (falls, pressure injuries), infection control, staff competencies. IoMT: remote monitoring requirements for high-dependency residents; fall detection sensor standards</t>
        </is>
      </c>
      <c r="S58" s="71" t="inlineStr">
        <is>
          <t>1st Ed: 2018</t>
        </is>
      </c>
      <c r="T58" s="70" t="inlineStr">
        <is>
          <t>2nd Edition expected 2024-2025</t>
        </is>
      </c>
      <c r="U58" s="25" t="inlineStr">
        <is>
          <t>CURRENT — 1st Edition 2018</t>
        </is>
      </c>
      <c r="V58" s="70" t="inlineStr">
        <is>
          <t>Penalties defined by issuing authority; consult official source. NCA ECC-2 penalties apply if relevant</t>
        </is>
      </c>
      <c r="W58" s="72" t="inlineStr">
        <is>
          <t>Issuing authority and/or designated inspection department</t>
        </is>
      </c>
      <c r="X58" s="70" t="inlineStr">
        <is>
          <t>As specified in framework scope — consult official document</t>
        </is>
      </c>
      <c r="Y58" s="49" t="inlineStr">
        <is>
          <t>Both (unless specified otherwise in official document)</t>
        </is>
      </c>
      <c r="Z58" s="70" t="inlineStr">
        <is>
          <t>As defined by issuing authority</t>
        </is>
      </c>
      <c r="AA58" s="71" t="inlineStr">
        <is>
          <t>As defined by issuing authority</t>
        </is>
      </c>
      <c r="AB58" s="70" t="inlineStr">
        <is>
          <t>To be determined from framework text — see official source</t>
        </is>
      </c>
      <c r="AC58" s="70" t="inlineStr">
        <is>
          <t>See framework preamble for international standard references</t>
        </is>
      </c>
      <c r="AD58" s="49" t="inlineStr">
        <is>
          <t>Arabic (primary in KSA); English may be available</t>
        </is>
      </c>
      <c r="AE58" s="58" t="inlineStr">
        <is>
          <t>Mapped to relevant GH-ICGA layer — requires manual assessment</t>
        </is>
      </c>
      <c r="AF58" s="56" t="inlineStr">
        <is>
          <t>See official framework for maturity model details</t>
        </is>
      </c>
      <c r="AG58" s="70" t="inlineStr">
        <is>
          <t>Aligned with relevant Vision 2030 programme — see framework context</t>
        </is>
      </c>
      <c r="AH58" s="70" t="inlineStr">
        <is>
          <t>As specified in framework compliance requirements</t>
        </is>
      </c>
      <c r="AI58" s="73" t="inlineStr">
        <is>
          <t>Institutional theory and regulatory governance theory underpin all KSA regulatory frameworks. Specific theoretical basis varies by framework — consult academic literature via Google Scholar using framework name as search term.</t>
        </is>
      </c>
      <c r="AJ58" s="70" t="inlineStr">
        <is>
          <t>Academic debate varies by framework maturity and international adoption. For KSA-specific debate, consult: Almohammad &amp; Wills (2021) J Cybersecurity; Al-Khater et al. (2020) IEEE Access; Baker McKenzie KSA regulatory updates.</t>
        </is>
      </c>
      <c r="AK58" s="74" t="inlineStr">
        <is>
          <t>Known criticisms include: implementation gap between standards and practice; resource constraints for smaller healthcare entities; rapid technology evolution outpacing regulation. Consult framework evaluation literature for specifics.</t>
        </is>
      </c>
      <c r="AL58" s="75" t="inlineStr">
        <is>
          <t>Framework comparison requires contextual analysis. Key comparators: NIST CSF 2.0 (international benchmark), ISO 27001 (certifiable standard), ECC-2 (KSA mandatory baseline). See main database for cross-framework mapping.</t>
        </is>
      </c>
      <c r="AM58"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58" s="50" t="inlineStr">
        <is>
          <t>Official: Consult the official source URL in the database for the primary document. Training: ISACA, ISC2, RAPS, IAPP, and HIMSS offer professional development covering most regulatory domains. Estimated hours vary by framework complexity.</t>
        </is>
      </c>
      <c r="AO58" s="77" t="inlineStr">
        <is>
          <t>Relevance to GH-ICGA framework varies by layer — see GH-ICGA Layer Mapping column. All KSA mandatory frameworks are compliance inputs to GH-ICGA Layer 4. Frameworks with IoMT-specific provisions directly inform Layers 2 and 3.</t>
        </is>
      </c>
      <c r="AP58" s="51" t="inlineStr">
        <is>
          <t>G + C (Governance + Compliance — standard regulatory framework positioning)</t>
        </is>
      </c>
      <c r="AQ58" s="78" t="inlineStr">
        <is>
          <t>Senior management: accountability for framework compliance. Designated compliance officer: monitor requirements. All staff: awareness of applicable obligations</t>
        </is>
      </c>
      <c r="AR58" s="74" t="inlineStr">
        <is>
          <t>Regulatory Risk; Operational Risk; Reputational Risk — specific domains determined by framework scope</t>
        </is>
      </c>
      <c r="AS58" s="22" t="inlineStr">
        <is>
          <t>See official source — legal obligation, regulatory requirement, or voluntary standard as applicable</t>
        </is>
      </c>
      <c r="AT58" s="75" t="inlineStr">
        <is>
          <t>Administrative; Technical; Operational — specific distribution determined by framework content</t>
        </is>
      </c>
      <c r="AU58" s="79" t="inlineStr">
        <is>
          <t>1. Compliance status (compliant/non-compliant). 2. # open findings from last assessment. 3. % controls implemented. 4. Time to remediate findings. 5. Incident rate in framework scope area</t>
        </is>
      </c>
      <c r="AV58" s="80" t="inlineStr">
        <is>
          <t>Self-assessment; internal audit; external assessment as specified by issuing authority</t>
        </is>
      </c>
      <c r="AW58" s="81" t="inlineStr">
        <is>
          <t>ServiceNow GRC; IBM OpenPages; RSA Archer; MetricStream — all major GRC platforms support custom framework import. Contact vendor for framework-specific module</t>
        </is>
      </c>
      <c r="AX58" s="82" t="inlineStr">
        <is>
          <t>Third parties in scope must demonstrate equivalent compliance. Contractual compliance obligations; right-to-audit clauses; annual third-party assessment</t>
        </is>
      </c>
      <c r="AY58" s="83" t="inlineStr">
        <is>
          <t>Non-compliance: regulatory action by issuing authority; fines and penalties as specified; operational and reputational consequences</t>
        </is>
      </c>
      <c r="AZ58" s="80" t="inlineStr">
        <is>
          <t>Sector-specific — consult official source</t>
        </is>
      </c>
      <c r="BA58" s="41" t="inlineStr">
        <is>
          <t>Sector-Specific</t>
        </is>
      </c>
      <c r="BB58" s="591">
        <f>IF(E58="","",IF(ISNUMBER(SEARCH("Institutional theory and regulatory governance theory underpin",AI58)),"TEMPLATE",IF(LEN(AI58)&gt;100,"DEEP",IF(AI58="","SPARSE","SHALLOW"))))</f>
        <v/>
      </c>
      <c r="BC58" s="591">
        <f>IF(E58="","",D58&amp;"-"&amp;B58&amp;"-"&amp;E58)</f>
        <v/>
      </c>
      <c r="BD58" s="591">
        <f>IF(E58="","",SUBSTITUTE(SUBSTITUTE(B58&amp;"-"&amp;E58," ",""),":","-"))</f>
        <v/>
      </c>
      <c r="BE58" s="591">
        <f>IF(E58="","",IF(ISNUMBER(SEARCH("ECC",E58)),"NCA-ECC-2-2024",IF(ISNUMBER(SEARCH("OTCC",E58)),"NCA-ECC-2-2024",IF(ISNUMBER(SEARCH("CCC",E58)),"NCA-ECC-2-2024",IF(ISNUMBER(SEARCH("DCC",E58)),"NCA-ECC-2-2024",IF(ISNUMBER(SEARCH("CSCC",E58)),"NCA-ECC-2-2024",IF(ISNUMBER(SEARCH("PDPL-IR",E58)),"PDPL-2021",IF(ISNUMBER(SEARCH("PDPL-DTR",E58)),"PDPL-2021","NONE"))))))))</f>
        <v/>
      </c>
      <c r="BF58" s="594">
        <f>IF(E58="","",IF(BB58="DEEP",10,IF(BB58="SHALLOW",5,IF(BB58="TEMPLATE",3,1)))+IF(N58="HIGHEST",5,IF(N58="HIGH",3,IF(N58="MODERATE",1,0)))+IF(ISNUMBER(SEARCH("Mandatory",L58)),3,0))</f>
        <v/>
      </c>
    </row>
    <row r="59" ht="42" customHeight="1">
      <c r="A59" s="42" t="n">
        <v>54</v>
      </c>
      <c r="B59" s="69" t="inlineStr">
        <is>
          <t>CBAHI</t>
        </is>
      </c>
      <c r="C59" s="44" t="inlineStr">
        <is>
          <t>Central Board for Accreditation of HCI</t>
        </is>
      </c>
      <c r="D59" s="44" t="inlineStr">
        <is>
          <t>2. Healthcare &amp; Life Sciences</t>
        </is>
      </c>
      <c r="E59" s="69" t="inlineStr">
        <is>
          <t>CBAHI-HAS-AMB</t>
        </is>
      </c>
      <c r="F59" s="45" t="inlineStr">
        <is>
          <t>Ambulatory Care Standards</t>
        </is>
      </c>
      <c r="G59" s="44" t="inlineStr">
        <is>
          <t>معايير الرعاية في العيادات الخارجية</t>
        </is>
      </c>
      <c r="H59" s="44" t="inlineStr">
        <is>
          <t>2nd Edition 2019</t>
        </is>
      </c>
      <c r="I59" s="46" t="inlineStr">
        <is>
          <t>2015</t>
        </is>
      </c>
      <c r="J59" s="46" t="inlineStr">
        <is>
          <t>75</t>
        </is>
      </c>
      <c r="K59" s="44" t="inlineStr">
        <is>
          <t>ISSUES/ENFORCES</t>
        </is>
      </c>
      <c r="L59" s="92" t="inlineStr">
        <is>
          <t>Voluntary</t>
        </is>
      </c>
      <c r="M59" s="44" t="inlineStr">
        <is>
          <t>Outpatient and ambulatory care centres</t>
        </is>
      </c>
      <c r="N59" s="54" t="inlineStr">
        <is>
          <t>HIGH</t>
        </is>
      </c>
      <c r="O59" s="48" t="inlineStr">
        <is>
          <t>https://www.cbahi.gov.sa/</t>
        </is>
      </c>
      <c r="P59" s="44" t="inlineStr">
        <is>
          <t>CBAHI official</t>
        </is>
      </c>
      <c r="Q59" s="70" t="inlineStr">
        <is>
          <t>1st Ed 2015 → 2nd Ed 2019</t>
        </is>
      </c>
      <c r="R59" s="70" t="inlineStr">
        <is>
          <t>2nd Edition (2019): 75 standards for outpatient and ambulatory care centres. Covers same-day surgery, endoscopy, dialysis, chemotherapy, physiotherapy. IoMT: remote monitoring post-procedure; wearable sensor integration for dialysis patients</t>
        </is>
      </c>
      <c r="S59" s="71" t="inlineStr">
        <is>
          <t>1st: 2015. 2nd: 2019</t>
        </is>
      </c>
      <c r="T59" s="70" t="inlineStr">
        <is>
          <t>3rd Edition expected 2024</t>
        </is>
      </c>
      <c r="U59" s="25" t="inlineStr">
        <is>
          <t>CURRENT — 2nd Edition 2019</t>
        </is>
      </c>
      <c r="V59" s="70" t="inlineStr">
        <is>
          <t>Penalties defined by issuing authority; consult official source. NCA ECC-2 penalties apply if relevant</t>
        </is>
      </c>
      <c r="W59" s="72" t="inlineStr">
        <is>
          <t>Issuing authority and/or designated inspection department</t>
        </is>
      </c>
      <c r="X59" s="70" t="inlineStr">
        <is>
          <t>As specified in framework scope — consult official document</t>
        </is>
      </c>
      <c r="Y59" s="49" t="inlineStr">
        <is>
          <t>Both (unless specified otherwise in official document)</t>
        </is>
      </c>
      <c r="Z59" s="70" t="inlineStr">
        <is>
          <t>As defined by issuing authority</t>
        </is>
      </c>
      <c r="AA59" s="71" t="inlineStr">
        <is>
          <t>As defined by issuing authority</t>
        </is>
      </c>
      <c r="AB59" s="70" t="inlineStr">
        <is>
          <t>To be determined from framework text — see official source</t>
        </is>
      </c>
      <c r="AC59" s="70" t="inlineStr">
        <is>
          <t>See framework preamble for international standard references</t>
        </is>
      </c>
      <c r="AD59" s="49" t="inlineStr">
        <is>
          <t>Arabic (primary in KSA); English may be available</t>
        </is>
      </c>
      <c r="AE59" s="58" t="inlineStr">
        <is>
          <t>Mapped to relevant GH-ICGA layer — requires manual assessment</t>
        </is>
      </c>
      <c r="AF59" s="56" t="inlineStr">
        <is>
          <t>See official framework for maturity model details</t>
        </is>
      </c>
      <c r="AG59" s="70" t="inlineStr">
        <is>
          <t>Aligned with relevant Vision 2030 programme — see framework context</t>
        </is>
      </c>
      <c r="AH59" s="70" t="inlineStr">
        <is>
          <t>As specified in framework compliance requirements</t>
        </is>
      </c>
      <c r="AI59" s="73" t="inlineStr">
        <is>
          <t>Institutional theory and regulatory governance theory underpin all KSA regulatory frameworks. Specific theoretical basis varies by framework — consult academic literature via Google Scholar using framework name as search term.</t>
        </is>
      </c>
      <c r="AJ59" s="70" t="inlineStr">
        <is>
          <t>Academic debate varies by framework maturity and international adoption. For KSA-specific debate, consult: Almohammad &amp; Wills (2021) J Cybersecurity; Al-Khater et al. (2020) IEEE Access; Baker McKenzie KSA regulatory updates.</t>
        </is>
      </c>
      <c r="AK59" s="74" t="inlineStr">
        <is>
          <t>Known criticisms include: implementation gap between standards and practice; resource constraints for smaller healthcare entities; rapid technology evolution outpacing regulation. Consult framework evaluation literature for specifics.</t>
        </is>
      </c>
      <c r="AL59" s="75" t="inlineStr">
        <is>
          <t>Framework comparison requires contextual analysis. Key comparators: NIST CSF 2.0 (international benchmark), ISO 27001 (certifiable standard), ECC-2 (KSA mandatory baseline). See main database for cross-framework mapping.</t>
        </is>
      </c>
      <c r="AM59"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59" s="50" t="inlineStr">
        <is>
          <t>Official: Consult the official source URL in the database for the primary document. Training: ISACA, ISC2, RAPS, IAPP, and HIMSS offer professional development covering most regulatory domains. Estimated hours vary by framework complexity.</t>
        </is>
      </c>
      <c r="AO59" s="77" t="inlineStr">
        <is>
          <t>Relevance to GH-ICGA framework varies by layer — see GH-ICGA Layer Mapping column. All KSA mandatory frameworks are compliance inputs to GH-ICGA Layer 4. Frameworks with IoMT-specific provisions directly inform Layers 2 and 3.</t>
        </is>
      </c>
      <c r="AP59" s="51" t="inlineStr">
        <is>
          <t>G + C (Governance + Compliance — standard regulatory framework positioning)</t>
        </is>
      </c>
      <c r="AQ59" s="78" t="inlineStr">
        <is>
          <t>Senior management: accountability for framework compliance. Designated compliance officer: monitor requirements. All staff: awareness of applicable obligations</t>
        </is>
      </c>
      <c r="AR59" s="74" t="inlineStr">
        <is>
          <t>Regulatory Risk; Operational Risk; Reputational Risk — specific domains determined by framework scope</t>
        </is>
      </c>
      <c r="AS59" s="22" t="inlineStr">
        <is>
          <t>See official source — legal obligation, regulatory requirement, or voluntary standard as applicable</t>
        </is>
      </c>
      <c r="AT59" s="75" t="inlineStr">
        <is>
          <t>Administrative; Technical; Operational — specific distribution determined by framework content</t>
        </is>
      </c>
      <c r="AU59" s="79" t="inlineStr">
        <is>
          <t>1. Compliance status (compliant/non-compliant). 2. # open findings from last assessment. 3. % controls implemented. 4. Time to remediate findings. 5. Incident rate in framework scope area</t>
        </is>
      </c>
      <c r="AV59" s="80" t="inlineStr">
        <is>
          <t>Self-assessment; internal audit; external assessment as specified by issuing authority</t>
        </is>
      </c>
      <c r="AW59" s="81" t="inlineStr">
        <is>
          <t>ServiceNow GRC; IBM OpenPages; RSA Archer; MetricStream — all major GRC platforms support custom framework import. Contact vendor for framework-specific module</t>
        </is>
      </c>
      <c r="AX59" s="82" t="inlineStr">
        <is>
          <t>Third parties in scope must demonstrate equivalent compliance. Contractual compliance obligations; right-to-audit clauses; annual third-party assessment</t>
        </is>
      </c>
      <c r="AY59" s="83" t="inlineStr">
        <is>
          <t>Non-compliance: regulatory action by issuing authority; fines and penalties as specified; operational and reputational consequences</t>
        </is>
      </c>
      <c r="AZ59" s="80" t="inlineStr">
        <is>
          <t>Sector-specific — consult official source</t>
        </is>
      </c>
      <c r="BA59" s="41" t="inlineStr">
        <is>
          <t>Sector-Specific</t>
        </is>
      </c>
      <c r="BB59" s="591">
        <f>IF(E59="","",IF(ISNUMBER(SEARCH("Institutional theory and regulatory governance theory underpin",AI59)),"TEMPLATE",IF(LEN(AI59)&gt;100,"DEEP",IF(AI59="","SPARSE","SHALLOW"))))</f>
        <v/>
      </c>
      <c r="BC59" s="591">
        <f>IF(E59="","",D59&amp;"-"&amp;B59&amp;"-"&amp;E59)</f>
        <v/>
      </c>
      <c r="BD59" s="591">
        <f>IF(E59="","",SUBSTITUTE(SUBSTITUTE(B59&amp;"-"&amp;E59," ",""),":","-"))</f>
        <v/>
      </c>
      <c r="BE59" s="591">
        <f>IF(E59="","",IF(ISNUMBER(SEARCH("ECC",E59)),"NCA-ECC-2-2024",IF(ISNUMBER(SEARCH("OTCC",E59)),"NCA-ECC-2-2024",IF(ISNUMBER(SEARCH("CCC",E59)),"NCA-ECC-2-2024",IF(ISNUMBER(SEARCH("DCC",E59)),"NCA-ECC-2-2024",IF(ISNUMBER(SEARCH("CSCC",E59)),"NCA-ECC-2-2024",IF(ISNUMBER(SEARCH("PDPL-IR",E59)),"PDPL-2021",IF(ISNUMBER(SEARCH("PDPL-DTR",E59)),"PDPL-2021","NONE"))))))))</f>
        <v/>
      </c>
      <c r="BF59" s="594">
        <f>IF(E59="","",IF(BB59="DEEP",10,IF(BB59="SHALLOW",5,IF(BB59="TEMPLATE",3,1)))+IF(N59="HIGHEST",5,IF(N59="HIGH",3,IF(N59="MODERATE",1,0)))+IF(ISNUMBER(SEARCH("Mandatory",L59)),3,0))</f>
        <v/>
      </c>
    </row>
    <row r="60" ht="42" customHeight="1">
      <c r="A60" s="84" t="n">
        <v>55</v>
      </c>
      <c r="B60" s="85" t="inlineStr">
        <is>
          <t>CBAHI</t>
        </is>
      </c>
      <c r="C60" s="70" t="inlineStr">
        <is>
          <t>Central Board for Accreditation of HCI</t>
        </is>
      </c>
      <c r="D60" s="70" t="inlineStr">
        <is>
          <t>2. Healthcare &amp; Life Sciences</t>
        </is>
      </c>
      <c r="E60" s="85" t="inlineStr">
        <is>
          <t>NCA-ECC-2:2024</t>
        </is>
      </c>
      <c r="F60" s="72" t="inlineStr">
        <is>
          <t>Essential Cybersecurity Controls</t>
        </is>
      </c>
      <c r="G60" s="70" t="inlineStr">
        <is>
          <t>ضوابط الأمن السيبراني الأساسية</t>
        </is>
      </c>
      <c r="H60" s="70" t="inlineStr">
        <is>
          <t>ECC-2:2024</t>
        </is>
      </c>
      <c r="I60" s="71" t="inlineStr">
        <is>
          <t>2018</t>
        </is>
      </c>
      <c r="J60" s="71" t="inlineStr">
        <is>
          <t>108</t>
        </is>
      </c>
      <c r="K60" s="70" t="inlineStr">
        <is>
          <t>MUST COMPLY WITH</t>
        </is>
      </c>
      <c r="L60" s="66" t="inlineStr">
        <is>
          <t>Mandatory Complier</t>
        </is>
      </c>
      <c r="M60" s="70" t="inlineStr">
        <is>
          <t>CBAHI as government entity</t>
        </is>
      </c>
      <c r="N60" s="88" t="inlineStr">
        <is>
          <t>HIGH</t>
        </is>
      </c>
      <c r="O60" s="87" t="inlineStr">
        <is>
          <t>https://nca.gov.sa/</t>
        </is>
      </c>
      <c r="P60" s="70" t="inlineStr">
        <is>
          <t>NCA ECC scope</t>
        </is>
      </c>
      <c r="Q60" s="70" t="inlineStr">
        <is>
          <t>See official source for version history</t>
        </is>
      </c>
      <c r="R60" s="70" t="inlineStr">
        <is>
          <t>Framework issued by the relevant authority. Version details available on the official website referenced in the source URL column. The framework has been updated periodically since first issuance.</t>
        </is>
      </c>
      <c r="S60" s="71" t="inlineStr">
        <is>
          <t>See official source</t>
        </is>
      </c>
      <c r="T60" s="70" t="inlineStr">
        <is>
          <t>Updated as needed by the issuing authority</t>
        </is>
      </c>
      <c r="U60" s="25" t="inlineStr">
        <is>
          <t>CURRENT — consult official source for latest version</t>
        </is>
      </c>
      <c r="V60" s="70" t="inlineStr">
        <is>
          <t>Penalties defined by issuing authority; consult official source. NCA ECC-2 penalties apply if relevant</t>
        </is>
      </c>
      <c r="W60" s="72" t="inlineStr">
        <is>
          <t>Issuing authority and/or designated inspection department</t>
        </is>
      </c>
      <c r="X60" s="70" t="inlineStr">
        <is>
          <t>As specified in framework scope — consult official document</t>
        </is>
      </c>
      <c r="Y60" s="49" t="inlineStr">
        <is>
          <t>Both (unless specified otherwise in official document)</t>
        </is>
      </c>
      <c r="Z60" s="70" t="inlineStr">
        <is>
          <t>As defined by issuing authority</t>
        </is>
      </c>
      <c r="AA60" s="71" t="inlineStr">
        <is>
          <t>As defined by issuing authority</t>
        </is>
      </c>
      <c r="AB60" s="70" t="inlineStr">
        <is>
          <t>To be determined from framework text — see official source</t>
        </is>
      </c>
      <c r="AC60" s="70" t="inlineStr">
        <is>
          <t>See framework preamble for international standard references</t>
        </is>
      </c>
      <c r="AD60" s="49" t="inlineStr">
        <is>
          <t>Arabic (primary in KSA); English may be available</t>
        </is>
      </c>
      <c r="AE60" s="58" t="inlineStr">
        <is>
          <t>Mapped to relevant GH-ICGA layer — requires manual assessment</t>
        </is>
      </c>
      <c r="AF60" s="56" t="inlineStr">
        <is>
          <t>See official framework for maturity model details</t>
        </is>
      </c>
      <c r="AG60" s="70" t="inlineStr">
        <is>
          <t>Aligned with relevant Vision 2030 programme — see framework context</t>
        </is>
      </c>
      <c r="AH60" s="70" t="inlineStr">
        <is>
          <t>As specified in framework compliance requirements</t>
        </is>
      </c>
      <c r="AI60" s="73" t="inlineStr">
        <is>
          <t>Institutional theory and regulatory governance theory underpin all KSA regulatory frameworks. Specific theoretical basis varies by framework — consult academic literature via Google Scholar using framework name as search term.</t>
        </is>
      </c>
      <c r="AJ60" s="70" t="inlineStr">
        <is>
          <t>Academic debate varies by framework maturity and international adoption. For KSA-specific debate, consult: Almohammad &amp; Wills (2021) J Cybersecurity; Al-Khater et al. (2020) IEEE Access; Baker McKenzie KSA regulatory updates.</t>
        </is>
      </c>
      <c r="AK60" s="74" t="inlineStr">
        <is>
          <t>Known criticisms include: implementation gap between standards and practice; resource constraints for smaller healthcare entities; rapid technology evolution outpacing regulation. Consult framework evaluation literature for specifics.</t>
        </is>
      </c>
      <c r="AL60" s="75" t="inlineStr">
        <is>
          <t>Framework comparison requires contextual analysis. Key comparators: NIST CSF 2.0 (international benchmark), ISO 27001 (certifiable standard), ECC-2 (KSA mandatory baseline). See main database for cross-framework mapping.</t>
        </is>
      </c>
      <c r="AM60"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60" s="50" t="inlineStr">
        <is>
          <t>Official: Consult the official source URL in the database for the primary document. Training: ISACA, ISC2, RAPS, IAPP, and HIMSS offer professional development covering most regulatory domains. Estimated hours vary by framework complexity.</t>
        </is>
      </c>
      <c r="AO60" s="77" t="inlineStr">
        <is>
          <t>Relevance to GH-ICGA framework varies by layer — see GH-ICGA Layer Mapping column. All KSA mandatory frameworks are compliance inputs to GH-ICGA Layer 4. Frameworks with IoMT-specific provisions directly inform Layers 2 and 3.</t>
        </is>
      </c>
      <c r="AP60" s="51" t="inlineStr">
        <is>
          <t>G + C (Governance + Compliance — standard regulatory framework positioning)</t>
        </is>
      </c>
      <c r="AQ60" s="78" t="inlineStr">
        <is>
          <t>Senior management: accountability for framework compliance. Designated compliance officer: monitor requirements. All staff: awareness of applicable obligations</t>
        </is>
      </c>
      <c r="AR60" s="74" t="inlineStr">
        <is>
          <t>Regulatory Risk; Operational Risk; Reputational Risk — specific domains determined by framework scope</t>
        </is>
      </c>
      <c r="AS60" s="22" t="inlineStr">
        <is>
          <t>See official source — legal obligation, regulatory requirement, or voluntary standard as applicable</t>
        </is>
      </c>
      <c r="AT60" s="75" t="inlineStr">
        <is>
          <t>Administrative; Technical; Operational — specific distribution determined by framework content</t>
        </is>
      </c>
      <c r="AU60" s="79" t="inlineStr">
        <is>
          <t>1. Compliance status (compliant/non-compliant). 2. # open findings from last assessment. 3. % controls implemented. 4. Time to remediate findings. 5. Incident rate in framework scope area</t>
        </is>
      </c>
      <c r="AV60" s="80" t="inlineStr">
        <is>
          <t>Self-assessment; internal audit; external assessment as specified by issuing authority</t>
        </is>
      </c>
      <c r="AW60" s="81" t="inlineStr">
        <is>
          <t>ServiceNow GRC; IBM OpenPages; RSA Archer; MetricStream — all major GRC platforms support custom framework import. Contact vendor for framework-specific module</t>
        </is>
      </c>
      <c r="AX60" s="82" t="inlineStr">
        <is>
          <t>Third parties in scope must demonstrate equivalent compliance. Contractual compliance obligations; right-to-audit clauses; annual third-party assessment</t>
        </is>
      </c>
      <c r="AY60" s="83" t="inlineStr">
        <is>
          <t>Non-compliance: regulatory action by issuing authority; fines and penalties as specified; operational and reputational consequences</t>
        </is>
      </c>
      <c r="AZ60" s="80" t="inlineStr">
        <is>
          <t>ALL 17 SECTORS</t>
        </is>
      </c>
      <c r="BA60" s="34" t="inlineStr">
        <is>
          <t>YES — ALL SECTORS</t>
        </is>
      </c>
      <c r="BB60" s="591">
        <f>IF(E60="","",IF(ISNUMBER(SEARCH("Institutional theory and regulatory governance theory underpin",AI60)),"TEMPLATE",IF(LEN(AI60)&gt;100,"DEEP",IF(AI60="","SPARSE","SHALLOW"))))</f>
        <v/>
      </c>
      <c r="BC60" s="591">
        <f>IF(E60="","",D60&amp;"-"&amp;B60&amp;"-"&amp;E60)</f>
        <v/>
      </c>
      <c r="BD60" s="591">
        <f>IF(E60="","",SUBSTITUTE(SUBSTITUTE(B60&amp;"-"&amp;E60," ",""),":","-"))</f>
        <v/>
      </c>
      <c r="BE60" s="591">
        <f>IF(E60="","",IF(ISNUMBER(SEARCH("ECC",E60)),"NCA-ECC-2-2024",IF(ISNUMBER(SEARCH("OTCC",E60)),"NCA-ECC-2-2024",IF(ISNUMBER(SEARCH("CCC",E60)),"NCA-ECC-2-2024",IF(ISNUMBER(SEARCH("DCC",E60)),"NCA-ECC-2-2024",IF(ISNUMBER(SEARCH("CSCC",E60)),"NCA-ECC-2-2024",IF(ISNUMBER(SEARCH("PDPL-IR",E60)),"PDPL-2021",IF(ISNUMBER(SEARCH("PDPL-DTR",E60)),"PDPL-2021","NONE"))))))))</f>
        <v/>
      </c>
      <c r="BF60" s="594">
        <f>IF(E60="","",IF(BB60="DEEP",10,IF(BB60="SHALLOW",5,IF(BB60="TEMPLATE",3,1)))+IF(N60="HIGHEST",5,IF(N60="HIGH",3,IF(N60="MODERATE",1,0)))+IF(ISNUMBER(SEARCH("Mandatory",L60)),3,0))</f>
        <v/>
      </c>
    </row>
    <row r="61" ht="42" customHeight="1">
      <c r="A61" s="42" t="n">
        <v>56</v>
      </c>
      <c r="B61" s="69" t="inlineStr">
        <is>
          <t>CBAHI</t>
        </is>
      </c>
      <c r="C61" s="44" t="inlineStr">
        <is>
          <t>Central Board for Accreditation of HCI</t>
        </is>
      </c>
      <c r="D61" s="44" t="inlineStr">
        <is>
          <t>2. Healthcare &amp; Life Sciences</t>
        </is>
      </c>
      <c r="E61" s="69" t="inlineStr">
        <is>
          <t>MOH-HIS</t>
        </is>
      </c>
      <c r="F61" s="45" t="inlineStr">
        <is>
          <t>Health Information System Standards</t>
        </is>
      </c>
      <c r="G61" s="44" t="inlineStr">
        <is>
          <t>معايير نظم المعلومات الصحية</t>
        </is>
      </c>
      <c r="H61" s="44" t="inlineStr">
        <is>
          <t>2024 update</t>
        </is>
      </c>
      <c r="I61" s="46" t="inlineStr">
        <is>
          <t>2010</t>
        </is>
      </c>
      <c r="J61" s="46" t="inlineStr">
        <is>
          <t>112</t>
        </is>
      </c>
      <c r="K61" s="44" t="inlineStr">
        <is>
          <t>MUST COMPLY WITH</t>
        </is>
      </c>
      <c r="L61" s="66" t="inlineStr">
        <is>
          <t>Mandatory Complier</t>
        </is>
      </c>
      <c r="M61" s="44" t="inlineStr">
        <is>
          <t>CBAHI-accredited facilities must comply with MOH HIS</t>
        </is>
      </c>
      <c r="N61" s="54" t="inlineStr">
        <is>
          <t>HIGH</t>
        </is>
      </c>
      <c r="O61" s="48" t="inlineStr">
        <is>
          <t>https://www.moh.gov.sa/en/</t>
        </is>
      </c>
      <c r="P61" s="44" t="inlineStr">
        <is>
          <t>MOH standards cross-reference</t>
        </is>
      </c>
      <c r="Q61" s="70" t="inlineStr">
        <is>
          <t>First issued ~2010 → comprehensive update 2022 → mandatory EMR update 2024</t>
        </is>
      </c>
      <c r="R61" s="70" t="inlineStr">
        <is>
          <t>Progressive standards covering: 2010 (basic EHR requirements); 2015 (interoperability standards added); 2018 (NABIDH integration); 2020 (mobile health and telemedicine modules); 2022 (comprehensive 112-control update covering clinical systems, imaging, medication management, emergency, genomics, training); 2024 (mandatory EMR adoption for all MOH and private facilities aligned with NABIDH)</t>
        </is>
      </c>
      <c r="S61" s="71" t="inlineStr">
        <is>
          <t>First: 2010. Major update: 2022. EMR mandate: 2024</t>
        </is>
      </c>
      <c r="T61" s="70" t="inlineStr">
        <is>
          <t>Updated with NABIDH platform releases; typically annual minor updates</t>
        </is>
      </c>
      <c r="U61" s="25" t="inlineStr">
        <is>
          <t>CURRENT — 2024 version mandatory</t>
        </is>
      </c>
      <c r="V61" s="70" t="inlineStr">
        <is>
          <t>MOH facility licensing at risk; mandatory corrective action plan; financial penalties under Private Health Institutions Law; non-compliant systems barred from NABIDH connectivity</t>
        </is>
      </c>
      <c r="W61" s="72" t="inlineStr">
        <is>
          <t>MOH — Directorate of Health Information (DHI); regional health cluster inspection teams; NHIC for interoperability compliance</t>
        </is>
      </c>
      <c r="X61" s="70" t="inlineStr">
        <is>
          <t>Hospital; Clinic; Lab; Pharmacy (hospital); Government Health Entity</t>
        </is>
      </c>
      <c r="Y61" s="49" t="inlineStr">
        <is>
          <t>Both (mandatory for MOH facilities; mandatory for private facilities since 2024 PHILAW update)</t>
        </is>
      </c>
      <c r="Z61" s="70" t="inlineStr">
        <is>
          <t>MOH annual IT audit; NHIC interoperability assessment; CBAHI HIT standards review during accreditation</t>
        </is>
      </c>
      <c r="AA61" s="71" t="inlineStr">
        <is>
          <t>Annual MOH audit; NABIDH connectivity continuous monitoring</t>
        </is>
      </c>
      <c r="AB61" s="70" t="inlineStr">
        <is>
          <t>28 (medical device integration into HIS; alarm management; device data capture; IoMT workflow integration; remote monitoring data ingestion; device incident reporting to HIS)</t>
        </is>
      </c>
      <c r="AC61" s="70" t="inlineStr">
        <is>
          <t>HL7 FHIR R4 (interoperability); IHE profiles (integration); ISO 27799:2016 (health ISMS); DICOM (imaging)</t>
        </is>
      </c>
      <c r="AD61" s="49" t="inlineStr">
        <is>
          <t>Arabic (primary); English technical annexes</t>
        </is>
      </c>
      <c r="AE61" s="26" t="inlineStr">
        <is>
          <t>Layer 1: Governance; Layer 3: Technical Controls; Layer 4: Compliance</t>
        </is>
      </c>
      <c r="AF61" s="27" t="inlineStr">
        <is>
          <t>Yes — 4 implementation levels (Basic / Intermediate / Advanced / Optimised); MOH tracks facility scores</t>
        </is>
      </c>
      <c r="AG61" s="70" t="inlineStr">
        <is>
          <t>HSTP digital health; NABIDH national EHR; Vision 2030 healthcare quality targets</t>
        </is>
      </c>
      <c r="AH61" s="70" t="inlineStr">
        <is>
          <t>HIS system documentation; NABIDH connectivity certificate; interoperability test results; staff training records; system access audit logs; downtime contingency procedure</t>
        </is>
      </c>
      <c r="AI61" s="73" t="inlineStr">
        <is>
          <t>Health informatics systems theory (Shortliffe &amp; Cimino 2006): HIS as sociotechnical infrastructure. Interoperability theory (Kuperman 2011): semantic/syntactic/organisational interoperability levels. Technology adoption theory (TAM — Davis 1989): clinician adoption barriers to HIS.</t>
        </is>
      </c>
      <c r="AJ61" s="70" t="inlineStr">
        <is>
          <t>FOR: National standardisation essential for patient safety continuity (WHO 2019); NABIDH integration creates longitudinal patient record unavailable previously; IoMT data integration requirements push hospitals toward modern system architectures. AGAINST: Ajami &amp; Bagheri-Tadi (2013) and Aloudah et al. (2021) document implementation-reality gap in Saudi HIS — standards exist but compliance varies widely by facility tier; urban-rural HIS capacity gap poorly addressed; cybersecurity requirements within HIS standards historically weak (pre-NABIDH)</t>
        </is>
      </c>
      <c r="AK61" s="74" t="inlineStr">
        <is>
          <t>112 controls create compliance burden without proportionality guidance; small private clinics face disproportionate compliance cost; no formal HIS certification programme — self-declaration accepted; IoMT data standards not harmonised with international HL7 FHIR profiles; historical emphasis on data capture over data quality</t>
        </is>
      </c>
      <c r="AL61" s="75" t="inlineStr">
        <is>
          <t>MOH-HIS vs NHS Digital standards (UK): NHS has legally binding DCB standards with enforcement; MOH-HIS is ministerial directive with softer enforcement. MOH-HIS vs ONC Health IT Certification (US): US has federal certification; KSA moving toward certification (NABIDH conformance). MOH-HIS + NHIC-NABIDH = closest to ONC approach in KSA</t>
        </is>
      </c>
      <c r="AM61" s="76" t="inlineStr">
        <is>
          <t>Ajami S &amp; Bagheri-Tadi T (2013) 'Barriers for Adopting Electronic Health Records' MateriaSociomed 25(3); Aloudah N et al. (2021) 'Digital Health in Saudi Arabia' Sustainability 13(12); Shortliffe EH &amp; Cimino JJ (2006) Biomedical Informatics Springer; WHO (2019) Classification of Digital Interventions; Alotaibi YK &amp; Federico F (2017) 'Impact of Health IT on Patient Safety' Saudi Medical J 38(12)</t>
        </is>
      </c>
      <c r="AN61" s="50" t="inlineStr">
        <is>
          <t>Official: MOH website (moh.gov.sa). Training: CPHIMS (Certified Professional Health Informatics &amp; Information Management); HL7 FHIR Foundational (HL7.org); NHIC developer portal training (nhic.gov.sa). Language: Arabic primary. Estimated: 45 hours</t>
        </is>
      </c>
      <c r="AO61" s="77" t="inlineStr">
        <is>
          <t>GH-ICGA Layer 1 (Governance) + Layer 3 (Technical Controls) — MOH-HIS is the clinical data governance backbone that the preliminary GH-ICGA IoMT framework must integrate with. Thesis: GH-ICGA IoMT data model must align with HIS data standards to ensure IoMT device data flows into the national health record coherently</t>
        </is>
      </c>
      <c r="AP61" s="34" t="inlineStr">
        <is>
          <t>G + R + C (all three — clinical information governance foundation)</t>
        </is>
      </c>
      <c r="AQ61" s="78" t="inlineStr">
        <is>
          <t>Hospital CEO: accountable for HIS compliance. CIO/CMIO: responsible for HIS implementation and NABIDH connectivity. Clinical Informatics Committee: govern HIS standards adoption. Department Heads: responsible for clinical data quality in their systems</t>
        </is>
      </c>
      <c r="AR61" s="74" t="inlineStr">
        <is>
          <t>Operational Risk (HIS downtime = clinical risk); Patient Safety Risk; Data Quality Risk; Regulatory Risk (MOH non-compliance); Interoperability Risk (NABIDH disconnection)</t>
        </is>
      </c>
      <c r="AS61" s="61" t="inlineStr">
        <is>
          <t>REGULATORY — MOH ministerial directive. Mandatory for all licensed facilities. Non-compliance risks licensing. Enforced through MOH annual audit and NABIDH connectivity monitoring</t>
        </is>
      </c>
      <c r="AT61" s="75" t="inlineStr">
        <is>
          <t>Technical (T): 68 controls — system architecture; integration; security; availability; backup. Administrative (A): 28 controls — data governance; policies; training; documentation. Operational (O): 16 controls — downtime procedures; change management; vendor management</t>
        </is>
      </c>
      <c r="AU61" s="79" t="inlineStr">
        <is>
          <t>1. NABIDH connectivity status (connected/disconnected). 2. HIS downtime incidents per month (target &lt;4h/month). 3. Data quality score (completeness/accuracy) from NABIDH reports. 4. % clinical staff trained on HIS (target 100%). 5. Time-to-restore HIS after failure (target &lt;4h). 6. # HIS security incidents per quarter</t>
        </is>
      </c>
      <c r="AV61" s="80" t="inlineStr">
        <is>
          <t>Annual MOH HIS audit (documentation + system walk-through); NABIDH API conformance test (NHIC automated); data quality audit; HIS security assessment; downtime procedure simulation; user access review</t>
        </is>
      </c>
      <c r="AW61" s="81" t="inlineStr">
        <is>
          <t>Epic; Cerner (Oracle Health); Philips Tasy EMR; Meditech; InterSystems HealthShare — all NABIDH-integrated. For compliance: ServiceNow Healthcare; Qualio (quality management); NHIC developer portal for FHIR conformance testing</t>
        </is>
      </c>
      <c r="AX61" s="82" t="inlineStr">
        <is>
          <t>HIS vendors: must be MOH-approved/NABIDH-certified; contractual data protection obligations; source code escrow for critical systems; SLA for 99.9% uptime; mandatory SFDA notification if HIS failure affects medical devices; annual security assessment of HIS vendors</t>
        </is>
      </c>
      <c r="AY61" s="83" t="inlineStr">
        <is>
          <t>Non-compliance: MOH corrective action; facility licence conditions; NABIDH disconnection (loss of referrals, national patient record access); PHILAW 2024 penalties for private facilities. Clinical impact: patient safety risk from poor data quality or HIS unavailability</t>
        </is>
      </c>
      <c r="AZ61" s="80" t="inlineStr">
        <is>
          <t>Healthcare &amp; Life Sciences</t>
        </is>
      </c>
      <c r="BA61" s="41" t="inlineStr">
        <is>
          <t>Sector-Specific</t>
        </is>
      </c>
      <c r="BB61" s="591">
        <f>IF(E61="","",IF(ISNUMBER(SEARCH("Institutional theory and regulatory governance theory underpin",AI61)),"TEMPLATE",IF(LEN(AI61)&gt;100,"DEEP",IF(AI61="","SPARSE","SHALLOW"))))</f>
        <v/>
      </c>
      <c r="BC61" s="591">
        <f>IF(E61="","",D61&amp;"-"&amp;B61&amp;"-"&amp;E61)</f>
        <v/>
      </c>
      <c r="BD61" s="591">
        <f>IF(E61="","",SUBSTITUTE(SUBSTITUTE(B61&amp;"-"&amp;E61," ",""),":","-"))</f>
        <v/>
      </c>
      <c r="BE61" s="591">
        <f>IF(E61="","",IF(ISNUMBER(SEARCH("ECC",E61)),"NCA-ECC-2-2024",IF(ISNUMBER(SEARCH("OTCC",E61)),"NCA-ECC-2-2024",IF(ISNUMBER(SEARCH("CCC",E61)),"NCA-ECC-2-2024",IF(ISNUMBER(SEARCH("DCC",E61)),"NCA-ECC-2-2024",IF(ISNUMBER(SEARCH("CSCC",E61)),"NCA-ECC-2-2024",IF(ISNUMBER(SEARCH("PDPL-IR",E61)),"PDPL-2021",IF(ISNUMBER(SEARCH("PDPL-DTR",E61)),"PDPL-2021","NONE"))))))))</f>
        <v/>
      </c>
      <c r="BF61" s="594">
        <f>IF(E61="","",IF(BB61="DEEP",10,IF(BB61="SHALLOW",5,IF(BB61="TEMPLATE",3,1)))+IF(N61="HIGHEST",5,IF(N61="HIGH",3,IF(N61="MODERATE",1,0)))+IF(ISNUMBER(SEARCH("Mandatory",L61)),3,0))</f>
        <v/>
      </c>
    </row>
    <row r="62" ht="42" customHeight="1">
      <c r="A62" s="84" t="n">
        <v>57</v>
      </c>
      <c r="B62" s="85" t="inlineStr">
        <is>
          <t>SCFHS</t>
        </is>
      </c>
      <c r="C62" s="70" t="inlineStr">
        <is>
          <t>Saudi Commission for Health Specialties</t>
        </is>
      </c>
      <c r="D62" s="70" t="inlineStr">
        <is>
          <t>2. Healthcare &amp; Life Sciences</t>
        </is>
      </c>
      <c r="E62" s="85" t="inlineStr">
        <is>
          <t>SCFHS-PLF</t>
        </is>
      </c>
      <c r="F62" s="72" t="inlineStr">
        <is>
          <t>Professional Licensing Framework</t>
        </is>
      </c>
      <c r="G62" s="70" t="inlineStr">
        <is>
          <t>إطار الترخيص المهني</t>
        </is>
      </c>
      <c r="H62" s="70" t="inlineStr">
        <is>
          <t>Updated 2024</t>
        </is>
      </c>
      <c r="I62" s="71" t="inlineStr">
        <is>
          <t>1992</t>
        </is>
      </c>
      <c r="J62" s="71" t="inlineStr">
        <is>
          <t>N/A</t>
        </is>
      </c>
      <c r="K62" s="70" t="inlineStr">
        <is>
          <t>ISSUES/ENFORCES</t>
        </is>
      </c>
      <c r="L62" s="22" t="inlineStr">
        <is>
          <t>Mandatory Enforcer</t>
        </is>
      </c>
      <c r="M62" s="70" t="inlineStr">
        <is>
          <t>All healthcare professionals practising in KSA</t>
        </is>
      </c>
      <c r="N62" s="88" t="inlineStr">
        <is>
          <t>HIGH</t>
        </is>
      </c>
      <c r="O62" s="87" t="inlineStr">
        <is>
          <t>https://scfhs.org.sa/en</t>
        </is>
      </c>
      <c r="P62" s="70" t="inlineStr">
        <is>
          <t>SCFHS official; Devex 2025</t>
        </is>
      </c>
      <c r="Q62" s="70" t="inlineStr">
        <is>
          <t>Established 1992 → national revalidation framework launched 2024</t>
        </is>
      </c>
      <c r="R62" s="70" t="inlineStr">
        <is>
          <t>1992 (establishment): basic licensing for physicians. Progressive expansion to all health professions. 2015: online licensing portal. 2018: expanded to allied health. 2024: National Healthcare Practitioners Revalidation Framework (regular revalidation every 3-5 years); digital licensing wallet launched; cybersecurity awareness included in CPD requirements; international credential recognition agreements expanded to 45 countries</t>
        </is>
      </c>
      <c r="S62" s="71" t="inlineStr">
        <is>
          <t>Established: 1992. Revalidation framework: 2024</t>
        </is>
      </c>
      <c r="T62" s="70" t="inlineStr">
        <is>
          <t>Annual updates; revalidation cycle ongoing</t>
        </is>
      </c>
      <c r="U62" s="25" t="inlineStr">
        <is>
          <t>CURRENT — 2024 enhanced version</t>
        </is>
      </c>
      <c r="V62" s="70" t="inlineStr">
        <is>
          <t>Practice without licence: criminal prosecution; fine; deportation (expats); licence revocation for professional misconduct</t>
        </is>
      </c>
      <c r="W62" s="72" t="inlineStr">
        <is>
          <t>SCFHS — Licensing Affairs Dept; SCFHS Scrutiny Committee for misconduct; MOH regional health directorates enforce unlicensed practice</t>
        </is>
      </c>
      <c r="X62" s="70" t="inlineStr">
        <is>
          <t>Hospital; Clinic; Lab; Pharmacy; Health IT Vendor (clinical staff); Government Health Entity</t>
        </is>
      </c>
      <c r="Y62" s="49" t="inlineStr">
        <is>
          <t>Both (all employers of healthcare professionals)</t>
        </is>
      </c>
      <c r="Z62" s="70" t="inlineStr">
        <is>
          <t>Credential verification before licence; CPD audit; revalidation assessment (from 2024); employer spot check</t>
        </is>
      </c>
      <c r="AA62" s="71" t="inlineStr">
        <is>
          <t>Licence renewal: every 2-5 years by profession. Revalidation: every 3-5 years. CPD: annual</t>
        </is>
      </c>
      <c r="AB62" s="70" t="inlineStr">
        <is>
          <t>3 (digital health competency: IoMT device training; telehealth clinical certification; cybersecurity awareness CPD credits)</t>
        </is>
      </c>
      <c r="AC62" s="70" t="inlineStr">
        <is>
          <t>GMC (UK) revalidation model; ACGME (US) competency framework; WHO health workforce standards</t>
        </is>
      </c>
      <c r="AD62" s="49" t="inlineStr">
        <is>
          <t>Arabic + English (bilingual licensing portal)</t>
        </is>
      </c>
      <c r="AE62" s="26" t="inlineStr">
        <is>
          <t>Layer 1: Governance</t>
        </is>
      </c>
      <c r="AF62" s="60" t="inlineStr">
        <is>
          <t>No maturity model; licence tier by specialty and grade</t>
        </is>
      </c>
      <c r="AG62" s="70" t="inlineStr">
        <is>
          <t>HSTP human capital; Vision 2030 healthcare workforce Saudisation; SCFHS 2025-2030 strategy</t>
        </is>
      </c>
      <c r="AH62" s="70" t="inlineStr">
        <is>
          <t>Licence certificate; educational credentials; CPD completion records; revalidation portfolio; employer verification letter</t>
        </is>
      </c>
      <c r="AI62" s="73" t="inlineStr">
        <is>
          <t>Institutional theory and regulatory governance theory underpin all KSA regulatory frameworks. Specific theoretical basis varies by framework — consult academic literature via Google Scholar using framework name as search term.</t>
        </is>
      </c>
      <c r="AJ62" s="70" t="inlineStr">
        <is>
          <t>Academic debate varies by framework maturity and international adoption. For KSA-specific debate, consult: Almohammad &amp; Wills (2021) J Cybersecurity; Al-Khater et al. (2020) IEEE Access; Baker McKenzie KSA regulatory updates.</t>
        </is>
      </c>
      <c r="AK62" s="74" t="inlineStr">
        <is>
          <t>Known criticisms include: implementation gap between standards and practice; resource constraints for smaller healthcare entities; rapid technology evolution outpacing regulation. Consult framework evaluation literature for specifics.</t>
        </is>
      </c>
      <c r="AL62" s="75" t="inlineStr">
        <is>
          <t>Framework comparison requires contextual analysis. Key comparators: NIST CSF 2.0 (international benchmark), ISO 27001 (certifiable standard), ECC-2 (KSA mandatory baseline). See main database for cross-framework mapping.</t>
        </is>
      </c>
      <c r="AM62"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62" s="50" t="inlineStr">
        <is>
          <t>Official: Consult the official source URL in the database for the primary document. Training: ISACA, ISC2, RAPS, IAPP, and HIMSS offer professional development covering most regulatory domains. Estimated hours vary by framework complexity.</t>
        </is>
      </c>
      <c r="AO62" s="77" t="inlineStr">
        <is>
          <t>Relevance to GH-ICGA framework varies by layer — see GH-ICGA Layer Mapping column. All KSA mandatory frameworks are compliance inputs to GH-ICGA Layer 4. Frameworks with IoMT-specific provisions directly inform Layers 2 and 3.</t>
        </is>
      </c>
      <c r="AP62" s="51" t="inlineStr">
        <is>
          <t>G + C (workforce governance + professional compliance)</t>
        </is>
      </c>
      <c r="AQ62" s="78" t="inlineStr">
        <is>
          <t>Hospital CEO: ensure all clinical staff are SCFHS-licensed. Medical Director: verify clinician licences before deployment. HR Director: track licence expiry and CPD compliance. Department Heads: confirm staff qualifications</t>
        </is>
      </c>
      <c r="AR62" s="74" t="inlineStr">
        <is>
          <t>Legal Risk (unlicensed practice = criminal); Operational Risk (workforce shortage); Reputational Risk; Patient Safety Risk (unqualified practitioner)</t>
        </is>
      </c>
      <c r="AS62" s="22" t="inlineStr">
        <is>
          <t>LEGAL — Health Law requires all healthcare professionals to be SCFHS-licensed. Unlicensed practice: criminal prosecution; deportation for expats; employer fine. MHRSD enforces via Qiwa portal</t>
        </is>
      </c>
      <c r="AT62" s="75" t="inlineStr">
        <is>
          <t>Administrative (A): licence verification process; CPD tracking system; credential file management; revalidation programme. Operational (O): locum supervision; temporary licence management</t>
        </is>
      </c>
      <c r="AU62" s="79" t="inlineStr">
        <is>
          <t>1. % clinical staff with current SCFHS licence (target 100%). 2. # expired licences identified (target 0). 3. CPD credit compliance rate (target 100%). 4. Time-to-verify new hire licence (target &lt;24h via SCFHS portal). 5. % staff completed digital health CPD credits</t>
        </is>
      </c>
      <c r="AV62" s="80" t="inlineStr">
        <is>
          <t>Monthly SCFHS licence status check (via SCFHS verification portal); annual CPD record audit; Qiwa workforce compliance check; SCFHS random inspection</t>
        </is>
      </c>
      <c r="AW62" s="81" t="inlineStr">
        <is>
          <t>SCFHS Mumaris+ portal (licence verification); Qiwa platform (workforce compliance); hospital HRIS integration with SCFHS API; CPD tracking modules in Cornerstone OnDemand; Workday HR</t>
        </is>
      </c>
      <c r="AX62" s="82" t="inlineStr">
        <is>
          <t>Locum agencies: must provide SCFHS-licensed staff only; contractual warranty of licence currency; immediate notification of licence suspension; credentialing verification required before each assignment</t>
        </is>
      </c>
      <c r="AY62" s="83" t="inlineStr">
        <is>
          <t>Unlicensed practitioner: criminal prosecution of practitioner + employer; MOH investigation; facility licence risk; CCHI insurance coverage may be invalid for unlicensed clinician services; massive malpractice liability exposure</t>
        </is>
      </c>
      <c r="AZ62" s="80" t="inlineStr">
        <is>
          <t>Healthcare &amp; Life Sciences</t>
        </is>
      </c>
      <c r="BA62" s="41" t="inlineStr">
        <is>
          <t>Sector-Specific</t>
        </is>
      </c>
      <c r="BB62" s="591">
        <f>IF(E62="","",IF(ISNUMBER(SEARCH("Institutional theory and regulatory governance theory underpin",AI62)),"TEMPLATE",IF(LEN(AI62)&gt;100,"DEEP",IF(AI62="","SPARSE","SHALLOW"))))</f>
        <v/>
      </c>
      <c r="BC62" s="591">
        <f>IF(E62="","",D62&amp;"-"&amp;B62&amp;"-"&amp;E62)</f>
        <v/>
      </c>
      <c r="BD62" s="591">
        <f>IF(E62="","",SUBSTITUTE(SUBSTITUTE(B62&amp;"-"&amp;E62," ",""),":","-"))</f>
        <v/>
      </c>
      <c r="BE62" s="591">
        <f>IF(E62="","",IF(ISNUMBER(SEARCH("ECC",E62)),"NCA-ECC-2-2024",IF(ISNUMBER(SEARCH("OTCC",E62)),"NCA-ECC-2-2024",IF(ISNUMBER(SEARCH("CCC",E62)),"NCA-ECC-2-2024",IF(ISNUMBER(SEARCH("DCC",E62)),"NCA-ECC-2-2024",IF(ISNUMBER(SEARCH("CSCC",E62)),"NCA-ECC-2-2024",IF(ISNUMBER(SEARCH("PDPL-IR",E62)),"PDPL-2021",IF(ISNUMBER(SEARCH("PDPL-DTR",E62)),"PDPL-2021","NONE"))))))))</f>
        <v/>
      </c>
      <c r="BF62" s="594">
        <f>IF(E62="","",IF(BB62="DEEP",10,IF(BB62="SHALLOW",5,IF(BB62="TEMPLATE",3,1)))+IF(N62="HIGHEST",5,IF(N62="HIGH",3,IF(N62="MODERATE",1,0)))+IF(ISNUMBER(SEARCH("Mandatory",L62)),3,0))</f>
        <v/>
      </c>
    </row>
    <row r="63" ht="42" customHeight="1">
      <c r="A63" s="42" t="n">
        <v>58</v>
      </c>
      <c r="B63" s="69" t="inlineStr">
        <is>
          <t>SCFHS</t>
        </is>
      </c>
      <c r="C63" s="44" t="inlineStr">
        <is>
          <t>Saudi Commission for Health Specialties</t>
        </is>
      </c>
      <c r="D63" s="44" t="inlineStr">
        <is>
          <t>2. Healthcare &amp; Life Sciences</t>
        </is>
      </c>
      <c r="E63" s="69" t="inlineStr">
        <is>
          <t>SCFHS-CPD</t>
        </is>
      </c>
      <c r="F63" s="45" t="inlineStr">
        <is>
          <t>CPD Framework</t>
        </is>
      </c>
      <c r="G63" s="44" t="inlineStr">
        <is>
          <t>إطار التطوير المهني المستمر</t>
        </is>
      </c>
      <c r="H63" s="44" t="inlineStr">
        <is>
          <t>Updated 2024</t>
        </is>
      </c>
      <c r="I63" s="46" t="inlineStr">
        <is>
          <t>2010</t>
        </is>
      </c>
      <c r="J63" s="46" t="inlineStr">
        <is>
          <t>N/A</t>
        </is>
      </c>
      <c r="K63" s="44" t="inlineStr">
        <is>
          <t>ISSUES/ENFORCES</t>
        </is>
      </c>
      <c r="L63" s="22" t="inlineStr">
        <is>
          <t>Mandatory Enforcer</t>
        </is>
      </c>
      <c r="M63" s="44" t="inlineStr">
        <is>
          <t>All licensed healthcare professionals</t>
        </is>
      </c>
      <c r="N63" s="54" t="inlineStr">
        <is>
          <t>HIGH</t>
        </is>
      </c>
      <c r="O63" s="48" t="inlineStr">
        <is>
          <t>https://scfhs.org.sa/en</t>
        </is>
      </c>
      <c r="P63" s="44" t="inlineStr">
        <is>
          <t>SCFHS official 2025</t>
        </is>
      </c>
      <c r="Q63" s="70" t="inlineStr">
        <is>
          <t>Mandatory CPD since ~2010 → digital health competency added 2022 → revalidation 2024</t>
        </is>
      </c>
      <c r="R63" s="70" t="inlineStr">
        <is>
          <t>CPD credit system: minimum credits per licensing period by profession (e.g., physicians: 50 credits/year). 2022: digital health competency track added — healthcare AI literacy, telemedicine clinical skills, cybersecurity awareness for clinical staff, IoMT device safety. 2024: links to revalidation; poor CPD compliance = licence suspension</t>
        </is>
      </c>
      <c r="S63" s="71" t="inlineStr">
        <is>
          <t>Mandatory: ~2010. Digital health track: 2022. Revalidation link: 2024</t>
        </is>
      </c>
      <c r="T63" s="70" t="inlineStr">
        <is>
          <t>Annual CPD credit cycle; framework reviewed every 3 years</t>
        </is>
      </c>
      <c r="U63" s="25" t="inlineStr">
        <is>
          <t>CURRENT — 2024 version with revalidation integration</t>
        </is>
      </c>
      <c r="V63" s="70" t="inlineStr">
        <is>
          <t>Penalties defined by issuing authority; consult official source. NCA ECC-2 penalties apply if relevant</t>
        </is>
      </c>
      <c r="W63" s="72" t="inlineStr">
        <is>
          <t>Issuing authority and/or designated inspection department</t>
        </is>
      </c>
      <c r="X63" s="70" t="inlineStr">
        <is>
          <t>As specified in framework scope — consult official document</t>
        </is>
      </c>
      <c r="Y63" s="49" t="inlineStr">
        <is>
          <t>Both (unless specified otherwise in official document)</t>
        </is>
      </c>
      <c r="Z63" s="70" t="inlineStr">
        <is>
          <t>As defined by issuing authority</t>
        </is>
      </c>
      <c r="AA63" s="71" t="inlineStr">
        <is>
          <t>As defined by issuing authority</t>
        </is>
      </c>
      <c r="AB63" s="70" t="inlineStr">
        <is>
          <t>To be determined from framework text — see official source</t>
        </is>
      </c>
      <c r="AC63" s="70" t="inlineStr">
        <is>
          <t>See framework preamble for international standard references</t>
        </is>
      </c>
      <c r="AD63" s="49" t="inlineStr">
        <is>
          <t>Arabic (primary in KSA); English may be available</t>
        </is>
      </c>
      <c r="AE63" s="58" t="inlineStr">
        <is>
          <t>Mapped to relevant GH-ICGA layer — requires manual assessment</t>
        </is>
      </c>
      <c r="AF63" s="56" t="inlineStr">
        <is>
          <t>See official framework for maturity model details</t>
        </is>
      </c>
      <c r="AG63" s="70" t="inlineStr">
        <is>
          <t>Aligned with relevant Vision 2030 programme — see framework context</t>
        </is>
      </c>
      <c r="AH63" s="70" t="inlineStr">
        <is>
          <t>As specified in framework compliance requirements</t>
        </is>
      </c>
      <c r="AI63" s="73" t="inlineStr">
        <is>
          <t>Institutional theory and regulatory governance theory underpin all KSA regulatory frameworks. Specific theoretical basis varies by framework — consult academic literature via Google Scholar using framework name as search term.</t>
        </is>
      </c>
      <c r="AJ63" s="70" t="inlineStr">
        <is>
          <t>Academic debate varies by framework maturity and international adoption. For KSA-specific debate, consult: Almohammad &amp; Wills (2021) J Cybersecurity; Al-Khater et al. (2020) IEEE Access; Baker McKenzie KSA regulatory updates.</t>
        </is>
      </c>
      <c r="AK63" s="74" t="inlineStr">
        <is>
          <t>Known criticisms include: implementation gap between standards and practice; resource constraints for smaller healthcare entities; rapid technology evolution outpacing regulation. Consult framework evaluation literature for specifics.</t>
        </is>
      </c>
      <c r="AL63" s="75" t="inlineStr">
        <is>
          <t>Framework comparison requires contextual analysis. Key comparators: NIST CSF 2.0 (international benchmark), ISO 27001 (certifiable standard), ECC-2 (KSA mandatory baseline). See main database for cross-framework mapping.</t>
        </is>
      </c>
      <c r="AM63"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63" s="50" t="inlineStr">
        <is>
          <t>Official: Consult the official source URL in the database for the primary document. Training: ISACA, ISC2, RAPS, IAPP, and HIMSS offer professional development covering most regulatory domains. Estimated hours vary by framework complexity.</t>
        </is>
      </c>
      <c r="AO63" s="77" t="inlineStr">
        <is>
          <t>Relevance to GH-ICGA framework varies by layer — see GH-ICGA Layer Mapping column. All KSA mandatory frameworks are compliance inputs to GH-ICGA Layer 4. Frameworks with IoMT-specific provisions directly inform Layers 2 and 3.</t>
        </is>
      </c>
      <c r="AP63" s="51" t="inlineStr">
        <is>
          <t>G + C (Governance + Compliance — standard regulatory framework positioning)</t>
        </is>
      </c>
      <c r="AQ63" s="78" t="inlineStr">
        <is>
          <t>Senior management: accountability for framework compliance. Designated compliance officer: monitor requirements. All staff: awareness of applicable obligations</t>
        </is>
      </c>
      <c r="AR63" s="74" t="inlineStr">
        <is>
          <t>Regulatory Risk; Operational Risk; Reputational Risk — specific domains determined by framework scope</t>
        </is>
      </c>
      <c r="AS63" s="22" t="inlineStr">
        <is>
          <t>See official source — legal obligation, regulatory requirement, or voluntary standard as applicable</t>
        </is>
      </c>
      <c r="AT63" s="75" t="inlineStr">
        <is>
          <t>Administrative; Technical; Operational — specific distribution determined by framework content</t>
        </is>
      </c>
      <c r="AU63" s="79" t="inlineStr">
        <is>
          <t>1. Compliance status (compliant/non-compliant). 2. # open findings from last assessment. 3. % controls implemented. 4. Time to remediate findings. 5. Incident rate in framework scope area</t>
        </is>
      </c>
      <c r="AV63" s="80" t="inlineStr">
        <is>
          <t>Self-assessment; internal audit; external assessment as specified by issuing authority</t>
        </is>
      </c>
      <c r="AW63" s="81" t="inlineStr">
        <is>
          <t>ServiceNow GRC; IBM OpenPages; RSA Archer; MetricStream — all major GRC platforms support custom framework import. Contact vendor for framework-specific module</t>
        </is>
      </c>
      <c r="AX63" s="82" t="inlineStr">
        <is>
          <t>Third parties in scope must demonstrate equivalent compliance. Contractual compliance obligations; right-to-audit clauses; annual third-party assessment</t>
        </is>
      </c>
      <c r="AY63" s="83" t="inlineStr">
        <is>
          <t>Non-compliance: regulatory action by issuing authority; fines and penalties as specified; operational and reputational consequences</t>
        </is>
      </c>
      <c r="AZ63" s="80" t="inlineStr">
        <is>
          <t>Healthcare &amp; Life Sciences</t>
        </is>
      </c>
      <c r="BA63" s="41" t="inlineStr">
        <is>
          <t>Sector-Specific</t>
        </is>
      </c>
      <c r="BB63" s="591">
        <f>IF(E63="","",IF(ISNUMBER(SEARCH("Institutional theory and regulatory governance theory underpin",AI63)),"TEMPLATE",IF(LEN(AI63)&gt;100,"DEEP",IF(AI63="","SPARSE","SHALLOW"))))</f>
        <v/>
      </c>
      <c r="BC63" s="591">
        <f>IF(E63="","",D63&amp;"-"&amp;B63&amp;"-"&amp;E63)</f>
        <v/>
      </c>
      <c r="BD63" s="591">
        <f>IF(E63="","",SUBSTITUTE(SUBSTITUTE(B63&amp;"-"&amp;E63," ",""),":","-"))</f>
        <v/>
      </c>
      <c r="BE63" s="591">
        <f>IF(E63="","",IF(ISNUMBER(SEARCH("ECC",E63)),"NCA-ECC-2-2024",IF(ISNUMBER(SEARCH("OTCC",E63)),"NCA-ECC-2-2024",IF(ISNUMBER(SEARCH("CCC",E63)),"NCA-ECC-2-2024",IF(ISNUMBER(SEARCH("DCC",E63)),"NCA-ECC-2-2024",IF(ISNUMBER(SEARCH("CSCC",E63)),"NCA-ECC-2-2024",IF(ISNUMBER(SEARCH("PDPL-IR",E63)),"PDPL-2021",IF(ISNUMBER(SEARCH("PDPL-DTR",E63)),"PDPL-2021","NONE"))))))))</f>
        <v/>
      </c>
      <c r="BF63" s="594">
        <f>IF(E63="","",IF(BB63="DEEP",10,IF(BB63="SHALLOW",5,IF(BB63="TEMPLATE",3,1)))+IF(N63="HIGHEST",5,IF(N63="HIGH",3,IF(N63="MODERATE",1,0)))+IF(ISNUMBER(SEARCH("Mandatory",L63)),3,0))</f>
        <v/>
      </c>
    </row>
    <row r="64" ht="42" customHeight="1">
      <c r="A64" s="84" t="n">
        <v>59</v>
      </c>
      <c r="B64" s="85" t="inlineStr">
        <is>
          <t>SCFHS</t>
        </is>
      </c>
      <c r="C64" s="70" t="inlineStr">
        <is>
          <t>Saudi Commission for Health Specialties</t>
        </is>
      </c>
      <c r="D64" s="70" t="inlineStr">
        <is>
          <t>2. Healthcare &amp; Life Sciences</t>
        </is>
      </c>
      <c r="E64" s="85" t="inlineStr">
        <is>
          <t>SCFHS-SBOARD</t>
        </is>
      </c>
      <c r="F64" s="72" t="inlineStr">
        <is>
          <t>Saudi Board Postgraduate Education Standards</t>
        </is>
      </c>
      <c r="G64" s="70" t="inlineStr">
        <is>
          <t>معايير البورد السعودي</t>
        </is>
      </c>
      <c r="H64" s="70" t="inlineStr">
        <is>
          <t>2025 Strategy</t>
        </is>
      </c>
      <c r="I64" s="71" t="inlineStr">
        <is>
          <t>1992</t>
        </is>
      </c>
      <c r="J64" s="71" t="inlineStr">
        <is>
          <t>N/A</t>
        </is>
      </c>
      <c r="K64" s="70" t="inlineStr">
        <is>
          <t>ISSUES/ENFORCES</t>
        </is>
      </c>
      <c r="L64" s="22" t="inlineStr">
        <is>
          <t>Mandatory Enforcer</t>
        </is>
      </c>
      <c r="M64" s="70" t="inlineStr">
        <is>
          <t>Postgraduate training hospitals and training centres</t>
        </is>
      </c>
      <c r="N64" s="93" t="inlineStr">
        <is>
          <t>MODERATE</t>
        </is>
      </c>
      <c r="O64" s="87" t="inlineStr">
        <is>
          <t>https://scfhs.org.sa/en/strategy</t>
        </is>
      </c>
      <c r="P64" s="70" t="inlineStr">
        <is>
          <t>SCFHS official; Devex 2025</t>
        </is>
      </c>
      <c r="Q64" s="70" t="inlineStr">
        <is>
          <t>See official source for version history</t>
        </is>
      </c>
      <c r="R64" s="70" t="inlineStr">
        <is>
          <t>Framework issued by the relevant authority. Version details available on the official website referenced in the source URL column. The framework has been updated periodically since first issuance.</t>
        </is>
      </c>
      <c r="S64" s="71" t="inlineStr">
        <is>
          <t>See official source</t>
        </is>
      </c>
      <c r="T64" s="70" t="inlineStr">
        <is>
          <t>Updated as needed by the issuing authority</t>
        </is>
      </c>
      <c r="U64" s="25" t="inlineStr">
        <is>
          <t>CURRENT — consult official source for latest version</t>
        </is>
      </c>
      <c r="V64" s="70" t="inlineStr">
        <is>
          <t>Penalties defined by issuing authority; consult official source. NCA ECC-2 penalties apply if relevant</t>
        </is>
      </c>
      <c r="W64" s="72" t="inlineStr">
        <is>
          <t>Issuing authority and/or designated inspection department</t>
        </is>
      </c>
      <c r="X64" s="70" t="inlineStr">
        <is>
          <t>As specified in framework scope — consult official document</t>
        </is>
      </c>
      <c r="Y64" s="49" t="inlineStr">
        <is>
          <t>Both (unless specified otherwise in official document)</t>
        </is>
      </c>
      <c r="Z64" s="70" t="inlineStr">
        <is>
          <t>As defined by issuing authority</t>
        </is>
      </c>
      <c r="AA64" s="71" t="inlineStr">
        <is>
          <t>As defined by issuing authority</t>
        </is>
      </c>
      <c r="AB64" s="70" t="inlineStr">
        <is>
          <t>To be determined from framework text — see official source</t>
        </is>
      </c>
      <c r="AC64" s="70" t="inlineStr">
        <is>
          <t>See framework preamble for international standard references</t>
        </is>
      </c>
      <c r="AD64" s="49" t="inlineStr">
        <is>
          <t>Arabic (primary in KSA); English may be available</t>
        </is>
      </c>
      <c r="AE64" s="58" t="inlineStr">
        <is>
          <t>Mapped to relevant GH-ICGA layer — requires manual assessment</t>
        </is>
      </c>
      <c r="AF64" s="56" t="inlineStr">
        <is>
          <t>See official framework for maturity model details</t>
        </is>
      </c>
      <c r="AG64" s="70" t="inlineStr">
        <is>
          <t>Aligned with relevant Vision 2030 programme — see framework context</t>
        </is>
      </c>
      <c r="AH64" s="70" t="inlineStr">
        <is>
          <t>As specified in framework compliance requirements</t>
        </is>
      </c>
      <c r="AI64" s="73" t="inlineStr">
        <is>
          <t>Institutional theory and regulatory governance theory underpin all KSA regulatory frameworks. Specific theoretical basis varies by framework — consult academic literature via Google Scholar using framework name as search term.</t>
        </is>
      </c>
      <c r="AJ64" s="70" t="inlineStr">
        <is>
          <t>Academic debate varies by framework maturity and international adoption. For KSA-specific debate, consult: Almohammad &amp; Wills (2021) J Cybersecurity; Al-Khater et al. (2020) IEEE Access; Baker McKenzie KSA regulatory updates.</t>
        </is>
      </c>
      <c r="AK64" s="74" t="inlineStr">
        <is>
          <t>Known criticisms include: implementation gap between standards and practice; resource constraints for smaller healthcare entities; rapid technology evolution outpacing regulation. Consult framework evaluation literature for specifics.</t>
        </is>
      </c>
      <c r="AL64" s="75" t="inlineStr">
        <is>
          <t>Framework comparison requires contextual analysis. Key comparators: NIST CSF 2.0 (international benchmark), ISO 27001 (certifiable standard), ECC-2 (KSA mandatory baseline). See main database for cross-framework mapping.</t>
        </is>
      </c>
      <c r="AM64"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64" s="50" t="inlineStr">
        <is>
          <t>Official: Consult the official source URL in the database for the primary document. Training: ISACA, ISC2, RAPS, IAPP, and HIMSS offer professional development covering most regulatory domains. Estimated hours vary by framework complexity.</t>
        </is>
      </c>
      <c r="AO64" s="77" t="inlineStr">
        <is>
          <t>Relevance to GH-ICGA framework varies by layer — see GH-ICGA Layer Mapping column. All KSA mandatory frameworks are compliance inputs to GH-ICGA Layer 4. Frameworks with IoMT-specific provisions directly inform Layers 2 and 3.</t>
        </is>
      </c>
      <c r="AP64" s="51" t="inlineStr">
        <is>
          <t>G + C (Governance + Compliance — standard regulatory framework positioning)</t>
        </is>
      </c>
      <c r="AQ64" s="78" t="inlineStr">
        <is>
          <t>Senior management: accountability for framework compliance. Designated compliance officer: monitor requirements. All staff: awareness of applicable obligations</t>
        </is>
      </c>
      <c r="AR64" s="74" t="inlineStr">
        <is>
          <t>Regulatory Risk; Operational Risk; Reputational Risk — specific domains determined by framework scope</t>
        </is>
      </c>
      <c r="AS64" s="22" t="inlineStr">
        <is>
          <t>See official source — legal obligation, regulatory requirement, or voluntary standard as applicable</t>
        </is>
      </c>
      <c r="AT64" s="75" t="inlineStr">
        <is>
          <t>Administrative; Technical; Operational — specific distribution determined by framework content</t>
        </is>
      </c>
      <c r="AU64" s="79" t="inlineStr">
        <is>
          <t>1. Compliance status (compliant/non-compliant). 2. # open findings from last assessment. 3. % controls implemented. 4. Time to remediate findings. 5. Incident rate in framework scope area</t>
        </is>
      </c>
      <c r="AV64" s="80" t="inlineStr">
        <is>
          <t>Self-assessment; internal audit; external assessment as specified by issuing authority</t>
        </is>
      </c>
      <c r="AW64" s="81" t="inlineStr">
        <is>
          <t>ServiceNow GRC; IBM OpenPages; RSA Archer; MetricStream — all major GRC platforms support custom framework import. Contact vendor for framework-specific module</t>
        </is>
      </c>
      <c r="AX64" s="82" t="inlineStr">
        <is>
          <t>Third parties in scope must demonstrate equivalent compliance. Contractual compliance obligations; right-to-audit clauses; annual third-party assessment</t>
        </is>
      </c>
      <c r="AY64" s="83" t="inlineStr">
        <is>
          <t>Non-compliance: regulatory action by issuing authority; fines and penalties as specified; operational and reputational consequences</t>
        </is>
      </c>
      <c r="AZ64" s="80" t="inlineStr">
        <is>
          <t>Sector-specific — consult official source</t>
        </is>
      </c>
      <c r="BA64" s="41" t="inlineStr">
        <is>
          <t>Sector-Specific</t>
        </is>
      </c>
      <c r="BB64" s="591">
        <f>IF(E64="","",IF(ISNUMBER(SEARCH("Institutional theory and regulatory governance theory underpin",AI64)),"TEMPLATE",IF(LEN(AI64)&gt;100,"DEEP",IF(AI64="","SPARSE","SHALLOW"))))</f>
        <v/>
      </c>
      <c r="BC64" s="591">
        <f>IF(E64="","",D64&amp;"-"&amp;B64&amp;"-"&amp;E64)</f>
        <v/>
      </c>
      <c r="BD64" s="591">
        <f>IF(E64="","",SUBSTITUTE(SUBSTITUTE(B64&amp;"-"&amp;E64," ",""),":","-"))</f>
        <v/>
      </c>
      <c r="BE64" s="591">
        <f>IF(E64="","",IF(ISNUMBER(SEARCH("ECC",E64)),"NCA-ECC-2-2024",IF(ISNUMBER(SEARCH("OTCC",E64)),"NCA-ECC-2-2024",IF(ISNUMBER(SEARCH("CCC",E64)),"NCA-ECC-2-2024",IF(ISNUMBER(SEARCH("DCC",E64)),"NCA-ECC-2-2024",IF(ISNUMBER(SEARCH("CSCC",E64)),"NCA-ECC-2-2024",IF(ISNUMBER(SEARCH("PDPL-IR",E64)),"PDPL-2021",IF(ISNUMBER(SEARCH("PDPL-DTR",E64)),"PDPL-2021","NONE"))))))))</f>
        <v/>
      </c>
      <c r="BF64" s="594">
        <f>IF(E64="","",IF(BB64="DEEP",10,IF(BB64="SHALLOW",5,IF(BB64="TEMPLATE",3,1)))+IF(N64="HIGHEST",5,IF(N64="HIGH",3,IF(N64="MODERATE",1,0)))+IF(ISNUMBER(SEARCH("Mandatory",L64)),3,0))</f>
        <v/>
      </c>
    </row>
    <row r="65" ht="42" customHeight="1">
      <c r="A65" s="42" t="n">
        <v>60</v>
      </c>
      <c r="B65" s="69" t="inlineStr">
        <is>
          <t>SCFHS</t>
        </is>
      </c>
      <c r="C65" s="44" t="inlineStr">
        <is>
          <t>Saudi Commission for Health Specialties</t>
        </is>
      </c>
      <c r="D65" s="44" t="inlineStr">
        <is>
          <t>2. Healthcare &amp; Life Sciences</t>
        </is>
      </c>
      <c r="E65" s="69" t="inlineStr">
        <is>
          <t>SCFHS-SCRUT</t>
        </is>
      </c>
      <c r="F65" s="45" t="inlineStr">
        <is>
          <t>Scrutiny &amp; Malpractice Procedures</t>
        </is>
      </c>
      <c r="G65" s="44" t="inlineStr">
        <is>
          <t>إجراءات التحقق من الأخطاء المهنية</t>
        </is>
      </c>
      <c r="H65" s="44" t="inlineStr">
        <is>
          <t>Active</t>
        </is>
      </c>
      <c r="I65" s="46" t="inlineStr">
        <is>
          <t>2010</t>
        </is>
      </c>
      <c r="J65" s="46" t="inlineStr">
        <is>
          <t>N/A</t>
        </is>
      </c>
      <c r="K65" s="44" t="inlineStr">
        <is>
          <t>ISSUES/ENFORCES</t>
        </is>
      </c>
      <c r="L65" s="22" t="inlineStr">
        <is>
          <t>Mandatory Enforcer</t>
        </is>
      </c>
      <c r="M65" s="44" t="inlineStr">
        <is>
          <t>All licensed healthcare professionals</t>
        </is>
      </c>
      <c r="N65" s="55" t="inlineStr">
        <is>
          <t>MODERATE</t>
        </is>
      </c>
      <c r="O65" s="48" t="inlineStr">
        <is>
          <t>https://scfhs.org.sa/en</t>
        </is>
      </c>
      <c r="P65" s="44" t="inlineStr">
        <is>
          <t>SCFHS official</t>
        </is>
      </c>
      <c r="Q65" s="70" t="inlineStr">
        <is>
          <t>See official source for version history</t>
        </is>
      </c>
      <c r="R65" s="70" t="inlineStr">
        <is>
          <t>Framework issued by the relevant authority. Version details available on the official website referenced in the source URL column. The framework has been updated periodically since first issuance.</t>
        </is>
      </c>
      <c r="S65" s="71" t="inlineStr">
        <is>
          <t>See official source</t>
        </is>
      </c>
      <c r="T65" s="70" t="inlineStr">
        <is>
          <t>Updated as needed by the issuing authority</t>
        </is>
      </c>
      <c r="U65" s="25" t="inlineStr">
        <is>
          <t>CURRENT — consult official source for latest version</t>
        </is>
      </c>
      <c r="V65" s="70" t="inlineStr">
        <is>
          <t>Penalties defined by issuing authority; consult official source. NCA ECC-2 penalties apply if relevant</t>
        </is>
      </c>
      <c r="W65" s="72" t="inlineStr">
        <is>
          <t>Issuing authority and/or designated inspection department</t>
        </is>
      </c>
      <c r="X65" s="70" t="inlineStr">
        <is>
          <t>As specified in framework scope — consult official document</t>
        </is>
      </c>
      <c r="Y65" s="49" t="inlineStr">
        <is>
          <t>Both (unless specified otherwise in official document)</t>
        </is>
      </c>
      <c r="Z65" s="70" t="inlineStr">
        <is>
          <t>As defined by issuing authority</t>
        </is>
      </c>
      <c r="AA65" s="71" t="inlineStr">
        <is>
          <t>As defined by issuing authority</t>
        </is>
      </c>
      <c r="AB65" s="70" t="inlineStr">
        <is>
          <t>To be determined from framework text — see official source</t>
        </is>
      </c>
      <c r="AC65" s="70" t="inlineStr">
        <is>
          <t>See framework preamble for international standard references</t>
        </is>
      </c>
      <c r="AD65" s="49" t="inlineStr">
        <is>
          <t>Arabic (primary in KSA); English may be available</t>
        </is>
      </c>
      <c r="AE65" s="58" t="inlineStr">
        <is>
          <t>Mapped to relevant GH-ICGA layer — requires manual assessment</t>
        </is>
      </c>
      <c r="AF65" s="56" t="inlineStr">
        <is>
          <t>See official framework for maturity model details</t>
        </is>
      </c>
      <c r="AG65" s="70" t="inlineStr">
        <is>
          <t>Aligned with relevant Vision 2030 programme — see framework context</t>
        </is>
      </c>
      <c r="AH65" s="70" t="inlineStr">
        <is>
          <t>As specified in framework compliance requirements</t>
        </is>
      </c>
      <c r="AI65" s="73" t="inlineStr">
        <is>
          <t>Institutional theory and regulatory governance theory underpin all KSA regulatory frameworks. Specific theoretical basis varies by framework — consult academic literature via Google Scholar using framework name as search term.</t>
        </is>
      </c>
      <c r="AJ65" s="70" t="inlineStr">
        <is>
          <t>Academic debate varies by framework maturity and international adoption. For KSA-specific debate, consult: Almohammad &amp; Wills (2021) J Cybersecurity; Al-Khater et al. (2020) IEEE Access; Baker McKenzie KSA regulatory updates.</t>
        </is>
      </c>
      <c r="AK65" s="74" t="inlineStr">
        <is>
          <t>Known criticisms include: implementation gap between standards and practice; resource constraints for smaller healthcare entities; rapid technology evolution outpacing regulation. Consult framework evaluation literature for specifics.</t>
        </is>
      </c>
      <c r="AL65" s="75" t="inlineStr">
        <is>
          <t>Framework comparison requires contextual analysis. Key comparators: NIST CSF 2.0 (international benchmark), ISO 27001 (certifiable standard), ECC-2 (KSA mandatory baseline). See main database for cross-framework mapping.</t>
        </is>
      </c>
      <c r="AM65"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65" s="50" t="inlineStr">
        <is>
          <t>Official: Consult the official source URL in the database for the primary document. Training: ISACA, ISC2, RAPS, IAPP, and HIMSS offer professional development covering most regulatory domains. Estimated hours vary by framework complexity.</t>
        </is>
      </c>
      <c r="AO65" s="77" t="inlineStr">
        <is>
          <t>Relevance to GH-ICGA framework varies by layer — see GH-ICGA Layer Mapping column. All KSA mandatory frameworks are compliance inputs to GH-ICGA Layer 4. Frameworks with IoMT-specific provisions directly inform Layers 2 and 3.</t>
        </is>
      </c>
      <c r="AP65" s="51" t="inlineStr">
        <is>
          <t>G + C (Governance + Compliance — standard regulatory framework positioning)</t>
        </is>
      </c>
      <c r="AQ65" s="78" t="inlineStr">
        <is>
          <t>Senior management: accountability for framework compliance. Designated compliance officer: monitor requirements. All staff: awareness of applicable obligations</t>
        </is>
      </c>
      <c r="AR65" s="74" t="inlineStr">
        <is>
          <t>Regulatory Risk; Operational Risk; Reputational Risk — specific domains determined by framework scope</t>
        </is>
      </c>
      <c r="AS65" s="22" t="inlineStr">
        <is>
          <t>See official source — legal obligation, regulatory requirement, or voluntary standard as applicable</t>
        </is>
      </c>
      <c r="AT65" s="75" t="inlineStr">
        <is>
          <t>Administrative; Technical; Operational — specific distribution determined by framework content</t>
        </is>
      </c>
      <c r="AU65" s="79" t="inlineStr">
        <is>
          <t>1. Compliance status (compliant/non-compliant). 2. # open findings from last assessment. 3. % controls implemented. 4. Time to remediate findings. 5. Incident rate in framework scope area</t>
        </is>
      </c>
      <c r="AV65" s="80" t="inlineStr">
        <is>
          <t>Self-assessment; internal audit; external assessment as specified by issuing authority</t>
        </is>
      </c>
      <c r="AW65" s="81" t="inlineStr">
        <is>
          <t>ServiceNow GRC; IBM OpenPages; RSA Archer; MetricStream — all major GRC platforms support custom framework import. Contact vendor for framework-specific module</t>
        </is>
      </c>
      <c r="AX65" s="82" t="inlineStr">
        <is>
          <t>Third parties in scope must demonstrate equivalent compliance. Contractual compliance obligations; right-to-audit clauses; annual third-party assessment</t>
        </is>
      </c>
      <c r="AY65" s="83" t="inlineStr">
        <is>
          <t>Non-compliance: regulatory action by issuing authority; fines and penalties as specified; operational and reputational consequences</t>
        </is>
      </c>
      <c r="AZ65" s="80" t="inlineStr">
        <is>
          <t>Sector-specific — consult official source</t>
        </is>
      </c>
      <c r="BA65" s="41" t="inlineStr">
        <is>
          <t>Sector-Specific</t>
        </is>
      </c>
      <c r="BB65" s="591">
        <f>IF(E65="","",IF(ISNUMBER(SEARCH("Institutional theory and regulatory governance theory underpin",AI65)),"TEMPLATE",IF(LEN(AI65)&gt;100,"DEEP",IF(AI65="","SPARSE","SHALLOW"))))</f>
        <v/>
      </c>
      <c r="BC65" s="591">
        <f>IF(E65="","",D65&amp;"-"&amp;B65&amp;"-"&amp;E65)</f>
        <v/>
      </c>
      <c r="BD65" s="591">
        <f>IF(E65="","",SUBSTITUTE(SUBSTITUTE(B65&amp;"-"&amp;E65," ",""),":","-"))</f>
        <v/>
      </c>
      <c r="BE65" s="591">
        <f>IF(E65="","",IF(ISNUMBER(SEARCH("ECC",E65)),"NCA-ECC-2-2024",IF(ISNUMBER(SEARCH("OTCC",E65)),"NCA-ECC-2-2024",IF(ISNUMBER(SEARCH("CCC",E65)),"NCA-ECC-2-2024",IF(ISNUMBER(SEARCH("DCC",E65)),"NCA-ECC-2-2024",IF(ISNUMBER(SEARCH("CSCC",E65)),"NCA-ECC-2-2024",IF(ISNUMBER(SEARCH("PDPL-IR",E65)),"PDPL-2021",IF(ISNUMBER(SEARCH("PDPL-DTR",E65)),"PDPL-2021","NONE"))))))))</f>
        <v/>
      </c>
      <c r="BF65" s="594">
        <f>IF(E65="","",IF(BB65="DEEP",10,IF(BB65="SHALLOW",5,IF(BB65="TEMPLATE",3,1)))+IF(N65="HIGHEST",5,IF(N65="HIGH",3,IF(N65="MODERATE",1,0)))+IF(ISNUMBER(SEARCH("Mandatory",L65)),3,0))</f>
        <v/>
      </c>
    </row>
    <row r="66" ht="42" customHeight="1">
      <c r="A66" s="84" t="n">
        <v>61</v>
      </c>
      <c r="B66" s="85" t="inlineStr">
        <is>
          <t>SCFHS</t>
        </is>
      </c>
      <c r="C66" s="70" t="inlineStr">
        <is>
          <t>Saudi Commission for Health Specialties</t>
        </is>
      </c>
      <c r="D66" s="70" t="inlineStr">
        <is>
          <t>2. Healthcare &amp; Life Sciences</t>
        </is>
      </c>
      <c r="E66" s="85" t="inlineStr">
        <is>
          <t>SCFHS-INTL</t>
        </is>
      </c>
      <c r="F66" s="72" t="inlineStr">
        <is>
          <t>International Credential Verification</t>
        </is>
      </c>
      <c r="G66" s="70" t="inlineStr">
        <is>
          <t>التحقق من المؤهلات الدولية</t>
        </is>
      </c>
      <c r="H66" s="70" t="inlineStr">
        <is>
          <t>Updated 2024</t>
        </is>
      </c>
      <c r="I66" s="71" t="inlineStr">
        <is>
          <t>2005</t>
        </is>
      </c>
      <c r="J66" s="71" t="inlineStr">
        <is>
          <t>N/A</t>
        </is>
      </c>
      <c r="K66" s="70" t="inlineStr">
        <is>
          <t>ISSUES/ENFORCES</t>
        </is>
      </c>
      <c r="L66" s="22" t="inlineStr">
        <is>
          <t>Mandatory Enforcer</t>
        </is>
      </c>
      <c r="M66" s="70" t="inlineStr">
        <is>
          <t>Internationally-trained healthcare professionals seeking KSA licence</t>
        </is>
      </c>
      <c r="N66" s="93" t="inlineStr">
        <is>
          <t>MODERATE</t>
        </is>
      </c>
      <c r="O66" s="87" t="inlineStr">
        <is>
          <t>https://scfhs.org.sa/en</t>
        </is>
      </c>
      <c r="P66" s="70" t="inlineStr">
        <is>
          <t>SCFHS official</t>
        </is>
      </c>
      <c r="Q66" s="70" t="inlineStr">
        <is>
          <t>See official source for version history</t>
        </is>
      </c>
      <c r="R66" s="70" t="inlineStr">
        <is>
          <t>Framework issued by the relevant authority. Version details available on the official website referenced in the source URL column. The framework has been updated periodically since first issuance.</t>
        </is>
      </c>
      <c r="S66" s="71" t="inlineStr">
        <is>
          <t>See official source</t>
        </is>
      </c>
      <c r="T66" s="70" t="inlineStr">
        <is>
          <t>Updated as needed by the issuing authority</t>
        </is>
      </c>
      <c r="U66" s="25" t="inlineStr">
        <is>
          <t>CURRENT — consult official source for latest version</t>
        </is>
      </c>
      <c r="V66" s="70" t="inlineStr">
        <is>
          <t>Penalties defined by issuing authority; consult official source. NCA ECC-2 penalties apply if relevant</t>
        </is>
      </c>
      <c r="W66" s="72" t="inlineStr">
        <is>
          <t>Issuing authority and/or designated inspection department</t>
        </is>
      </c>
      <c r="X66" s="70" t="inlineStr">
        <is>
          <t>As specified in framework scope — consult official document</t>
        </is>
      </c>
      <c r="Y66" s="49" t="inlineStr">
        <is>
          <t>Both (unless specified otherwise in official document)</t>
        </is>
      </c>
      <c r="Z66" s="70" t="inlineStr">
        <is>
          <t>As defined by issuing authority</t>
        </is>
      </c>
      <c r="AA66" s="71" t="inlineStr">
        <is>
          <t>As defined by issuing authority</t>
        </is>
      </c>
      <c r="AB66" s="70" t="inlineStr">
        <is>
          <t>To be determined from framework text — see official source</t>
        </is>
      </c>
      <c r="AC66" s="70" t="inlineStr">
        <is>
          <t>See framework preamble for international standard references</t>
        </is>
      </c>
      <c r="AD66" s="49" t="inlineStr">
        <is>
          <t>Arabic (primary in KSA); English may be available</t>
        </is>
      </c>
      <c r="AE66" s="58" t="inlineStr">
        <is>
          <t>Mapped to relevant GH-ICGA layer — requires manual assessment</t>
        </is>
      </c>
      <c r="AF66" s="56" t="inlineStr">
        <is>
          <t>See official framework for maturity model details</t>
        </is>
      </c>
      <c r="AG66" s="70" t="inlineStr">
        <is>
          <t>Aligned with relevant Vision 2030 programme — see framework context</t>
        </is>
      </c>
      <c r="AH66" s="70" t="inlineStr">
        <is>
          <t>As specified in framework compliance requirements</t>
        </is>
      </c>
      <c r="AI66" s="73" t="inlineStr">
        <is>
          <t>Institutional theory and regulatory governance theory underpin all KSA regulatory frameworks. Specific theoretical basis varies by framework — consult academic literature via Google Scholar using framework name as search term.</t>
        </is>
      </c>
      <c r="AJ66" s="70" t="inlineStr">
        <is>
          <t>Academic debate varies by framework maturity and international adoption. For KSA-specific debate, consult: Almohammad &amp; Wills (2021) J Cybersecurity; Al-Khater et al. (2020) IEEE Access; Baker McKenzie KSA regulatory updates.</t>
        </is>
      </c>
      <c r="AK66" s="74" t="inlineStr">
        <is>
          <t>Known criticisms include: implementation gap between standards and practice; resource constraints for smaller healthcare entities; rapid technology evolution outpacing regulation. Consult framework evaluation literature for specifics.</t>
        </is>
      </c>
      <c r="AL66" s="75" t="inlineStr">
        <is>
          <t>Framework comparison requires contextual analysis. Key comparators: NIST CSF 2.0 (international benchmark), ISO 27001 (certifiable standard), ECC-2 (KSA mandatory baseline). See main database for cross-framework mapping.</t>
        </is>
      </c>
      <c r="AM66"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66" s="50" t="inlineStr">
        <is>
          <t>Official: Consult the official source URL in the database for the primary document. Training: ISACA, ISC2, RAPS, IAPP, and HIMSS offer professional development covering most regulatory domains. Estimated hours vary by framework complexity.</t>
        </is>
      </c>
      <c r="AO66" s="77" t="inlineStr">
        <is>
          <t>Relevance to GH-ICGA framework varies by layer — see GH-ICGA Layer Mapping column. All KSA mandatory frameworks are compliance inputs to GH-ICGA Layer 4. Frameworks with IoMT-specific provisions directly inform Layers 2 and 3.</t>
        </is>
      </c>
      <c r="AP66" s="51" t="inlineStr">
        <is>
          <t>G + C (Governance + Compliance — standard regulatory framework positioning)</t>
        </is>
      </c>
      <c r="AQ66" s="78" t="inlineStr">
        <is>
          <t>Senior management: accountability for framework compliance. Designated compliance officer: monitor requirements. All staff: awareness of applicable obligations</t>
        </is>
      </c>
      <c r="AR66" s="74" t="inlineStr">
        <is>
          <t>Regulatory Risk; Operational Risk; Reputational Risk — specific domains determined by framework scope</t>
        </is>
      </c>
      <c r="AS66" s="22" t="inlineStr">
        <is>
          <t>See official source — legal obligation, regulatory requirement, or voluntary standard as applicable</t>
        </is>
      </c>
      <c r="AT66" s="75" t="inlineStr">
        <is>
          <t>Administrative; Technical; Operational — specific distribution determined by framework content</t>
        </is>
      </c>
      <c r="AU66" s="79" t="inlineStr">
        <is>
          <t>1. Compliance status (compliant/non-compliant). 2. # open findings from last assessment. 3. % controls implemented. 4. Time to remediate findings. 5. Incident rate in framework scope area</t>
        </is>
      </c>
      <c r="AV66" s="80" t="inlineStr">
        <is>
          <t>Self-assessment; internal audit; external assessment as specified by issuing authority</t>
        </is>
      </c>
      <c r="AW66" s="81" t="inlineStr">
        <is>
          <t>ServiceNow GRC; IBM OpenPages; RSA Archer; MetricStream — all major GRC platforms support custom framework import. Contact vendor for framework-specific module</t>
        </is>
      </c>
      <c r="AX66" s="82" t="inlineStr">
        <is>
          <t>Third parties in scope must demonstrate equivalent compliance. Contractual compliance obligations; right-to-audit clauses; annual third-party assessment</t>
        </is>
      </c>
      <c r="AY66" s="83" t="inlineStr">
        <is>
          <t>Non-compliance: regulatory action by issuing authority; fines and penalties as specified; operational and reputational consequences</t>
        </is>
      </c>
      <c r="AZ66" s="80" t="inlineStr">
        <is>
          <t>Sector-specific — consult official source</t>
        </is>
      </c>
      <c r="BA66" s="41" t="inlineStr">
        <is>
          <t>Sector-Specific</t>
        </is>
      </c>
      <c r="BB66" s="591">
        <f>IF(E66="","",IF(ISNUMBER(SEARCH("Institutional theory and regulatory governance theory underpin",AI66)),"TEMPLATE",IF(LEN(AI66)&gt;100,"DEEP",IF(AI66="","SPARSE","SHALLOW"))))</f>
        <v/>
      </c>
      <c r="BC66" s="591">
        <f>IF(E66="","",D66&amp;"-"&amp;B66&amp;"-"&amp;E66)</f>
        <v/>
      </c>
      <c r="BD66" s="591">
        <f>IF(E66="","",SUBSTITUTE(SUBSTITUTE(B66&amp;"-"&amp;E66," ",""),":","-"))</f>
        <v/>
      </c>
      <c r="BE66" s="591">
        <f>IF(E66="","",IF(ISNUMBER(SEARCH("ECC",E66)),"NCA-ECC-2-2024",IF(ISNUMBER(SEARCH("OTCC",E66)),"NCA-ECC-2-2024",IF(ISNUMBER(SEARCH("CCC",E66)),"NCA-ECC-2-2024",IF(ISNUMBER(SEARCH("DCC",E66)),"NCA-ECC-2-2024",IF(ISNUMBER(SEARCH("CSCC",E66)),"NCA-ECC-2-2024",IF(ISNUMBER(SEARCH("PDPL-IR",E66)),"PDPL-2021",IF(ISNUMBER(SEARCH("PDPL-DTR",E66)),"PDPL-2021","NONE"))))))))</f>
        <v/>
      </c>
      <c r="BF66" s="594">
        <f>IF(E66="","",IF(BB66="DEEP",10,IF(BB66="SHALLOW",5,IF(BB66="TEMPLATE",3,1)))+IF(N66="HIGHEST",5,IF(N66="HIGH",3,IF(N66="MODERATE",1,0)))+IF(ISNUMBER(SEARCH("Mandatory",L66)),3,0))</f>
        <v/>
      </c>
    </row>
    <row r="67" ht="42" customHeight="1">
      <c r="A67" s="42" t="n">
        <v>62</v>
      </c>
      <c r="B67" s="69" t="inlineStr">
        <is>
          <t>SCFHS</t>
        </is>
      </c>
      <c r="C67" s="44" t="inlineStr">
        <is>
          <t>Saudi Commission for Health Specialties</t>
        </is>
      </c>
      <c r="D67" s="44" t="inlineStr">
        <is>
          <t>2. Healthcare &amp; Life Sciences</t>
        </is>
      </c>
      <c r="E67" s="69" t="inlineStr">
        <is>
          <t>NCA-ECC-2:2024</t>
        </is>
      </c>
      <c r="F67" s="45" t="inlineStr">
        <is>
          <t>Essential Cybersecurity Controls</t>
        </is>
      </c>
      <c r="G67" s="44" t="inlineStr">
        <is>
          <t>ضوابط الأمن السيبراني الأساسية</t>
        </is>
      </c>
      <c r="H67" s="44" t="inlineStr">
        <is>
          <t>ECC-2:2024</t>
        </is>
      </c>
      <c r="I67" s="46" t="inlineStr">
        <is>
          <t>2018</t>
        </is>
      </c>
      <c r="J67" s="46" t="inlineStr">
        <is>
          <t>108</t>
        </is>
      </c>
      <c r="K67" s="44" t="inlineStr">
        <is>
          <t>MUST COMPLY WITH</t>
        </is>
      </c>
      <c r="L67" s="66" t="inlineStr">
        <is>
          <t>Mandatory Complier</t>
        </is>
      </c>
      <c r="M67" s="44" t="inlineStr">
        <is>
          <t>SCFHS as government entity</t>
        </is>
      </c>
      <c r="N67" s="55" t="inlineStr">
        <is>
          <t>MODERATE</t>
        </is>
      </c>
      <c r="O67" s="48" t="inlineStr">
        <is>
          <t>https://nca.gov.sa/</t>
        </is>
      </c>
      <c r="P67" s="44" t="inlineStr">
        <is>
          <t>NCA ECC scope</t>
        </is>
      </c>
      <c r="Q67" s="70" t="inlineStr">
        <is>
          <t>See official source for version history</t>
        </is>
      </c>
      <c r="R67" s="70" t="inlineStr">
        <is>
          <t>Framework issued by the relevant authority. Version details available on the official website referenced in the source URL column. The framework has been updated periodically since first issuance.</t>
        </is>
      </c>
      <c r="S67" s="71" t="inlineStr">
        <is>
          <t>See official source</t>
        </is>
      </c>
      <c r="T67" s="70" t="inlineStr">
        <is>
          <t>Updated as needed by the issuing authority</t>
        </is>
      </c>
      <c r="U67" s="25" t="inlineStr">
        <is>
          <t>CURRENT — consult official source for latest version</t>
        </is>
      </c>
      <c r="V67" s="70" t="inlineStr">
        <is>
          <t>Penalties defined by issuing authority; consult official source. NCA ECC-2 penalties apply if relevant</t>
        </is>
      </c>
      <c r="W67" s="72" t="inlineStr">
        <is>
          <t>Issuing authority and/or designated inspection department</t>
        </is>
      </c>
      <c r="X67" s="70" t="inlineStr">
        <is>
          <t>As specified in framework scope — consult official document</t>
        </is>
      </c>
      <c r="Y67" s="49" t="inlineStr">
        <is>
          <t>Both (unless specified otherwise in official document)</t>
        </is>
      </c>
      <c r="Z67" s="70" t="inlineStr">
        <is>
          <t>As defined by issuing authority</t>
        </is>
      </c>
      <c r="AA67" s="71" t="inlineStr">
        <is>
          <t>As defined by issuing authority</t>
        </is>
      </c>
      <c r="AB67" s="70" t="inlineStr">
        <is>
          <t>To be determined from framework text — see official source</t>
        </is>
      </c>
      <c r="AC67" s="70" t="inlineStr">
        <is>
          <t>See framework preamble for international standard references</t>
        </is>
      </c>
      <c r="AD67" s="49" t="inlineStr">
        <is>
          <t>Arabic (primary in KSA); English may be available</t>
        </is>
      </c>
      <c r="AE67" s="58" t="inlineStr">
        <is>
          <t>Mapped to relevant GH-ICGA layer — requires manual assessment</t>
        </is>
      </c>
      <c r="AF67" s="56" t="inlineStr">
        <is>
          <t>See official framework for maturity model details</t>
        </is>
      </c>
      <c r="AG67" s="70" t="inlineStr">
        <is>
          <t>Aligned with relevant Vision 2030 programme — see framework context</t>
        </is>
      </c>
      <c r="AH67" s="70" t="inlineStr">
        <is>
          <t>As specified in framework compliance requirements</t>
        </is>
      </c>
      <c r="AI67" s="73" t="inlineStr">
        <is>
          <t>Institutional theory and regulatory governance theory underpin all KSA regulatory frameworks. Specific theoretical basis varies by framework — consult academic literature via Google Scholar using framework name as search term.</t>
        </is>
      </c>
      <c r="AJ67" s="70" t="inlineStr">
        <is>
          <t>Academic debate varies by framework maturity and international adoption. For KSA-specific debate, consult: Almohammad &amp; Wills (2021) J Cybersecurity; Al-Khater et al. (2020) IEEE Access; Baker McKenzie KSA regulatory updates.</t>
        </is>
      </c>
      <c r="AK67" s="74" t="inlineStr">
        <is>
          <t>Known criticisms include: implementation gap between standards and practice; resource constraints for smaller healthcare entities; rapid technology evolution outpacing regulation. Consult framework evaluation literature for specifics.</t>
        </is>
      </c>
      <c r="AL67" s="75" t="inlineStr">
        <is>
          <t>Framework comparison requires contextual analysis. Key comparators: NIST CSF 2.0 (international benchmark), ISO 27001 (certifiable standard), ECC-2 (KSA mandatory baseline). See main database for cross-framework mapping.</t>
        </is>
      </c>
      <c r="AM67"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67" s="50" t="inlineStr">
        <is>
          <t>Official: Consult the official source URL in the database for the primary document. Training: ISACA, ISC2, RAPS, IAPP, and HIMSS offer professional development covering most regulatory domains. Estimated hours vary by framework complexity.</t>
        </is>
      </c>
      <c r="AO67" s="77" t="inlineStr">
        <is>
          <t>Relevance to GH-ICGA framework varies by layer — see GH-ICGA Layer Mapping column. All KSA mandatory frameworks are compliance inputs to GH-ICGA Layer 4. Frameworks with IoMT-specific provisions directly inform Layers 2 and 3.</t>
        </is>
      </c>
      <c r="AP67" s="51" t="inlineStr">
        <is>
          <t>G + C (Governance + Compliance — standard regulatory framework positioning)</t>
        </is>
      </c>
      <c r="AQ67" s="78" t="inlineStr">
        <is>
          <t>Senior management: accountability for framework compliance. Designated compliance officer: monitor requirements. All staff: awareness of applicable obligations</t>
        </is>
      </c>
      <c r="AR67" s="74" t="inlineStr">
        <is>
          <t>Regulatory Risk; Operational Risk; Reputational Risk — specific domains determined by framework scope</t>
        </is>
      </c>
      <c r="AS67" s="22" t="inlineStr">
        <is>
          <t>See official source — legal obligation, regulatory requirement, or voluntary standard as applicable</t>
        </is>
      </c>
      <c r="AT67" s="75" t="inlineStr">
        <is>
          <t>Administrative; Technical; Operational — specific distribution determined by framework content</t>
        </is>
      </c>
      <c r="AU67" s="79" t="inlineStr">
        <is>
          <t>1. Compliance status (compliant/non-compliant). 2. # open findings from last assessment. 3. % controls implemented. 4. Time to remediate findings. 5. Incident rate in framework scope area</t>
        </is>
      </c>
      <c r="AV67" s="80" t="inlineStr">
        <is>
          <t>Self-assessment; internal audit; external assessment as specified by issuing authority</t>
        </is>
      </c>
      <c r="AW67" s="81" t="inlineStr">
        <is>
          <t>ServiceNow GRC; IBM OpenPages; RSA Archer; MetricStream — all major GRC platforms support custom framework import. Contact vendor for framework-specific module</t>
        </is>
      </c>
      <c r="AX67" s="82" t="inlineStr">
        <is>
          <t>Third parties in scope must demonstrate equivalent compliance. Contractual compliance obligations; right-to-audit clauses; annual third-party assessment</t>
        </is>
      </c>
      <c r="AY67" s="83" t="inlineStr">
        <is>
          <t>Non-compliance: regulatory action by issuing authority; fines and penalties as specified; operational and reputational consequences</t>
        </is>
      </c>
      <c r="AZ67" s="80" t="inlineStr">
        <is>
          <t>ALL 17 SECTORS</t>
        </is>
      </c>
      <c r="BA67" s="34" t="inlineStr">
        <is>
          <t>YES — ALL SECTORS</t>
        </is>
      </c>
      <c r="BB67" s="591">
        <f>IF(E67="","",IF(ISNUMBER(SEARCH("Institutional theory and regulatory governance theory underpin",AI67)),"TEMPLATE",IF(LEN(AI67)&gt;100,"DEEP",IF(AI67="","SPARSE","SHALLOW"))))</f>
        <v/>
      </c>
      <c r="BC67" s="591">
        <f>IF(E67="","",D67&amp;"-"&amp;B67&amp;"-"&amp;E67)</f>
        <v/>
      </c>
      <c r="BD67" s="591">
        <f>IF(E67="","",SUBSTITUTE(SUBSTITUTE(B67&amp;"-"&amp;E67," ",""),":","-"))</f>
        <v/>
      </c>
      <c r="BE67" s="591">
        <f>IF(E67="","",IF(ISNUMBER(SEARCH("ECC",E67)),"NCA-ECC-2-2024",IF(ISNUMBER(SEARCH("OTCC",E67)),"NCA-ECC-2-2024",IF(ISNUMBER(SEARCH("CCC",E67)),"NCA-ECC-2-2024",IF(ISNUMBER(SEARCH("DCC",E67)),"NCA-ECC-2-2024",IF(ISNUMBER(SEARCH("CSCC",E67)),"NCA-ECC-2-2024",IF(ISNUMBER(SEARCH("PDPL-IR",E67)),"PDPL-2021",IF(ISNUMBER(SEARCH("PDPL-DTR",E67)),"PDPL-2021","NONE"))))))))</f>
        <v/>
      </c>
      <c r="BF67" s="594">
        <f>IF(E67="","",IF(BB67="DEEP",10,IF(BB67="SHALLOW",5,IF(BB67="TEMPLATE",3,1)))+IF(N67="HIGHEST",5,IF(N67="HIGH",3,IF(N67="MODERATE",1,0)))+IF(ISNUMBER(SEARCH("Mandatory",L67)),3,0))</f>
        <v/>
      </c>
    </row>
    <row r="68" ht="42" customHeight="1">
      <c r="A68" s="84" t="n">
        <v>63</v>
      </c>
      <c r="B68" s="85" t="inlineStr">
        <is>
          <t>SCFHS</t>
        </is>
      </c>
      <c r="C68" s="70" t="inlineStr">
        <is>
          <t>Saudi Commission for Health Specialties</t>
        </is>
      </c>
      <c r="D68" s="70" t="inlineStr">
        <is>
          <t>2. Healthcare &amp; Life Sciences</t>
        </is>
      </c>
      <c r="E68" s="85" t="inlineStr">
        <is>
          <t>PDPL-2021</t>
        </is>
      </c>
      <c r="F68" s="72" t="inlineStr">
        <is>
          <t>Personal Data Protection Law</t>
        </is>
      </c>
      <c r="G68" s="70" t="inlineStr">
        <is>
          <t>نظام حماية البيانات الشخصية</t>
        </is>
      </c>
      <c r="H68" s="70" t="inlineStr">
        <is>
          <t>2021+IR 2023</t>
        </is>
      </c>
      <c r="I68" s="71" t="inlineStr">
        <is>
          <t>2021</t>
        </is>
      </c>
      <c r="J68" s="71" t="inlineStr">
        <is>
          <t>45</t>
        </is>
      </c>
      <c r="K68" s="70" t="inlineStr">
        <is>
          <t>MUST COMPLY WITH</t>
        </is>
      </c>
      <c r="L68" s="66" t="inlineStr">
        <is>
          <t>Mandatory Complier</t>
        </is>
      </c>
      <c r="M68" s="70" t="inlineStr">
        <is>
          <t>SCFHS processes health professional licence data</t>
        </is>
      </c>
      <c r="N68" s="93" t="inlineStr">
        <is>
          <t>MODERATE</t>
        </is>
      </c>
      <c r="O68" s="87" t="inlineStr">
        <is>
          <t>https://sdaia.gov.sa/</t>
        </is>
      </c>
      <c r="P68" s="70" t="inlineStr">
        <is>
          <t>SDAIA</t>
        </is>
      </c>
      <c r="Q68" s="70" t="inlineStr">
        <is>
          <t>Royal Decree M/19 (16 Sep 2021) → amended Apr 2023</t>
        </is>
      </c>
      <c r="R68" s="70" t="inlineStr">
        <is>
          <t>Original (2021): 19 articles covering consent, data subject rights, controller obligations, sensitive data (health = sensitive), cross-border transfer. Apr 2023 amendment: strengthened enforcement, clarified health data provisions, aligned with PDPL-IR-2023. Grace period for compliance ended Sep 14, 2024. Penalties: up to SAR 5 million fine + 2 years imprisonment for sensitive data breach</t>
        </is>
      </c>
      <c r="S68" s="71" t="inlineStr">
        <is>
          <t>Issued: Sep 2021. Amended: Apr 2023. Fully enforceable: Sep 14, 2024</t>
        </is>
      </c>
      <c r="T68" s="70" t="inlineStr">
        <is>
          <t>SDAIA reviews annually; amendments expected 2025-2026</t>
        </is>
      </c>
      <c r="U68" s="25" t="inlineStr">
        <is>
          <t>CURRENT — fully enforceable since Sep 2024</t>
        </is>
      </c>
      <c r="V68" s="70" t="inlineStr">
        <is>
          <t>Criminal offence: up to 2 years imprisonment + SAR 3M fine for disclosing sensitive data (health data = sensitive); administrative fine up to SAR 5M; mandatory breach notification to SDAIA within 72 hours; data subject compensation claims</t>
        </is>
      </c>
      <c r="W68" s="72" t="inlineStr">
        <is>
          <t>SDAIA — Data Protection Authority (DPA functions); NDMO for government entities; courts for criminal penalties</t>
        </is>
      </c>
      <c r="X68" s="70" t="inlineStr">
        <is>
          <t>Hospital; Clinic; Lab; Pharmacy; Health IT Vendor; Health Insurer; Government Health Entity; Medical Device Manufacturer (all processing patient data)</t>
        </is>
      </c>
      <c r="Y68" s="49" t="inlineStr">
        <is>
          <t>Both + foreign entities processing data of KSA residents</t>
        </is>
      </c>
      <c r="Z68" s="70" t="inlineStr">
        <is>
          <t>SDAIA audit; controller self-assessment; DPO oversight; data subject complaints trigger investigation</t>
        </is>
      </c>
      <c r="AA68" s="71" t="inlineStr">
        <is>
          <t>Continuous (breach notification: 72 hours); annual DPO report; SDAIA random audits</t>
        </is>
      </c>
      <c r="AB68" s="70" t="inlineStr">
        <is>
          <t>12 (IoMT data minimisation; purpose limitation; consent management for wearable data; automated decision-making; data subject rights for IoMT-generated health data; cross-border transfer of IoMT data)</t>
        </is>
      </c>
      <c r="AC68" s="70" t="inlineStr">
        <is>
          <t>GDPR (substantial alignment — adequate protection basis); APEC Privacy Framework; ISO 29100; ISO 27701</t>
        </is>
      </c>
      <c r="AD68" s="49" t="inlineStr">
        <is>
          <t>Arabic (official); English translation (unofficial)</t>
        </is>
      </c>
      <c r="AE68" s="50" t="inlineStr">
        <is>
          <t>Layer 4: Compliance; Layer 2: Risk Management</t>
        </is>
      </c>
      <c r="AF68" s="60" t="inlineStr">
        <is>
          <t>No formal maturity model; SDAIA publishes compliance guidance</t>
        </is>
      </c>
      <c r="AG68" s="70" t="inlineStr">
        <is>
          <t>National Data Strategy; Vision 2030 Digital Economy; Digital Government transformation</t>
        </is>
      </c>
      <c r="AH68" s="70" t="inlineStr">
        <is>
          <t>Privacy notices; consent records; DPO appointment letter; data mapping/flow diagrams; breach notification records; DPIA for health data processing; controller registration</t>
        </is>
      </c>
      <c r="AI68" s="73" t="inlineStr">
        <is>
          <t>Privacy as fundamental right (Warren &amp; Brandeis 1890; Westin 1967). Contextual integrity theory (Nissenbaum 2004): health data flows must match medical context norms. Regulatory theory: data protection authority independence and enforcement. Information asymmetry theory: patients cannot protect their own data without regulation.</t>
        </is>
      </c>
      <c r="AJ68" s="70" t="inlineStr">
        <is>
          <t>FOR: Long-overdue — KSA had no comprehensive data protection law until 2021; health data explicitly protected as sensitive category; aligns KSA with global adequacy standards. AGAINST: Alrawabdeh (2014) and Aldawood &amp; Skinner (2019) documented Saudi privacy culture gap — regulation without public awareness is ineffective; 'GDPR-lite' criticism: exemptions broader than GDPR, enforcement weaker; health data provisions in IR still less specific than UK GDPR Schedule 1 conditions</t>
        </is>
      </c>
      <c r="AK68" s="74" t="inlineStr">
        <is>
          <t>No independent supervisory authority (SDAIA is both promoter and regulator — conflict of interest noted by Baker McKenzie 2025); patient data portability rights weaker than GDPR Article 20; no explicit right to explanation for AI-automated health decisions; cross-border transfer rules changed twice in 12 months (regulatory instability); small healthcare providers lack capacity for DPO requirements</t>
        </is>
      </c>
      <c r="AL68" s="75" t="inlineStr">
        <is>
          <t>PDPL vs GDPR: PDPL penalty lower (SAR 5M vs €20M); PDPL broader government exemptions; GDPR has independent DPA, PDPL does not. PDPL vs HIPAA: PDPL = all personal data (broader); HIPAA = US-specific health data only. PDPL vs UK GDPR: PDPL misses explicit Schedule 1 health data conditions. PDPL ahead of HIPAA on consent granularity; behind GDPR on enforcement independence</t>
        </is>
      </c>
      <c r="AM68" s="76" t="inlineStr">
        <is>
          <t>Baker McKenzie (2025) Saudi Arabia PDPL Global Data &amp; Cyber Handbook; Alrawabdeh W (2014) 'Internet and Social Media Challenges in Arab World' EJSR; Westin AF (1967) Privacy and Freedom NY Atheneum; Nissenbaum H (2004) 'Privacy as Contextual Integrity' Washington Law Review 79(1); CMS Law (2025) Saudi Arabia Data Protection &amp; Cybersecurity Expert Guide Oct 2025</t>
        </is>
      </c>
      <c r="AN68" s="50" t="inlineStr">
        <is>
          <t>Official: SDAIA website (sdaia.gov.sa) — Arabic + English. Training: IAPP CIPM/CIPP/E (privacy certifications applicable); OneTrust PDPL compliance course; Baker McKenzie PDPL compliance guide. Language: Arabic primary — strong Arabic reading recommended. Estimated: 50 hours for health sector DPO competence</t>
        </is>
      </c>
      <c r="AO68" s="77" t="inlineStr">
        <is>
          <t>PRIMARY driver for GH-ICGA Layer 4 (Compliance) — PDPL is the legal foundation for patient data governance in the preliminary GH-ICGA framework. Thesis argument: GH-ICGA Layer 4 operationalises PDPL requirements into IoMT-specific controls (consent management for wearable data; purpose limitation for monitoring streams; breach response for connected device incidents)</t>
        </is>
      </c>
      <c r="AP68" s="51" t="inlineStr">
        <is>
          <t>G + C (Governance + Compliance — strong compliance driver; risk implicit)</t>
        </is>
      </c>
      <c r="AQ68" s="78" t="inlineStr">
        <is>
          <t>Board/CEO: ultimate accountability for PDPL compliance. DPO: mandatory for large-scale health data processors — reports to highest management level. Privacy Committee: cross-functional oversight. All staff processing personal data: mandatory privacy awareness training annually</t>
        </is>
      </c>
      <c r="AR68" s="74" t="inlineStr">
        <is>
          <t>Privacy Risk (PRIMARY); Legal/Regulatory Risk; Reputational Risk; Strategic Risk (data monetisation constraints); Cross-Border Risk (data transfer restrictions)</t>
        </is>
      </c>
      <c r="AS68" s="22" t="inlineStr">
        <is>
          <t>LEGAL — Royal Decree M/19 2021 + Implementing Regulations Sep 2023. Criminal: imprisonment up to 2 years + SAR 3M fine for sensitive data disclosure. Administrative: SAR 5M maximum fine. Civil: data subject compensation claims</t>
        </is>
      </c>
      <c r="AT68" s="75" t="inlineStr">
        <is>
          <t>Administrative (A): consent management; privacy notices; DPO appointment; DPIA process; breach notification procedure. Technical (T): data minimisation; pseudonymisation; access controls for personal data; encryption. Operational (O): data retention enforcement; data subject rights fulfilment process; cross-border transfer review</t>
        </is>
      </c>
      <c r="AU68" s="79" t="inlineStr">
        <is>
          <t>1. # data subject rights requests fulfilled on time (target: 100% within 30 days). 2. # data breaches notified to SDAIA within 72h (target: 100%). 3. % staff completed privacy training (target: 100%). 4. # DPIAs completed for high-risk processing activities. 5. Data retention compliance rate (% records within policy). 6. % third-party processors with DPA agreements</t>
        </is>
      </c>
      <c r="AV68" s="80" t="inlineStr">
        <is>
          <t>Annual DPIA review; data mapping audit (controller record validation); consent record audit; breach response simulation (tabletop); access control review for personal data systems; third-party processor audit; SDAIA compliance self-assessment</t>
        </is>
      </c>
      <c r="AW68" s="81" t="inlineStr">
        <is>
          <t>OneTrust (market leader for PDPL); TrustArc; Nymity; DataGrail; Varonis (data discovery); Microsoft Purview (data classification). SDAIA National Data Governance Platform for registration. Arabic-capable tools preferred</t>
        </is>
      </c>
      <c r="AX68" s="82" t="inlineStr">
        <is>
          <t>All third-party data processors must have Data Processing Agreement (DPA). Processors must demonstrate equivalent PDPL compliance. Cross-border transfers require adequacy assessment or appropriate safeguards. Sub-processor disclosure mandatory. Annual processor risk assessment required</t>
        </is>
      </c>
      <c r="AY68" s="83" t="inlineStr">
        <is>
          <t>Non-compliance: SAR 5M administrative fine; criminal prosecution for sensitive data breach; SDAIA investigation; mandatory breach public disclosure. Business disruption: SDAIA can order processing suspension. Reputational: patient trust damage. Market: EU adequate protection status depends on PDPL enforcement credibility</t>
        </is>
      </c>
      <c r="AZ68" s="80" t="inlineStr">
        <is>
          <t>ALL 17 SECTORS — any entity processing personal data</t>
        </is>
      </c>
      <c r="BA68" s="34" t="inlineStr">
        <is>
          <t>YES — ALL SECTORS</t>
        </is>
      </c>
      <c r="BB68" s="591">
        <f>IF(E68="","",IF(ISNUMBER(SEARCH("Institutional theory and regulatory governance theory underpin",AI68)),"TEMPLATE",IF(LEN(AI68)&gt;100,"DEEP",IF(AI68="","SPARSE","SHALLOW"))))</f>
        <v/>
      </c>
      <c r="BC68" s="591">
        <f>IF(E68="","",D68&amp;"-"&amp;B68&amp;"-"&amp;E68)</f>
        <v/>
      </c>
      <c r="BD68" s="591">
        <f>IF(E68="","",SUBSTITUTE(SUBSTITUTE(B68&amp;"-"&amp;E68," ",""),":","-"))</f>
        <v/>
      </c>
      <c r="BE68" s="591">
        <f>IF(E68="","",IF(ISNUMBER(SEARCH("ECC",E68)),"NCA-ECC-2-2024",IF(ISNUMBER(SEARCH("OTCC",E68)),"NCA-ECC-2-2024",IF(ISNUMBER(SEARCH("CCC",E68)),"NCA-ECC-2-2024",IF(ISNUMBER(SEARCH("DCC",E68)),"NCA-ECC-2-2024",IF(ISNUMBER(SEARCH("CSCC",E68)),"NCA-ECC-2-2024",IF(ISNUMBER(SEARCH("PDPL-IR",E68)),"PDPL-2021",IF(ISNUMBER(SEARCH("PDPL-DTR",E68)),"PDPL-2021","NONE"))))))))</f>
        <v/>
      </c>
      <c r="BF68" s="594">
        <f>IF(E68="","",IF(BB68="DEEP",10,IF(BB68="SHALLOW",5,IF(BB68="TEMPLATE",3,1)))+IF(N68="HIGHEST",5,IF(N68="HIGH",3,IF(N68="MODERATE",1,0)))+IF(ISNUMBER(SEARCH("Mandatory",L68)),3,0))</f>
        <v/>
      </c>
    </row>
    <row r="69" ht="42" customHeight="1">
      <c r="A69" s="42" t="n">
        <v>64</v>
      </c>
      <c r="B69" s="69" t="inlineStr">
        <is>
          <t>CCHI</t>
        </is>
      </c>
      <c r="C69" s="44" t="inlineStr">
        <is>
          <t>Council of Cooperative Health Insurance</t>
        </is>
      </c>
      <c r="D69" s="44" t="inlineStr">
        <is>
          <t>2. Healthcare &amp; Life Sciences</t>
        </is>
      </c>
      <c r="E69" s="69" t="inlineStr">
        <is>
          <t>CCHI-HIR</t>
        </is>
      </c>
      <c r="F69" s="45" t="inlineStr">
        <is>
          <t>Cooperative Health Insurance Law &amp; Regulations</t>
        </is>
      </c>
      <c r="G69" s="44" t="inlineStr">
        <is>
          <t>نظام الضمان الصحي التعاوني</t>
        </is>
      </c>
      <c r="H69" s="44" t="inlineStr">
        <is>
          <t>Updated 2024</t>
        </is>
      </c>
      <c r="I69" s="46" t="inlineStr">
        <is>
          <t>1999</t>
        </is>
      </c>
      <c r="J69" s="46" t="inlineStr">
        <is>
          <t>50</t>
        </is>
      </c>
      <c r="K69" s="44" t="inlineStr">
        <is>
          <t>ISSUES/ENFORCES</t>
        </is>
      </c>
      <c r="L69" s="22" t="inlineStr">
        <is>
          <t>Mandatory Enforcer</t>
        </is>
      </c>
      <c r="M69" s="44" t="inlineStr">
        <is>
          <t>All employers (private+expatriate), health insurers, healthcare providers</t>
        </is>
      </c>
      <c r="N69" s="54" t="inlineStr">
        <is>
          <t>HIGH</t>
        </is>
      </c>
      <c r="O69" s="48" t="inlineStr">
        <is>
          <t>https://cchi.gov.sa/</t>
        </is>
      </c>
      <c r="P69" s="44" t="inlineStr">
        <is>
          <t>Hammad &amp; Al-Mehdar 2025; CCHI official</t>
        </is>
      </c>
      <c r="Q69" s="70" t="inlineStr">
        <is>
          <t>Royal Decree M/10 1999 → major updates 2006, 2012, 2020, 2024</t>
        </is>
      </c>
      <c r="R69" s="70" t="inlineStr">
        <is>
          <t>1999 (establishment): mandatory health insurance for expat workers. 2006: expanded to all private sector employees. 2012: new insurance products approved. 2020: mental health coverage mandated (first time). 2024: major update — chronic disease management coverage expanded; digital health services coverage (telemedicine, remote monitoring reimbursement); mandatory e-prior authorisation; employer penalties for non-compliance strengthened; universal health insurance roadmap integration</t>
        </is>
      </c>
      <c r="S69" s="71" t="inlineStr">
        <is>
          <t>Established: 1999. Major updates: 2006, 2012, 2020, 2024</t>
        </is>
      </c>
      <c r="T69" s="70" t="inlineStr">
        <is>
          <t>Biennial review; NHI integration updates annually</t>
        </is>
      </c>
      <c r="U69" s="25" t="inlineStr">
        <is>
          <t>CURRENT — 2024 version</t>
        </is>
      </c>
      <c r="V69" s="70" t="inlineStr">
        <is>
          <t>Employer: daily SAR 1,000 fine per uninsured employee; Insurer: licence suspension; Provider: exclusion from insurance network; CCHI enforcement actions</t>
        </is>
      </c>
      <c r="W69" s="72" t="inlineStr">
        <is>
          <t>CCHI — Compliance and Monitoring Dept; MOL (Ministry of Labour) for employer compliance; MOH coordinates for provider network</t>
        </is>
      </c>
      <c r="X69" s="70" t="inlineStr">
        <is>
          <t>Hospital; Clinic; Lab; Pharmacy; Health Insurer; Government Health Entity (coordination for national expansion)</t>
        </is>
      </c>
      <c r="Y69" s="49" t="inlineStr">
        <is>
          <t>Private sector (employers and private health facilities/insurers primarily)</t>
        </is>
      </c>
      <c r="Z69" s="70" t="inlineStr">
        <is>
          <t>CCHI employer compliance audit; insurer financial audit; provider quality audit; digital claims system audit</t>
        </is>
      </c>
      <c r="AA69" s="71" t="inlineStr">
        <is>
          <t>Annual insurer audit; employer compliance continuous (via MOL Qiwa portal); provider: biennial</t>
        </is>
      </c>
      <c r="AB69" s="70" t="inlineStr">
        <is>
          <t>8 (remote monitoring reimbursement coding; IoMT-enabled chronic disease management coverage; telehealth claim codes; digital health benefit verification; real-time eligibility checking for IoMT monitoring services)</t>
        </is>
      </c>
      <c r="AC69" s="70" t="inlineStr">
        <is>
          <t>International Health Insurance Standards (WHO); EU Directive 2011/24/EU (cross-border healthcare reference); ISO 27001 for insurer data</t>
        </is>
      </c>
      <c r="AD69" s="49" t="inlineStr">
        <is>
          <t>Arabic (primary); English guidance</t>
        </is>
      </c>
      <c r="AE69" s="26" t="inlineStr">
        <is>
          <t>Layer 1: Governance; Layer 4: Compliance</t>
        </is>
      </c>
      <c r="AF69" s="60" t="inlineStr">
        <is>
          <t>No formal maturity model; licence tier classification for insurers</t>
        </is>
      </c>
      <c r="AG69" s="70" t="inlineStr">
        <is>
          <t>Universal Health Coverage (Vision 2030); National Health Insurance rollout; HSTP financing transformation</t>
        </is>
      </c>
      <c r="AH69" s="70" t="inlineStr">
        <is>
          <t>Insurance policy certificate; employer group insurance contract; UBP coverage compliance checklist; digital claims processing system documentation; CCHI audit reports</t>
        </is>
      </c>
      <c r="AI69" s="73" t="inlineStr">
        <is>
          <t>Institutional theory and regulatory governance theory underpin all KSA regulatory frameworks. Specific theoretical basis varies by framework — consult academic literature via Google Scholar using framework name as search term.</t>
        </is>
      </c>
      <c r="AJ69" s="70" t="inlineStr">
        <is>
          <t>Academic debate varies by framework maturity and international adoption. For KSA-specific debate, consult: Almohammad &amp; Wills (2021) J Cybersecurity; Al-Khater et al. (2020) IEEE Access; Baker McKenzie KSA regulatory updates.</t>
        </is>
      </c>
      <c r="AK69" s="74" t="inlineStr">
        <is>
          <t>Known criticisms include: implementation gap between standards and practice; resource constraints for smaller healthcare entities; rapid technology evolution outpacing regulation. Consult framework evaluation literature for specifics.</t>
        </is>
      </c>
      <c r="AL69" s="75" t="inlineStr">
        <is>
          <t>Framework comparison requires contextual analysis. Key comparators: NIST CSF 2.0 (international benchmark), ISO 27001 (certifiable standard), ECC-2 (KSA mandatory baseline). See main database for cross-framework mapping.</t>
        </is>
      </c>
      <c r="AM69"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69" s="50" t="inlineStr">
        <is>
          <t>Official: Consult the official source URL in the database for the primary document. Training: ISACA, ISC2, RAPS, IAPP, and HIMSS offer professional development covering most regulatory domains. Estimated hours vary by framework complexity.</t>
        </is>
      </c>
      <c r="AO69" s="77" t="inlineStr">
        <is>
          <t>Relevance to GH-ICGA framework varies by layer — see GH-ICGA Layer Mapping column. All KSA mandatory frameworks are compliance inputs to GH-ICGA Layer 4. Frameworks with IoMT-specific provisions directly inform Layers 2 and 3.</t>
        </is>
      </c>
      <c r="AP69" s="51" t="inlineStr">
        <is>
          <t>G + C (health insurance governance + mandatory compliance)</t>
        </is>
      </c>
      <c r="AQ69" s="78" t="inlineStr">
        <is>
          <t>CEO: accountable for CCHI licence compliance. Chief Actuarial Officer: UBP benefit modelling. Chief Medical Officer: clinical coverage governance. Compliance Officer: CCHI regulatory monitoring. Digital Claims Manager: DCS compliance</t>
        </is>
      </c>
      <c r="AR69" s="74" t="inlineStr">
        <is>
          <t>Regulatory Risk; Financial Risk (claims reserves); Operational Risk (claims processing); Reputational Risk; Clinical Quality Risk</t>
        </is>
      </c>
      <c r="AS69" s="22" t="inlineStr">
        <is>
          <t>LEGAL — Cooperative Health Insurance Law (RD M/10 1999 as amended). CCHI is regulator and enforcement body. Fines: SAR 1,000/day per uninsured employee (employer); insurer: licence suspension</t>
        </is>
      </c>
      <c r="AT69" s="75" t="inlineStr">
        <is>
          <t>Administrative (A): policy issuance; claims adjudication; network management; fraud detection. Technical (T): e-prior authorisation; digital claims system; NABIDH integration. Operational (O): provider network management; complaints handling; member services</t>
        </is>
      </c>
      <c r="AU69" s="79" t="inlineStr">
        <is>
          <t>1. Claims processing time (target: 15 days clean claims). 2. Fraud detection rate (% fraudulent claims identified). 3. UBP coverage compliance rate (% mandatory benefits paid). 4. Provider network coverage (% insured members within 30 min of network facility). 5. e-prior authorisation system uptime (target &gt;99%). 6. Member complaint resolution time</t>
        </is>
      </c>
      <c r="AV69" s="80" t="inlineStr">
        <is>
          <t>Annual CCHI compliance audit; financial examination (claims reserves); provider network adequacy audit; UBP coverage verification; e-prior authorisation system audit; fraud and abuse detection programme review</t>
        </is>
      </c>
      <c r="AW69" s="81" t="inlineStr">
        <is>
          <t>CCHI ADEEM system (mandatory for insurers — electronic claims); Oracle Health Insurance; Majesco (insurance core); Change Healthcare (claims processing). Analytics: SAS Healthcare Analytics; IBM Watson for Health Insurance. Fraud: Cotiviti; Gainwell Technologies</t>
        </is>
      </c>
      <c r="AX69" s="82" t="inlineStr">
        <is>
          <t>Healthcare providers in CCHI network: must meet CCHI quality standards; CBAHI accreditation preferred; contract compliance monitoring; fraud audit rights; data sharing for quality measurement; NABIDH connectivity requirement for network participation</t>
        </is>
      </c>
      <c r="AY69" s="83" t="inlineStr">
        <is>
          <t>Employer non-compliance: daily fine + work visa ban. Insurer non-compliance: licence suspension; market exclusion; mandatory remediation. Provider non-compliance: network exclusion; reimbursement suspension; CCHI investigation</t>
        </is>
      </c>
      <c r="AZ69" s="80" t="inlineStr">
        <is>
          <t>Healthcare &amp; Life Sciences; Financial Regulators (insurers)</t>
        </is>
      </c>
      <c r="BA69" s="41" t="inlineStr">
        <is>
          <t>Sector-Specific</t>
        </is>
      </c>
      <c r="BB69" s="591">
        <f>IF(E69="","",IF(ISNUMBER(SEARCH("Institutional theory and regulatory governance theory underpin",AI69)),"TEMPLATE",IF(LEN(AI69)&gt;100,"DEEP",IF(AI69="","SPARSE","SHALLOW"))))</f>
        <v/>
      </c>
      <c r="BC69" s="591">
        <f>IF(E69="","",D69&amp;"-"&amp;B69&amp;"-"&amp;E69)</f>
        <v/>
      </c>
      <c r="BD69" s="591">
        <f>IF(E69="","",SUBSTITUTE(SUBSTITUTE(B69&amp;"-"&amp;E69," ",""),":","-"))</f>
        <v/>
      </c>
      <c r="BE69" s="591">
        <f>IF(E69="","",IF(ISNUMBER(SEARCH("ECC",E69)),"NCA-ECC-2-2024",IF(ISNUMBER(SEARCH("OTCC",E69)),"NCA-ECC-2-2024",IF(ISNUMBER(SEARCH("CCC",E69)),"NCA-ECC-2-2024",IF(ISNUMBER(SEARCH("DCC",E69)),"NCA-ECC-2-2024",IF(ISNUMBER(SEARCH("CSCC",E69)),"NCA-ECC-2-2024",IF(ISNUMBER(SEARCH("PDPL-IR",E69)),"PDPL-2021",IF(ISNUMBER(SEARCH("PDPL-DTR",E69)),"PDPL-2021","NONE"))))))))</f>
        <v/>
      </c>
      <c r="BF69" s="594">
        <f>IF(E69="","",IF(BB69="DEEP",10,IF(BB69="SHALLOW",5,IF(BB69="TEMPLATE",3,1)))+IF(N69="HIGHEST",5,IF(N69="HIGH",3,IF(N69="MODERATE",1,0)))+IF(ISNUMBER(SEARCH("Mandatory",L69)),3,0))</f>
        <v/>
      </c>
    </row>
    <row r="70" ht="42" customHeight="1">
      <c r="A70" s="84" t="n">
        <v>65</v>
      </c>
      <c r="B70" s="85" t="inlineStr">
        <is>
          <t>CCHI</t>
        </is>
      </c>
      <c r="C70" s="70" t="inlineStr">
        <is>
          <t>Council of Cooperative Health Insurance</t>
        </is>
      </c>
      <c r="D70" s="70" t="inlineStr">
        <is>
          <t>2. Healthcare &amp; Life Sciences</t>
        </is>
      </c>
      <c r="E70" s="85" t="inlineStr">
        <is>
          <t>CCHI-UBP</t>
        </is>
      </c>
      <c r="F70" s="72" t="inlineStr">
        <is>
          <t>Unified Health Benefits Package</t>
        </is>
      </c>
      <c r="G70" s="70" t="inlineStr">
        <is>
          <t>حزمة المزايا الصحية الموحدة</t>
        </is>
      </c>
      <c r="H70" s="70" t="inlineStr">
        <is>
          <t>2024-2025</t>
        </is>
      </c>
      <c r="I70" s="71" t="inlineStr">
        <is>
          <t>2018</t>
        </is>
      </c>
      <c r="J70" s="71" t="inlineStr">
        <is>
          <t>35</t>
        </is>
      </c>
      <c r="K70" s="70" t="inlineStr">
        <is>
          <t>ISSUES/ENFORCES</t>
        </is>
      </c>
      <c r="L70" s="22" t="inlineStr">
        <is>
          <t>Mandatory Enforcer</t>
        </is>
      </c>
      <c r="M70" s="70" t="inlineStr">
        <is>
          <t>All health insurers and healthcare providers</t>
        </is>
      </c>
      <c r="N70" s="88" t="inlineStr">
        <is>
          <t>HIGH</t>
        </is>
      </c>
      <c r="O70" s="87" t="inlineStr">
        <is>
          <t>https://cchi.gov.sa/</t>
        </is>
      </c>
      <c r="P70" s="70" t="inlineStr">
        <is>
          <t>Hammad &amp; Al-Mehdar 2025</t>
        </is>
      </c>
      <c r="Q70" s="70" t="inlineStr">
        <is>
          <t>First UBP 2018 → expanded 2022 → major expansion 2024-2025</t>
        </is>
      </c>
      <c r="R70" s="70" t="inlineStr">
        <is>
          <t>2018 (first): basic coverage package for expat workers. 2022: expanded to include mental health (inpatient + 12 outpatient sessions); physiotherapy. 2024-2025: major expansion — fertility treatment; hearing aids; advanced cancer therapy; telemedicine reimbursement; remote patient monitoring for chronic disease; AI-assisted diagnosis coverage (first-in-region). Unified across all insurers — providers must deliver all UBP services</t>
        </is>
      </c>
      <c r="S70" s="71" t="inlineStr">
        <is>
          <t>First: 2018. Updated: 2022, 2024-2025</t>
        </is>
      </c>
      <c r="T70" s="70" t="inlineStr">
        <is>
          <t>Annual update aligned with actuarial review</t>
        </is>
      </c>
      <c r="U70" s="25" t="inlineStr">
        <is>
          <t>CURRENT — 2024-2025 expanded version</t>
        </is>
      </c>
      <c r="V70" s="70" t="inlineStr">
        <is>
          <t>Penalties defined by issuing authority; consult official source. NCA ECC-2 penalties apply if relevant</t>
        </is>
      </c>
      <c r="W70" s="72" t="inlineStr">
        <is>
          <t>Issuing authority and/or designated inspection department</t>
        </is>
      </c>
      <c r="X70" s="70" t="inlineStr">
        <is>
          <t>As specified in framework scope — consult official document</t>
        </is>
      </c>
      <c r="Y70" s="49" t="inlineStr">
        <is>
          <t>Both (unless specified otherwise in official document)</t>
        </is>
      </c>
      <c r="Z70" s="70" t="inlineStr">
        <is>
          <t>As defined by issuing authority</t>
        </is>
      </c>
      <c r="AA70" s="71" t="inlineStr">
        <is>
          <t>As defined by issuing authority</t>
        </is>
      </c>
      <c r="AB70" s="70" t="inlineStr">
        <is>
          <t>To be determined from framework text — see official source</t>
        </is>
      </c>
      <c r="AC70" s="70" t="inlineStr">
        <is>
          <t>See framework preamble for international standard references</t>
        </is>
      </c>
      <c r="AD70" s="49" t="inlineStr">
        <is>
          <t>Arabic (primary in KSA); English may be available</t>
        </is>
      </c>
      <c r="AE70" s="58" t="inlineStr">
        <is>
          <t>Mapped to relevant GH-ICGA layer — requires manual assessment</t>
        </is>
      </c>
      <c r="AF70" s="56" t="inlineStr">
        <is>
          <t>See official framework for maturity model details</t>
        </is>
      </c>
      <c r="AG70" s="70" t="inlineStr">
        <is>
          <t>Aligned with relevant Vision 2030 programme — see framework context</t>
        </is>
      </c>
      <c r="AH70" s="70" t="inlineStr">
        <is>
          <t>As specified in framework compliance requirements</t>
        </is>
      </c>
      <c r="AI70" s="73" t="inlineStr">
        <is>
          <t>Institutional theory and regulatory governance theory underpin all KSA regulatory frameworks. Specific theoretical basis varies by framework — consult academic literature via Google Scholar using framework name as search term.</t>
        </is>
      </c>
      <c r="AJ70" s="70" t="inlineStr">
        <is>
          <t>Academic debate varies by framework maturity and international adoption. For KSA-specific debate, consult: Almohammad &amp; Wills (2021) J Cybersecurity; Al-Khater et al. (2020) IEEE Access; Baker McKenzie KSA regulatory updates.</t>
        </is>
      </c>
      <c r="AK70" s="74" t="inlineStr">
        <is>
          <t>Known criticisms include: implementation gap between standards and practice; resource constraints for smaller healthcare entities; rapid technology evolution outpacing regulation. Consult framework evaluation literature for specifics.</t>
        </is>
      </c>
      <c r="AL70" s="75" t="inlineStr">
        <is>
          <t>Framework comparison requires contextual analysis. Key comparators: NIST CSF 2.0 (international benchmark), ISO 27001 (certifiable standard), ECC-2 (KSA mandatory baseline). See main database for cross-framework mapping.</t>
        </is>
      </c>
      <c r="AM70"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70" s="50" t="inlineStr">
        <is>
          <t>Official: Consult the official source URL in the database for the primary document. Training: ISACA, ISC2, RAPS, IAPP, and HIMSS offer professional development covering most regulatory domains. Estimated hours vary by framework complexity.</t>
        </is>
      </c>
      <c r="AO70" s="77" t="inlineStr">
        <is>
          <t>Relevance to GH-ICGA framework varies by layer — see GH-ICGA Layer Mapping column. All KSA mandatory frameworks are compliance inputs to GH-ICGA Layer 4. Frameworks with IoMT-specific provisions directly inform Layers 2 and 3.</t>
        </is>
      </c>
      <c r="AP70" s="51" t="inlineStr">
        <is>
          <t>G + C (Governance + Compliance — standard regulatory framework positioning)</t>
        </is>
      </c>
      <c r="AQ70" s="78" t="inlineStr">
        <is>
          <t>Senior management: accountability for framework compliance. Designated compliance officer: monitor requirements. All staff: awareness of applicable obligations</t>
        </is>
      </c>
      <c r="AR70" s="74" t="inlineStr">
        <is>
          <t>Regulatory Risk; Operational Risk; Reputational Risk — specific domains determined by framework scope</t>
        </is>
      </c>
      <c r="AS70" s="22" t="inlineStr">
        <is>
          <t>See official source — legal obligation, regulatory requirement, or voluntary standard as applicable</t>
        </is>
      </c>
      <c r="AT70" s="75" t="inlineStr">
        <is>
          <t>Administrative; Technical; Operational — specific distribution determined by framework content</t>
        </is>
      </c>
      <c r="AU70" s="79" t="inlineStr">
        <is>
          <t>1. Compliance status (compliant/non-compliant). 2. # open findings from last assessment. 3. % controls implemented. 4. Time to remediate findings. 5. Incident rate in framework scope area</t>
        </is>
      </c>
      <c r="AV70" s="80" t="inlineStr">
        <is>
          <t>Self-assessment; internal audit; external assessment as specified by issuing authority</t>
        </is>
      </c>
      <c r="AW70" s="81" t="inlineStr">
        <is>
          <t>ServiceNow GRC; IBM OpenPages; RSA Archer; MetricStream — all major GRC platforms support custom framework import. Contact vendor for framework-specific module</t>
        </is>
      </c>
      <c r="AX70" s="82" t="inlineStr">
        <is>
          <t>Third parties in scope must demonstrate equivalent compliance. Contractual compliance obligations; right-to-audit clauses; annual third-party assessment</t>
        </is>
      </c>
      <c r="AY70" s="83" t="inlineStr">
        <is>
          <t>Non-compliance: regulatory action by issuing authority; fines and penalties as specified; operational and reputational consequences</t>
        </is>
      </c>
      <c r="AZ70" s="80" t="inlineStr">
        <is>
          <t>Healthcare &amp; Life Sciences; Financial Regulators</t>
        </is>
      </c>
      <c r="BA70" s="41" t="inlineStr">
        <is>
          <t>Sector-Specific</t>
        </is>
      </c>
      <c r="BB70" s="591">
        <f>IF(E70="","",IF(ISNUMBER(SEARCH("Institutional theory and regulatory governance theory underpin",AI70)),"TEMPLATE",IF(LEN(AI70)&gt;100,"DEEP",IF(AI70="","SPARSE","SHALLOW"))))</f>
        <v/>
      </c>
      <c r="BC70" s="591">
        <f>IF(E70="","",D70&amp;"-"&amp;B70&amp;"-"&amp;E70)</f>
        <v/>
      </c>
      <c r="BD70" s="591">
        <f>IF(E70="","",SUBSTITUTE(SUBSTITUTE(B70&amp;"-"&amp;E70," ",""),":","-"))</f>
        <v/>
      </c>
      <c r="BE70" s="591">
        <f>IF(E70="","",IF(ISNUMBER(SEARCH("ECC",E70)),"NCA-ECC-2-2024",IF(ISNUMBER(SEARCH("OTCC",E70)),"NCA-ECC-2-2024",IF(ISNUMBER(SEARCH("CCC",E70)),"NCA-ECC-2-2024",IF(ISNUMBER(SEARCH("DCC",E70)),"NCA-ECC-2-2024",IF(ISNUMBER(SEARCH("CSCC",E70)),"NCA-ECC-2-2024",IF(ISNUMBER(SEARCH("PDPL-IR",E70)),"PDPL-2021",IF(ISNUMBER(SEARCH("PDPL-DTR",E70)),"PDPL-2021","NONE"))))))))</f>
        <v/>
      </c>
      <c r="BF70" s="594">
        <f>IF(E70="","",IF(BB70="DEEP",10,IF(BB70="SHALLOW",5,IF(BB70="TEMPLATE",3,1)))+IF(N70="HIGHEST",5,IF(N70="HIGH",3,IF(N70="MODERATE",1,0)))+IF(ISNUMBER(SEARCH("Mandatory",L70)),3,0))</f>
        <v/>
      </c>
    </row>
    <row r="71" ht="42" customHeight="1">
      <c r="A71" s="42" t="n">
        <v>66</v>
      </c>
      <c r="B71" s="69" t="inlineStr">
        <is>
          <t>CCHI</t>
        </is>
      </c>
      <c r="C71" s="44" t="inlineStr">
        <is>
          <t>Council of Cooperative Health Insurance</t>
        </is>
      </c>
      <c r="D71" s="44" t="inlineStr">
        <is>
          <t>2. Healthcare &amp; Life Sciences</t>
        </is>
      </c>
      <c r="E71" s="69" t="inlineStr">
        <is>
          <t>CCHI-DCS</t>
        </is>
      </c>
      <c r="F71" s="45" t="inlineStr">
        <is>
          <t>Digital Claims Processing Standards</t>
        </is>
      </c>
      <c r="G71" s="44" t="inlineStr">
        <is>
          <t>معايير المطالبات الرقمية</t>
        </is>
      </c>
      <c r="H71" s="44" t="inlineStr">
        <is>
          <t>2024-2025</t>
        </is>
      </c>
      <c r="I71" s="46" t="inlineStr">
        <is>
          <t>2024</t>
        </is>
      </c>
      <c r="J71" s="46" t="inlineStr">
        <is>
          <t>20</t>
        </is>
      </c>
      <c r="K71" s="44" t="inlineStr">
        <is>
          <t>ISSUES/ENFORCES</t>
        </is>
      </c>
      <c r="L71" s="22" t="inlineStr">
        <is>
          <t>Mandatory Enforcer</t>
        </is>
      </c>
      <c r="M71" s="44" t="inlineStr">
        <is>
          <t>All health insurers and healthcare providers</t>
        </is>
      </c>
      <c r="N71" s="55" t="inlineStr">
        <is>
          <t>MODERATE</t>
        </is>
      </c>
      <c r="O71" s="48" t="inlineStr">
        <is>
          <t>https://cchi.gov.sa/</t>
        </is>
      </c>
      <c r="P71" s="44" t="inlineStr">
        <is>
          <t>Hammad &amp; Al-Mehdar 2025</t>
        </is>
      </c>
      <c r="Q71" s="70" t="inlineStr">
        <is>
          <t>Mandatory digital claims 2024-2025 (First issue)</t>
        </is>
      </c>
      <c r="R71" s="70" t="inlineStr">
        <is>
          <t>End-to-end digital claims processing requirement. Phase 1 (2024): e-submission mandatory for major insurers (&gt;50,000 covered lives). Phase 2 (2025): all insurers. Requirements: CCHI-standard JSON/XML claims format; 48-hour claims acknowledgement; 15-day clean claims payment; NABIDH integration for clinical data validation; real-time claims status visibility; audit trail for all claim decisions</t>
        </is>
      </c>
      <c r="S71" s="71" t="inlineStr">
        <is>
          <t>Phase 1: 2024. Phase 2: 2025</t>
        </is>
      </c>
      <c r="T71" s="70" t="inlineStr">
        <is>
          <t>Annual update</t>
        </is>
      </c>
      <c r="U71" s="25" t="inlineStr">
        <is>
          <t>CURRENT — phased rollout 2024-2025</t>
        </is>
      </c>
      <c r="V71" s="70" t="inlineStr">
        <is>
          <t>Penalties defined by issuing authority; consult official source. NCA ECC-2 penalties apply if relevant</t>
        </is>
      </c>
      <c r="W71" s="72" t="inlineStr">
        <is>
          <t>Issuing authority and/or designated inspection department</t>
        </is>
      </c>
      <c r="X71" s="70" t="inlineStr">
        <is>
          <t>As specified in framework scope — consult official document</t>
        </is>
      </c>
      <c r="Y71" s="49" t="inlineStr">
        <is>
          <t>Both (unless specified otherwise in official document)</t>
        </is>
      </c>
      <c r="Z71" s="70" t="inlineStr">
        <is>
          <t>As defined by issuing authority</t>
        </is>
      </c>
      <c r="AA71" s="71" t="inlineStr">
        <is>
          <t>As defined by issuing authority</t>
        </is>
      </c>
      <c r="AB71" s="70" t="inlineStr">
        <is>
          <t>To be determined from framework text — see official source</t>
        </is>
      </c>
      <c r="AC71" s="70" t="inlineStr">
        <is>
          <t>See framework preamble for international standard references</t>
        </is>
      </c>
      <c r="AD71" s="49" t="inlineStr">
        <is>
          <t>Arabic (primary in KSA); English may be available</t>
        </is>
      </c>
      <c r="AE71" s="58" t="inlineStr">
        <is>
          <t>Mapped to relevant GH-ICGA layer — requires manual assessment</t>
        </is>
      </c>
      <c r="AF71" s="56" t="inlineStr">
        <is>
          <t>See official framework for maturity model details</t>
        </is>
      </c>
      <c r="AG71" s="70" t="inlineStr">
        <is>
          <t>Aligned with relevant Vision 2030 programme — see framework context</t>
        </is>
      </c>
      <c r="AH71" s="70" t="inlineStr">
        <is>
          <t>As specified in framework compliance requirements</t>
        </is>
      </c>
      <c r="AI71" s="73" t="inlineStr">
        <is>
          <t>Institutional theory and regulatory governance theory underpin all KSA regulatory frameworks. Specific theoretical basis varies by framework — consult academic literature via Google Scholar using framework name as search term.</t>
        </is>
      </c>
      <c r="AJ71" s="70" t="inlineStr">
        <is>
          <t>Academic debate varies by framework maturity and international adoption. For KSA-specific debate, consult: Almohammad &amp; Wills (2021) J Cybersecurity; Al-Khater et al. (2020) IEEE Access; Baker McKenzie KSA regulatory updates.</t>
        </is>
      </c>
      <c r="AK71" s="74" t="inlineStr">
        <is>
          <t>Known criticisms include: implementation gap between standards and practice; resource constraints for smaller healthcare entities; rapid technology evolution outpacing regulation. Consult framework evaluation literature for specifics.</t>
        </is>
      </c>
      <c r="AL71" s="75" t="inlineStr">
        <is>
          <t>Framework comparison requires contextual analysis. Key comparators: NIST CSF 2.0 (international benchmark), ISO 27001 (certifiable standard), ECC-2 (KSA mandatory baseline). See main database for cross-framework mapping.</t>
        </is>
      </c>
      <c r="AM71"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71" s="50" t="inlineStr">
        <is>
          <t>Official: Consult the official source URL in the database for the primary document. Training: ISACA, ISC2, RAPS, IAPP, and HIMSS offer professional development covering most regulatory domains. Estimated hours vary by framework complexity.</t>
        </is>
      </c>
      <c r="AO71" s="77" t="inlineStr">
        <is>
          <t>Relevance to GH-ICGA framework varies by layer — see GH-ICGA Layer Mapping column. All KSA mandatory frameworks are compliance inputs to GH-ICGA Layer 4. Frameworks with IoMT-specific provisions directly inform Layers 2 and 3.</t>
        </is>
      </c>
      <c r="AP71" s="51" t="inlineStr">
        <is>
          <t>G + C (Governance + Compliance — standard regulatory framework positioning)</t>
        </is>
      </c>
      <c r="AQ71" s="78" t="inlineStr">
        <is>
          <t>Senior management: accountability for framework compliance. Designated compliance officer: monitor requirements. All staff: awareness of applicable obligations</t>
        </is>
      </c>
      <c r="AR71" s="74" t="inlineStr">
        <is>
          <t>Regulatory Risk; Operational Risk; Reputational Risk — specific domains determined by framework scope</t>
        </is>
      </c>
      <c r="AS71" s="22" t="inlineStr">
        <is>
          <t>See official source — legal obligation, regulatory requirement, or voluntary standard as applicable</t>
        </is>
      </c>
      <c r="AT71" s="75" t="inlineStr">
        <is>
          <t>Administrative; Technical; Operational — specific distribution determined by framework content</t>
        </is>
      </c>
      <c r="AU71" s="79" t="inlineStr">
        <is>
          <t>1. Compliance status (compliant/non-compliant). 2. # open findings from last assessment. 3. % controls implemented. 4. Time to remediate findings. 5. Incident rate in framework scope area</t>
        </is>
      </c>
      <c r="AV71" s="80" t="inlineStr">
        <is>
          <t>Self-assessment; internal audit; external assessment as specified by issuing authority</t>
        </is>
      </c>
      <c r="AW71" s="81" t="inlineStr">
        <is>
          <t>ServiceNow GRC; IBM OpenPages; RSA Archer; MetricStream — all major GRC platforms support custom framework import. Contact vendor for framework-specific module</t>
        </is>
      </c>
      <c r="AX71" s="82" t="inlineStr">
        <is>
          <t>Third parties in scope must demonstrate equivalent compliance. Contractual compliance obligations; right-to-audit clauses; annual third-party assessment</t>
        </is>
      </c>
      <c r="AY71" s="83" t="inlineStr">
        <is>
          <t>Non-compliance: regulatory action by issuing authority; fines and penalties as specified; operational and reputational consequences</t>
        </is>
      </c>
      <c r="AZ71" s="80" t="inlineStr">
        <is>
          <t>Sector-specific — consult official source</t>
        </is>
      </c>
      <c r="BA71" s="41" t="inlineStr">
        <is>
          <t>Sector-Specific</t>
        </is>
      </c>
      <c r="BB71" s="591">
        <f>IF(E71="","",IF(ISNUMBER(SEARCH("Institutional theory and regulatory governance theory underpin",AI71)),"TEMPLATE",IF(LEN(AI71)&gt;100,"DEEP",IF(AI71="","SPARSE","SHALLOW"))))</f>
        <v/>
      </c>
      <c r="BC71" s="591">
        <f>IF(E71="","",D71&amp;"-"&amp;B71&amp;"-"&amp;E71)</f>
        <v/>
      </c>
      <c r="BD71" s="591">
        <f>IF(E71="","",SUBSTITUTE(SUBSTITUTE(B71&amp;"-"&amp;E71," ",""),":","-"))</f>
        <v/>
      </c>
      <c r="BE71" s="591">
        <f>IF(E71="","",IF(ISNUMBER(SEARCH("ECC",E71)),"NCA-ECC-2-2024",IF(ISNUMBER(SEARCH("OTCC",E71)),"NCA-ECC-2-2024",IF(ISNUMBER(SEARCH("CCC",E71)),"NCA-ECC-2-2024",IF(ISNUMBER(SEARCH("DCC",E71)),"NCA-ECC-2-2024",IF(ISNUMBER(SEARCH("CSCC",E71)),"NCA-ECC-2-2024",IF(ISNUMBER(SEARCH("PDPL-IR",E71)),"PDPL-2021",IF(ISNUMBER(SEARCH("PDPL-DTR",E71)),"PDPL-2021","NONE"))))))))</f>
        <v/>
      </c>
      <c r="BF71" s="594">
        <f>IF(E71="","",IF(BB71="DEEP",10,IF(BB71="SHALLOW",5,IF(BB71="TEMPLATE",3,1)))+IF(N71="HIGHEST",5,IF(N71="HIGH",3,IF(N71="MODERATE",1,0)))+IF(ISNUMBER(SEARCH("Mandatory",L71)),3,0))</f>
        <v/>
      </c>
    </row>
    <row r="72" ht="42" customHeight="1">
      <c r="A72" s="84" t="n">
        <v>67</v>
      </c>
      <c r="B72" s="85" t="inlineStr">
        <is>
          <t>CCHI</t>
        </is>
      </c>
      <c r="C72" s="70" t="inlineStr">
        <is>
          <t>Council of Cooperative Health Insurance</t>
        </is>
      </c>
      <c r="D72" s="70" t="inlineStr">
        <is>
          <t>2. Healthcare &amp; Life Sciences</t>
        </is>
      </c>
      <c r="E72" s="85" t="inlineStr">
        <is>
          <t>CCHI-INSLIC</t>
        </is>
      </c>
      <c r="F72" s="72" t="inlineStr">
        <is>
          <t>Health Insurance Licensing Requirements</t>
        </is>
      </c>
      <c r="G72" s="70" t="inlineStr">
        <is>
          <t>متطلبات ترخيص التأمين الصحي</t>
        </is>
      </c>
      <c r="H72" s="70" t="inlineStr">
        <is>
          <t>Updated 2024</t>
        </is>
      </c>
      <c r="I72" s="71" t="inlineStr">
        <is>
          <t>2000</t>
        </is>
      </c>
      <c r="J72" s="71" t="inlineStr">
        <is>
          <t>30</t>
        </is>
      </c>
      <c r="K72" s="70" t="inlineStr">
        <is>
          <t>ISSUES/ENFORCES</t>
        </is>
      </c>
      <c r="L72" s="22" t="inlineStr">
        <is>
          <t>Mandatory Enforcer</t>
        </is>
      </c>
      <c r="M72" s="70" t="inlineStr">
        <is>
          <t>Health insurance companies</t>
        </is>
      </c>
      <c r="N72" s="93" t="inlineStr">
        <is>
          <t>MODERATE</t>
        </is>
      </c>
      <c r="O72" s="87" t="inlineStr">
        <is>
          <t>https://cchi.gov.sa/</t>
        </is>
      </c>
      <c r="P72" s="70" t="inlineStr">
        <is>
          <t>CCHI official</t>
        </is>
      </c>
      <c r="Q72" s="70" t="inlineStr">
        <is>
          <t>See official source for version history</t>
        </is>
      </c>
      <c r="R72" s="70" t="inlineStr">
        <is>
          <t>Framework issued by the relevant authority. Version details available on the official website referenced in the source URL column. The framework has been updated periodically since first issuance.</t>
        </is>
      </c>
      <c r="S72" s="71" t="inlineStr">
        <is>
          <t>See official source</t>
        </is>
      </c>
      <c r="T72" s="70" t="inlineStr">
        <is>
          <t>Updated as needed by the issuing authority</t>
        </is>
      </c>
      <c r="U72" s="25" t="inlineStr">
        <is>
          <t>CURRENT — consult official source for latest version</t>
        </is>
      </c>
      <c r="V72" s="70" t="inlineStr">
        <is>
          <t>Penalties defined by issuing authority; consult official source. NCA ECC-2 penalties apply if relevant</t>
        </is>
      </c>
      <c r="W72" s="72" t="inlineStr">
        <is>
          <t>Issuing authority and/or designated inspection department</t>
        </is>
      </c>
      <c r="X72" s="70" t="inlineStr">
        <is>
          <t>As specified in framework scope — consult official document</t>
        </is>
      </c>
      <c r="Y72" s="49" t="inlineStr">
        <is>
          <t>Both (unless specified otherwise in official document)</t>
        </is>
      </c>
      <c r="Z72" s="70" t="inlineStr">
        <is>
          <t>As defined by issuing authority</t>
        </is>
      </c>
      <c r="AA72" s="71" t="inlineStr">
        <is>
          <t>As defined by issuing authority</t>
        </is>
      </c>
      <c r="AB72" s="70" t="inlineStr">
        <is>
          <t>To be determined from framework text — see official source</t>
        </is>
      </c>
      <c r="AC72" s="70" t="inlineStr">
        <is>
          <t>See framework preamble for international standard references</t>
        </is>
      </c>
      <c r="AD72" s="49" t="inlineStr">
        <is>
          <t>Arabic (primary in KSA); English may be available</t>
        </is>
      </c>
      <c r="AE72" s="58" t="inlineStr">
        <is>
          <t>Mapped to relevant GH-ICGA layer — requires manual assessment</t>
        </is>
      </c>
      <c r="AF72" s="56" t="inlineStr">
        <is>
          <t>See official framework for maturity model details</t>
        </is>
      </c>
      <c r="AG72" s="70" t="inlineStr">
        <is>
          <t>Aligned with relevant Vision 2030 programme — see framework context</t>
        </is>
      </c>
      <c r="AH72" s="70" t="inlineStr">
        <is>
          <t>As specified in framework compliance requirements</t>
        </is>
      </c>
      <c r="AI72" s="73" t="inlineStr">
        <is>
          <t>Institutional theory and regulatory governance theory underpin all KSA regulatory frameworks. Specific theoretical basis varies by framework — consult academic literature via Google Scholar using framework name as search term.</t>
        </is>
      </c>
      <c r="AJ72" s="70" t="inlineStr">
        <is>
          <t>Academic debate varies by framework maturity and international adoption. For KSA-specific debate, consult: Almohammad &amp; Wills (2021) J Cybersecurity; Al-Khater et al. (2020) IEEE Access; Baker McKenzie KSA regulatory updates.</t>
        </is>
      </c>
      <c r="AK72" s="74" t="inlineStr">
        <is>
          <t>Known criticisms include: implementation gap between standards and practice; resource constraints for smaller healthcare entities; rapid technology evolution outpacing regulation. Consult framework evaluation literature for specifics.</t>
        </is>
      </c>
      <c r="AL72" s="75" t="inlineStr">
        <is>
          <t>Framework comparison requires contextual analysis. Key comparators: NIST CSF 2.0 (international benchmark), ISO 27001 (certifiable standard), ECC-2 (KSA mandatory baseline). See main database for cross-framework mapping.</t>
        </is>
      </c>
      <c r="AM72"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72" s="50" t="inlineStr">
        <is>
          <t>Official: Consult the official source URL in the database for the primary document. Training: ISACA, ISC2, RAPS, IAPP, and HIMSS offer professional development covering most regulatory domains. Estimated hours vary by framework complexity.</t>
        </is>
      </c>
      <c r="AO72" s="77" t="inlineStr">
        <is>
          <t>Relevance to GH-ICGA framework varies by layer — see GH-ICGA Layer Mapping column. All KSA mandatory frameworks are compliance inputs to GH-ICGA Layer 4. Frameworks with IoMT-specific provisions directly inform Layers 2 and 3.</t>
        </is>
      </c>
      <c r="AP72" s="51" t="inlineStr">
        <is>
          <t>G + C (Governance + Compliance — standard regulatory framework positioning)</t>
        </is>
      </c>
      <c r="AQ72" s="78" t="inlineStr">
        <is>
          <t>Senior management: accountability for framework compliance. Designated compliance officer: monitor requirements. All staff: awareness of applicable obligations</t>
        </is>
      </c>
      <c r="AR72" s="74" t="inlineStr">
        <is>
          <t>Regulatory Risk; Operational Risk; Reputational Risk — specific domains determined by framework scope</t>
        </is>
      </c>
      <c r="AS72" s="22" t="inlineStr">
        <is>
          <t>See official source — legal obligation, regulatory requirement, or voluntary standard as applicable</t>
        </is>
      </c>
      <c r="AT72" s="75" t="inlineStr">
        <is>
          <t>Administrative; Technical; Operational — specific distribution determined by framework content</t>
        </is>
      </c>
      <c r="AU72" s="79" t="inlineStr">
        <is>
          <t>1. Compliance status (compliant/non-compliant). 2. # open findings from last assessment. 3. % controls implemented. 4. Time to remediate findings. 5. Incident rate in framework scope area</t>
        </is>
      </c>
      <c r="AV72" s="80" t="inlineStr">
        <is>
          <t>Self-assessment; internal audit; external assessment as specified by issuing authority</t>
        </is>
      </c>
      <c r="AW72" s="81" t="inlineStr">
        <is>
          <t>ServiceNow GRC; IBM OpenPages; RSA Archer; MetricStream — all major GRC platforms support custom framework import. Contact vendor for framework-specific module</t>
        </is>
      </c>
      <c r="AX72" s="82" t="inlineStr">
        <is>
          <t>Third parties in scope must demonstrate equivalent compliance. Contractual compliance obligations; right-to-audit clauses; annual third-party assessment</t>
        </is>
      </c>
      <c r="AY72" s="83" t="inlineStr">
        <is>
          <t>Non-compliance: regulatory action by issuing authority; fines and penalties as specified; operational and reputational consequences</t>
        </is>
      </c>
      <c r="AZ72" s="80" t="inlineStr">
        <is>
          <t>Sector-specific — consult official source</t>
        </is>
      </c>
      <c r="BA72" s="41" t="inlineStr">
        <is>
          <t>Sector-Specific</t>
        </is>
      </c>
      <c r="BB72" s="591">
        <f>IF(E72="","",IF(ISNUMBER(SEARCH("Institutional theory and regulatory governance theory underpin",AI72)),"TEMPLATE",IF(LEN(AI72)&gt;100,"DEEP",IF(AI72="","SPARSE","SHALLOW"))))</f>
        <v/>
      </c>
      <c r="BC72" s="591">
        <f>IF(E72="","",D72&amp;"-"&amp;B72&amp;"-"&amp;E72)</f>
        <v/>
      </c>
      <c r="BD72" s="591">
        <f>IF(E72="","",SUBSTITUTE(SUBSTITUTE(B72&amp;"-"&amp;E72," ",""),":","-"))</f>
        <v/>
      </c>
      <c r="BE72" s="591">
        <f>IF(E72="","",IF(ISNUMBER(SEARCH("ECC",E72)),"NCA-ECC-2-2024",IF(ISNUMBER(SEARCH("OTCC",E72)),"NCA-ECC-2-2024",IF(ISNUMBER(SEARCH("CCC",E72)),"NCA-ECC-2-2024",IF(ISNUMBER(SEARCH("DCC",E72)),"NCA-ECC-2-2024",IF(ISNUMBER(SEARCH("CSCC",E72)),"NCA-ECC-2-2024",IF(ISNUMBER(SEARCH("PDPL-IR",E72)),"PDPL-2021",IF(ISNUMBER(SEARCH("PDPL-DTR",E72)),"PDPL-2021","NONE"))))))))</f>
        <v/>
      </c>
      <c r="BF72" s="594">
        <f>IF(E72="","",IF(BB72="DEEP",10,IF(BB72="SHALLOW",5,IF(BB72="TEMPLATE",3,1)))+IF(N72="HIGHEST",5,IF(N72="HIGH",3,IF(N72="MODERATE",1,0)))+IF(ISNUMBER(SEARCH("Mandatory",L72)),3,0))</f>
        <v/>
      </c>
    </row>
    <row r="73" ht="42" customHeight="1">
      <c r="A73" s="42" t="n">
        <v>68</v>
      </c>
      <c r="B73" s="69" t="inlineStr">
        <is>
          <t>CCHI</t>
        </is>
      </c>
      <c r="C73" s="44" t="inlineStr">
        <is>
          <t>Council of Cooperative Health Insurance</t>
        </is>
      </c>
      <c r="D73" s="44" t="inlineStr">
        <is>
          <t>2. Healthcare &amp; Life Sciences</t>
        </is>
      </c>
      <c r="E73" s="69" t="inlineStr">
        <is>
          <t>CCHI-PROVNET</t>
        </is>
      </c>
      <c r="F73" s="45" t="inlineStr">
        <is>
          <t>Provider Network Standards</t>
        </is>
      </c>
      <c r="G73" s="44" t="inlineStr">
        <is>
          <t>معايير شبكة مقدمي الخدمة</t>
        </is>
      </c>
      <c r="H73" s="44" t="inlineStr">
        <is>
          <t>Updated 2023</t>
        </is>
      </c>
      <c r="I73" s="46" t="inlineStr">
        <is>
          <t>2015</t>
        </is>
      </c>
      <c r="J73" s="46" t="inlineStr">
        <is>
          <t>25</t>
        </is>
      </c>
      <c r="K73" s="44" t="inlineStr">
        <is>
          <t>ISSUES/ENFORCES</t>
        </is>
      </c>
      <c r="L73" s="22" t="inlineStr">
        <is>
          <t>Mandatory Enforcer</t>
        </is>
      </c>
      <c r="M73" s="44" t="inlineStr">
        <is>
          <t>Healthcare providers in insurance networks</t>
        </is>
      </c>
      <c r="N73" s="55" t="inlineStr">
        <is>
          <t>MODERATE</t>
        </is>
      </c>
      <c r="O73" s="48" t="inlineStr">
        <is>
          <t>https://cchi.gov.sa/</t>
        </is>
      </c>
      <c r="P73" s="44" t="inlineStr">
        <is>
          <t>CCHI official</t>
        </is>
      </c>
      <c r="Q73" s="70" t="inlineStr">
        <is>
          <t>See official source for version history</t>
        </is>
      </c>
      <c r="R73" s="70" t="inlineStr">
        <is>
          <t>Framework issued by the relevant authority. Version details available on the official website referenced in the source URL column. The framework has been updated periodically since first issuance.</t>
        </is>
      </c>
      <c r="S73" s="71" t="inlineStr">
        <is>
          <t>See official source</t>
        </is>
      </c>
      <c r="T73" s="70" t="inlineStr">
        <is>
          <t>Updated as needed by the issuing authority</t>
        </is>
      </c>
      <c r="U73" s="25" t="inlineStr">
        <is>
          <t>CURRENT — consult official source for latest version</t>
        </is>
      </c>
      <c r="V73" s="70" t="inlineStr">
        <is>
          <t>Penalties defined by issuing authority; consult official source. NCA ECC-2 penalties apply if relevant</t>
        </is>
      </c>
      <c r="W73" s="72" t="inlineStr">
        <is>
          <t>Issuing authority and/or designated inspection department</t>
        </is>
      </c>
      <c r="X73" s="70" t="inlineStr">
        <is>
          <t>As specified in framework scope — consult official document</t>
        </is>
      </c>
      <c r="Y73" s="49" t="inlineStr">
        <is>
          <t>Both (unless specified otherwise in official document)</t>
        </is>
      </c>
      <c r="Z73" s="70" t="inlineStr">
        <is>
          <t>As defined by issuing authority</t>
        </is>
      </c>
      <c r="AA73" s="71" t="inlineStr">
        <is>
          <t>As defined by issuing authority</t>
        </is>
      </c>
      <c r="AB73" s="70" t="inlineStr">
        <is>
          <t>To be determined from framework text — see official source</t>
        </is>
      </c>
      <c r="AC73" s="70" t="inlineStr">
        <is>
          <t>See framework preamble for international standard references</t>
        </is>
      </c>
      <c r="AD73" s="49" t="inlineStr">
        <is>
          <t>Arabic (primary in KSA); English may be available</t>
        </is>
      </c>
      <c r="AE73" s="58" t="inlineStr">
        <is>
          <t>Mapped to relevant GH-ICGA layer — requires manual assessment</t>
        </is>
      </c>
      <c r="AF73" s="56" t="inlineStr">
        <is>
          <t>See official framework for maturity model details</t>
        </is>
      </c>
      <c r="AG73" s="70" t="inlineStr">
        <is>
          <t>Aligned with relevant Vision 2030 programme — see framework context</t>
        </is>
      </c>
      <c r="AH73" s="70" t="inlineStr">
        <is>
          <t>As specified in framework compliance requirements</t>
        </is>
      </c>
      <c r="AI73" s="73" t="inlineStr">
        <is>
          <t>Institutional theory and regulatory governance theory underpin all KSA regulatory frameworks. Specific theoretical basis varies by framework — consult academic literature via Google Scholar using framework name as search term.</t>
        </is>
      </c>
      <c r="AJ73" s="70" t="inlineStr">
        <is>
          <t>Academic debate varies by framework maturity and international adoption. For KSA-specific debate, consult: Almohammad &amp; Wills (2021) J Cybersecurity; Al-Khater et al. (2020) IEEE Access; Baker McKenzie KSA regulatory updates.</t>
        </is>
      </c>
      <c r="AK73" s="74" t="inlineStr">
        <is>
          <t>Known criticisms include: implementation gap between standards and practice; resource constraints for smaller healthcare entities; rapid technology evolution outpacing regulation. Consult framework evaluation literature for specifics.</t>
        </is>
      </c>
      <c r="AL73" s="75" t="inlineStr">
        <is>
          <t>Framework comparison requires contextual analysis. Key comparators: NIST CSF 2.0 (international benchmark), ISO 27001 (certifiable standard), ECC-2 (KSA mandatory baseline). See main database for cross-framework mapping.</t>
        </is>
      </c>
      <c r="AM73"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73" s="50" t="inlineStr">
        <is>
          <t>Official: Consult the official source URL in the database for the primary document. Training: ISACA, ISC2, RAPS, IAPP, and HIMSS offer professional development covering most regulatory domains. Estimated hours vary by framework complexity.</t>
        </is>
      </c>
      <c r="AO73" s="77" t="inlineStr">
        <is>
          <t>Relevance to GH-ICGA framework varies by layer — see GH-ICGA Layer Mapping column. All KSA mandatory frameworks are compliance inputs to GH-ICGA Layer 4. Frameworks with IoMT-specific provisions directly inform Layers 2 and 3.</t>
        </is>
      </c>
      <c r="AP73" s="51" t="inlineStr">
        <is>
          <t>G + C (Governance + Compliance — standard regulatory framework positioning)</t>
        </is>
      </c>
      <c r="AQ73" s="78" t="inlineStr">
        <is>
          <t>Senior management: accountability for framework compliance. Designated compliance officer: monitor requirements. All staff: awareness of applicable obligations</t>
        </is>
      </c>
      <c r="AR73" s="74" t="inlineStr">
        <is>
          <t>Regulatory Risk; Operational Risk; Reputational Risk — specific domains determined by framework scope</t>
        </is>
      </c>
      <c r="AS73" s="22" t="inlineStr">
        <is>
          <t>See official source — legal obligation, regulatory requirement, or voluntary standard as applicable</t>
        </is>
      </c>
      <c r="AT73" s="75" t="inlineStr">
        <is>
          <t>Administrative; Technical; Operational — specific distribution determined by framework content</t>
        </is>
      </c>
      <c r="AU73" s="79" t="inlineStr">
        <is>
          <t>1. Compliance status (compliant/non-compliant). 2. # open findings from last assessment. 3. % controls implemented. 4. Time to remediate findings. 5. Incident rate in framework scope area</t>
        </is>
      </c>
      <c r="AV73" s="80" t="inlineStr">
        <is>
          <t>Self-assessment; internal audit; external assessment as specified by issuing authority</t>
        </is>
      </c>
      <c r="AW73" s="81" t="inlineStr">
        <is>
          <t>ServiceNow GRC; IBM OpenPages; RSA Archer; MetricStream — all major GRC platforms support custom framework import. Contact vendor for framework-specific module</t>
        </is>
      </c>
      <c r="AX73" s="82" t="inlineStr">
        <is>
          <t>Third parties in scope must demonstrate equivalent compliance. Contractual compliance obligations; right-to-audit clauses; annual third-party assessment</t>
        </is>
      </c>
      <c r="AY73" s="83" t="inlineStr">
        <is>
          <t>Non-compliance: regulatory action by issuing authority; fines and penalties as specified; operational and reputational consequences</t>
        </is>
      </c>
      <c r="AZ73" s="80" t="inlineStr">
        <is>
          <t>Sector-specific — consult official source</t>
        </is>
      </c>
      <c r="BA73" s="41" t="inlineStr">
        <is>
          <t>Sector-Specific</t>
        </is>
      </c>
      <c r="BB73" s="591">
        <f>IF(E73="","",IF(ISNUMBER(SEARCH("Institutional theory and regulatory governance theory underpin",AI73)),"TEMPLATE",IF(LEN(AI73)&gt;100,"DEEP",IF(AI73="","SPARSE","SHALLOW"))))</f>
        <v/>
      </c>
      <c r="BC73" s="591">
        <f>IF(E73="","",D73&amp;"-"&amp;B73&amp;"-"&amp;E73)</f>
        <v/>
      </c>
      <c r="BD73" s="591">
        <f>IF(E73="","",SUBSTITUTE(SUBSTITUTE(B73&amp;"-"&amp;E73," ",""),":","-"))</f>
        <v/>
      </c>
      <c r="BE73" s="591">
        <f>IF(E73="","",IF(ISNUMBER(SEARCH("ECC",E73)),"NCA-ECC-2-2024",IF(ISNUMBER(SEARCH("OTCC",E73)),"NCA-ECC-2-2024",IF(ISNUMBER(SEARCH("CCC",E73)),"NCA-ECC-2-2024",IF(ISNUMBER(SEARCH("DCC",E73)),"NCA-ECC-2-2024",IF(ISNUMBER(SEARCH("CSCC",E73)),"NCA-ECC-2-2024",IF(ISNUMBER(SEARCH("PDPL-IR",E73)),"PDPL-2021",IF(ISNUMBER(SEARCH("PDPL-DTR",E73)),"PDPL-2021","NONE"))))))))</f>
        <v/>
      </c>
      <c r="BF73" s="594">
        <f>IF(E73="","",IF(BB73="DEEP",10,IF(BB73="SHALLOW",5,IF(BB73="TEMPLATE",3,1)))+IF(N73="HIGHEST",5,IF(N73="HIGH",3,IF(N73="MODERATE",1,0)))+IF(ISNUMBER(SEARCH("Mandatory",L73)),3,0))</f>
        <v/>
      </c>
    </row>
    <row r="74" ht="42" customHeight="1">
      <c r="A74" s="84" t="n">
        <v>69</v>
      </c>
      <c r="B74" s="85" t="inlineStr">
        <is>
          <t>CCHI</t>
        </is>
      </c>
      <c r="C74" s="70" t="inlineStr">
        <is>
          <t>Council of Cooperative Health Insurance</t>
        </is>
      </c>
      <c r="D74" s="70" t="inlineStr">
        <is>
          <t>2. Healthcare &amp; Life Sciences</t>
        </is>
      </c>
      <c r="E74" s="85" t="inlineStr">
        <is>
          <t>NCA-ECC-2:2024</t>
        </is>
      </c>
      <c r="F74" s="72" t="inlineStr">
        <is>
          <t>Essential Cybersecurity Controls</t>
        </is>
      </c>
      <c r="G74" s="70" t="inlineStr">
        <is>
          <t>ضوابط الأمن السيبراني الأساسية</t>
        </is>
      </c>
      <c r="H74" s="70" t="inlineStr">
        <is>
          <t>ECC-2:2024</t>
        </is>
      </c>
      <c r="I74" s="71" t="inlineStr">
        <is>
          <t>2018</t>
        </is>
      </c>
      <c r="J74" s="71" t="inlineStr">
        <is>
          <t>108</t>
        </is>
      </c>
      <c r="K74" s="70" t="inlineStr">
        <is>
          <t>MUST COMPLY WITH</t>
        </is>
      </c>
      <c r="L74" s="66" t="inlineStr">
        <is>
          <t>Mandatory Complier</t>
        </is>
      </c>
      <c r="M74" s="70" t="inlineStr">
        <is>
          <t>CCHI as government entity</t>
        </is>
      </c>
      <c r="N74" s="88" t="inlineStr">
        <is>
          <t>HIGH</t>
        </is>
      </c>
      <c r="O74" s="87" t="inlineStr">
        <is>
          <t>https://nca.gov.sa/</t>
        </is>
      </c>
      <c r="P74" s="70" t="inlineStr">
        <is>
          <t>NCA ECC scope</t>
        </is>
      </c>
      <c r="Q74" s="70" t="inlineStr">
        <is>
          <t>See official source for version history</t>
        </is>
      </c>
      <c r="R74" s="70" t="inlineStr">
        <is>
          <t>Framework issued by the relevant authority. Version details available on the official website referenced in the source URL column. The framework has been updated periodically since first issuance.</t>
        </is>
      </c>
      <c r="S74" s="71" t="inlineStr">
        <is>
          <t>See official source</t>
        </is>
      </c>
      <c r="T74" s="70" t="inlineStr">
        <is>
          <t>Updated as needed by the issuing authority</t>
        </is>
      </c>
      <c r="U74" s="25" t="inlineStr">
        <is>
          <t>CURRENT — consult official source for latest version</t>
        </is>
      </c>
      <c r="V74" s="70" t="inlineStr">
        <is>
          <t>Penalties defined by issuing authority; consult official source. NCA ECC-2 penalties apply if relevant</t>
        </is>
      </c>
      <c r="W74" s="72" t="inlineStr">
        <is>
          <t>Issuing authority and/or designated inspection department</t>
        </is>
      </c>
      <c r="X74" s="70" t="inlineStr">
        <is>
          <t>As specified in framework scope — consult official document</t>
        </is>
      </c>
      <c r="Y74" s="49" t="inlineStr">
        <is>
          <t>Both (unless specified otherwise in official document)</t>
        </is>
      </c>
      <c r="Z74" s="70" t="inlineStr">
        <is>
          <t>As defined by issuing authority</t>
        </is>
      </c>
      <c r="AA74" s="71" t="inlineStr">
        <is>
          <t>As defined by issuing authority</t>
        </is>
      </c>
      <c r="AB74" s="70" t="inlineStr">
        <is>
          <t>To be determined from framework text — see official source</t>
        </is>
      </c>
      <c r="AC74" s="70" t="inlineStr">
        <is>
          <t>See framework preamble for international standard references</t>
        </is>
      </c>
      <c r="AD74" s="49" t="inlineStr">
        <is>
          <t>Arabic (primary in KSA); English may be available</t>
        </is>
      </c>
      <c r="AE74" s="58" t="inlineStr">
        <is>
          <t>Mapped to relevant GH-ICGA layer — requires manual assessment</t>
        </is>
      </c>
      <c r="AF74" s="56" t="inlineStr">
        <is>
          <t>See official framework for maturity model details</t>
        </is>
      </c>
      <c r="AG74" s="70" t="inlineStr">
        <is>
          <t>Aligned with relevant Vision 2030 programme — see framework context</t>
        </is>
      </c>
      <c r="AH74" s="70" t="inlineStr">
        <is>
          <t>As specified in framework compliance requirements</t>
        </is>
      </c>
      <c r="AI74" s="73" t="inlineStr">
        <is>
          <t>Institutional theory and regulatory governance theory underpin all KSA regulatory frameworks. Specific theoretical basis varies by framework — consult academic literature via Google Scholar using framework name as search term.</t>
        </is>
      </c>
      <c r="AJ74" s="70" t="inlineStr">
        <is>
          <t>Academic debate varies by framework maturity and international adoption. For KSA-specific debate, consult: Almohammad &amp; Wills (2021) J Cybersecurity; Al-Khater et al. (2020) IEEE Access; Baker McKenzie KSA regulatory updates.</t>
        </is>
      </c>
      <c r="AK74" s="74" t="inlineStr">
        <is>
          <t>Known criticisms include: implementation gap between standards and practice; resource constraints for smaller healthcare entities; rapid technology evolution outpacing regulation. Consult framework evaluation literature for specifics.</t>
        </is>
      </c>
      <c r="AL74" s="75" t="inlineStr">
        <is>
          <t>Framework comparison requires contextual analysis. Key comparators: NIST CSF 2.0 (international benchmark), ISO 27001 (certifiable standard), ECC-2 (KSA mandatory baseline). See main database for cross-framework mapping.</t>
        </is>
      </c>
      <c r="AM74"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74" s="50" t="inlineStr">
        <is>
          <t>Official: Consult the official source URL in the database for the primary document. Training: ISACA, ISC2, RAPS, IAPP, and HIMSS offer professional development covering most regulatory domains. Estimated hours vary by framework complexity.</t>
        </is>
      </c>
      <c r="AO74" s="77" t="inlineStr">
        <is>
          <t>Relevance to GH-ICGA framework varies by layer — see GH-ICGA Layer Mapping column. All KSA mandatory frameworks are compliance inputs to GH-ICGA Layer 4. Frameworks with IoMT-specific provisions directly inform Layers 2 and 3.</t>
        </is>
      </c>
      <c r="AP74" s="51" t="inlineStr">
        <is>
          <t>G + C (Governance + Compliance — standard regulatory framework positioning)</t>
        </is>
      </c>
      <c r="AQ74" s="78" t="inlineStr">
        <is>
          <t>Senior management: accountability for framework compliance. Designated compliance officer: monitor requirements. All staff: awareness of applicable obligations</t>
        </is>
      </c>
      <c r="AR74" s="74" t="inlineStr">
        <is>
          <t>Regulatory Risk; Operational Risk; Reputational Risk — specific domains determined by framework scope</t>
        </is>
      </c>
      <c r="AS74" s="22" t="inlineStr">
        <is>
          <t>See official source — legal obligation, regulatory requirement, or voluntary standard as applicable</t>
        </is>
      </c>
      <c r="AT74" s="75" t="inlineStr">
        <is>
          <t>Administrative; Technical; Operational — specific distribution determined by framework content</t>
        </is>
      </c>
      <c r="AU74" s="79" t="inlineStr">
        <is>
          <t>1. Compliance status (compliant/non-compliant). 2. # open findings from last assessment. 3. % controls implemented. 4. Time to remediate findings. 5. Incident rate in framework scope area</t>
        </is>
      </c>
      <c r="AV74" s="80" t="inlineStr">
        <is>
          <t>Self-assessment; internal audit; external assessment as specified by issuing authority</t>
        </is>
      </c>
      <c r="AW74" s="81" t="inlineStr">
        <is>
          <t>ServiceNow GRC; IBM OpenPages; RSA Archer; MetricStream — all major GRC platforms support custom framework import. Contact vendor for framework-specific module</t>
        </is>
      </c>
      <c r="AX74" s="82" t="inlineStr">
        <is>
          <t>Third parties in scope must demonstrate equivalent compliance. Contractual compliance obligations; right-to-audit clauses; annual third-party assessment</t>
        </is>
      </c>
      <c r="AY74" s="83" t="inlineStr">
        <is>
          <t>Non-compliance: regulatory action by issuing authority; fines and penalties as specified; operational and reputational consequences</t>
        </is>
      </c>
      <c r="AZ74" s="80" t="inlineStr">
        <is>
          <t>ALL 17 SECTORS</t>
        </is>
      </c>
      <c r="BA74" s="34" t="inlineStr">
        <is>
          <t>YES — ALL SECTORS</t>
        </is>
      </c>
      <c r="BB74" s="591">
        <f>IF(E74="","",IF(ISNUMBER(SEARCH("Institutional theory and regulatory governance theory underpin",AI74)),"TEMPLATE",IF(LEN(AI74)&gt;100,"DEEP",IF(AI74="","SPARSE","SHALLOW"))))</f>
        <v/>
      </c>
      <c r="BC74" s="591">
        <f>IF(E74="","",D74&amp;"-"&amp;B74&amp;"-"&amp;E74)</f>
        <v/>
      </c>
      <c r="BD74" s="591">
        <f>IF(E74="","",SUBSTITUTE(SUBSTITUTE(B74&amp;"-"&amp;E74," ",""),":","-"))</f>
        <v/>
      </c>
      <c r="BE74" s="591">
        <f>IF(E74="","",IF(ISNUMBER(SEARCH("ECC",E74)),"NCA-ECC-2-2024",IF(ISNUMBER(SEARCH("OTCC",E74)),"NCA-ECC-2-2024",IF(ISNUMBER(SEARCH("CCC",E74)),"NCA-ECC-2-2024",IF(ISNUMBER(SEARCH("DCC",E74)),"NCA-ECC-2-2024",IF(ISNUMBER(SEARCH("CSCC",E74)),"NCA-ECC-2-2024",IF(ISNUMBER(SEARCH("PDPL-IR",E74)),"PDPL-2021",IF(ISNUMBER(SEARCH("PDPL-DTR",E74)),"PDPL-2021","NONE"))))))))</f>
        <v/>
      </c>
      <c r="BF74" s="594">
        <f>IF(E74="","",IF(BB74="DEEP",10,IF(BB74="SHALLOW",5,IF(BB74="TEMPLATE",3,1)))+IF(N74="HIGHEST",5,IF(N74="HIGH",3,IF(N74="MODERATE",1,0)))+IF(ISNUMBER(SEARCH("Mandatory",L74)),3,0))</f>
        <v/>
      </c>
    </row>
    <row r="75" ht="42" customHeight="1">
      <c r="A75" s="42" t="n">
        <v>70</v>
      </c>
      <c r="B75" s="69" t="inlineStr">
        <is>
          <t>CCHI</t>
        </is>
      </c>
      <c r="C75" s="44" t="inlineStr">
        <is>
          <t>Council of Cooperative Health Insurance</t>
        </is>
      </c>
      <c r="D75" s="44" t="inlineStr">
        <is>
          <t>2. Healthcare &amp; Life Sciences</t>
        </is>
      </c>
      <c r="E75" s="69" t="inlineStr">
        <is>
          <t>PDPL-2021</t>
        </is>
      </c>
      <c r="F75" s="45" t="inlineStr">
        <is>
          <t>Personal Data Protection Law</t>
        </is>
      </c>
      <c r="G75" s="44" t="inlineStr">
        <is>
          <t>نظام حماية البيانات الشخصية</t>
        </is>
      </c>
      <c r="H75" s="44" t="inlineStr">
        <is>
          <t>2021+IR 2023</t>
        </is>
      </c>
      <c r="I75" s="46" t="inlineStr">
        <is>
          <t>2021</t>
        </is>
      </c>
      <c r="J75" s="46" t="inlineStr">
        <is>
          <t>45</t>
        </is>
      </c>
      <c r="K75" s="44" t="inlineStr">
        <is>
          <t>MUST COMPLY WITH</t>
        </is>
      </c>
      <c r="L75" s="66" t="inlineStr">
        <is>
          <t>Mandatory Complier</t>
        </is>
      </c>
      <c r="M75" s="44" t="inlineStr">
        <is>
          <t>CCHI and insurers process insured patient data</t>
        </is>
      </c>
      <c r="N75" s="54" t="inlineStr">
        <is>
          <t>HIGH</t>
        </is>
      </c>
      <c r="O75" s="48" t="inlineStr">
        <is>
          <t>https://sdaia.gov.sa/</t>
        </is>
      </c>
      <c r="P75" s="44" t="inlineStr">
        <is>
          <t>SDAIA; Baker McKenzie 2025</t>
        </is>
      </c>
      <c r="Q75" s="70" t="inlineStr">
        <is>
          <t>Royal Decree M/19 (16 Sep 2021) → amended Apr 2023</t>
        </is>
      </c>
      <c r="R75" s="70" t="inlineStr">
        <is>
          <t>Original (2021): 19 articles covering consent, data subject rights, controller obligations, sensitive data (health = sensitive), cross-border transfer. Apr 2023 amendment: strengthened enforcement, clarified health data provisions, aligned with PDPL-IR-2023. Grace period for compliance ended Sep 14, 2024. Penalties: up to SAR 5 million fine + 2 years imprisonment for sensitive data breach</t>
        </is>
      </c>
      <c r="S75" s="71" t="inlineStr">
        <is>
          <t>Issued: Sep 2021. Amended: Apr 2023. Fully enforceable: Sep 14, 2024</t>
        </is>
      </c>
      <c r="T75" s="70" t="inlineStr">
        <is>
          <t>SDAIA reviews annually; amendments expected 2025-2026</t>
        </is>
      </c>
      <c r="U75" s="25" t="inlineStr">
        <is>
          <t>CURRENT — fully enforceable since Sep 2024</t>
        </is>
      </c>
      <c r="V75" s="70" t="inlineStr">
        <is>
          <t>Criminal offence: up to 2 years imprisonment + SAR 3M fine for disclosing sensitive data (health data = sensitive); administrative fine up to SAR 5M; mandatory breach notification to SDAIA within 72 hours; data subject compensation claims</t>
        </is>
      </c>
      <c r="W75" s="72" t="inlineStr">
        <is>
          <t>SDAIA — Data Protection Authority (DPA functions); NDMO for government entities; courts for criminal penalties</t>
        </is>
      </c>
      <c r="X75" s="70" t="inlineStr">
        <is>
          <t>Hospital; Clinic; Lab; Pharmacy; Health IT Vendor; Health Insurer; Government Health Entity; Medical Device Manufacturer (all processing patient data)</t>
        </is>
      </c>
      <c r="Y75" s="49" t="inlineStr">
        <is>
          <t>Both + foreign entities processing data of KSA residents</t>
        </is>
      </c>
      <c r="Z75" s="70" t="inlineStr">
        <is>
          <t>SDAIA audit; controller self-assessment; DPO oversight; data subject complaints trigger investigation</t>
        </is>
      </c>
      <c r="AA75" s="71" t="inlineStr">
        <is>
          <t>Continuous (breach notification: 72 hours); annual DPO report; SDAIA random audits</t>
        </is>
      </c>
      <c r="AB75" s="70" t="inlineStr">
        <is>
          <t>12 (IoMT data minimisation; purpose limitation; consent management for wearable data; automated decision-making; data subject rights for IoMT-generated health data; cross-border transfer of IoMT data)</t>
        </is>
      </c>
      <c r="AC75" s="70" t="inlineStr">
        <is>
          <t>GDPR (substantial alignment — adequate protection basis); APEC Privacy Framework; ISO 29100; ISO 27701</t>
        </is>
      </c>
      <c r="AD75" s="49" t="inlineStr">
        <is>
          <t>Arabic (official); English translation (unofficial)</t>
        </is>
      </c>
      <c r="AE75" s="50" t="inlineStr">
        <is>
          <t>Layer 4: Compliance; Layer 2: Risk Management</t>
        </is>
      </c>
      <c r="AF75" s="60" t="inlineStr">
        <is>
          <t>No formal maturity model; SDAIA publishes compliance guidance</t>
        </is>
      </c>
      <c r="AG75" s="70" t="inlineStr">
        <is>
          <t>National Data Strategy; Vision 2030 Digital Economy; Digital Government transformation</t>
        </is>
      </c>
      <c r="AH75" s="70" t="inlineStr">
        <is>
          <t>Privacy notices; consent records; DPO appointment letter; data mapping/flow diagrams; breach notification records; DPIA for health data processing; controller registration</t>
        </is>
      </c>
      <c r="AI75" s="73" t="inlineStr">
        <is>
          <t>Privacy as fundamental right (Warren &amp; Brandeis 1890; Westin 1967). Contextual integrity theory (Nissenbaum 2004): health data flows must match medical context norms. Regulatory theory: data protection authority independence and enforcement. Information asymmetry theory: patients cannot protect their own data without regulation.</t>
        </is>
      </c>
      <c r="AJ75" s="70" t="inlineStr">
        <is>
          <t>FOR: Long-overdue — KSA had no comprehensive data protection law until 2021; health data explicitly protected as sensitive category; aligns KSA with global adequacy standards. AGAINST: Alrawabdeh (2014) and Aldawood &amp; Skinner (2019) documented Saudi privacy culture gap — regulation without public awareness is ineffective; 'GDPR-lite' criticism: exemptions broader than GDPR, enforcement weaker; health data provisions in IR still less specific than UK GDPR Schedule 1 conditions</t>
        </is>
      </c>
      <c r="AK75" s="74" t="inlineStr">
        <is>
          <t>No independent supervisory authority (SDAIA is both promoter and regulator — conflict of interest noted by Baker McKenzie 2025); patient data portability rights weaker than GDPR Article 20; no explicit right to explanation for AI-automated health decisions; cross-border transfer rules changed twice in 12 months (regulatory instability); small healthcare providers lack capacity for DPO requirements</t>
        </is>
      </c>
      <c r="AL75" s="75" t="inlineStr">
        <is>
          <t>PDPL vs GDPR: PDPL penalty lower (SAR 5M vs €20M); PDPL broader government exemptions; GDPR has independent DPA, PDPL does not. PDPL vs HIPAA: PDPL = all personal data (broader); HIPAA = US-specific health data only. PDPL vs UK GDPR: PDPL misses explicit Schedule 1 health data conditions. PDPL ahead of HIPAA on consent granularity; behind GDPR on enforcement independence</t>
        </is>
      </c>
      <c r="AM75" s="76" t="inlineStr">
        <is>
          <t>Baker McKenzie (2025) Saudi Arabia PDPL Global Data &amp; Cyber Handbook; Alrawabdeh W (2014) 'Internet and Social Media Challenges in Arab World' EJSR; Westin AF (1967) Privacy and Freedom NY Atheneum; Nissenbaum H (2004) 'Privacy as Contextual Integrity' Washington Law Review 79(1); CMS Law (2025) Saudi Arabia Data Protection &amp; Cybersecurity Expert Guide Oct 2025</t>
        </is>
      </c>
      <c r="AN75" s="50" t="inlineStr">
        <is>
          <t>Official: SDAIA website (sdaia.gov.sa) — Arabic + English. Training: IAPP CIPM/CIPP/E (privacy certifications applicable); OneTrust PDPL compliance course; Baker McKenzie PDPL compliance guide. Language: Arabic primary — strong Arabic reading recommended. Estimated: 50 hours for health sector DPO competence</t>
        </is>
      </c>
      <c r="AO75" s="77" t="inlineStr">
        <is>
          <t>PRIMARY driver for GH-ICGA Layer 4 (Compliance) — PDPL is the legal foundation for patient data governance in the preliminary GH-ICGA framework. Thesis argument: GH-ICGA Layer 4 operationalises PDPL requirements into IoMT-specific controls (consent management for wearable data; purpose limitation for monitoring streams; breach response for connected device incidents)</t>
        </is>
      </c>
      <c r="AP75" s="51" t="inlineStr">
        <is>
          <t>G + C (Governance + Compliance — strong compliance driver; risk implicit)</t>
        </is>
      </c>
      <c r="AQ75" s="78" t="inlineStr">
        <is>
          <t>Board/CEO: ultimate accountability for PDPL compliance. DPO: mandatory for large-scale health data processors — reports to highest management level. Privacy Committee: cross-functional oversight. All staff processing personal data: mandatory privacy awareness training annually</t>
        </is>
      </c>
      <c r="AR75" s="74" t="inlineStr">
        <is>
          <t>Privacy Risk (PRIMARY); Legal/Regulatory Risk; Reputational Risk; Strategic Risk (data monetisation constraints); Cross-Border Risk (data transfer restrictions)</t>
        </is>
      </c>
      <c r="AS75" s="22" t="inlineStr">
        <is>
          <t>LEGAL — Royal Decree M/19 2021 + Implementing Regulations Sep 2023. Criminal: imprisonment up to 2 years + SAR 3M fine for sensitive data disclosure. Administrative: SAR 5M maximum fine. Civil: data subject compensation claims</t>
        </is>
      </c>
      <c r="AT75" s="75" t="inlineStr">
        <is>
          <t>Administrative (A): consent management; privacy notices; DPO appointment; DPIA process; breach notification procedure. Technical (T): data minimisation; pseudonymisation; access controls for personal data; encryption. Operational (O): data retention enforcement; data subject rights fulfilment process; cross-border transfer review</t>
        </is>
      </c>
      <c r="AU75" s="79" t="inlineStr">
        <is>
          <t>1. # data subject rights requests fulfilled on time (target: 100% within 30 days). 2. # data breaches notified to SDAIA within 72h (target: 100%). 3. % staff completed privacy training (target: 100%). 4. # DPIAs completed for high-risk processing activities. 5. Data retention compliance rate (% records within policy). 6. % third-party processors with DPA agreements</t>
        </is>
      </c>
      <c r="AV75" s="80" t="inlineStr">
        <is>
          <t>Annual DPIA review; data mapping audit (controller record validation); consent record audit; breach response simulation (tabletop); access control review for personal data systems; third-party processor audit; SDAIA compliance self-assessment</t>
        </is>
      </c>
      <c r="AW75" s="81" t="inlineStr">
        <is>
          <t>OneTrust (market leader for PDPL); TrustArc; Nymity; DataGrail; Varonis (data discovery); Microsoft Purview (data classification). SDAIA National Data Governance Platform for registration. Arabic-capable tools preferred</t>
        </is>
      </c>
      <c r="AX75" s="82" t="inlineStr">
        <is>
          <t>All third-party data processors must have Data Processing Agreement (DPA). Processors must demonstrate equivalent PDPL compliance. Cross-border transfers require adequacy assessment or appropriate safeguards. Sub-processor disclosure mandatory. Annual processor risk assessment required</t>
        </is>
      </c>
      <c r="AY75" s="83" t="inlineStr">
        <is>
          <t>Non-compliance: SAR 5M administrative fine; criminal prosecution for sensitive data breach; SDAIA investigation; mandatory breach public disclosure. Business disruption: SDAIA can order processing suspension. Reputational: patient trust damage. Market: EU adequate protection status depends on PDPL enforcement credibility</t>
        </is>
      </c>
      <c r="AZ75" s="80" t="inlineStr">
        <is>
          <t>ALL 17 SECTORS — any entity processing personal data</t>
        </is>
      </c>
      <c r="BA75" s="34" t="inlineStr">
        <is>
          <t>YES — ALL SECTORS</t>
        </is>
      </c>
      <c r="BB75" s="591">
        <f>IF(E75="","",IF(ISNUMBER(SEARCH("Institutional theory and regulatory governance theory underpin",AI75)),"TEMPLATE",IF(LEN(AI75)&gt;100,"DEEP",IF(AI75="","SPARSE","SHALLOW"))))</f>
        <v/>
      </c>
      <c r="BC75" s="591">
        <f>IF(E75="","",D75&amp;"-"&amp;B75&amp;"-"&amp;E75)</f>
        <v/>
      </c>
      <c r="BD75" s="591">
        <f>IF(E75="","",SUBSTITUTE(SUBSTITUTE(B75&amp;"-"&amp;E75," ",""),":","-"))</f>
        <v/>
      </c>
      <c r="BE75" s="591">
        <f>IF(E75="","",IF(ISNUMBER(SEARCH("ECC",E75)),"NCA-ECC-2-2024",IF(ISNUMBER(SEARCH("OTCC",E75)),"NCA-ECC-2-2024",IF(ISNUMBER(SEARCH("CCC",E75)),"NCA-ECC-2-2024",IF(ISNUMBER(SEARCH("DCC",E75)),"NCA-ECC-2-2024",IF(ISNUMBER(SEARCH("CSCC",E75)),"NCA-ECC-2-2024",IF(ISNUMBER(SEARCH("PDPL-IR",E75)),"PDPL-2021",IF(ISNUMBER(SEARCH("PDPL-DTR",E75)),"PDPL-2021","NONE"))))))))</f>
        <v/>
      </c>
      <c r="BF75" s="594">
        <f>IF(E75="","",IF(BB75="DEEP",10,IF(BB75="SHALLOW",5,IF(BB75="TEMPLATE",3,1)))+IF(N75="HIGHEST",5,IF(N75="HIGH",3,IF(N75="MODERATE",1,0)))+IF(ISNUMBER(SEARCH("Mandatory",L75)),3,0))</f>
        <v/>
      </c>
    </row>
    <row r="76" ht="42" customHeight="1">
      <c r="A76" s="84" t="n">
        <v>71</v>
      </c>
      <c r="B76" s="85" t="inlineStr">
        <is>
          <t>CCHI</t>
        </is>
      </c>
      <c r="C76" s="70" t="inlineStr">
        <is>
          <t>Council of Cooperative Health Insurance</t>
        </is>
      </c>
      <c r="D76" s="70" t="inlineStr">
        <is>
          <t>2. Healthcare &amp; Life Sciences</t>
        </is>
      </c>
      <c r="E76" s="85" t="inlineStr">
        <is>
          <t>SAMA-CSF</t>
        </is>
      </c>
      <c r="F76" s="72" t="inlineStr">
        <is>
          <t>SAMA Cybersecurity Framework</t>
        </is>
      </c>
      <c r="G76" s="70" t="inlineStr">
        <is>
          <t>إطار الأمن السيبراني للبنك المركزي</t>
        </is>
      </c>
      <c r="H76" s="70" t="inlineStr">
        <is>
          <t>2017</t>
        </is>
      </c>
      <c r="I76" s="71" t="inlineStr">
        <is>
          <t>2017</t>
        </is>
      </c>
      <c r="J76" s="71" t="inlineStr">
        <is>
          <t>114</t>
        </is>
      </c>
      <c r="K76" s="70" t="inlineStr">
        <is>
          <t>MUST COMPLY WITH</t>
        </is>
      </c>
      <c r="L76" s="66" t="inlineStr">
        <is>
          <t>Mandatory Complier</t>
        </is>
      </c>
      <c r="M76" s="70" t="inlineStr">
        <is>
          <t>Health insurance companies as SAMA/IAIC-regulated insurers</t>
        </is>
      </c>
      <c r="N76" s="88" t="inlineStr">
        <is>
          <t>HIGH</t>
        </is>
      </c>
      <c r="O76" s="87" t="inlineStr">
        <is>
          <t>https://www.sama.gov.sa/</t>
        </is>
      </c>
      <c r="P76" s="70" t="inlineStr">
        <is>
          <t>SAMA official</t>
        </is>
      </c>
      <c r="Q76" s="70" t="inlineStr">
        <is>
          <t>Issued May 2017 (one version; periodic guidance updates)</t>
        </is>
      </c>
      <c r="R76" s="70" t="inlineStr">
        <is>
          <t>5 cybersecurity domains: Leadership &amp; Governance, Risk Management &amp; Compliance, Operations &amp; Technology, Third Party, Customer Awareness. 29 objectives, 114 sub-controls. 6 maturity levels (Initial → Optimised). Annual self-assessment required. External assessment every 3 years. SAMA inspectors conduct surprise audits. Health insurance companies are SAMA/IAIC-regulated and must comply. Aligned with NIST CSF, ISO 27001, PCI DSS</t>
        </is>
      </c>
      <c r="S76" s="71" t="inlineStr">
        <is>
          <t>Issued: May 2017. Annual self-assessment cycle</t>
        </is>
      </c>
      <c r="T76" s="70" t="inlineStr">
        <is>
          <t>Update expected to align with NCA ECC-2:2024 and NIST CSF 2.0</t>
        </is>
      </c>
      <c r="U76" s="25" t="inlineStr">
        <is>
          <t>CURRENT — 2017 version; update anticipated 2025</t>
        </is>
      </c>
      <c r="V76" s="70" t="inlineStr">
        <is>
          <t>SAMA enforcement: business closure (extreme); SAR multimillion fines (unspecified ceiling); mandatory remediation plan; licence suspension; public warning</t>
        </is>
      </c>
      <c r="W76" s="72" t="inlineStr">
        <is>
          <t>SAMA — Supervisory Technology Department; Insurance Authority (IAIC) for insurers; annual assessment reviewed by SAMA supervisors</t>
        </is>
      </c>
      <c r="X76" s="70" t="inlineStr">
        <is>
          <t>Health Insurer (primary — SAMA/IAIC regulated); Private Hospital (if fintech/payment services regulated)</t>
        </is>
      </c>
      <c r="Y76" s="49" t="inlineStr">
        <is>
          <t>Private financial sector (SAMA-regulated entities only; SAMA itself as public entity also complies with NCA ECC)</t>
        </is>
      </c>
      <c r="Z76" s="70" t="inlineStr">
        <is>
          <t>Annual self-assessment; SAMA external assessment every 3 years; SAMA surprise inspection (risk-based)</t>
        </is>
      </c>
      <c r="AA76" s="71" t="inlineStr">
        <is>
          <t>Annual self-assessment; external: every 3 years</t>
        </is>
      </c>
      <c r="AB76" s="70" t="inlineStr">
        <is>
          <t>6 (health insurance systems security: claims system security; API security for health insurance billing; connected payment device security; third-party health IT vendor management)</t>
        </is>
      </c>
      <c r="AC76" s="70" t="inlineStr">
        <is>
          <t>NIST CSF (primary); ISO 27001:2022; PCI DSS v4 (payment); SWIFT CSP (correspondent banking); COBIT 2019 (IT governance)</t>
        </is>
      </c>
      <c r="AD76" s="61" t="inlineStr">
        <is>
          <t>Arabic (primary); English translation available</t>
        </is>
      </c>
      <c r="AE76" s="26" t="inlineStr">
        <is>
          <t>Layer 1: Governance; Layer 2: Risk Management; Layer 4: Compliance</t>
        </is>
      </c>
      <c r="AF76" s="27" t="inlineStr">
        <is>
          <t>Yes — 6 maturity levels (1=Initial to 6=Optimising); sub-domain level maturity scoring; annual self-scoring required</t>
        </is>
      </c>
      <c r="AG76" s="70" t="inlineStr">
        <is>
          <t>Financial Sector Development Programme (FSDP); Vision 2030 Fintech strategy; health insurance digital transformation</t>
        </is>
      </c>
      <c r="AH76" s="70" t="inlineStr">
        <is>
          <t>Annual self-assessment report; risk register; policy documentation; penetration test reports; BCP test evidence; staff training records; third-party vendor assessment</t>
        </is>
      </c>
      <c r="AI76" s="73" t="inlineStr">
        <is>
          <t>Financial sector cybersecurity regulation theory: systemic risk and contagion (BCBS 2018). Risk-based supervision theory: maturity-based regulatory oversight. Sector-specific regulation vs cross-sector regulation debate.</t>
        </is>
      </c>
      <c r="AJ76" s="70" t="inlineStr">
        <is>
          <t>FOR: Only KSA framework with a formal 6-level maturity model — enables progression benchmarking; annual self-assessment creates continuous improvement culture; aligns with G-7 Fundamental Elements of Cybersecurity (financial sector). AGAINST: 2017 vintage — predates cloud-native architectures, AI-driven fraud, and health insurance sector IoT expansion; Wattlecorp (2025) notes SAMA-CSF and NCA-ECC-2 overlap creates dual compliance burden for health insurers; self-assessment without mandatory external verification undermines assurance value</t>
        </is>
      </c>
      <c r="AK76" s="74" t="inlineStr">
        <is>
          <t>Issued 2017 — significantly outdated vs NCA ECC-2 (2024) — no major revision in 7 years; SAMA-CSF and NCA-ECC-2 alignment not formally documented creating uncertainty; health insurance entities must navigate SAMA-CSF, NCA-ECC-2, PDPL, and CCHI-DCS simultaneously — regulatory fragmentation; IoT/connected insurance product security not addressed</t>
        </is>
      </c>
      <c r="AL76" s="75" t="inlineStr">
        <is>
          <t>SAMA-CSF vs NCA-ECC-2: SAMA-CSF sector-specific (financial), ECC-2 cross-sector — ECC-2 now dominant for cybersecurity, SAMA-CSF supplementary. SAMA-CSF vs ECB TIBER-EU: ECB uses red-team testing; SAMA-CSF relies on self-assessment. SAMA-CSF vs PRA CBEST (UK): similar financial sector model. SAMA-CSF maturity model (6 levels) more granular than ECC-2 (5 levels)</t>
        </is>
      </c>
      <c r="AM76" s="76" t="inlineStr">
        <is>
          <t>SAMA (2017) Cybersecurity Framework sama.gov.sa; BCBS (2018) Cyber-Resilience Basel Committee; Wattlecorp (2025) SAMA Cybersecurity Framework Aug 2025; Al-Matari EM et al. (2014) 'Corporate Governance in Saudi Arabia' Asian Social Science 10(9); Convene (2025) SAMA Cybersecurity Framework Overview Aug 2025</t>
        </is>
      </c>
      <c r="AN76" s="50" t="inlineStr">
        <is>
          <t>Official: SAMA website (sama.gov.sa) — free PDF. Training: CISM (Certified Information Security Manager) — governance domain aligns; CRISC (risk management); ISACA GRC tools. Estimated: 30 hours</t>
        </is>
      </c>
      <c r="AO76" s="77" t="inlineStr">
        <is>
          <t>GH-ICGA Layer 1 (Governance) — SAMA-CSF maturity model is an important reference for GH-ICGA's own maturity assessment design. Thesis: GH-ICGA proposes adapting SAMA-CSF's 6-level maturity model for healthcare IoT governance assessment — the financial sector's approach provides a tested template for health sector adoption</t>
        </is>
      </c>
      <c r="AP76" s="34" t="inlineStr">
        <is>
          <t>G + R + C (sector-specific GRC framework — most comprehensive in GRC terms for financial sector)</t>
        </is>
      </c>
      <c r="AQ76" s="78" t="inlineStr">
        <is>
          <t>Board: approve cybersecurity strategy annually; review maturity scores; ensure CISO reporting line. CISO: present quarterly to board; own SAMA-CSF self-assessment. Risk Committee: integrate cyber risk into enterprise risk. Compliance: monitor SAMA regulatory requirements</t>
        </is>
      </c>
      <c r="AR76" s="74" t="inlineStr">
        <is>
          <t>Cyber Risk; Operational Risk; Third-Party Risk; Systemic Risk (financial sector contagion); Reputational Risk; Regulatory Risk</t>
        </is>
      </c>
      <c r="AS76" s="61" t="inlineStr">
        <is>
          <t>REGULATORY — SAMA mandatory circular for all regulated entities. Enforced through SAMA supervisory examinations. No published maximum fine but SAMA can: suspend licence; impose mandatory remediation; require capital buffer for cyber risk</t>
        </is>
      </c>
      <c r="AT76" s="75" t="inlineStr">
        <is>
          <t>Administrative (A): 45 controls — governance; policy; awareness; HR. Technical (T): 42 controls — access management; operations security; incident management. Physical (P): 12 controls — physical security. Operational (O): 15 controls — vendor management; BCP</t>
        </is>
      </c>
      <c r="AU76" s="79" t="inlineStr">
        <is>
          <t>1. SAMA-CSF self-assessment score per domain (target maturity level 3+ / 5 domains). 2. Maturity progression year-on-year. 3. # critical cyber incidents per year. 4. Third-party risk assessment completion rate (target 100% for critical vendors). 5. % staff passed cybersecurity awareness training. 6. Penetration test findings remediation rate</t>
        </is>
      </c>
      <c r="AV76" s="80" t="inlineStr">
        <is>
          <t>Annual SAMA-CSF self-assessment (mandatory — submitted to SAMA); SAMA supervisory examination (every 3 years for major entities); external penetration test (annual); Red team exercise (every 2-3 years for Tier 1 entities); BCP/DR test (annual)</t>
        </is>
      </c>
      <c r="AW76" s="81" t="inlineStr">
        <is>
          <t>IBM OpenPages; RSA Archer; CURA Risk Management; ServiceNow GRC; MetricStream; Resolver. KSA: Maqsam (local GRC tool); FICO Advisors. SAMA-approved assessment tools</t>
        </is>
      </c>
      <c r="AX76" s="82" t="inlineStr">
        <is>
          <t>All critical third parties: SAMA-CSF compliance assessment before engagement; annual reassessment; contractual right-to-audit; exit plan mandatory; cloud providers: SAMA Cloud Policy compliance; No data sharing without due diligence; sub-outsourcing requires SAMA prior approval for material activities</t>
        </is>
      </c>
      <c r="AY76" s="83" t="inlineStr">
        <is>
          <t>Low maturity (Level 1-2 in critical domains): SAMA mandatory remediation plan + deadline; regulatory capital impact consideration; reputational risk from SAMA disclosure. Licence conditions possible. For health insurers: CCHI + SAMA dual-regulator scrutiny</t>
        </is>
      </c>
      <c r="AZ76" s="80" t="inlineStr">
        <is>
          <t>Financial Regulators; Healthcare &amp; Life Sciences (health insurers)</t>
        </is>
      </c>
      <c r="BA76" s="41" t="inlineStr">
        <is>
          <t>Sector-Specific</t>
        </is>
      </c>
      <c r="BB76" s="591">
        <f>IF(E76="","",IF(ISNUMBER(SEARCH("Institutional theory and regulatory governance theory underpin",AI76)),"TEMPLATE",IF(LEN(AI76)&gt;100,"DEEP",IF(AI76="","SPARSE","SHALLOW"))))</f>
        <v/>
      </c>
      <c r="BC76" s="591">
        <f>IF(E76="","",D76&amp;"-"&amp;B76&amp;"-"&amp;E76)</f>
        <v/>
      </c>
      <c r="BD76" s="591">
        <f>IF(E76="","",SUBSTITUTE(SUBSTITUTE(B76&amp;"-"&amp;E76," ",""),":","-"))</f>
        <v/>
      </c>
      <c r="BE76" s="591">
        <f>IF(E76="","",IF(ISNUMBER(SEARCH("ECC",E76)),"NCA-ECC-2-2024",IF(ISNUMBER(SEARCH("OTCC",E76)),"NCA-ECC-2-2024",IF(ISNUMBER(SEARCH("CCC",E76)),"NCA-ECC-2-2024",IF(ISNUMBER(SEARCH("DCC",E76)),"NCA-ECC-2-2024",IF(ISNUMBER(SEARCH("CSCC",E76)),"NCA-ECC-2-2024",IF(ISNUMBER(SEARCH("PDPL-IR",E76)),"PDPL-2021",IF(ISNUMBER(SEARCH("PDPL-DTR",E76)),"PDPL-2021","NONE"))))))))</f>
        <v/>
      </c>
      <c r="BF76" s="594">
        <f>IF(E76="","",IF(BB76="DEEP",10,IF(BB76="SHALLOW",5,IF(BB76="TEMPLATE",3,1)))+IF(N76="HIGHEST",5,IF(N76="HIGH",3,IF(N76="MODERATE",1,0)))+IF(ISNUMBER(SEARCH("Mandatory",L76)),3,0))</f>
        <v/>
      </c>
    </row>
    <row r="77" ht="42" customHeight="1">
      <c r="A77" s="42" t="n">
        <v>72</v>
      </c>
      <c r="B77" s="69" t="inlineStr">
        <is>
          <t>SHC</t>
        </is>
      </c>
      <c r="C77" s="44" t="inlineStr">
        <is>
          <t>Saudi Health Council</t>
        </is>
      </c>
      <c r="D77" s="44" t="inlineStr">
        <is>
          <t>2. Healthcare &amp; Life Sciences</t>
        </is>
      </c>
      <c r="E77" s="69" t="inlineStr">
        <is>
          <t>SHC-HSTP</t>
        </is>
      </c>
      <c r="F77" s="45" t="inlineStr">
        <is>
          <t>Health Sector Transformation Programme</t>
        </is>
      </c>
      <c r="G77" s="44" t="inlineStr">
        <is>
          <t>برنامج تحول القطاع الصحي</t>
        </is>
      </c>
      <c r="H77" s="44" t="inlineStr">
        <is>
          <t>2016-2030</t>
        </is>
      </c>
      <c r="I77" s="46" t="inlineStr">
        <is>
          <t>2016</t>
        </is>
      </c>
      <c r="J77" s="46" t="inlineStr">
        <is>
          <t>N/A</t>
        </is>
      </c>
      <c r="K77" s="44" t="inlineStr">
        <is>
          <t>ISSUES/ENFORCES</t>
        </is>
      </c>
      <c r="L77" s="22" t="inlineStr">
        <is>
          <t>Mandatory Enforcer</t>
        </is>
      </c>
      <c r="M77" s="44" t="inlineStr">
        <is>
          <t>All MOH entities, health clusters, private sector health targets</t>
        </is>
      </c>
      <c r="N77" s="47" t="inlineStr">
        <is>
          <t>HIGHEST</t>
        </is>
      </c>
      <c r="O77" s="48" t="inlineStr">
        <is>
          <t>https://shc.org.sa/</t>
        </is>
      </c>
      <c r="P77" s="44" t="inlineStr">
        <is>
          <t>WHO/WEF PHSSR 2025; Baker McKenzie 2025</t>
        </is>
      </c>
      <c r="Q77" s="70" t="inlineStr">
        <is>
          <t>Launched 2016 → annual targets updated → 2025-2030 phase planning</t>
        </is>
      </c>
      <c r="R77" s="70" t="inlineStr">
        <is>
          <t>Health Sector Transformation Programme: the Vision 2030 delivery vehicle for healthcare. Key milestones: 2016 launch; 2020 COVID-19 adaptation; 2022 health cluster governance reform; 2024 (current targets): 80% NABIDH connectivity, 50% privatisation of certain services, 30% telehealth uptake, AI diagnostics in all MOH hospitals. Annual KPI reports published by MOH/SHC</t>
        </is>
      </c>
      <c r="S77" s="71" t="inlineStr">
        <is>
          <t>Launched: 2016. Annual KPIs</t>
        </is>
      </c>
      <c r="T77" s="70" t="inlineStr">
        <is>
          <t>2025-2030 next phase planning underway</t>
        </is>
      </c>
      <c r="U77" s="65" t="inlineStr">
        <is>
          <t>ACTIVE — Vision 2030 programme</t>
        </is>
      </c>
      <c r="V77" s="70" t="inlineStr">
        <is>
          <t>Penalties defined by issuing authority; consult official source. NCA ECC-2 penalties apply if relevant</t>
        </is>
      </c>
      <c r="W77" s="72" t="inlineStr">
        <is>
          <t>Issuing authority and/or designated inspection department</t>
        </is>
      </c>
      <c r="X77" s="70" t="inlineStr">
        <is>
          <t>As specified in framework scope — consult official document</t>
        </is>
      </c>
      <c r="Y77" s="49" t="inlineStr">
        <is>
          <t>Both (unless specified otherwise in official document)</t>
        </is>
      </c>
      <c r="Z77" s="70" t="inlineStr">
        <is>
          <t>As defined by issuing authority</t>
        </is>
      </c>
      <c r="AA77" s="71" t="inlineStr">
        <is>
          <t>As defined by issuing authority</t>
        </is>
      </c>
      <c r="AB77" s="70" t="inlineStr">
        <is>
          <t>To be determined from framework text — see official source</t>
        </is>
      </c>
      <c r="AC77" s="70" t="inlineStr">
        <is>
          <t>See framework preamble for international standard references</t>
        </is>
      </c>
      <c r="AD77" s="49" t="inlineStr">
        <is>
          <t>Arabic (primary in KSA); English may be available</t>
        </is>
      </c>
      <c r="AE77" s="58" t="inlineStr">
        <is>
          <t>Mapped to relevant GH-ICGA layer — requires manual assessment</t>
        </is>
      </c>
      <c r="AF77" s="56" t="inlineStr">
        <is>
          <t>See official framework for maturity model details</t>
        </is>
      </c>
      <c r="AG77" s="70" t="inlineStr">
        <is>
          <t>Aligned with relevant Vision 2030 programme — see framework context</t>
        </is>
      </c>
      <c r="AH77" s="70" t="inlineStr">
        <is>
          <t>As specified in framework compliance requirements</t>
        </is>
      </c>
      <c r="AI77" s="73" t="inlineStr">
        <is>
          <t>Health system reform theory: Bismarckian vs Beveridgean models — KSA moving from government-funded to mixed. New Public Management theory: performance management, privatisation, marketisation of health services. Digital transformation theory: technology as enabler of healthcare reform.</t>
        </is>
      </c>
      <c r="AJ77" s="70" t="inlineStr">
        <is>
          <t>FOR: WHO/WEF (2025) PHSSR report confirms HSTP achievements in hospital cluster reform and digital health infrastructure; Vision 2030 provides long-term planning horizon unusual in health reform globally; IoMT deployment targets create concrete digital health demand. AGAINST: Kronfol (2012) and Al-Yousuf et al. (2002) document historical KSA health reform challenges — implementation gap between plan and reality; privatisation may worsen equity without strong regulation; digital health targets ambitious relative to healthcare workforce digital literacy (Al-Marwani &amp; Zaraket 2022)</t>
        </is>
      </c>
      <c r="AK77" s="74" t="inlineStr">
        <is>
          <t>Annual KPI reporting often shows target slippage without accountability; IoMT targets set without reference to cybersecurity readiness gap; health cluster governance still unclear — cluster CEOs vs MOH regional directors authority conflict; private sector participation targets delayed; rural and remote area health equity not adequately reflected in digital health targets</t>
        </is>
      </c>
      <c r="AL77" s="75" t="inlineStr">
        <is>
          <t>HSTP vs NHS Long-Term Plan (UK): NHS 10-year plan similar structure; UK plan more specific on digital. HSTP vs National Health Mission (India): scale comparable; India more primary care focused. HSTP vs Medicare Australia reforms: Australia's MyHealth Record comparable to NABIDH. HSTP is governance document, not regulatory framework — most comparable to UK NHS 10-Year Plan or Australian National Digital Health Strategy</t>
        </is>
      </c>
      <c r="AM77" s="76" t="inlineStr">
        <is>
          <t>WHO &amp; WEF (2025) PHSSR Saudi Arabia; Al-Yousuf M et al. (2002) 'Organization of the Saudi Health System' Eastern Mediterranean Health J; Kronfol NM (2012) 'Delivery of Health Services in Arab Countries' Eastern Mediterranean Health J; Baker McKenzie (2025) Saudi Healthcare Regulatory Update; SHC (2022) Saudi Health Council Annual Report</t>
        </is>
      </c>
      <c r="AN77" s="50" t="inlineStr">
        <is>
          <t>Official: SHC website (shc.org.sa); Vision 2030 website (vision2030.gov.sa). Training: HIMSS Health IT leadership; WHO health system strengthening e-learning. Estimated: 15 hours for context understanding</t>
        </is>
      </c>
      <c r="AO77" s="77" t="inlineStr">
        <is>
          <t>GH-ICGA Layer 1 (Governance) — HSTP defines the strategic health sector context within which GH-ICGA operates. Thesis: GH-ICGA is positioned as a governance tool that enables Saudi hospitals to meet HSTP digital health and IoMT deployment targets securely — the framework is explicitly aligned with Vision 2030 HSTP objectives</t>
        </is>
      </c>
      <c r="AP77" s="62" t="inlineStr">
        <is>
          <t>G (strategic governance programme — KPIs set expectations for all healthcare GRC)</t>
        </is>
      </c>
      <c r="AQ77" s="78" t="inlineStr">
        <is>
          <t>Ministry of Health leadership: accountable for HSTP KPI delivery. Health Cluster CEOs: cluster-level delivery. SHC Board: annual performance review. MOH Regional Directors: regional health transformation targets. Private sector: CCHI + SFDA + SCFHS align commercial operations with HSTP targets</t>
        </is>
      </c>
      <c r="AR77" s="74" t="inlineStr">
        <is>
          <t>Strategic Risk; Reputational Risk (Vision 2030 delivery); Operational Risk (cluster governance uncertainty); Financial Risk (privatisation targets); Digital Risk (technology adoption gaps)</t>
        </is>
      </c>
      <c r="AS77" s="22" t="inlineStr">
        <is>
          <t>PROGRAMME-BASED — not a legal compliance framework. HSTP failure has political and reputational consequences for MOH leadership. KPIs are tracked and reported publicly</t>
        </is>
      </c>
      <c r="AT77" s="75" t="inlineStr">
        <is>
          <t>Administrative: KPI governance; performance reporting; programme management office. Operational: cluster reform implementation; privatisation execution; digital health deployment</t>
        </is>
      </c>
      <c r="AU77" s="79" t="inlineStr">
        <is>
          <t>1. NABIDH connectivity rate (% facilities connected — target 80% by 2025). 2. AI diagnostics deployment rate (% MOH hospitals with AI tool). 3. Privatisation completion rate vs plan. 4. Telemedicine adoption rate (% eligible consultations via telehealth). 5. Patient satisfaction index. 6. Healthcare quality indicators (mortality rates, readmission rates)</t>
        </is>
      </c>
      <c r="AV77" s="80" t="inlineStr">
        <is>
          <t>Annual HSTP performance review (SHC publishes). McKinsey/independent programme management office tracking. WHO PHSSR assessment (published 2025). MOH quarterly performance dashboards</t>
        </is>
      </c>
      <c r="AW77" s="81" t="inlineStr">
        <is>
          <t>Vision 2030 programme management system; MOH performance dashboard; SHC data portal. HIMSS Analytics (EMRAM scoring for digital health targets); JCI accreditation (quality targets)</t>
        </is>
      </c>
      <c r="AX77" s="82" t="inlineStr">
        <is>
          <t>Private sector healthcare: must align investment plans with HSTP privatisation targets; health tech vendors: must support NABIDH integration (HSTP digital target); international hospital operators: JCI accreditation as HSTP quality target</t>
        </is>
      </c>
      <c r="AY77" s="83" t="inlineStr">
        <is>
          <t>HSTP target slippage: ministerial accountability; strategic reputational impact for Vision 2030. Organisational: hospitals not meeting HSTP digital targets risk exclusion from government support programmes and cluster preference</t>
        </is>
      </c>
      <c r="AZ77" s="80" t="inlineStr">
        <is>
          <t>Healthcare &amp; Life Sciences (primarily)</t>
        </is>
      </c>
      <c r="BA77" s="41" t="inlineStr">
        <is>
          <t>Sector-Specific</t>
        </is>
      </c>
      <c r="BB77" s="591">
        <f>IF(E77="","",IF(ISNUMBER(SEARCH("Institutional theory and regulatory governance theory underpin",AI77)),"TEMPLATE",IF(LEN(AI77)&gt;100,"DEEP",IF(AI77="","SPARSE","SHALLOW"))))</f>
        <v/>
      </c>
      <c r="BC77" s="591">
        <f>IF(E77="","",D77&amp;"-"&amp;B77&amp;"-"&amp;E77)</f>
        <v/>
      </c>
      <c r="BD77" s="591">
        <f>IF(E77="","",SUBSTITUTE(SUBSTITUTE(B77&amp;"-"&amp;E77," ",""),":","-"))</f>
        <v/>
      </c>
      <c r="BE77" s="591">
        <f>IF(E77="","",IF(ISNUMBER(SEARCH("ECC",E77)),"NCA-ECC-2-2024",IF(ISNUMBER(SEARCH("OTCC",E77)),"NCA-ECC-2-2024",IF(ISNUMBER(SEARCH("CCC",E77)),"NCA-ECC-2-2024",IF(ISNUMBER(SEARCH("DCC",E77)),"NCA-ECC-2-2024",IF(ISNUMBER(SEARCH("CSCC",E77)),"NCA-ECC-2-2024",IF(ISNUMBER(SEARCH("PDPL-IR",E77)),"PDPL-2021",IF(ISNUMBER(SEARCH("PDPL-DTR",E77)),"PDPL-2021","NONE"))))))))</f>
        <v/>
      </c>
      <c r="BF77" s="594">
        <f>IF(E77="","",IF(BB77="DEEP",10,IF(BB77="SHALLOW",5,IF(BB77="TEMPLATE",3,1)))+IF(N77="HIGHEST",5,IF(N77="HIGH",3,IF(N77="MODERATE",1,0)))+IF(ISNUMBER(SEARCH("Mandatory",L77)),3,0))</f>
        <v/>
      </c>
    </row>
    <row r="78" ht="42" customHeight="1">
      <c r="A78" s="84" t="n">
        <v>73</v>
      </c>
      <c r="B78" s="85" t="inlineStr">
        <is>
          <t>SHC</t>
        </is>
      </c>
      <c r="C78" s="70" t="inlineStr">
        <is>
          <t>Saudi Health Council</t>
        </is>
      </c>
      <c r="D78" s="70" t="inlineStr">
        <is>
          <t>2. Healthcare &amp; Life Sciences</t>
        </is>
      </c>
      <c r="E78" s="85" t="inlineStr">
        <is>
          <t>SHC-NHAP</t>
        </is>
      </c>
      <c r="F78" s="72" t="inlineStr">
        <is>
          <t>National Health Accounts Programme</t>
        </is>
      </c>
      <c r="G78" s="70" t="inlineStr">
        <is>
          <t>الحسابات الصحية الوطنية</t>
        </is>
      </c>
      <c r="H78" s="70" t="inlineStr">
        <is>
          <t>Annual</t>
        </is>
      </c>
      <c r="I78" s="71" t="inlineStr">
        <is>
          <t>2017</t>
        </is>
      </c>
      <c r="J78" s="71" t="inlineStr">
        <is>
          <t>N/A</t>
        </is>
      </c>
      <c r="K78" s="70" t="inlineStr">
        <is>
          <t>ISSUES/ENFORCES</t>
        </is>
      </c>
      <c r="L78" s="64" t="inlineStr">
        <is>
          <t>Policy Setter</t>
        </is>
      </c>
      <c r="M78" s="70" t="inlineStr">
        <is>
          <t>MOH, CCHI, clusters — health expenditure and planning</t>
        </is>
      </c>
      <c r="N78" s="93" t="inlineStr">
        <is>
          <t>MODERATE</t>
        </is>
      </c>
      <c r="O78" s="87" t="inlineStr">
        <is>
          <t>https://shc.org.sa/</t>
        </is>
      </c>
      <c r="P78" s="70" t="inlineStr">
        <is>
          <t>SHC official</t>
        </is>
      </c>
      <c r="Q78" s="70" t="inlineStr">
        <is>
          <t>See official source for version history</t>
        </is>
      </c>
      <c r="R78" s="70" t="inlineStr">
        <is>
          <t>Framework issued by the relevant authority. Version details available on the official website referenced in the source URL column. The framework has been updated periodically since first issuance.</t>
        </is>
      </c>
      <c r="S78" s="71" t="inlineStr">
        <is>
          <t>See official source</t>
        </is>
      </c>
      <c r="T78" s="70" t="inlineStr">
        <is>
          <t>Updated as needed by the issuing authority</t>
        </is>
      </c>
      <c r="U78" s="25" t="inlineStr">
        <is>
          <t>CURRENT — consult official source for latest version</t>
        </is>
      </c>
      <c r="V78" s="70" t="inlineStr">
        <is>
          <t>Penalties defined by issuing authority; consult official source. NCA ECC-2 penalties apply if relevant</t>
        </is>
      </c>
      <c r="W78" s="72" t="inlineStr">
        <is>
          <t>Issuing authority and/or designated inspection department</t>
        </is>
      </c>
      <c r="X78" s="70" t="inlineStr">
        <is>
          <t>As specified in framework scope — consult official document</t>
        </is>
      </c>
      <c r="Y78" s="49" t="inlineStr">
        <is>
          <t>Both (unless specified otherwise in official document)</t>
        </is>
      </c>
      <c r="Z78" s="70" t="inlineStr">
        <is>
          <t>As defined by issuing authority</t>
        </is>
      </c>
      <c r="AA78" s="71" t="inlineStr">
        <is>
          <t>As defined by issuing authority</t>
        </is>
      </c>
      <c r="AB78" s="70" t="inlineStr">
        <is>
          <t>To be determined from framework text — see official source</t>
        </is>
      </c>
      <c r="AC78" s="70" t="inlineStr">
        <is>
          <t>See framework preamble for international standard references</t>
        </is>
      </c>
      <c r="AD78" s="49" t="inlineStr">
        <is>
          <t>Arabic (primary in KSA); English may be available</t>
        </is>
      </c>
      <c r="AE78" s="58" t="inlineStr">
        <is>
          <t>Mapped to relevant GH-ICGA layer — requires manual assessment</t>
        </is>
      </c>
      <c r="AF78" s="56" t="inlineStr">
        <is>
          <t>See official framework for maturity model details</t>
        </is>
      </c>
      <c r="AG78" s="70" t="inlineStr">
        <is>
          <t>Aligned with relevant Vision 2030 programme — see framework context</t>
        </is>
      </c>
      <c r="AH78" s="70" t="inlineStr">
        <is>
          <t>As specified in framework compliance requirements</t>
        </is>
      </c>
      <c r="AI78" s="73" t="inlineStr">
        <is>
          <t>Institutional theory and regulatory governance theory underpin all KSA regulatory frameworks. Specific theoretical basis varies by framework — consult academic literature via Google Scholar using framework name as search term.</t>
        </is>
      </c>
      <c r="AJ78" s="70" t="inlineStr">
        <is>
          <t>Academic debate varies by framework maturity and international adoption. For KSA-specific debate, consult: Almohammad &amp; Wills (2021) J Cybersecurity; Al-Khater et al. (2020) IEEE Access; Baker McKenzie KSA regulatory updates.</t>
        </is>
      </c>
      <c r="AK78" s="74" t="inlineStr">
        <is>
          <t>Known criticisms include: implementation gap between standards and practice; resource constraints for smaller healthcare entities; rapid technology evolution outpacing regulation. Consult framework evaluation literature for specifics.</t>
        </is>
      </c>
      <c r="AL78" s="75" t="inlineStr">
        <is>
          <t>Framework comparison requires contextual analysis. Key comparators: NIST CSF 2.0 (international benchmark), ISO 27001 (certifiable standard), ECC-2 (KSA mandatory baseline). See main database for cross-framework mapping.</t>
        </is>
      </c>
      <c r="AM78"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78" s="50" t="inlineStr">
        <is>
          <t>Official: Consult the official source URL in the database for the primary document. Training: ISACA, ISC2, RAPS, IAPP, and HIMSS offer professional development covering most regulatory domains. Estimated hours vary by framework complexity.</t>
        </is>
      </c>
      <c r="AO78" s="77" t="inlineStr">
        <is>
          <t>Relevance to GH-ICGA framework varies by layer — see GH-ICGA Layer Mapping column. All KSA mandatory frameworks are compliance inputs to GH-ICGA Layer 4. Frameworks with IoMT-specific provisions directly inform Layers 2 and 3.</t>
        </is>
      </c>
      <c r="AP78" s="51" t="inlineStr">
        <is>
          <t>G + C (Governance + Compliance — standard regulatory framework positioning)</t>
        </is>
      </c>
      <c r="AQ78" s="78" t="inlineStr">
        <is>
          <t>Senior management: accountability for framework compliance. Designated compliance officer: monitor requirements. All staff: awareness of applicable obligations</t>
        </is>
      </c>
      <c r="AR78" s="74" t="inlineStr">
        <is>
          <t>Regulatory Risk; Operational Risk; Reputational Risk — specific domains determined by framework scope</t>
        </is>
      </c>
      <c r="AS78" s="22" t="inlineStr">
        <is>
          <t>See official source — legal obligation, regulatory requirement, or voluntary standard as applicable</t>
        </is>
      </c>
      <c r="AT78" s="75" t="inlineStr">
        <is>
          <t>Administrative; Technical; Operational — specific distribution determined by framework content</t>
        </is>
      </c>
      <c r="AU78" s="79" t="inlineStr">
        <is>
          <t>1. Compliance status (compliant/non-compliant). 2. # open findings from last assessment. 3. % controls implemented. 4. Time to remediate findings. 5. Incident rate in framework scope area</t>
        </is>
      </c>
      <c r="AV78" s="80" t="inlineStr">
        <is>
          <t>Self-assessment; internal audit; external assessment as specified by issuing authority</t>
        </is>
      </c>
      <c r="AW78" s="81" t="inlineStr">
        <is>
          <t>ServiceNow GRC; IBM OpenPages; RSA Archer; MetricStream — all major GRC platforms support custom framework import. Contact vendor for framework-specific module</t>
        </is>
      </c>
      <c r="AX78" s="82" t="inlineStr">
        <is>
          <t>Third parties in scope must demonstrate equivalent compliance. Contractual compliance obligations; right-to-audit clauses; annual third-party assessment</t>
        </is>
      </c>
      <c r="AY78" s="83" t="inlineStr">
        <is>
          <t>Non-compliance: regulatory action by issuing authority; fines and penalties as specified; operational and reputational consequences</t>
        </is>
      </c>
      <c r="AZ78" s="80" t="inlineStr">
        <is>
          <t>Sector-specific — consult official source</t>
        </is>
      </c>
      <c r="BA78" s="41" t="inlineStr">
        <is>
          <t>Sector-Specific</t>
        </is>
      </c>
      <c r="BB78" s="591">
        <f>IF(E78="","",IF(ISNUMBER(SEARCH("Institutional theory and regulatory governance theory underpin",AI78)),"TEMPLATE",IF(LEN(AI78)&gt;100,"DEEP",IF(AI78="","SPARSE","SHALLOW"))))</f>
        <v/>
      </c>
      <c r="BC78" s="591">
        <f>IF(E78="","",D78&amp;"-"&amp;B78&amp;"-"&amp;E78)</f>
        <v/>
      </c>
      <c r="BD78" s="591">
        <f>IF(E78="","",SUBSTITUTE(SUBSTITUTE(B78&amp;"-"&amp;E78," ",""),":","-"))</f>
        <v/>
      </c>
      <c r="BE78" s="591">
        <f>IF(E78="","",IF(ISNUMBER(SEARCH("ECC",E78)),"NCA-ECC-2-2024",IF(ISNUMBER(SEARCH("OTCC",E78)),"NCA-ECC-2-2024",IF(ISNUMBER(SEARCH("CCC",E78)),"NCA-ECC-2-2024",IF(ISNUMBER(SEARCH("DCC",E78)),"NCA-ECC-2-2024",IF(ISNUMBER(SEARCH("CSCC",E78)),"NCA-ECC-2-2024",IF(ISNUMBER(SEARCH("PDPL-IR",E78)),"PDPL-2021",IF(ISNUMBER(SEARCH("PDPL-DTR",E78)),"PDPL-2021","NONE"))))))))</f>
        <v/>
      </c>
      <c r="BF78" s="594">
        <f>IF(E78="","",IF(BB78="DEEP",10,IF(BB78="SHALLOW",5,IF(BB78="TEMPLATE",3,1)))+IF(N78="HIGHEST",5,IF(N78="HIGH",3,IF(N78="MODERATE",1,0)))+IF(ISNUMBER(SEARCH("Mandatory",L78)),3,0))</f>
        <v/>
      </c>
    </row>
    <row r="79" ht="42" customHeight="1">
      <c r="A79" s="42" t="n">
        <v>74</v>
      </c>
      <c r="B79" s="69" t="inlineStr">
        <is>
          <t>SHC</t>
        </is>
      </c>
      <c r="C79" s="44" t="inlineStr">
        <is>
          <t>Saudi Health Council</t>
        </is>
      </c>
      <c r="D79" s="44" t="inlineStr">
        <is>
          <t>2. Healthcare &amp; Life Sciences</t>
        </is>
      </c>
      <c r="E79" s="69" t="inlineStr">
        <is>
          <t>SHC-QF</t>
        </is>
      </c>
      <c r="F79" s="45" t="inlineStr">
        <is>
          <t>Saudi Health Quality Framework</t>
        </is>
      </c>
      <c r="G79" s="44" t="inlineStr">
        <is>
          <t>إطار الجودة الصحية السعودي</t>
        </is>
      </c>
      <c r="H79" s="44" t="inlineStr">
        <is>
          <t>Updated 2022</t>
        </is>
      </c>
      <c r="I79" s="46" t="inlineStr">
        <is>
          <t>2018</t>
        </is>
      </c>
      <c r="J79" s="46" t="inlineStr">
        <is>
          <t>N/A</t>
        </is>
      </c>
      <c r="K79" s="44" t="inlineStr">
        <is>
          <t>ISSUES/ENFORCES</t>
        </is>
      </c>
      <c r="L79" s="64" t="inlineStr">
        <is>
          <t>Policy Setter</t>
        </is>
      </c>
      <c r="M79" s="44" t="inlineStr">
        <is>
          <t>All healthcare facilities — quality KPIs and patient safety</t>
        </is>
      </c>
      <c r="N79" s="54" t="inlineStr">
        <is>
          <t>HIGH</t>
        </is>
      </c>
      <c r="O79" s="48" t="inlineStr">
        <is>
          <t>https://shc.org.sa/</t>
        </is>
      </c>
      <c r="P79" s="44" t="inlineStr">
        <is>
          <t>SHC official</t>
        </is>
      </c>
      <c r="Q79" s="70" t="inlineStr">
        <is>
          <t>See official source for version history</t>
        </is>
      </c>
      <c r="R79" s="70" t="inlineStr">
        <is>
          <t>Framework issued by the relevant authority. Version details available on the official website referenced in the source URL column. The framework has been updated periodically since first issuance.</t>
        </is>
      </c>
      <c r="S79" s="71" t="inlineStr">
        <is>
          <t>See official source</t>
        </is>
      </c>
      <c r="T79" s="70" t="inlineStr">
        <is>
          <t>Updated as needed by the issuing authority</t>
        </is>
      </c>
      <c r="U79" s="25" t="inlineStr">
        <is>
          <t>CURRENT — consult official source for latest version</t>
        </is>
      </c>
      <c r="V79" s="70" t="inlineStr">
        <is>
          <t>Penalties defined by issuing authority; consult official source. NCA ECC-2 penalties apply if relevant</t>
        </is>
      </c>
      <c r="W79" s="72" t="inlineStr">
        <is>
          <t>Issuing authority and/or designated inspection department</t>
        </is>
      </c>
      <c r="X79" s="70" t="inlineStr">
        <is>
          <t>As specified in framework scope — consult official document</t>
        </is>
      </c>
      <c r="Y79" s="49" t="inlineStr">
        <is>
          <t>Both (unless specified otherwise in official document)</t>
        </is>
      </c>
      <c r="Z79" s="70" t="inlineStr">
        <is>
          <t>As defined by issuing authority</t>
        </is>
      </c>
      <c r="AA79" s="71" t="inlineStr">
        <is>
          <t>As defined by issuing authority</t>
        </is>
      </c>
      <c r="AB79" s="70" t="inlineStr">
        <is>
          <t>To be determined from framework text — see official source</t>
        </is>
      </c>
      <c r="AC79" s="70" t="inlineStr">
        <is>
          <t>See framework preamble for international standard references</t>
        </is>
      </c>
      <c r="AD79" s="49" t="inlineStr">
        <is>
          <t>Arabic (primary in KSA); English may be available</t>
        </is>
      </c>
      <c r="AE79" s="58" t="inlineStr">
        <is>
          <t>Mapped to relevant GH-ICGA layer — requires manual assessment</t>
        </is>
      </c>
      <c r="AF79" s="56" t="inlineStr">
        <is>
          <t>See official framework for maturity model details</t>
        </is>
      </c>
      <c r="AG79" s="70" t="inlineStr">
        <is>
          <t>Aligned with relevant Vision 2030 programme — see framework context</t>
        </is>
      </c>
      <c r="AH79" s="70" t="inlineStr">
        <is>
          <t>As specified in framework compliance requirements</t>
        </is>
      </c>
      <c r="AI79" s="73" t="inlineStr">
        <is>
          <t>Institutional theory and regulatory governance theory underpin all KSA regulatory frameworks. Specific theoretical basis varies by framework — consult academic literature via Google Scholar using framework name as search term.</t>
        </is>
      </c>
      <c r="AJ79" s="70" t="inlineStr">
        <is>
          <t>Academic debate varies by framework maturity and international adoption. For KSA-specific debate, consult: Almohammad &amp; Wills (2021) J Cybersecurity; Al-Khater et al. (2020) IEEE Access; Baker McKenzie KSA regulatory updates.</t>
        </is>
      </c>
      <c r="AK79" s="74" t="inlineStr">
        <is>
          <t>Known criticisms include: implementation gap between standards and practice; resource constraints for smaller healthcare entities; rapid technology evolution outpacing regulation. Consult framework evaluation literature for specifics.</t>
        </is>
      </c>
      <c r="AL79" s="75" t="inlineStr">
        <is>
          <t>Framework comparison requires contextual analysis. Key comparators: NIST CSF 2.0 (international benchmark), ISO 27001 (certifiable standard), ECC-2 (KSA mandatory baseline). See main database for cross-framework mapping.</t>
        </is>
      </c>
      <c r="AM79"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79" s="50" t="inlineStr">
        <is>
          <t>Official: Consult the official source URL in the database for the primary document. Training: ISACA, ISC2, RAPS, IAPP, and HIMSS offer professional development covering most regulatory domains. Estimated hours vary by framework complexity.</t>
        </is>
      </c>
      <c r="AO79" s="77" t="inlineStr">
        <is>
          <t>Relevance to GH-ICGA framework varies by layer — see GH-ICGA Layer Mapping column. All KSA mandatory frameworks are compliance inputs to GH-ICGA Layer 4. Frameworks with IoMT-specific provisions directly inform Layers 2 and 3.</t>
        </is>
      </c>
      <c r="AP79" s="51" t="inlineStr">
        <is>
          <t>G + C (Governance + Compliance — standard regulatory framework positioning)</t>
        </is>
      </c>
      <c r="AQ79" s="78" t="inlineStr">
        <is>
          <t>Senior management: accountability for framework compliance. Designated compliance officer: monitor requirements. All staff: awareness of applicable obligations</t>
        </is>
      </c>
      <c r="AR79" s="74" t="inlineStr">
        <is>
          <t>Regulatory Risk; Operational Risk; Reputational Risk — specific domains determined by framework scope</t>
        </is>
      </c>
      <c r="AS79" s="22" t="inlineStr">
        <is>
          <t>See official source — legal obligation, regulatory requirement, or voluntary standard as applicable</t>
        </is>
      </c>
      <c r="AT79" s="75" t="inlineStr">
        <is>
          <t>Administrative; Technical; Operational — specific distribution determined by framework content</t>
        </is>
      </c>
      <c r="AU79" s="79" t="inlineStr">
        <is>
          <t>1. Compliance status (compliant/non-compliant). 2. # open findings from last assessment. 3. % controls implemented. 4. Time to remediate findings. 5. Incident rate in framework scope area</t>
        </is>
      </c>
      <c r="AV79" s="80" t="inlineStr">
        <is>
          <t>Self-assessment; internal audit; external assessment as specified by issuing authority</t>
        </is>
      </c>
      <c r="AW79" s="81" t="inlineStr">
        <is>
          <t>ServiceNow GRC; IBM OpenPages; RSA Archer; MetricStream — all major GRC platforms support custom framework import. Contact vendor for framework-specific module</t>
        </is>
      </c>
      <c r="AX79" s="82" t="inlineStr">
        <is>
          <t>Third parties in scope must demonstrate equivalent compliance. Contractual compliance obligations; right-to-audit clauses; annual third-party assessment</t>
        </is>
      </c>
      <c r="AY79" s="83" t="inlineStr">
        <is>
          <t>Non-compliance: regulatory action by issuing authority; fines and penalties as specified; operational and reputational consequences</t>
        </is>
      </c>
      <c r="AZ79" s="80" t="inlineStr">
        <is>
          <t>Sector-specific — consult official source</t>
        </is>
      </c>
      <c r="BA79" s="41" t="inlineStr">
        <is>
          <t>Sector-Specific</t>
        </is>
      </c>
      <c r="BB79" s="591">
        <f>IF(E79="","",IF(ISNUMBER(SEARCH("Institutional theory and regulatory governance theory underpin",AI79)),"TEMPLATE",IF(LEN(AI79)&gt;100,"DEEP",IF(AI79="","SPARSE","SHALLOW"))))</f>
        <v/>
      </c>
      <c r="BC79" s="591">
        <f>IF(E79="","",D79&amp;"-"&amp;B79&amp;"-"&amp;E79)</f>
        <v/>
      </c>
      <c r="BD79" s="591">
        <f>IF(E79="","",SUBSTITUTE(SUBSTITUTE(B79&amp;"-"&amp;E79," ",""),":","-"))</f>
        <v/>
      </c>
      <c r="BE79" s="591">
        <f>IF(E79="","",IF(ISNUMBER(SEARCH("ECC",E79)),"NCA-ECC-2-2024",IF(ISNUMBER(SEARCH("OTCC",E79)),"NCA-ECC-2-2024",IF(ISNUMBER(SEARCH("CCC",E79)),"NCA-ECC-2-2024",IF(ISNUMBER(SEARCH("DCC",E79)),"NCA-ECC-2-2024",IF(ISNUMBER(SEARCH("CSCC",E79)),"NCA-ECC-2-2024",IF(ISNUMBER(SEARCH("PDPL-IR",E79)),"PDPL-2021",IF(ISNUMBER(SEARCH("PDPL-DTR",E79)),"PDPL-2021","NONE"))))))))</f>
        <v/>
      </c>
      <c r="BF79" s="594">
        <f>IF(E79="","",IF(BB79="DEEP",10,IF(BB79="SHALLOW",5,IF(BB79="TEMPLATE",3,1)))+IF(N79="HIGHEST",5,IF(N79="HIGH",3,IF(N79="MODERATE",1,0)))+IF(ISNUMBER(SEARCH("Mandatory",L79)),3,0))</f>
        <v/>
      </c>
    </row>
    <row r="80" ht="42" customHeight="1">
      <c r="A80" s="84" t="n">
        <v>75</v>
      </c>
      <c r="B80" s="85" t="inlineStr">
        <is>
          <t>SHC</t>
        </is>
      </c>
      <c r="C80" s="70" t="inlineStr">
        <is>
          <t>Saudi Health Council</t>
        </is>
      </c>
      <c r="D80" s="70" t="inlineStr">
        <is>
          <t>2. Healthcare &amp; Life Sciences</t>
        </is>
      </c>
      <c r="E80" s="85" t="inlineStr">
        <is>
          <t>SHC-PRIV</t>
        </is>
      </c>
      <c r="F80" s="72" t="inlineStr">
        <is>
          <t>Health Sector Privatisation Framework</t>
        </is>
      </c>
      <c r="G80" s="70" t="inlineStr">
        <is>
          <t>إطار خصخصة القطاع الصحي</t>
        </is>
      </c>
      <c r="H80" s="70" t="inlineStr">
        <is>
          <t>Active</t>
        </is>
      </c>
      <c r="I80" s="71" t="inlineStr">
        <is>
          <t>2018</t>
        </is>
      </c>
      <c r="J80" s="71" t="inlineStr">
        <is>
          <t>N/A</t>
        </is>
      </c>
      <c r="K80" s="70" t="inlineStr">
        <is>
          <t>ISSUES/ENFORCES</t>
        </is>
      </c>
      <c r="L80" s="64" t="inlineStr">
        <is>
          <t>Policy Setter</t>
        </is>
      </c>
      <c r="M80" s="70" t="inlineStr">
        <is>
          <t>Health cluster operators; private hospital investment</t>
        </is>
      </c>
      <c r="N80" s="88" t="inlineStr">
        <is>
          <t>HIGH</t>
        </is>
      </c>
      <c r="O80" s="87" t="inlineStr">
        <is>
          <t>https://shc.org.sa/</t>
        </is>
      </c>
      <c r="P80" s="70" t="inlineStr">
        <is>
          <t>SHC official; Vision 2030</t>
        </is>
      </c>
      <c r="Q80" s="70" t="inlineStr">
        <is>
          <t>See official source for version history</t>
        </is>
      </c>
      <c r="R80" s="70" t="inlineStr">
        <is>
          <t>Framework issued by the relevant authority. Version details available on the official website referenced in the source URL column. The framework has been updated periodically since first issuance.</t>
        </is>
      </c>
      <c r="S80" s="71" t="inlineStr">
        <is>
          <t>See official source</t>
        </is>
      </c>
      <c r="T80" s="70" t="inlineStr">
        <is>
          <t>Updated as needed by the issuing authority</t>
        </is>
      </c>
      <c r="U80" s="25" t="inlineStr">
        <is>
          <t>CURRENT — consult official source for latest version</t>
        </is>
      </c>
      <c r="V80" s="70" t="inlineStr">
        <is>
          <t>Penalties defined by issuing authority; consult official source. NCA ECC-2 penalties apply if relevant</t>
        </is>
      </c>
      <c r="W80" s="72" t="inlineStr">
        <is>
          <t>Issuing authority and/or designated inspection department</t>
        </is>
      </c>
      <c r="X80" s="70" t="inlineStr">
        <is>
          <t>As specified in framework scope — consult official document</t>
        </is>
      </c>
      <c r="Y80" s="49" t="inlineStr">
        <is>
          <t>Both (unless specified otherwise in official document)</t>
        </is>
      </c>
      <c r="Z80" s="70" t="inlineStr">
        <is>
          <t>As defined by issuing authority</t>
        </is>
      </c>
      <c r="AA80" s="71" t="inlineStr">
        <is>
          <t>As defined by issuing authority</t>
        </is>
      </c>
      <c r="AB80" s="70" t="inlineStr">
        <is>
          <t>To be determined from framework text — see official source</t>
        </is>
      </c>
      <c r="AC80" s="70" t="inlineStr">
        <is>
          <t>See framework preamble for international standard references</t>
        </is>
      </c>
      <c r="AD80" s="49" t="inlineStr">
        <is>
          <t>Arabic (primary in KSA); English may be available</t>
        </is>
      </c>
      <c r="AE80" s="58" t="inlineStr">
        <is>
          <t>Mapped to relevant GH-ICGA layer — requires manual assessment</t>
        </is>
      </c>
      <c r="AF80" s="56" t="inlineStr">
        <is>
          <t>See official framework for maturity model details</t>
        </is>
      </c>
      <c r="AG80" s="70" t="inlineStr">
        <is>
          <t>Aligned with relevant Vision 2030 programme — see framework context</t>
        </is>
      </c>
      <c r="AH80" s="70" t="inlineStr">
        <is>
          <t>As specified in framework compliance requirements</t>
        </is>
      </c>
      <c r="AI80" s="73" t="inlineStr">
        <is>
          <t>Institutional theory and regulatory governance theory underpin all KSA regulatory frameworks. Specific theoretical basis varies by framework — consult academic literature via Google Scholar using framework name as search term.</t>
        </is>
      </c>
      <c r="AJ80" s="70" t="inlineStr">
        <is>
          <t>Academic debate varies by framework maturity and international adoption. For KSA-specific debate, consult: Almohammad &amp; Wills (2021) J Cybersecurity; Al-Khater et al. (2020) IEEE Access; Baker McKenzie KSA regulatory updates.</t>
        </is>
      </c>
      <c r="AK80" s="74" t="inlineStr">
        <is>
          <t>Known criticisms include: implementation gap between standards and practice; resource constraints for smaller healthcare entities; rapid technology evolution outpacing regulation. Consult framework evaluation literature for specifics.</t>
        </is>
      </c>
      <c r="AL80" s="75" t="inlineStr">
        <is>
          <t>Framework comparison requires contextual analysis. Key comparators: NIST CSF 2.0 (international benchmark), ISO 27001 (certifiable standard), ECC-2 (KSA mandatory baseline). See main database for cross-framework mapping.</t>
        </is>
      </c>
      <c r="AM80"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80" s="50" t="inlineStr">
        <is>
          <t>Official: Consult the official source URL in the database for the primary document. Training: ISACA, ISC2, RAPS, IAPP, and HIMSS offer professional development covering most regulatory domains. Estimated hours vary by framework complexity.</t>
        </is>
      </c>
      <c r="AO80" s="77" t="inlineStr">
        <is>
          <t>Relevance to GH-ICGA framework varies by layer — see GH-ICGA Layer Mapping column. All KSA mandatory frameworks are compliance inputs to GH-ICGA Layer 4. Frameworks with IoMT-specific provisions directly inform Layers 2 and 3.</t>
        </is>
      </c>
      <c r="AP80" s="51" t="inlineStr">
        <is>
          <t>G + C (Governance + Compliance — standard regulatory framework positioning)</t>
        </is>
      </c>
      <c r="AQ80" s="78" t="inlineStr">
        <is>
          <t>Senior management: accountability for framework compliance. Designated compliance officer: monitor requirements. All staff: awareness of applicable obligations</t>
        </is>
      </c>
      <c r="AR80" s="74" t="inlineStr">
        <is>
          <t>Regulatory Risk; Operational Risk; Reputational Risk — specific domains determined by framework scope</t>
        </is>
      </c>
      <c r="AS80" s="22" t="inlineStr">
        <is>
          <t>See official source — legal obligation, regulatory requirement, or voluntary standard as applicable</t>
        </is>
      </c>
      <c r="AT80" s="75" t="inlineStr">
        <is>
          <t>Administrative; Technical; Operational — specific distribution determined by framework content</t>
        </is>
      </c>
      <c r="AU80" s="79" t="inlineStr">
        <is>
          <t>1. Compliance status (compliant/non-compliant). 2. # open findings from last assessment. 3. % controls implemented. 4. Time to remediate findings. 5. Incident rate in framework scope area</t>
        </is>
      </c>
      <c r="AV80" s="80" t="inlineStr">
        <is>
          <t>Self-assessment; internal audit; external assessment as specified by issuing authority</t>
        </is>
      </c>
      <c r="AW80" s="81" t="inlineStr">
        <is>
          <t>ServiceNow GRC; IBM OpenPages; RSA Archer; MetricStream — all major GRC platforms support custom framework import. Contact vendor for framework-specific module</t>
        </is>
      </c>
      <c r="AX80" s="82" t="inlineStr">
        <is>
          <t>Third parties in scope must demonstrate equivalent compliance. Contractual compliance obligations; right-to-audit clauses; annual third-party assessment</t>
        </is>
      </c>
      <c r="AY80" s="83" t="inlineStr">
        <is>
          <t>Non-compliance: regulatory action by issuing authority; fines and penalties as specified; operational and reputational consequences</t>
        </is>
      </c>
      <c r="AZ80" s="80" t="inlineStr">
        <is>
          <t>Sector-specific — consult official source</t>
        </is>
      </c>
      <c r="BA80" s="41" t="inlineStr">
        <is>
          <t>Sector-Specific</t>
        </is>
      </c>
      <c r="BB80" s="591">
        <f>IF(E80="","",IF(ISNUMBER(SEARCH("Institutional theory and regulatory governance theory underpin",AI80)),"TEMPLATE",IF(LEN(AI80)&gt;100,"DEEP",IF(AI80="","SPARSE","SHALLOW"))))</f>
        <v/>
      </c>
      <c r="BC80" s="591">
        <f>IF(E80="","",D80&amp;"-"&amp;B80&amp;"-"&amp;E80)</f>
        <v/>
      </c>
      <c r="BD80" s="591">
        <f>IF(E80="","",SUBSTITUTE(SUBSTITUTE(B80&amp;"-"&amp;E80," ",""),":","-"))</f>
        <v/>
      </c>
      <c r="BE80" s="591">
        <f>IF(E80="","",IF(ISNUMBER(SEARCH("ECC",E80)),"NCA-ECC-2-2024",IF(ISNUMBER(SEARCH("OTCC",E80)),"NCA-ECC-2-2024",IF(ISNUMBER(SEARCH("CCC",E80)),"NCA-ECC-2-2024",IF(ISNUMBER(SEARCH("DCC",E80)),"NCA-ECC-2-2024",IF(ISNUMBER(SEARCH("CSCC",E80)),"NCA-ECC-2-2024",IF(ISNUMBER(SEARCH("PDPL-IR",E80)),"PDPL-2021",IF(ISNUMBER(SEARCH("PDPL-DTR",E80)),"PDPL-2021","NONE"))))))))</f>
        <v/>
      </c>
      <c r="BF80" s="594">
        <f>IF(E80="","",IF(BB80="DEEP",10,IF(BB80="SHALLOW",5,IF(BB80="TEMPLATE",3,1)))+IF(N80="HIGHEST",5,IF(N80="HIGH",3,IF(N80="MODERATE",1,0)))+IF(ISNUMBER(SEARCH("Mandatory",L80)),3,0))</f>
        <v/>
      </c>
    </row>
    <row r="81" ht="42" customHeight="1">
      <c r="A81" s="42" t="n">
        <v>76</v>
      </c>
      <c r="B81" s="69" t="inlineStr">
        <is>
          <t>SHC</t>
        </is>
      </c>
      <c r="C81" s="44" t="inlineStr">
        <is>
          <t>Saudi Health Council</t>
        </is>
      </c>
      <c r="D81" s="44" t="inlineStr">
        <is>
          <t>2. Healthcare &amp; Life Sciences</t>
        </is>
      </c>
      <c r="E81" s="69" t="inlineStr">
        <is>
          <t>NCA-ECC-2:2024</t>
        </is>
      </c>
      <c r="F81" s="45" t="inlineStr">
        <is>
          <t>Essential Cybersecurity Controls</t>
        </is>
      </c>
      <c r="G81" s="44" t="inlineStr">
        <is>
          <t>ضوابط الأمن السيبراني الأساسية</t>
        </is>
      </c>
      <c r="H81" s="44" t="inlineStr">
        <is>
          <t>ECC-2:2024</t>
        </is>
      </c>
      <c r="I81" s="46" t="inlineStr">
        <is>
          <t>2018</t>
        </is>
      </c>
      <c r="J81" s="46" t="inlineStr">
        <is>
          <t>108</t>
        </is>
      </c>
      <c r="K81" s="44" t="inlineStr">
        <is>
          <t>MUST COMPLY WITH</t>
        </is>
      </c>
      <c r="L81" s="66" t="inlineStr">
        <is>
          <t>Mandatory Complier</t>
        </is>
      </c>
      <c r="M81" s="44" t="inlineStr">
        <is>
          <t>SHC as government entity</t>
        </is>
      </c>
      <c r="N81" s="54" t="inlineStr">
        <is>
          <t>HIGH</t>
        </is>
      </c>
      <c r="O81" s="48" t="inlineStr">
        <is>
          <t>https://nca.gov.sa/</t>
        </is>
      </c>
      <c r="P81" s="44" t="inlineStr">
        <is>
          <t>NCA ECC scope</t>
        </is>
      </c>
      <c r="Q81" s="70" t="inlineStr">
        <is>
          <t>See official source for version history</t>
        </is>
      </c>
      <c r="R81" s="70" t="inlineStr">
        <is>
          <t>Framework issued by the relevant authority. Version details available on the official website referenced in the source URL column. The framework has been updated periodically since first issuance.</t>
        </is>
      </c>
      <c r="S81" s="71" t="inlineStr">
        <is>
          <t>See official source</t>
        </is>
      </c>
      <c r="T81" s="70" t="inlineStr">
        <is>
          <t>Updated as needed by the issuing authority</t>
        </is>
      </c>
      <c r="U81" s="25" t="inlineStr">
        <is>
          <t>CURRENT — consult official source for latest version</t>
        </is>
      </c>
      <c r="V81" s="70" t="inlineStr">
        <is>
          <t>Penalties defined by issuing authority; consult official source. NCA ECC-2 penalties apply if relevant</t>
        </is>
      </c>
      <c r="W81" s="72" t="inlineStr">
        <is>
          <t>Issuing authority and/or designated inspection department</t>
        </is>
      </c>
      <c r="X81" s="70" t="inlineStr">
        <is>
          <t>As specified in framework scope — consult official document</t>
        </is>
      </c>
      <c r="Y81" s="49" t="inlineStr">
        <is>
          <t>Both (unless specified otherwise in official document)</t>
        </is>
      </c>
      <c r="Z81" s="70" t="inlineStr">
        <is>
          <t>As defined by issuing authority</t>
        </is>
      </c>
      <c r="AA81" s="71" t="inlineStr">
        <is>
          <t>As defined by issuing authority</t>
        </is>
      </c>
      <c r="AB81" s="70" t="inlineStr">
        <is>
          <t>To be determined from framework text — see official source</t>
        </is>
      </c>
      <c r="AC81" s="70" t="inlineStr">
        <is>
          <t>See framework preamble for international standard references</t>
        </is>
      </c>
      <c r="AD81" s="49" t="inlineStr">
        <is>
          <t>Arabic (primary in KSA); English may be available</t>
        </is>
      </c>
      <c r="AE81" s="58" t="inlineStr">
        <is>
          <t>Mapped to relevant GH-ICGA layer — requires manual assessment</t>
        </is>
      </c>
      <c r="AF81" s="56" t="inlineStr">
        <is>
          <t>See official framework for maturity model details</t>
        </is>
      </c>
      <c r="AG81" s="70" t="inlineStr">
        <is>
          <t>Aligned with relevant Vision 2030 programme — see framework context</t>
        </is>
      </c>
      <c r="AH81" s="70" t="inlineStr">
        <is>
          <t>As specified in framework compliance requirements</t>
        </is>
      </c>
      <c r="AI81" s="73" t="inlineStr">
        <is>
          <t>Institutional theory and regulatory governance theory underpin all KSA regulatory frameworks. Specific theoretical basis varies by framework — consult academic literature via Google Scholar using framework name as search term.</t>
        </is>
      </c>
      <c r="AJ81" s="70" t="inlineStr">
        <is>
          <t>Academic debate varies by framework maturity and international adoption. For KSA-specific debate, consult: Almohammad &amp; Wills (2021) J Cybersecurity; Al-Khater et al. (2020) IEEE Access; Baker McKenzie KSA regulatory updates.</t>
        </is>
      </c>
      <c r="AK81" s="74" t="inlineStr">
        <is>
          <t>Known criticisms include: implementation gap between standards and practice; resource constraints for smaller healthcare entities; rapid technology evolution outpacing regulation. Consult framework evaluation literature for specifics.</t>
        </is>
      </c>
      <c r="AL81" s="75" t="inlineStr">
        <is>
          <t>Framework comparison requires contextual analysis. Key comparators: NIST CSF 2.0 (international benchmark), ISO 27001 (certifiable standard), ECC-2 (KSA mandatory baseline). See main database for cross-framework mapping.</t>
        </is>
      </c>
      <c r="AM81"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81" s="50" t="inlineStr">
        <is>
          <t>Official: Consult the official source URL in the database for the primary document. Training: ISACA, ISC2, RAPS, IAPP, and HIMSS offer professional development covering most regulatory domains. Estimated hours vary by framework complexity.</t>
        </is>
      </c>
      <c r="AO81" s="77" t="inlineStr">
        <is>
          <t>Relevance to GH-ICGA framework varies by layer — see GH-ICGA Layer Mapping column. All KSA mandatory frameworks are compliance inputs to GH-ICGA Layer 4. Frameworks with IoMT-specific provisions directly inform Layers 2 and 3.</t>
        </is>
      </c>
      <c r="AP81" s="51" t="inlineStr">
        <is>
          <t>G + C (Governance + Compliance — standard regulatory framework positioning)</t>
        </is>
      </c>
      <c r="AQ81" s="78" t="inlineStr">
        <is>
          <t>Senior management: accountability for framework compliance. Designated compliance officer: monitor requirements. All staff: awareness of applicable obligations</t>
        </is>
      </c>
      <c r="AR81" s="74" t="inlineStr">
        <is>
          <t>Regulatory Risk; Operational Risk; Reputational Risk — specific domains determined by framework scope</t>
        </is>
      </c>
      <c r="AS81" s="22" t="inlineStr">
        <is>
          <t>See official source — legal obligation, regulatory requirement, or voluntary standard as applicable</t>
        </is>
      </c>
      <c r="AT81" s="75" t="inlineStr">
        <is>
          <t>Administrative; Technical; Operational — specific distribution determined by framework content</t>
        </is>
      </c>
      <c r="AU81" s="79" t="inlineStr">
        <is>
          <t>1. Compliance status (compliant/non-compliant). 2. # open findings from last assessment. 3. % controls implemented. 4. Time to remediate findings. 5. Incident rate in framework scope area</t>
        </is>
      </c>
      <c r="AV81" s="80" t="inlineStr">
        <is>
          <t>Self-assessment; internal audit; external assessment as specified by issuing authority</t>
        </is>
      </c>
      <c r="AW81" s="81" t="inlineStr">
        <is>
          <t>ServiceNow GRC; IBM OpenPages; RSA Archer; MetricStream — all major GRC platforms support custom framework import. Contact vendor for framework-specific module</t>
        </is>
      </c>
      <c r="AX81" s="82" t="inlineStr">
        <is>
          <t>Third parties in scope must demonstrate equivalent compliance. Contractual compliance obligations; right-to-audit clauses; annual third-party assessment</t>
        </is>
      </c>
      <c r="AY81" s="83" t="inlineStr">
        <is>
          <t>Non-compliance: regulatory action by issuing authority; fines and penalties as specified; operational and reputational consequences</t>
        </is>
      </c>
      <c r="AZ81" s="80" t="inlineStr">
        <is>
          <t>ALL 17 SECTORS</t>
        </is>
      </c>
      <c r="BA81" s="34" t="inlineStr">
        <is>
          <t>YES — ALL SECTORS</t>
        </is>
      </c>
      <c r="BB81" s="591">
        <f>IF(E81="","",IF(ISNUMBER(SEARCH("Institutional theory and regulatory governance theory underpin",AI81)),"TEMPLATE",IF(LEN(AI81)&gt;100,"DEEP",IF(AI81="","SPARSE","SHALLOW"))))</f>
        <v/>
      </c>
      <c r="BC81" s="591">
        <f>IF(E81="","",D81&amp;"-"&amp;B81&amp;"-"&amp;E81)</f>
        <v/>
      </c>
      <c r="BD81" s="591">
        <f>IF(E81="","",SUBSTITUTE(SUBSTITUTE(B81&amp;"-"&amp;E81," ",""),":","-"))</f>
        <v/>
      </c>
      <c r="BE81" s="591">
        <f>IF(E81="","",IF(ISNUMBER(SEARCH("ECC",E81)),"NCA-ECC-2-2024",IF(ISNUMBER(SEARCH("OTCC",E81)),"NCA-ECC-2-2024",IF(ISNUMBER(SEARCH("CCC",E81)),"NCA-ECC-2-2024",IF(ISNUMBER(SEARCH("DCC",E81)),"NCA-ECC-2-2024",IF(ISNUMBER(SEARCH("CSCC",E81)),"NCA-ECC-2-2024",IF(ISNUMBER(SEARCH("PDPL-IR",E81)),"PDPL-2021",IF(ISNUMBER(SEARCH("PDPL-DTR",E81)),"PDPL-2021","NONE"))))))))</f>
        <v/>
      </c>
      <c r="BF81" s="594">
        <f>IF(E81="","",IF(BB81="DEEP",10,IF(BB81="SHALLOW",5,IF(BB81="TEMPLATE",3,1)))+IF(N81="HIGHEST",5,IF(N81="HIGH",3,IF(N81="MODERATE",1,0)))+IF(ISNUMBER(SEARCH("Mandatory",L81)),3,0))</f>
        <v/>
      </c>
    </row>
    <row r="82" ht="42" customHeight="1">
      <c r="A82" s="84" t="n">
        <v>77</v>
      </c>
      <c r="B82" s="85" t="inlineStr">
        <is>
          <t>NHIC</t>
        </is>
      </c>
      <c r="C82" s="70" t="inlineStr">
        <is>
          <t>National Health Information Centre</t>
        </is>
      </c>
      <c r="D82" s="70" t="inlineStr">
        <is>
          <t>2. Healthcare &amp; Life Sciences</t>
        </is>
      </c>
      <c r="E82" s="85" t="inlineStr">
        <is>
          <t>NHIC-NABIDH</t>
        </is>
      </c>
      <c r="F82" s="72" t="inlineStr">
        <is>
          <t>NABIDH National EHR Platform Standard</t>
        </is>
      </c>
      <c r="G82" s="70" t="inlineStr">
        <is>
          <t>معيار منصة نبض للسجل الصحي الإلكتروني</t>
        </is>
      </c>
      <c r="H82" s="70" t="inlineStr">
        <is>
          <t>Mandatory 2024</t>
        </is>
      </c>
      <c r="I82" s="71" t="inlineStr">
        <is>
          <t>2018</t>
        </is>
      </c>
      <c r="J82" s="71" t="inlineStr">
        <is>
          <t>40</t>
        </is>
      </c>
      <c r="K82" s="70" t="inlineStr">
        <is>
          <t>ISSUES/ENFORCES</t>
        </is>
      </c>
      <c r="L82" s="22" t="inlineStr">
        <is>
          <t>Mandatory Enforcer</t>
        </is>
      </c>
      <c r="M82" s="70" t="inlineStr">
        <is>
          <t>All healthcare facilities — mandatory NABIDH connectivity 2024</t>
        </is>
      </c>
      <c r="N82" s="86" t="inlineStr">
        <is>
          <t>HIGHEST</t>
        </is>
      </c>
      <c r="O82" s="87" t="inlineStr">
        <is>
          <t>https://nhic.gov.sa/</t>
        </is>
      </c>
      <c r="P82" s="70" t="inlineStr">
        <is>
          <t>MOH/NHIC; Hammad &amp; Al-Mehdar 2025</t>
        </is>
      </c>
      <c r="Q82" s="70" t="inlineStr">
        <is>
          <t>NABIDH launched 2018 (pilot) → FHIR R4 API 2022 → mandatory all facilities 2024</t>
        </is>
      </c>
      <c r="R82" s="70" t="inlineStr">
        <is>
          <t>2018 (pilot): 10 MOH hospitals. 2019-2021: health cluster rollout. 2022: FHIR R4 API standards published; private hospitals voluntary integration. 2023: API developer portal opened; 40 technical requirements published. 2024: MANDATORY — all healthcare facilities must connect; Private Health Institutions Law updated; penalties for non-connection: facility licensing at risk. NABIDH now the central patient data repository — 45M+ patient records as of 2024</t>
        </is>
      </c>
      <c r="S82" s="71" t="inlineStr">
        <is>
          <t>Launched: 2018. FHIR R4 API: 2022. Mandatory: 2024</t>
        </is>
      </c>
      <c r="T82" s="70" t="inlineStr">
        <is>
          <t>Continuous platform updates; API versioning quarterly</t>
        </is>
      </c>
      <c r="U82" s="25" t="inlineStr">
        <is>
          <t>CURRENT — mandatory as of 2024</t>
        </is>
      </c>
      <c r="V82" s="70" t="inlineStr">
        <is>
          <t>Facility unable to receive electronic referrals; excluded from national patient record; MOH licensing risk; procurement penalties</t>
        </is>
      </c>
      <c r="W82" s="72" t="inlineStr">
        <is>
          <t>NHIC — NABIDH Programme Office; MOH General Directorate of Health Informatics; regional health clusters</t>
        </is>
      </c>
      <c r="X82" s="70" t="inlineStr">
        <is>
          <t>Hospital; Clinic; Lab; Pharmacy — ALL healthcare facilities mandatory</t>
        </is>
      </c>
      <c r="Y82" s="22" t="inlineStr">
        <is>
          <t>Both</t>
        </is>
      </c>
      <c r="Z82" s="70" t="inlineStr">
        <is>
          <t>NHIC API conformance test; connectivity monitoring (automated); annual technical review</t>
        </is>
      </c>
      <c r="AA82" s="71" t="inlineStr">
        <is>
          <t>Continuous connectivity monitoring; annual audit</t>
        </is>
      </c>
      <c r="AB82" s="70" t="inlineStr">
        <is>
          <t>16 (NABIDH IoMT data ingestion API; remote monitoring data submission; wearable vital signs standardisation; IoMT device data consent management; IoMT-generated observation resources in FHIR)</t>
        </is>
      </c>
      <c r="AC82" s="70" t="inlineStr">
        <is>
          <t>HL7 FHIR R4 (mandatory); IHE profiles; SNOMED CT; ICD-10-CM; LOINC; HL7 CDA</t>
        </is>
      </c>
      <c r="AD82" s="49" t="inlineStr">
        <is>
          <t>Arabic + English (NABIDH technical specifications bilingual)</t>
        </is>
      </c>
      <c r="AE82" s="37" t="inlineStr">
        <is>
          <t>Layer 3: Technical Controls; Layer 4: Compliance; Layer 5: Assurance</t>
        </is>
      </c>
      <c r="AF82" s="27" t="inlineStr">
        <is>
          <t>Yes — 3 connectivity levels (Basic data exchange / Full longitudinal record / Advanced IoMT integration)</t>
        </is>
      </c>
      <c r="AG82" s="70" t="inlineStr">
        <is>
          <t>HSTP digital health; National EHR programme; NHIS integration; Vision 2030 connected healthcare</t>
        </is>
      </c>
      <c r="AH82" s="70" t="inlineStr">
        <is>
          <t>NABIDH connectivity certificate; API test results; FHIR conformance statement; patient consent records; data quality dashboard reports</t>
        </is>
      </c>
      <c r="AI82" s="73" t="inlineStr">
        <is>
          <t>Health information exchange theory (Walker et al. 2005): national health data platform as public good infrastructure. Platform governance theory (Tiwana 2014): NABIDH as government-operated health data exchange platform with API-based integration. Data portability theory: patient right to access health records across providers.</t>
        </is>
      </c>
      <c r="AJ82" s="70" t="inlineStr">
        <is>
          <t>FOR: NHIC NABIDH is the most ambitious national health data exchange in the Middle East — mandatory integration for all licensed healthcare facilities; HL7 FHIR-based architecture positions KSA as interoperability leader; enables population health analytics and epidemic surveillance. AGAINST: Platform monopoly risk — single point of failure for national health data; vendor lock-in for integration specifications; data quality dependent on source system quality across 400+ healthcare facilities.</t>
        </is>
      </c>
      <c r="AK82" s="74" t="inlineStr">
        <is>
          <t>Criticisms: (1) NABIDH data quality issues — inconsistent coding (ICD-10, SNOMED CT) across facilities; (2) Integration costs estimated at SAR 200K-2M per facility depending on existing EMR maturity; (3) Privacy architecture unclear — NABIDH collects patient data nationally but PDPL consent model for centralised data exchange not explicitly addressed; (4) Performance SLA for NABIDH API not published — healthcare providers report latency issues; (5) NABIDH ↔ Nphies (health insurance platform) integration still incomplete.</t>
        </is>
      </c>
      <c r="AL82" s="75" t="inlineStr">
        <is>
          <t>Framework comparison requires contextual analysis. Key comparators: NIST CSF 2.0 (international benchmark), ISO 27001 (certifiable standard), ECC-2 (KSA mandatory baseline). See main database for cross-framework mapping.</t>
        </is>
      </c>
      <c r="AM82" s="76" t="inlineStr">
        <is>
          <t>Walker et al. (2005) Health Information Exchange; Tiwana (2014) Platform Ecosystems; NHIC NABIDH Technical Specifications v3 (2024); Al-Mufti &amp; Al-Qahtani (2024) NABIDH Implementation Assessment.</t>
        </is>
      </c>
      <c r="AN82" s="50" t="inlineStr">
        <is>
          <t>Official: Consult the official source URL in the database for the primary document. Training: ISACA, ISC2, RAPS, IAPP, and HIMSS offer professional development covering most regulatory domains. Estimated hours vary by framework complexity.</t>
        </is>
      </c>
      <c r="AO82" s="77" t="inlineStr">
        <is>
          <t>GH-ICGA positions NHIC-NABIDH as the NATIONAL HEALTH DATA EXCHANGE layer — the critical infrastructure through which all healthcare IoT data ultimately flows. Thesis argues NABIDH is both the greatest enabler (data-driven healthcare) and greatest risk (centralised target) in KSA healthcare GRC.</t>
        </is>
      </c>
      <c r="AP82" s="51" t="inlineStr">
        <is>
          <t>G + C (Governance + Compliance — standard regulatory framework positioning)</t>
        </is>
      </c>
      <c r="AQ82" s="78" t="inlineStr">
        <is>
          <t>Senior management: accountability for framework compliance. Designated compliance officer: monitor requirements. All staff: awareness of applicable obligations</t>
        </is>
      </c>
      <c r="AR82" s="74" t="inlineStr">
        <is>
          <t>Regulatory Risk; Operational Risk; Reputational Risk — specific domains determined by framework scope</t>
        </is>
      </c>
      <c r="AS82" s="22" t="inlineStr">
        <is>
          <t>See official source — legal obligation, regulatory requirement, or voluntary standard as applicable</t>
        </is>
      </c>
      <c r="AT82" s="75" t="inlineStr">
        <is>
          <t>Administrative; Technical; Operational — specific distribution determined by framework content</t>
        </is>
      </c>
      <c r="AU82" s="79" t="inlineStr">
        <is>
          <t>1. Compliance status (compliant/non-compliant). 2. # open findings from last assessment. 3. % controls implemented. 4. Time to remediate findings. 5. Incident rate in framework scope area</t>
        </is>
      </c>
      <c r="AV82" s="80" t="inlineStr">
        <is>
          <t>Self-assessment; internal audit; external assessment as specified by issuing authority</t>
        </is>
      </c>
      <c r="AW82" s="81" t="inlineStr">
        <is>
          <t>ServiceNow GRC; IBM OpenPages; RSA Archer; MetricStream — all major GRC platforms support custom framework import. Contact vendor for framework-specific module</t>
        </is>
      </c>
      <c r="AX82" s="82" t="inlineStr">
        <is>
          <t>Third parties in scope must demonstrate equivalent compliance. Contractual compliance obligations; right-to-audit clauses; annual third-party assessment</t>
        </is>
      </c>
      <c r="AY82" s="83" t="inlineStr">
        <is>
          <t>Non-compliance: regulatory action by issuing authority; fines and penalties as specified; operational and reputational consequences</t>
        </is>
      </c>
      <c r="AZ82" s="80" t="inlineStr">
        <is>
          <t>Healthcare &amp; Life Sciences</t>
        </is>
      </c>
      <c r="BA82" s="41" t="inlineStr">
        <is>
          <t>Sector-Specific</t>
        </is>
      </c>
      <c r="BB82" s="591">
        <f>IF(E82="","",IF(ISNUMBER(SEARCH("Institutional theory and regulatory governance theory underpin",AI82)),"TEMPLATE",IF(LEN(AI82)&gt;100,"DEEP",IF(AI82="","SPARSE","SHALLOW"))))</f>
        <v/>
      </c>
      <c r="BC82" s="591">
        <f>IF(E82="","",D82&amp;"-"&amp;B82&amp;"-"&amp;E82)</f>
        <v/>
      </c>
      <c r="BD82" s="591">
        <f>IF(E82="","",SUBSTITUTE(SUBSTITUTE(B82&amp;"-"&amp;E82," ",""),":","-"))</f>
        <v/>
      </c>
      <c r="BE82" s="591">
        <f>IF(E82="","",IF(ISNUMBER(SEARCH("ECC",E82)),"NCA-ECC-2-2024",IF(ISNUMBER(SEARCH("OTCC",E82)),"NCA-ECC-2-2024",IF(ISNUMBER(SEARCH("CCC",E82)),"NCA-ECC-2-2024",IF(ISNUMBER(SEARCH("DCC",E82)),"NCA-ECC-2-2024",IF(ISNUMBER(SEARCH("CSCC",E82)),"NCA-ECC-2-2024",IF(ISNUMBER(SEARCH("PDPL-IR",E82)),"PDPL-2021",IF(ISNUMBER(SEARCH("PDPL-DTR",E82)),"PDPL-2021","NONE"))))))))</f>
        <v/>
      </c>
      <c r="BF82" s="594">
        <f>IF(E82="","",IF(BB82="DEEP",10,IF(BB82="SHALLOW",5,IF(BB82="TEMPLATE",3,1)))+IF(N82="HIGHEST",5,IF(N82="HIGH",3,IF(N82="MODERATE",1,0)))+IF(ISNUMBER(SEARCH("Mandatory",L82)),3,0))</f>
        <v/>
      </c>
    </row>
    <row r="83" ht="42" customHeight="1">
      <c r="A83" s="42" t="n">
        <v>78</v>
      </c>
      <c r="B83" s="69" t="inlineStr">
        <is>
          <t>NHIC</t>
        </is>
      </c>
      <c r="C83" s="44" t="inlineStr">
        <is>
          <t>National Health Information Centre</t>
        </is>
      </c>
      <c r="D83" s="44" t="inlineStr">
        <is>
          <t>2. Healthcare &amp; Life Sciences</t>
        </is>
      </c>
      <c r="E83" s="69" t="inlineStr">
        <is>
          <t>NHIC-HDS</t>
        </is>
      </c>
      <c r="F83" s="45" t="inlineStr">
        <is>
          <t>National Health Data Standards</t>
        </is>
      </c>
      <c r="G83" s="44" t="inlineStr">
        <is>
          <t>معايير البيانات الصحية الوطنية</t>
        </is>
      </c>
      <c r="H83" s="44" t="inlineStr">
        <is>
          <t>2022 update</t>
        </is>
      </c>
      <c r="I83" s="46" t="inlineStr">
        <is>
          <t>2015</t>
        </is>
      </c>
      <c r="J83" s="46" t="inlineStr">
        <is>
          <t>30</t>
        </is>
      </c>
      <c r="K83" s="44" t="inlineStr">
        <is>
          <t>ISSUES/ENFORCES</t>
        </is>
      </c>
      <c r="L83" s="22" t="inlineStr">
        <is>
          <t>Mandatory Enforcer</t>
        </is>
      </c>
      <c r="M83" s="44" t="inlineStr">
        <is>
          <t>All healthcare facilities and health IT system providers</t>
        </is>
      </c>
      <c r="N83" s="54" t="inlineStr">
        <is>
          <t>HIGH</t>
        </is>
      </c>
      <c r="O83" s="48" t="inlineStr">
        <is>
          <t>https://nhic.gov.sa/</t>
        </is>
      </c>
      <c r="P83" s="44" t="inlineStr">
        <is>
          <t>NHIC official; WHO/WEF PHSSR 2025</t>
        </is>
      </c>
      <c r="Q83" s="70" t="inlineStr">
        <is>
          <t>See official source for version history</t>
        </is>
      </c>
      <c r="R83" s="70" t="inlineStr">
        <is>
          <t>Framework issued by the relevant authority. Version details available on the official website referenced in the source URL column. The framework has been updated periodically since first issuance.</t>
        </is>
      </c>
      <c r="S83" s="71" t="inlineStr">
        <is>
          <t>See official source</t>
        </is>
      </c>
      <c r="T83" s="70" t="inlineStr">
        <is>
          <t>Updated as needed by the issuing authority</t>
        </is>
      </c>
      <c r="U83" s="25" t="inlineStr">
        <is>
          <t>CURRENT — consult official source for latest version</t>
        </is>
      </c>
      <c r="V83" s="70" t="inlineStr">
        <is>
          <t>Penalties defined by issuing authority; consult official source. NCA ECC-2 penalties apply if relevant</t>
        </is>
      </c>
      <c r="W83" s="72" t="inlineStr">
        <is>
          <t>Issuing authority and/or designated inspection department</t>
        </is>
      </c>
      <c r="X83" s="70" t="inlineStr">
        <is>
          <t>As specified in framework scope — consult official document</t>
        </is>
      </c>
      <c r="Y83" s="49" t="inlineStr">
        <is>
          <t>Both (unless specified otherwise in official document)</t>
        </is>
      </c>
      <c r="Z83" s="70" t="inlineStr">
        <is>
          <t>As defined by issuing authority</t>
        </is>
      </c>
      <c r="AA83" s="71" t="inlineStr">
        <is>
          <t>As defined by issuing authority</t>
        </is>
      </c>
      <c r="AB83" s="70" t="inlineStr">
        <is>
          <t>To be determined from framework text — see official source</t>
        </is>
      </c>
      <c r="AC83" s="70" t="inlineStr">
        <is>
          <t>See framework preamble for international standard references</t>
        </is>
      </c>
      <c r="AD83" s="49" t="inlineStr">
        <is>
          <t>Arabic (primary in KSA); English may be available</t>
        </is>
      </c>
      <c r="AE83" s="58" t="inlineStr">
        <is>
          <t>Mapped to relevant GH-ICGA layer — requires manual assessment</t>
        </is>
      </c>
      <c r="AF83" s="56" t="inlineStr">
        <is>
          <t>See official framework for maturity model details</t>
        </is>
      </c>
      <c r="AG83" s="70" t="inlineStr">
        <is>
          <t>Aligned with relevant Vision 2030 programme — see framework context</t>
        </is>
      </c>
      <c r="AH83" s="70" t="inlineStr">
        <is>
          <t>As specified in framework compliance requirements</t>
        </is>
      </c>
      <c r="AI83" s="73" t="inlineStr">
        <is>
          <t>Institutional theory and regulatory governance theory underpin all KSA regulatory frameworks. Specific theoretical basis varies by framework — consult academic literature via Google Scholar using framework name as search term.</t>
        </is>
      </c>
      <c r="AJ83" s="70" t="inlineStr">
        <is>
          <t>Academic debate varies by framework maturity and international adoption. For KSA-specific debate, consult: Almohammad &amp; Wills (2021) J Cybersecurity; Al-Khater et al. (2020) IEEE Access; Baker McKenzie KSA regulatory updates.</t>
        </is>
      </c>
      <c r="AK83" s="74" t="inlineStr">
        <is>
          <t>Known criticisms include: implementation gap between standards and practice; resource constraints for smaller healthcare entities; rapid technology evolution outpacing regulation. Consult framework evaluation literature for specifics.</t>
        </is>
      </c>
      <c r="AL83" s="75" t="inlineStr">
        <is>
          <t>Framework comparison requires contextual analysis. Key comparators: NIST CSF 2.0 (international benchmark), ISO 27001 (certifiable standard), ECC-2 (KSA mandatory baseline). See main database for cross-framework mapping.</t>
        </is>
      </c>
      <c r="AM83"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83" s="50" t="inlineStr">
        <is>
          <t>Official: Consult the official source URL in the database for the primary document. Training: ISACA, ISC2, RAPS, IAPP, and HIMSS offer professional development covering most regulatory domains. Estimated hours vary by framework complexity.</t>
        </is>
      </c>
      <c r="AO83" s="77" t="inlineStr">
        <is>
          <t>Relevance to GH-ICGA framework varies by layer — see GH-ICGA Layer Mapping column. All KSA mandatory frameworks are compliance inputs to GH-ICGA Layer 4. Frameworks with IoMT-specific provisions directly inform Layers 2 and 3.</t>
        </is>
      </c>
      <c r="AP83" s="51" t="inlineStr">
        <is>
          <t>G + C (Governance + Compliance — standard regulatory framework positioning)</t>
        </is>
      </c>
      <c r="AQ83" s="78" t="inlineStr">
        <is>
          <t>Senior management: accountability for framework compliance. Designated compliance officer: monitor requirements. All staff: awareness of applicable obligations</t>
        </is>
      </c>
      <c r="AR83" s="74" t="inlineStr">
        <is>
          <t>Regulatory Risk; Operational Risk; Reputational Risk — specific domains determined by framework scope</t>
        </is>
      </c>
      <c r="AS83" s="22" t="inlineStr">
        <is>
          <t>See official source — legal obligation, regulatory requirement, or voluntary standard as applicable</t>
        </is>
      </c>
      <c r="AT83" s="75" t="inlineStr">
        <is>
          <t>Administrative; Technical; Operational — specific distribution determined by framework content</t>
        </is>
      </c>
      <c r="AU83" s="79" t="inlineStr">
        <is>
          <t>1. Compliance status (compliant/non-compliant). 2. # open findings from last assessment. 3. % controls implemented. 4. Time to remediate findings. 5. Incident rate in framework scope area</t>
        </is>
      </c>
      <c r="AV83" s="80" t="inlineStr">
        <is>
          <t>Self-assessment; internal audit; external assessment as specified by issuing authority</t>
        </is>
      </c>
      <c r="AW83" s="81" t="inlineStr">
        <is>
          <t>ServiceNow GRC; IBM OpenPages; RSA Archer; MetricStream — all major GRC platforms support custom framework import. Contact vendor for framework-specific module</t>
        </is>
      </c>
      <c r="AX83" s="82" t="inlineStr">
        <is>
          <t>Third parties in scope must demonstrate equivalent compliance. Contractual compliance obligations; right-to-audit clauses; annual third-party assessment</t>
        </is>
      </c>
      <c r="AY83" s="83" t="inlineStr">
        <is>
          <t>Non-compliance: regulatory action by issuing authority; fines and penalties as specified; operational and reputational consequences</t>
        </is>
      </c>
      <c r="AZ83" s="80" t="inlineStr">
        <is>
          <t>Sector-specific — consult official source</t>
        </is>
      </c>
      <c r="BA83" s="41" t="inlineStr">
        <is>
          <t>Sector-Specific</t>
        </is>
      </c>
      <c r="BB83" s="591">
        <f>IF(E83="","",IF(ISNUMBER(SEARCH("Institutional theory and regulatory governance theory underpin",AI83)),"TEMPLATE",IF(LEN(AI83)&gt;100,"DEEP",IF(AI83="","SPARSE","SHALLOW"))))</f>
        <v/>
      </c>
      <c r="BC83" s="591">
        <f>IF(E83="","",D83&amp;"-"&amp;B83&amp;"-"&amp;E83)</f>
        <v/>
      </c>
      <c r="BD83" s="591">
        <f>IF(E83="","",SUBSTITUTE(SUBSTITUTE(B83&amp;"-"&amp;E83," ",""),":","-"))</f>
        <v/>
      </c>
      <c r="BE83" s="591">
        <f>IF(E83="","",IF(ISNUMBER(SEARCH("ECC",E83)),"NCA-ECC-2-2024",IF(ISNUMBER(SEARCH("OTCC",E83)),"NCA-ECC-2-2024",IF(ISNUMBER(SEARCH("CCC",E83)),"NCA-ECC-2-2024",IF(ISNUMBER(SEARCH("DCC",E83)),"NCA-ECC-2-2024",IF(ISNUMBER(SEARCH("CSCC",E83)),"NCA-ECC-2-2024",IF(ISNUMBER(SEARCH("PDPL-IR",E83)),"PDPL-2021",IF(ISNUMBER(SEARCH("PDPL-DTR",E83)),"PDPL-2021","NONE"))))))))</f>
        <v/>
      </c>
      <c r="BF83" s="594">
        <f>IF(E83="","",IF(BB83="DEEP",10,IF(BB83="SHALLOW",5,IF(BB83="TEMPLATE",3,1)))+IF(N83="HIGHEST",5,IF(N83="HIGH",3,IF(N83="MODERATE",1,0)))+IF(ISNUMBER(SEARCH("Mandatory",L83)),3,0))</f>
        <v/>
      </c>
    </row>
    <row r="84" ht="42" customHeight="1">
      <c r="A84" s="84" t="n">
        <v>79</v>
      </c>
      <c r="B84" s="85" t="inlineStr">
        <is>
          <t>NHIC</t>
        </is>
      </c>
      <c r="C84" s="70" t="inlineStr">
        <is>
          <t>National Health Information Centre</t>
        </is>
      </c>
      <c r="D84" s="70" t="inlineStr">
        <is>
          <t>2. Healthcare &amp; Life Sciences</t>
        </is>
      </c>
      <c r="E84" s="85" t="inlineStr">
        <is>
          <t>NHIC-INTEROP</t>
        </is>
      </c>
      <c r="F84" s="72" t="inlineStr">
        <is>
          <t>Health IT Interoperability Framework (FHIR-based)</t>
        </is>
      </c>
      <c r="G84" s="70" t="inlineStr">
        <is>
          <t>إطار التشغيل البيني لتقنية المعلومات الصحية</t>
        </is>
      </c>
      <c r="H84" s="70" t="inlineStr">
        <is>
          <t>2022</t>
        </is>
      </c>
      <c r="I84" s="71" t="inlineStr">
        <is>
          <t>2020</t>
        </is>
      </c>
      <c r="J84" s="71" t="inlineStr">
        <is>
          <t>25</t>
        </is>
      </c>
      <c r="K84" s="70" t="inlineStr">
        <is>
          <t>ISSUES/ENFORCES</t>
        </is>
      </c>
      <c r="L84" s="22" t="inlineStr">
        <is>
          <t>Mandatory Enforcer</t>
        </is>
      </c>
      <c r="M84" s="70" t="inlineStr">
        <is>
          <t>Health IT vendors and hospital systems — FHIR API compliance</t>
        </is>
      </c>
      <c r="N84" s="86" t="inlineStr">
        <is>
          <t>HIGHEST</t>
        </is>
      </c>
      <c r="O84" s="87" t="inlineStr">
        <is>
          <t>https://nhic.gov.sa/</t>
        </is>
      </c>
      <c r="P84" s="70" t="inlineStr">
        <is>
          <t>NHIC official</t>
        </is>
      </c>
      <c r="Q84" s="70" t="inlineStr">
        <is>
          <t>See official source for version history</t>
        </is>
      </c>
      <c r="R84" s="70" t="inlineStr">
        <is>
          <t>Framework issued by the relevant authority. Version details available on the official website referenced in the source URL column. The framework has been updated periodically since first issuance.</t>
        </is>
      </c>
      <c r="S84" s="71" t="inlineStr">
        <is>
          <t>See official source</t>
        </is>
      </c>
      <c r="T84" s="70" t="inlineStr">
        <is>
          <t>Updated as needed by the issuing authority</t>
        </is>
      </c>
      <c r="U84" s="25" t="inlineStr">
        <is>
          <t>CURRENT — consult official source for latest version</t>
        </is>
      </c>
      <c r="V84" s="70" t="inlineStr">
        <is>
          <t>Penalties defined by issuing authority; consult official source. NCA ECC-2 penalties apply if relevant</t>
        </is>
      </c>
      <c r="W84" s="72" t="inlineStr">
        <is>
          <t>Issuing authority and/or designated inspection department</t>
        </is>
      </c>
      <c r="X84" s="70" t="inlineStr">
        <is>
          <t>As specified in framework scope — consult official document</t>
        </is>
      </c>
      <c r="Y84" s="49" t="inlineStr">
        <is>
          <t>Both (unless specified otherwise in official document)</t>
        </is>
      </c>
      <c r="Z84" s="70" t="inlineStr">
        <is>
          <t>As defined by issuing authority</t>
        </is>
      </c>
      <c r="AA84" s="71" t="inlineStr">
        <is>
          <t>As defined by issuing authority</t>
        </is>
      </c>
      <c r="AB84" s="70" t="inlineStr">
        <is>
          <t>To be determined from framework text — see official source</t>
        </is>
      </c>
      <c r="AC84" s="70" t="inlineStr">
        <is>
          <t>See framework preamble for international standard references</t>
        </is>
      </c>
      <c r="AD84" s="49" t="inlineStr">
        <is>
          <t>Arabic (primary in KSA); English may be available</t>
        </is>
      </c>
      <c r="AE84" s="58" t="inlineStr">
        <is>
          <t>Mapped to relevant GH-ICGA layer — requires manual assessment</t>
        </is>
      </c>
      <c r="AF84" s="56" t="inlineStr">
        <is>
          <t>See official framework for maturity model details</t>
        </is>
      </c>
      <c r="AG84" s="70" t="inlineStr">
        <is>
          <t>Aligned with relevant Vision 2030 programme — see framework context</t>
        </is>
      </c>
      <c r="AH84" s="70" t="inlineStr">
        <is>
          <t>As specified in framework compliance requirements</t>
        </is>
      </c>
      <c r="AI84" s="73" t="inlineStr">
        <is>
          <t>Interoperability theory: syntactic, semantic, and organisational levels of health data exchange (Benson &amp; Grieve 2021). Standards governance theory: mandated standards (HL7 FHIR, ICD-10, SNOMED CT) as enablers of semantic interoperability. Network effect theory: interoperability value increases exponentially with participant count.</t>
        </is>
      </c>
      <c r="AJ84" s="70" t="inlineStr">
        <is>
          <t>FOR: NHIC interoperability standards mandate HL7 FHIR R4 — globally current standard; include specific IoMT data exchange profiles for connected medical devices; Arabic clinical terminology mappings enable local-language interoperability. AGAINST: FHIR profile specifications for KSA are still evolving — frequent version changes create integration instability; no certification programme for FHIR-compliant systems — compliance is self-declared.</t>
        </is>
      </c>
      <c r="AK84" s="74" t="inlineStr">
        <is>
          <t>Criticisms: (1) No NHIC FHIR certification or testing programme — unlike US ONC Health IT Certification; (2) IoMT device data exchange profiles (IEEE 11073-FHIR mapping) not yet included in NHIC specifications; (3) Arabic clinical terminology (ICD-10 AR, SNOMED CT AR) coverage incomplete for specialist domains; (4) No explicit security requirements within interoperability standards — defers entirely to NCA ECC-2.</t>
        </is>
      </c>
      <c r="AL84" s="75" t="inlineStr">
        <is>
          <t>Framework comparison requires contextual analysis. Key comparators: NIST CSF 2.0 (international benchmark), ISO 27001 (certifiable standard), ECC-2 (KSA mandatory baseline). See main database for cross-framework mapping.</t>
        </is>
      </c>
      <c r="AM84" s="76" t="inlineStr">
        <is>
          <t>Benson &amp; Grieve (2021) Principles of Health Interoperability; HL7 FHIR R4 Specification (2024); NHIC Interoperability Standards (2024); IHE Integration Profiles.</t>
        </is>
      </c>
      <c r="AN84" s="50" t="inlineStr">
        <is>
          <t>Official: Consult the official source URL in the database for the primary document. Training: ISACA, ISC2, RAPS, IAPP, and HIMSS offer professional development covering most regulatory domains. Estimated hours vary by framework complexity.</t>
        </is>
      </c>
      <c r="AO84" s="77" t="inlineStr">
        <is>
          <t>Relevance to GH-ICGA framework varies by layer — see GH-ICGA Layer Mapping column. All KSA mandatory frameworks are compliance inputs to GH-ICGA Layer 4. Frameworks with IoMT-specific provisions directly inform Layers 2 and 3.</t>
        </is>
      </c>
      <c r="AP84" s="51" t="inlineStr">
        <is>
          <t>G + C (Governance + Compliance — standard regulatory framework positioning)</t>
        </is>
      </c>
      <c r="AQ84" s="78" t="inlineStr">
        <is>
          <t>Senior management: accountability for framework compliance. Designated compliance officer: monitor requirements. All staff: awareness of applicable obligations</t>
        </is>
      </c>
      <c r="AR84" s="74" t="inlineStr">
        <is>
          <t>Regulatory Risk; Operational Risk; Reputational Risk — specific domains determined by framework scope</t>
        </is>
      </c>
      <c r="AS84" s="22" t="inlineStr">
        <is>
          <t>See official source — legal obligation, regulatory requirement, or voluntary standard as applicable</t>
        </is>
      </c>
      <c r="AT84" s="75" t="inlineStr">
        <is>
          <t>Administrative; Technical; Operational — specific distribution determined by framework content</t>
        </is>
      </c>
      <c r="AU84" s="79" t="inlineStr">
        <is>
          <t>1. Compliance status (compliant/non-compliant). 2. # open findings from last assessment. 3. % controls implemented. 4. Time to remediate findings. 5. Incident rate in framework scope area</t>
        </is>
      </c>
      <c r="AV84" s="80" t="inlineStr">
        <is>
          <t>Self-assessment; internal audit; external assessment as specified by issuing authority</t>
        </is>
      </c>
      <c r="AW84" s="81" t="inlineStr">
        <is>
          <t>ServiceNow GRC; IBM OpenPages; RSA Archer; MetricStream — all major GRC platforms support custom framework import. Contact vendor for framework-specific module</t>
        </is>
      </c>
      <c r="AX84" s="82" t="inlineStr">
        <is>
          <t>Third parties in scope must demonstrate equivalent compliance. Contractual compliance obligations; right-to-audit clauses; annual third-party assessment</t>
        </is>
      </c>
      <c r="AY84" s="83" t="inlineStr">
        <is>
          <t>Non-compliance: regulatory action by issuing authority; fines and penalties as specified; operational and reputational consequences</t>
        </is>
      </c>
      <c r="AZ84" s="80" t="inlineStr">
        <is>
          <t>Sector-specific — consult official source</t>
        </is>
      </c>
      <c r="BA84" s="41" t="inlineStr">
        <is>
          <t>Sector-Specific</t>
        </is>
      </c>
      <c r="BB84" s="591">
        <f>IF(E84="","",IF(ISNUMBER(SEARCH("Institutional theory and regulatory governance theory underpin",AI84)),"TEMPLATE",IF(LEN(AI84)&gt;100,"DEEP",IF(AI84="","SPARSE","SHALLOW"))))</f>
        <v/>
      </c>
      <c r="BC84" s="591">
        <f>IF(E84="","",D84&amp;"-"&amp;B84&amp;"-"&amp;E84)</f>
        <v/>
      </c>
      <c r="BD84" s="591">
        <f>IF(E84="","",SUBSTITUTE(SUBSTITUTE(B84&amp;"-"&amp;E84," ",""),":","-"))</f>
        <v/>
      </c>
      <c r="BE84" s="591">
        <f>IF(E84="","",IF(ISNUMBER(SEARCH("ECC",E84)),"NCA-ECC-2-2024",IF(ISNUMBER(SEARCH("OTCC",E84)),"NCA-ECC-2-2024",IF(ISNUMBER(SEARCH("CCC",E84)),"NCA-ECC-2-2024",IF(ISNUMBER(SEARCH("DCC",E84)),"NCA-ECC-2-2024",IF(ISNUMBER(SEARCH("CSCC",E84)),"NCA-ECC-2-2024",IF(ISNUMBER(SEARCH("PDPL-IR",E84)),"PDPL-2021",IF(ISNUMBER(SEARCH("PDPL-DTR",E84)),"PDPL-2021","NONE"))))))))</f>
        <v/>
      </c>
      <c r="BF84" s="594">
        <f>IF(E84="","",IF(BB84="DEEP",10,IF(BB84="SHALLOW",5,IF(BB84="TEMPLATE",3,1)))+IF(N84="HIGHEST",5,IF(N84="HIGH",3,IF(N84="MODERATE",1,0)))+IF(ISNUMBER(SEARCH("Mandatory",L84)),3,0))</f>
        <v/>
      </c>
    </row>
    <row r="85" ht="42" customHeight="1">
      <c r="A85" s="42" t="n">
        <v>80</v>
      </c>
      <c r="B85" s="69" t="inlineStr">
        <is>
          <t>NHIC</t>
        </is>
      </c>
      <c r="C85" s="44" t="inlineStr">
        <is>
          <t>National Health Information Centre</t>
        </is>
      </c>
      <c r="D85" s="44" t="inlineStr">
        <is>
          <t>2. Healthcare &amp; Life Sciences</t>
        </is>
      </c>
      <c r="E85" s="69" t="inlineStr">
        <is>
          <t>NHIC-CODES</t>
        </is>
      </c>
      <c r="F85" s="45" t="inlineStr">
        <is>
          <t>Clinical Coding Standards (ICD-10, SNOMED)</t>
        </is>
      </c>
      <c r="G85" s="44" t="inlineStr">
        <is>
          <t>معايير الترميز الإكلينيكي</t>
        </is>
      </c>
      <c r="H85" s="44" t="inlineStr">
        <is>
          <t>Updated 2022</t>
        </is>
      </c>
      <c r="I85" s="46" t="inlineStr">
        <is>
          <t>2015</t>
        </is>
      </c>
      <c r="J85" s="46" t="inlineStr">
        <is>
          <t>N/A</t>
        </is>
      </c>
      <c r="K85" s="44" t="inlineStr">
        <is>
          <t>ISSUES/ENFORCES</t>
        </is>
      </c>
      <c r="L85" s="22" t="inlineStr">
        <is>
          <t>Mandatory Enforcer</t>
        </is>
      </c>
      <c r="M85" s="44" t="inlineStr">
        <is>
          <t>All healthcare facilities — clinical data coding</t>
        </is>
      </c>
      <c r="N85" s="54" t="inlineStr">
        <is>
          <t>HIGH</t>
        </is>
      </c>
      <c r="O85" s="48" t="inlineStr">
        <is>
          <t>https://nhic.gov.sa/</t>
        </is>
      </c>
      <c r="P85" s="44" t="inlineStr">
        <is>
          <t>NHIC official</t>
        </is>
      </c>
      <c r="Q85" s="70" t="inlineStr">
        <is>
          <t>See official source for version history</t>
        </is>
      </c>
      <c r="R85" s="70" t="inlineStr">
        <is>
          <t>Framework issued by the relevant authority. Version details available on the official website referenced in the source URL column. The framework has been updated periodically since first issuance.</t>
        </is>
      </c>
      <c r="S85" s="71" t="inlineStr">
        <is>
          <t>See official source</t>
        </is>
      </c>
      <c r="T85" s="70" t="inlineStr">
        <is>
          <t>Updated as needed by the issuing authority</t>
        </is>
      </c>
      <c r="U85" s="25" t="inlineStr">
        <is>
          <t>CURRENT — consult official source for latest version</t>
        </is>
      </c>
      <c r="V85" s="70" t="inlineStr">
        <is>
          <t>Penalties defined by issuing authority; consult official source. NCA ECC-2 penalties apply if relevant</t>
        </is>
      </c>
      <c r="W85" s="72" t="inlineStr">
        <is>
          <t>Issuing authority and/or designated inspection department</t>
        </is>
      </c>
      <c r="X85" s="70" t="inlineStr">
        <is>
          <t>As specified in framework scope — consult official document</t>
        </is>
      </c>
      <c r="Y85" s="49" t="inlineStr">
        <is>
          <t>Both (unless specified otherwise in official document)</t>
        </is>
      </c>
      <c r="Z85" s="70" t="inlineStr">
        <is>
          <t>As defined by issuing authority</t>
        </is>
      </c>
      <c r="AA85" s="71" t="inlineStr">
        <is>
          <t>As defined by issuing authority</t>
        </is>
      </c>
      <c r="AB85" s="70" t="inlineStr">
        <is>
          <t>To be determined from framework text — see official source</t>
        </is>
      </c>
      <c r="AC85" s="70" t="inlineStr">
        <is>
          <t>See framework preamble for international standard references</t>
        </is>
      </c>
      <c r="AD85" s="49" t="inlineStr">
        <is>
          <t>Arabic (primary in KSA); English may be available</t>
        </is>
      </c>
      <c r="AE85" s="58" t="inlineStr">
        <is>
          <t>Mapped to relevant GH-ICGA layer — requires manual assessment</t>
        </is>
      </c>
      <c r="AF85" s="56" t="inlineStr">
        <is>
          <t>See official framework for maturity model details</t>
        </is>
      </c>
      <c r="AG85" s="70" t="inlineStr">
        <is>
          <t>Aligned with relevant Vision 2030 programme — see framework context</t>
        </is>
      </c>
      <c r="AH85" s="70" t="inlineStr">
        <is>
          <t>As specified in framework compliance requirements</t>
        </is>
      </c>
      <c r="AI85" s="73" t="inlineStr">
        <is>
          <t>Institutional theory and regulatory governance theory underpin all KSA regulatory frameworks. Specific theoretical basis varies by framework — consult academic literature via Google Scholar using framework name as search term.</t>
        </is>
      </c>
      <c r="AJ85" s="70" t="inlineStr">
        <is>
          <t>Academic debate varies by framework maturity and international adoption. For KSA-specific debate, consult: Almohammad &amp; Wills (2021) J Cybersecurity; Al-Khater et al. (2020) IEEE Access; Baker McKenzie KSA regulatory updates.</t>
        </is>
      </c>
      <c r="AK85" s="74" t="inlineStr">
        <is>
          <t>Known criticisms include: implementation gap between standards and practice; resource constraints for smaller healthcare entities; rapid technology evolution outpacing regulation. Consult framework evaluation literature for specifics.</t>
        </is>
      </c>
      <c r="AL85" s="75" t="inlineStr">
        <is>
          <t>Framework comparison requires contextual analysis. Key comparators: NIST CSF 2.0 (international benchmark), ISO 27001 (certifiable standard), ECC-2 (KSA mandatory baseline). See main database for cross-framework mapping.</t>
        </is>
      </c>
      <c r="AM85"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85" s="50" t="inlineStr">
        <is>
          <t>Official: Consult the official source URL in the database for the primary document. Training: ISACA, ISC2, RAPS, IAPP, and HIMSS offer professional development covering most regulatory domains. Estimated hours vary by framework complexity.</t>
        </is>
      </c>
      <c r="AO85" s="77" t="inlineStr">
        <is>
          <t>Relevance to GH-ICGA framework varies by layer — see GH-ICGA Layer Mapping column. All KSA mandatory frameworks are compliance inputs to GH-ICGA Layer 4. Frameworks with IoMT-specific provisions directly inform Layers 2 and 3.</t>
        </is>
      </c>
      <c r="AP85" s="51" t="inlineStr">
        <is>
          <t>G + C (Governance + Compliance — standard regulatory framework positioning)</t>
        </is>
      </c>
      <c r="AQ85" s="78" t="inlineStr">
        <is>
          <t>Senior management: accountability for framework compliance. Designated compliance officer: monitor requirements. All staff: awareness of applicable obligations</t>
        </is>
      </c>
      <c r="AR85" s="74" t="inlineStr">
        <is>
          <t>Regulatory Risk; Operational Risk; Reputational Risk — specific domains determined by framework scope</t>
        </is>
      </c>
      <c r="AS85" s="22" t="inlineStr">
        <is>
          <t>See official source — legal obligation, regulatory requirement, or voluntary standard as applicable</t>
        </is>
      </c>
      <c r="AT85" s="75" t="inlineStr">
        <is>
          <t>Administrative; Technical; Operational — specific distribution determined by framework content</t>
        </is>
      </c>
      <c r="AU85" s="79" t="inlineStr">
        <is>
          <t>1. Compliance status (compliant/non-compliant). 2. # open findings from last assessment. 3. % controls implemented. 4. Time to remediate findings. 5. Incident rate in framework scope area</t>
        </is>
      </c>
      <c r="AV85" s="80" t="inlineStr">
        <is>
          <t>Self-assessment; internal audit; external assessment as specified by issuing authority</t>
        </is>
      </c>
      <c r="AW85" s="81" t="inlineStr">
        <is>
          <t>ServiceNow GRC; IBM OpenPages; RSA Archer; MetricStream — all major GRC platforms support custom framework import. Contact vendor for framework-specific module</t>
        </is>
      </c>
      <c r="AX85" s="82" t="inlineStr">
        <is>
          <t>Third parties in scope must demonstrate equivalent compliance. Contractual compliance obligations; right-to-audit clauses; annual third-party assessment</t>
        </is>
      </c>
      <c r="AY85" s="83" t="inlineStr">
        <is>
          <t>Non-compliance: regulatory action by issuing authority; fines and penalties as specified; operational and reputational consequences</t>
        </is>
      </c>
      <c r="AZ85" s="80" t="inlineStr">
        <is>
          <t>Sector-specific — consult official source</t>
        </is>
      </c>
      <c r="BA85" s="41" t="inlineStr">
        <is>
          <t>Sector-Specific</t>
        </is>
      </c>
      <c r="BB85" s="591">
        <f>IF(E85="","",IF(ISNUMBER(SEARCH("Institutional theory and regulatory governance theory underpin",AI85)),"TEMPLATE",IF(LEN(AI85)&gt;100,"DEEP",IF(AI85="","SPARSE","SHALLOW"))))</f>
        <v/>
      </c>
      <c r="BC85" s="591">
        <f>IF(E85="","",D85&amp;"-"&amp;B85&amp;"-"&amp;E85)</f>
        <v/>
      </c>
      <c r="BD85" s="591">
        <f>IF(E85="","",SUBSTITUTE(SUBSTITUTE(B85&amp;"-"&amp;E85," ",""),":","-"))</f>
        <v/>
      </c>
      <c r="BE85" s="591">
        <f>IF(E85="","",IF(ISNUMBER(SEARCH("ECC",E85)),"NCA-ECC-2-2024",IF(ISNUMBER(SEARCH("OTCC",E85)),"NCA-ECC-2-2024",IF(ISNUMBER(SEARCH("CCC",E85)),"NCA-ECC-2-2024",IF(ISNUMBER(SEARCH("DCC",E85)),"NCA-ECC-2-2024",IF(ISNUMBER(SEARCH("CSCC",E85)),"NCA-ECC-2-2024",IF(ISNUMBER(SEARCH("PDPL-IR",E85)),"PDPL-2021",IF(ISNUMBER(SEARCH("PDPL-DTR",E85)),"PDPL-2021","NONE"))))))))</f>
        <v/>
      </c>
      <c r="BF85" s="594">
        <f>IF(E85="","",IF(BB85="DEEP",10,IF(BB85="SHALLOW",5,IF(BB85="TEMPLATE",3,1)))+IF(N85="HIGHEST",5,IF(N85="HIGH",3,IF(N85="MODERATE",1,0)))+IF(ISNUMBER(SEARCH("Mandatory",L85)),3,0))</f>
        <v/>
      </c>
    </row>
    <row r="86" ht="42" customHeight="1">
      <c r="A86" s="84" t="n">
        <v>81</v>
      </c>
      <c r="B86" s="85" t="inlineStr">
        <is>
          <t>NHIC</t>
        </is>
      </c>
      <c r="C86" s="70" t="inlineStr">
        <is>
          <t>National Health Information Centre</t>
        </is>
      </c>
      <c r="D86" s="70" t="inlineStr">
        <is>
          <t>2. Healthcare &amp; Life Sciences</t>
        </is>
      </c>
      <c r="E86" s="85" t="inlineStr">
        <is>
          <t>NCA-ECC-2:2024</t>
        </is>
      </c>
      <c r="F86" s="72" t="inlineStr">
        <is>
          <t>Essential Cybersecurity Controls</t>
        </is>
      </c>
      <c r="G86" s="70" t="inlineStr">
        <is>
          <t>ضوابط الأمن السيبراني الأساسية</t>
        </is>
      </c>
      <c r="H86" s="70" t="inlineStr">
        <is>
          <t>ECC-2:2024</t>
        </is>
      </c>
      <c r="I86" s="71" t="inlineStr">
        <is>
          <t>2018</t>
        </is>
      </c>
      <c r="J86" s="71" t="inlineStr">
        <is>
          <t>108</t>
        </is>
      </c>
      <c r="K86" s="70" t="inlineStr">
        <is>
          <t>MUST COMPLY WITH</t>
        </is>
      </c>
      <c r="L86" s="66" t="inlineStr">
        <is>
          <t>Mandatory Complier</t>
        </is>
      </c>
      <c r="M86" s="70" t="inlineStr">
        <is>
          <t>NHIC as government entity</t>
        </is>
      </c>
      <c r="N86" s="86" t="inlineStr">
        <is>
          <t>HIGHEST</t>
        </is>
      </c>
      <c r="O86" s="87" t="inlineStr">
        <is>
          <t>https://nca.gov.sa/</t>
        </is>
      </c>
      <c r="P86" s="70" t="inlineStr">
        <is>
          <t>NCA ECC scope</t>
        </is>
      </c>
      <c r="Q86" s="70" t="inlineStr">
        <is>
          <t>See official source for version history</t>
        </is>
      </c>
      <c r="R86" s="70" t="inlineStr">
        <is>
          <t>Framework issued by the relevant authority. Version details available on the official website referenced in the source URL column. The framework has been updated periodically since first issuance.</t>
        </is>
      </c>
      <c r="S86" s="71" t="inlineStr">
        <is>
          <t>See official source</t>
        </is>
      </c>
      <c r="T86" s="70" t="inlineStr">
        <is>
          <t>Updated as needed by the issuing authority</t>
        </is>
      </c>
      <c r="U86" s="25" t="inlineStr">
        <is>
          <t>CURRENT — consult official source for latest version</t>
        </is>
      </c>
      <c r="V86" s="70" t="inlineStr">
        <is>
          <t>Penalties defined by issuing authority; consult official source. NCA ECC-2 penalties apply if relevant</t>
        </is>
      </c>
      <c r="W86" s="72" t="inlineStr">
        <is>
          <t>Issuing authority and/or designated inspection department</t>
        </is>
      </c>
      <c r="X86" s="70" t="inlineStr">
        <is>
          <t>As specified in framework scope — consult official document</t>
        </is>
      </c>
      <c r="Y86" s="49" t="inlineStr">
        <is>
          <t>Both (unless specified otherwise in official document)</t>
        </is>
      </c>
      <c r="Z86" s="70" t="inlineStr">
        <is>
          <t>As defined by issuing authority</t>
        </is>
      </c>
      <c r="AA86" s="71" t="inlineStr">
        <is>
          <t>As defined by issuing authority</t>
        </is>
      </c>
      <c r="AB86" s="70" t="inlineStr">
        <is>
          <t>To be determined from framework text — see official source</t>
        </is>
      </c>
      <c r="AC86" s="70" t="inlineStr">
        <is>
          <t>See framework preamble for international standard references</t>
        </is>
      </c>
      <c r="AD86" s="49" t="inlineStr">
        <is>
          <t>Arabic (primary in KSA); English may be available</t>
        </is>
      </c>
      <c r="AE86" s="58" t="inlineStr">
        <is>
          <t>Mapped to relevant GH-ICGA layer — requires manual assessment</t>
        </is>
      </c>
      <c r="AF86" s="56" t="inlineStr">
        <is>
          <t>See official framework for maturity model details</t>
        </is>
      </c>
      <c r="AG86" s="70" t="inlineStr">
        <is>
          <t>Aligned with relevant Vision 2030 programme — see framework context</t>
        </is>
      </c>
      <c r="AH86" s="70" t="inlineStr">
        <is>
          <t>As specified in framework compliance requirements</t>
        </is>
      </c>
      <c r="AI86" s="73" t="inlineStr">
        <is>
          <t>Multi-agency compliance theory: NHIC requiring NCA ECC-2 compliance for all health data exchange participants ensures cybersecurity baseline for the national health data infrastructure. Critical infrastructure protection: NABIDH as national health data platform requires ECC-2 compliance for all connected entities.</t>
        </is>
      </c>
      <c r="AJ86" s="70" t="inlineStr">
        <is>
          <t>FOR: Ensures all NABIDH-connected facilities meet minimum cybersecurity standard — prevents weakest-link attack through less secure facilities; creates unified security baseline for national health data exchange. AGAINST: Small clinics and PHCs connecting to NABIDH face disproportionate ECC-2 compliance burden — 108 controls for a 10-person clinic.</t>
        </is>
      </c>
      <c r="AK86" s="74" t="inlineStr">
        <is>
          <t>Criticisms: (1) No proportionality mechanism — same 108 controls for 5,000-bed hospital and 10-person clinic; (2) NHIC lacks cybersecurity audit capability — relies entirely on NCA assessment; (3) Creates three-layer compliance stack for NABIDH participants: ECC-2 (NCA) + NABIDH Security (NHIC) + PDPL (SDAIA).</t>
        </is>
      </c>
      <c r="AL86" s="75" t="inlineStr">
        <is>
          <t>Framework comparison requires contextual analysis. Key comparators: NIST CSF 2.0 (international benchmark), ISO 27001 (certifiable standard), ECC-2 (KSA mandatory baseline). See main database for cross-framework mapping.</t>
        </is>
      </c>
      <c r="AM86" s="76" t="inlineStr">
        <is>
          <t>NHIC-NCA Regulatory Coordination (2024); NCA ECC-2:2024 Healthcare Sector Guidance (pending).</t>
        </is>
      </c>
      <c r="AN86" s="50" t="inlineStr">
        <is>
          <t>Official: Consult the official source URL in the database for the primary document. Training: ISACA, ISC2, RAPS, IAPP, and HIMSS offer professional development covering most regulatory domains. Estimated hours vary by framework complexity.</t>
        </is>
      </c>
      <c r="AO86" s="77" t="inlineStr">
        <is>
          <t>Relevance to GH-ICGA framework varies by layer — see GH-ICGA Layer Mapping column. All KSA mandatory frameworks are compliance inputs to GH-ICGA Layer 4. Frameworks with IoMT-specific provisions directly inform Layers 2 and 3.</t>
        </is>
      </c>
      <c r="AP86" s="51" t="inlineStr">
        <is>
          <t>G + C (Governance + Compliance — standard regulatory framework positioning)</t>
        </is>
      </c>
      <c r="AQ86" s="78" t="inlineStr">
        <is>
          <t>Senior management: accountability for framework compliance. Designated compliance officer: monitor requirements. All staff: awareness of applicable obligations</t>
        </is>
      </c>
      <c r="AR86" s="74" t="inlineStr">
        <is>
          <t>Regulatory Risk; Operational Risk; Reputational Risk — specific domains determined by framework scope</t>
        </is>
      </c>
      <c r="AS86" s="22" t="inlineStr">
        <is>
          <t>See official source — legal obligation, regulatory requirement, or voluntary standard as applicable</t>
        </is>
      </c>
      <c r="AT86" s="75" t="inlineStr">
        <is>
          <t>Administrative; Technical; Operational — specific distribution determined by framework content</t>
        </is>
      </c>
      <c r="AU86" s="79" t="inlineStr">
        <is>
          <t>1. Compliance status (compliant/non-compliant). 2. # open findings from last assessment. 3. % controls implemented. 4. Time to remediate findings. 5. Incident rate in framework scope area</t>
        </is>
      </c>
      <c r="AV86" s="80" t="inlineStr">
        <is>
          <t>Self-assessment; internal audit; external assessment as specified by issuing authority</t>
        </is>
      </c>
      <c r="AW86" s="81" t="inlineStr">
        <is>
          <t>ServiceNow GRC; IBM OpenPages; RSA Archer; MetricStream — all major GRC platforms support custom framework import. Contact vendor for framework-specific module</t>
        </is>
      </c>
      <c r="AX86" s="82" t="inlineStr">
        <is>
          <t>Third parties in scope must demonstrate equivalent compliance. Contractual compliance obligations; right-to-audit clauses; annual third-party assessment</t>
        </is>
      </c>
      <c r="AY86" s="83" t="inlineStr">
        <is>
          <t>Non-compliance: regulatory action by issuing authority; fines and penalties as specified; operational and reputational consequences</t>
        </is>
      </c>
      <c r="AZ86" s="80" t="inlineStr">
        <is>
          <t>ALL 17 SECTORS</t>
        </is>
      </c>
      <c r="BA86" s="34" t="inlineStr">
        <is>
          <t>YES — ALL SECTORS</t>
        </is>
      </c>
      <c r="BB86" s="591">
        <f>IF(E86="","",IF(ISNUMBER(SEARCH("Institutional theory and regulatory governance theory underpin",AI86)),"TEMPLATE",IF(LEN(AI86)&gt;100,"DEEP",IF(AI86="","SPARSE","SHALLOW"))))</f>
        <v/>
      </c>
      <c r="BC86" s="591">
        <f>IF(E86="","",D86&amp;"-"&amp;B86&amp;"-"&amp;E86)</f>
        <v/>
      </c>
      <c r="BD86" s="591">
        <f>IF(E86="","",SUBSTITUTE(SUBSTITUTE(B86&amp;"-"&amp;E86," ",""),":","-"))</f>
        <v/>
      </c>
      <c r="BE86" s="591">
        <f>IF(E86="","",IF(ISNUMBER(SEARCH("ECC",E86)),"NCA-ECC-2-2024",IF(ISNUMBER(SEARCH("OTCC",E86)),"NCA-ECC-2-2024",IF(ISNUMBER(SEARCH("CCC",E86)),"NCA-ECC-2-2024",IF(ISNUMBER(SEARCH("DCC",E86)),"NCA-ECC-2-2024",IF(ISNUMBER(SEARCH("CSCC",E86)),"NCA-ECC-2-2024",IF(ISNUMBER(SEARCH("PDPL-IR",E86)),"PDPL-2021",IF(ISNUMBER(SEARCH("PDPL-DTR",E86)),"PDPL-2021","NONE"))))))))</f>
        <v/>
      </c>
      <c r="BF86" s="594">
        <f>IF(E86="","",IF(BB86="DEEP",10,IF(BB86="SHALLOW",5,IF(BB86="TEMPLATE",3,1)))+IF(N86="HIGHEST",5,IF(N86="HIGH",3,IF(N86="MODERATE",1,0)))+IF(ISNUMBER(SEARCH("Mandatory",L86)),3,0))</f>
        <v/>
      </c>
    </row>
    <row r="87" ht="42" customHeight="1">
      <c r="A87" s="42" t="n">
        <v>82</v>
      </c>
      <c r="B87" s="69" t="inlineStr">
        <is>
          <t>NHIC</t>
        </is>
      </c>
      <c r="C87" s="44" t="inlineStr">
        <is>
          <t>National Health Information Centre</t>
        </is>
      </c>
      <c r="D87" s="44" t="inlineStr">
        <is>
          <t>2. Healthcare &amp; Life Sciences</t>
        </is>
      </c>
      <c r="E87" s="69" t="inlineStr">
        <is>
          <t>PDPL-2021</t>
        </is>
      </c>
      <c r="F87" s="45" t="inlineStr">
        <is>
          <t>Personal Data Protection Law</t>
        </is>
      </c>
      <c r="G87" s="44" t="inlineStr">
        <is>
          <t>نظام حماية البيانات الشخصية</t>
        </is>
      </c>
      <c r="H87" s="44" t="inlineStr">
        <is>
          <t>2021+IR 2023</t>
        </is>
      </c>
      <c r="I87" s="46" t="inlineStr">
        <is>
          <t>2021</t>
        </is>
      </c>
      <c r="J87" s="46" t="inlineStr">
        <is>
          <t>45</t>
        </is>
      </c>
      <c r="K87" s="44" t="inlineStr">
        <is>
          <t>MUST COMPLY WITH</t>
        </is>
      </c>
      <c r="L87" s="66" t="inlineStr">
        <is>
          <t>Mandatory Complier</t>
        </is>
      </c>
      <c r="M87" s="44" t="inlineStr">
        <is>
          <t>NHIC processes national health data</t>
        </is>
      </c>
      <c r="N87" s="47" t="inlineStr">
        <is>
          <t>HIGHEST</t>
        </is>
      </c>
      <c r="O87" s="48" t="inlineStr">
        <is>
          <t>https://sdaia.gov.sa/</t>
        </is>
      </c>
      <c r="P87" s="44" t="inlineStr">
        <is>
          <t>SDAIA</t>
        </is>
      </c>
      <c r="Q87" s="70" t="inlineStr">
        <is>
          <t>Royal Decree M/19 (16 Sep 2021) → amended Apr 2023</t>
        </is>
      </c>
      <c r="R87" s="70" t="inlineStr">
        <is>
          <t>Original (2021): 19 articles covering consent, data subject rights, controller obligations, sensitive data (health = sensitive), cross-border transfer. Apr 2023 amendment: strengthened enforcement, clarified health data provisions, aligned with PDPL-IR-2023. Grace period for compliance ended Sep 14, 2024. Penalties: up to SAR 5 million fine + 2 years imprisonment for sensitive data breach</t>
        </is>
      </c>
      <c r="S87" s="71" t="inlineStr">
        <is>
          <t>Issued: Sep 2021. Amended: Apr 2023. Fully enforceable: Sep 14, 2024</t>
        </is>
      </c>
      <c r="T87" s="70" t="inlineStr">
        <is>
          <t>SDAIA reviews annually; amendments expected 2025-2026</t>
        </is>
      </c>
      <c r="U87" s="25" t="inlineStr">
        <is>
          <t>CURRENT — fully enforceable since Sep 2024</t>
        </is>
      </c>
      <c r="V87" s="70" t="inlineStr">
        <is>
          <t>Criminal offence: up to 2 years imprisonment + SAR 3M fine for disclosing sensitive data (health data = sensitive); administrative fine up to SAR 5M; mandatory breach notification to SDAIA within 72 hours; data subject compensation claims</t>
        </is>
      </c>
      <c r="W87" s="72" t="inlineStr">
        <is>
          <t>SDAIA — Data Protection Authority (DPA functions); NDMO for government entities; courts for criminal penalties</t>
        </is>
      </c>
      <c r="X87" s="70" t="inlineStr">
        <is>
          <t>Hospital; Clinic; Lab; Pharmacy; Health IT Vendor; Health Insurer; Government Health Entity; Medical Device Manufacturer (all processing patient data)</t>
        </is>
      </c>
      <c r="Y87" s="49" t="inlineStr">
        <is>
          <t>Both + foreign entities processing data of KSA residents</t>
        </is>
      </c>
      <c r="Z87" s="70" t="inlineStr">
        <is>
          <t>SDAIA audit; controller self-assessment; DPO oversight; data subject complaints trigger investigation</t>
        </is>
      </c>
      <c r="AA87" s="71" t="inlineStr">
        <is>
          <t>Continuous (breach notification: 72 hours); annual DPO report; SDAIA random audits</t>
        </is>
      </c>
      <c r="AB87" s="70" t="inlineStr">
        <is>
          <t>12 (IoMT data minimisation; purpose limitation; consent management for wearable data; automated decision-making; data subject rights for IoMT-generated health data; cross-border transfer of IoMT data)</t>
        </is>
      </c>
      <c r="AC87" s="70" t="inlineStr">
        <is>
          <t>GDPR (substantial alignment — adequate protection basis); APEC Privacy Framework; ISO 29100; ISO 27701</t>
        </is>
      </c>
      <c r="AD87" s="49" t="inlineStr">
        <is>
          <t>Arabic (official); English translation (unofficial)</t>
        </is>
      </c>
      <c r="AE87" s="50" t="inlineStr">
        <is>
          <t>Layer 4: Compliance; Layer 2: Risk Management</t>
        </is>
      </c>
      <c r="AF87" s="60" t="inlineStr">
        <is>
          <t>No formal maturity model; SDAIA publishes compliance guidance</t>
        </is>
      </c>
      <c r="AG87" s="70" t="inlineStr">
        <is>
          <t>National Data Strategy; Vision 2030 Digital Economy; Digital Government transformation</t>
        </is>
      </c>
      <c r="AH87" s="70" t="inlineStr">
        <is>
          <t>Privacy notices; consent records; DPO appointment letter; data mapping/flow diagrams; breach notification records; DPIA for health data processing; controller registration</t>
        </is>
      </c>
      <c r="AI87" s="73" t="inlineStr">
        <is>
          <t>Privacy as fundamental right (Warren &amp; Brandeis 1890; Westin 1967). Contextual integrity theory (Nissenbaum 2004): health data flows must match medical context norms. Regulatory theory: data protection authority independence and enforcement. Information asymmetry theory: patients cannot protect their own data without regulation.</t>
        </is>
      </c>
      <c r="AJ87" s="70" t="inlineStr">
        <is>
          <t>FOR: Long-overdue — KSA had no comprehensive data protection law until 2021; health data explicitly protected as sensitive category; aligns KSA with global adequacy standards. AGAINST: Alrawabdeh (2014) and Aldawood &amp; Skinner (2019) documented Saudi privacy culture gap — regulation without public awareness is ineffective; 'GDPR-lite' criticism: exemptions broader than GDPR, enforcement weaker; health data provisions in IR still less specific than UK GDPR Schedule 1 conditions</t>
        </is>
      </c>
      <c r="AK87" s="74" t="inlineStr">
        <is>
          <t>No independent supervisory authority (SDAIA is both promoter and regulator — conflict of interest noted by Baker McKenzie 2025); patient data portability rights weaker than GDPR Article 20; no explicit right to explanation for AI-automated health decisions; cross-border transfer rules changed twice in 12 months (regulatory instability); small healthcare providers lack capacity for DPO requirements</t>
        </is>
      </c>
      <c r="AL87" s="75" t="inlineStr">
        <is>
          <t>PDPL vs GDPR: PDPL penalty lower (SAR 5M vs €20M); PDPL broader government exemptions; GDPR has independent DPA, PDPL does not. PDPL vs HIPAA: PDPL = all personal data (broader); HIPAA = US-specific health data only. PDPL vs UK GDPR: PDPL misses explicit Schedule 1 health data conditions. PDPL ahead of HIPAA on consent granularity; behind GDPR on enforcement independence</t>
        </is>
      </c>
      <c r="AM87" s="76" t="inlineStr">
        <is>
          <t>Baker McKenzie (2025) Saudi Arabia PDPL Global Data &amp; Cyber Handbook; Alrawabdeh W (2014) 'Internet and Social Media Challenges in Arab World' EJSR; Westin AF (1967) Privacy and Freedom NY Atheneum; Nissenbaum H (2004) 'Privacy as Contextual Integrity' Washington Law Review 79(1); CMS Law (2025) Saudi Arabia Data Protection &amp; Cybersecurity Expert Guide Oct 2025</t>
        </is>
      </c>
      <c r="AN87" s="50" t="inlineStr">
        <is>
          <t>Official: SDAIA website (sdaia.gov.sa) — Arabic + English. Training: IAPP CIPM/CIPP/E (privacy certifications applicable); OneTrust PDPL compliance course; Baker McKenzie PDPL compliance guide. Language: Arabic primary — strong Arabic reading recommended. Estimated: 50 hours for health sector DPO competence</t>
        </is>
      </c>
      <c r="AO87" s="77" t="inlineStr">
        <is>
          <t>PRIMARY driver for GH-ICGA Layer 4 (Compliance) — PDPL is the legal foundation for patient data governance in the preliminary GH-ICGA framework. Thesis argument: GH-ICGA Layer 4 operationalises PDPL requirements into IoMT-specific controls (consent management for wearable data; purpose limitation for monitoring streams; breach response for connected device incidents)</t>
        </is>
      </c>
      <c r="AP87" s="51" t="inlineStr">
        <is>
          <t>G + C (Governance + Compliance — strong compliance driver; risk implicit)</t>
        </is>
      </c>
      <c r="AQ87" s="78" t="inlineStr">
        <is>
          <t>Board/CEO: ultimate accountability for PDPL compliance. DPO: mandatory for large-scale health data processors — reports to highest management level. Privacy Committee: cross-functional oversight. All staff processing personal data: mandatory privacy awareness training annually</t>
        </is>
      </c>
      <c r="AR87" s="74" t="inlineStr">
        <is>
          <t>Privacy Risk (PRIMARY); Legal/Regulatory Risk; Reputational Risk; Strategic Risk (data monetisation constraints); Cross-Border Risk (data transfer restrictions)</t>
        </is>
      </c>
      <c r="AS87" s="22" t="inlineStr">
        <is>
          <t>LEGAL — Royal Decree M/19 2021 + Implementing Regulations Sep 2023. Criminal: imprisonment up to 2 years + SAR 3M fine for sensitive data disclosure. Administrative: SAR 5M maximum fine. Civil: data subject compensation claims</t>
        </is>
      </c>
      <c r="AT87" s="75" t="inlineStr">
        <is>
          <t>Administrative (A): consent management; privacy notices; DPO appointment; DPIA process; breach notification procedure. Technical (T): data minimisation; pseudonymisation; access controls for personal data; encryption. Operational (O): data retention enforcement; data subject rights fulfilment process; cross-border transfer review</t>
        </is>
      </c>
      <c r="AU87" s="79" t="inlineStr">
        <is>
          <t>1. # data subject rights requests fulfilled on time (target: 100% within 30 days). 2. # data breaches notified to SDAIA within 72h (target: 100%). 3. % staff completed privacy training (target: 100%). 4. # DPIAs completed for high-risk processing activities. 5. Data retention compliance rate (% records within policy). 6. % third-party processors with DPA agreements</t>
        </is>
      </c>
      <c r="AV87" s="80" t="inlineStr">
        <is>
          <t>Annual DPIA review; data mapping audit (controller record validation); consent record audit; breach response simulation (tabletop); access control review for personal data systems; third-party processor audit; SDAIA compliance self-assessment</t>
        </is>
      </c>
      <c r="AW87" s="81" t="inlineStr">
        <is>
          <t>OneTrust (market leader for PDPL); TrustArc; Nymity; DataGrail; Varonis (data discovery); Microsoft Purview (data classification). SDAIA National Data Governance Platform for registration. Arabic-capable tools preferred</t>
        </is>
      </c>
      <c r="AX87" s="82" t="inlineStr">
        <is>
          <t>All third-party data processors must have Data Processing Agreement (DPA). Processors must demonstrate equivalent PDPL compliance. Cross-border transfers require adequacy assessment or appropriate safeguards. Sub-processor disclosure mandatory. Annual processor risk assessment required</t>
        </is>
      </c>
      <c r="AY87" s="83" t="inlineStr">
        <is>
          <t>Non-compliance: SAR 5M administrative fine; criminal prosecution for sensitive data breach; SDAIA investigation; mandatory breach public disclosure. Business disruption: SDAIA can order processing suspension. Reputational: patient trust damage. Market: EU adequate protection status depends on PDPL enforcement credibility</t>
        </is>
      </c>
      <c r="AZ87" s="80" t="inlineStr">
        <is>
          <t>ALL 17 SECTORS — any entity processing personal data</t>
        </is>
      </c>
      <c r="BA87" s="34" t="inlineStr">
        <is>
          <t>YES — ALL SECTORS</t>
        </is>
      </c>
      <c r="BB87" s="591">
        <f>IF(E87="","",IF(ISNUMBER(SEARCH("Institutional theory and regulatory governance theory underpin",AI87)),"TEMPLATE",IF(LEN(AI87)&gt;100,"DEEP",IF(AI87="","SPARSE","SHALLOW"))))</f>
        <v/>
      </c>
      <c r="BC87" s="591">
        <f>IF(E87="","",D87&amp;"-"&amp;B87&amp;"-"&amp;E87)</f>
        <v/>
      </c>
      <c r="BD87" s="591">
        <f>IF(E87="","",SUBSTITUTE(SUBSTITUTE(B87&amp;"-"&amp;E87," ",""),":","-"))</f>
        <v/>
      </c>
      <c r="BE87" s="591">
        <f>IF(E87="","",IF(ISNUMBER(SEARCH("ECC",E87)),"NCA-ECC-2-2024",IF(ISNUMBER(SEARCH("OTCC",E87)),"NCA-ECC-2-2024",IF(ISNUMBER(SEARCH("CCC",E87)),"NCA-ECC-2-2024",IF(ISNUMBER(SEARCH("DCC",E87)),"NCA-ECC-2-2024",IF(ISNUMBER(SEARCH("CSCC",E87)),"NCA-ECC-2-2024",IF(ISNUMBER(SEARCH("PDPL-IR",E87)),"PDPL-2021",IF(ISNUMBER(SEARCH("PDPL-DTR",E87)),"PDPL-2021","NONE"))))))))</f>
        <v/>
      </c>
      <c r="BF87" s="594">
        <f>IF(E87="","",IF(BB87="DEEP",10,IF(BB87="SHALLOW",5,IF(BB87="TEMPLATE",3,1)))+IF(N87="HIGHEST",5,IF(N87="HIGH",3,IF(N87="MODERATE",1,0)))+IF(ISNUMBER(SEARCH("Mandatory",L87)),3,0))</f>
        <v/>
      </c>
    </row>
    <row r="88">
      <c r="BB88" s="591">
        <f>IF(E88="","",IF(ISNUMBER(SEARCH("Institutional theory and regulatory governance theory underpin",AI88)),"TEMPLATE",IF(LEN(AI88)&gt;100,"DEEP",IF(AI88="","SPARSE","SHALLOW"))))</f>
        <v/>
      </c>
      <c r="BC88" s="591">
        <f>IF(E88="","",D88&amp;"-"&amp;B88&amp;"-"&amp;E88)</f>
        <v/>
      </c>
      <c r="BD88" s="591">
        <f>IF(E88="","",SUBSTITUTE(SUBSTITUTE(B88&amp;"-"&amp;E88," ",""),":","-"))</f>
        <v/>
      </c>
      <c r="BE88" s="591">
        <f>IF(E88="","",IF(ISNUMBER(SEARCH("ECC",E88)),"NCA-ECC-2-2024",IF(ISNUMBER(SEARCH("OTCC",E88)),"NCA-ECC-2-2024",IF(ISNUMBER(SEARCH("CCC",E88)),"NCA-ECC-2-2024",IF(ISNUMBER(SEARCH("DCC",E88)),"NCA-ECC-2-2024",IF(ISNUMBER(SEARCH("CSCC",E88)),"NCA-ECC-2-2024",IF(ISNUMBER(SEARCH("PDPL-IR",E88)),"PDPL-2021",IF(ISNUMBER(SEARCH("PDPL-DTR",E88)),"PDPL-2021","NONE"))))))))</f>
        <v/>
      </c>
      <c r="BF88" s="594">
        <f>IF(E88="","",IF(BB88="DEEP",10,IF(BB88="SHALLOW",5,IF(BB88="TEMPLATE",3,1)))+IF(N88="HIGHEST",5,IF(N88="HIGH",3,IF(N88="MODERATE",1,0)))+IF(ISNUMBER(SEARCH("Mandatory",L88)),3,0))</f>
        <v/>
      </c>
    </row>
    <row r="89" ht="19.5" customHeight="1">
      <c r="A89" s="94" t="n"/>
      <c r="B89" s="95" t="inlineStr">
        <is>
          <t xml:space="preserve">  ── 5. Financial Regulators ──</t>
        </is>
      </c>
      <c r="C89" s="94" t="n"/>
      <c r="D89" s="94" t="n"/>
      <c r="E89" s="94" t="n"/>
      <c r="F89" s="94" t="n"/>
      <c r="G89" s="94" t="n"/>
      <c r="H89" s="94" t="n"/>
      <c r="I89" s="94" t="n"/>
      <c r="J89" s="94" t="n"/>
      <c r="K89" s="94" t="n"/>
      <c r="L89" s="94" t="n"/>
      <c r="M89" s="94" t="n"/>
      <c r="N89" s="94" t="n"/>
      <c r="O89" s="94" t="n"/>
      <c r="P89" s="94" t="n"/>
      <c r="BB89" s="591">
        <f>IF(E89="","",IF(ISNUMBER(SEARCH("Institutional theory and regulatory governance theory underpin",AI89)),"TEMPLATE",IF(LEN(AI89)&gt;100,"DEEP",IF(AI89="","SPARSE","SHALLOW"))))</f>
        <v/>
      </c>
      <c r="BC89" s="591">
        <f>IF(E89="","",D89&amp;"-"&amp;B89&amp;"-"&amp;E89)</f>
        <v/>
      </c>
      <c r="BD89" s="591">
        <f>IF(E89="","",SUBSTITUTE(SUBSTITUTE(B89&amp;"-"&amp;E89," ",""),":","-"))</f>
        <v/>
      </c>
      <c r="BE89" s="591">
        <f>IF(E89="","",IF(ISNUMBER(SEARCH("ECC",E89)),"NCA-ECC-2-2024",IF(ISNUMBER(SEARCH("OTCC",E89)),"NCA-ECC-2-2024",IF(ISNUMBER(SEARCH("CCC",E89)),"NCA-ECC-2-2024",IF(ISNUMBER(SEARCH("DCC",E89)),"NCA-ECC-2-2024",IF(ISNUMBER(SEARCH("CSCC",E89)),"NCA-ECC-2-2024",IF(ISNUMBER(SEARCH("PDPL-IR",E89)),"PDPL-2021",IF(ISNUMBER(SEARCH("PDPL-DTR",E89)),"PDPL-2021","NONE"))))))))</f>
        <v/>
      </c>
      <c r="BF89" s="594">
        <f>IF(E89="","",IF(BB89="DEEP",10,IF(BB89="SHALLOW",5,IF(BB89="TEMPLATE",3,1)))+IF(N89="HIGHEST",5,IF(N89="HIGH",3,IF(N89="MODERATE",1,0)))+IF(ISNUMBER(SEARCH("Mandatory",L89)),3,0))</f>
        <v/>
      </c>
    </row>
    <row r="90" ht="42" customHeight="1">
      <c r="A90" s="96" t="n">
        <v>83</v>
      </c>
      <c r="B90" s="97" t="inlineStr">
        <is>
          <t>SAMA</t>
        </is>
      </c>
      <c r="C90" s="98" t="inlineStr">
        <is>
          <t>Saudi Central Bank</t>
        </is>
      </c>
      <c r="D90" s="98" t="inlineStr">
        <is>
          <t>5. Financial Regulators</t>
        </is>
      </c>
      <c r="E90" s="97" t="inlineStr">
        <is>
          <t>SAMA-CSF</t>
        </is>
      </c>
      <c r="F90" s="99" t="inlineStr">
        <is>
          <t>Cybersecurity Framework</t>
        </is>
      </c>
      <c r="G90" s="98" t="inlineStr">
        <is>
          <t>إطار الأمن السيبراني</t>
        </is>
      </c>
      <c r="H90" s="98" t="inlineStr">
        <is>
          <t>2017</t>
        </is>
      </c>
      <c r="I90" s="100" t="inlineStr">
        <is>
          <t>2017</t>
        </is>
      </c>
      <c r="J90" s="100" t="inlineStr">
        <is>
          <t>114</t>
        </is>
      </c>
      <c r="K90" s="98" t="inlineStr">
        <is>
          <t>ISSUES/ENFORCES</t>
        </is>
      </c>
      <c r="L90" s="22" t="inlineStr">
        <is>
          <t>Mandatory Enforcer</t>
        </is>
      </c>
      <c r="M90" s="98" t="inlineStr">
        <is>
          <t>Banks, insurance, financing, fintechs — 5 pillars/29 objectives/114 sub-controls</t>
        </is>
      </c>
      <c r="N90" s="101" t="inlineStr">
        <is>
          <t>MODERATE</t>
        </is>
      </c>
      <c r="O90" s="102" t="inlineStr">
        <is>
          <t>https://www.sama.gov.sa/en-US/RulesInstructions/CyberSecurity/</t>
        </is>
      </c>
      <c r="P90" s="98" t="inlineStr">
        <is>
          <t>SAMA official; Wattlecorp Aug 2025</t>
        </is>
      </c>
      <c r="Q90" s="98" t="inlineStr">
        <is>
          <t>Issued May 2017 (one version; periodic guidance updates)</t>
        </is>
      </c>
      <c r="R90" s="98" t="inlineStr">
        <is>
          <t>5 cybersecurity domains: Leadership &amp; Governance, Risk Management &amp; Compliance, Operations &amp; Technology, Third Party, Customer Awareness. 29 objectives, 114 sub-controls. 6 maturity levels (Initial → Optimised). Annual self-assessment required. External assessment every 3 years. SAMA inspectors conduct surprise audits. Health insurance companies are SAMA/IAIC-regulated and must comply. Aligned with NIST CSF, ISO 27001, PCI DSS</t>
        </is>
      </c>
      <c r="S90" s="100" t="inlineStr">
        <is>
          <t>Issued: May 2017. Annual self-assessment cycle</t>
        </is>
      </c>
      <c r="T90" s="98" t="inlineStr">
        <is>
          <t>Update expected to align with NCA ECC-2:2024 and NIST CSF 2.0</t>
        </is>
      </c>
      <c r="U90" s="25" t="inlineStr">
        <is>
          <t>CURRENT — 2017 version; update anticipated 2025</t>
        </is>
      </c>
      <c r="V90" s="98" t="inlineStr">
        <is>
          <t>SAMA enforcement: business closure (extreme); SAR multimillion fines (unspecified ceiling); mandatory remediation plan; licence suspension; public warning</t>
        </is>
      </c>
      <c r="W90" s="99" t="inlineStr">
        <is>
          <t>SAMA — Supervisory Technology Department; Insurance Authority (IAIC) for insurers; annual assessment reviewed by SAMA supervisors</t>
        </is>
      </c>
      <c r="X90" s="98" t="inlineStr">
        <is>
          <t>Health Insurer (primary — SAMA/IAIC regulated); Private Hospital (if fintech/payment services regulated)</t>
        </is>
      </c>
      <c r="Y90" s="49" t="inlineStr">
        <is>
          <t>Private financial sector (SAMA-regulated entities only; SAMA itself as public entity also complies with NCA ECC)</t>
        </is>
      </c>
      <c r="Z90" s="98" t="inlineStr">
        <is>
          <t>Annual self-assessment; SAMA external assessment every 3 years; SAMA surprise inspection (risk-based)</t>
        </is>
      </c>
      <c r="AA90" s="100" t="inlineStr">
        <is>
          <t>Annual self-assessment; external: every 3 years</t>
        </is>
      </c>
      <c r="AB90" s="98" t="inlineStr">
        <is>
          <t>6 (health insurance systems security: claims system security; API security for health insurance billing; connected payment device security; third-party health IT vendor management)</t>
        </is>
      </c>
      <c r="AC90" s="98" t="inlineStr">
        <is>
          <t>NIST CSF (primary); ISO 27001:2022; PCI DSS v4 (payment); SWIFT CSP (correspondent banking); COBIT 2019 (IT governance)</t>
        </is>
      </c>
      <c r="AD90" s="61" t="inlineStr">
        <is>
          <t>Arabic (primary); English translation available</t>
        </is>
      </c>
      <c r="AE90" s="26" t="inlineStr">
        <is>
          <t>Layer 1: Governance; Layer 2: Risk Management; Layer 4: Compliance</t>
        </is>
      </c>
      <c r="AF90" s="27" t="inlineStr">
        <is>
          <t>Yes — 6 maturity levels (1=Initial to 6=Optimising); sub-domain level maturity scoring; annual self-scoring required</t>
        </is>
      </c>
      <c r="AG90" s="98" t="inlineStr">
        <is>
          <t>Financial Sector Development Programme (FSDP); Vision 2030 Fintech strategy; health insurance digital transformation</t>
        </is>
      </c>
      <c r="AH90" s="98" t="inlineStr">
        <is>
          <t>Annual self-assessment report; risk register; policy documentation; penetration test reports; BCP test evidence; staff training records; third-party vendor assessment</t>
        </is>
      </c>
      <c r="AI90" s="103" t="inlineStr">
        <is>
          <t>Financial sector cybersecurity regulation theory: systemic risk and contagion (BCBS 2018). Risk-based supervision theory: maturity-based regulatory oversight. Sector-specific regulation vs cross-sector regulation debate.</t>
        </is>
      </c>
      <c r="AJ90" s="98" t="inlineStr">
        <is>
          <t>FOR: Only KSA framework with a formal 6-level maturity model — enables progression benchmarking; annual self-assessment creates continuous improvement culture; aligns with G-7 Fundamental Elements of Cybersecurity (financial sector). AGAINST: 2017 vintage — predates cloud-native architectures, AI-driven fraud, and health insurance sector IoT expansion; Wattlecorp (2025) notes SAMA-CSF and NCA-ECC-2 overlap creates dual compliance burden for health insurers; self-assessment without mandatory external verification undermines assurance value</t>
        </is>
      </c>
      <c r="AK90" s="104" t="inlineStr">
        <is>
          <t>Issued 2017 — significantly outdated vs NCA ECC-2 (2024) — no major revision in 7 years; SAMA-CSF and NCA-ECC-2 alignment not formally documented creating uncertainty; health insurance entities must navigate SAMA-CSF, NCA-ECC-2, PDPL, and CCHI-DCS simultaneously — regulatory fragmentation; IoT/connected insurance product security not addressed</t>
        </is>
      </c>
      <c r="AL90" s="105" t="inlineStr">
        <is>
          <t>SAMA-CSF vs NCA-ECC-2: SAMA-CSF sector-specific (financial), ECC-2 cross-sector — ECC-2 now dominant for cybersecurity, SAMA-CSF supplementary. SAMA-CSF vs ECB TIBER-EU: ECB uses red-team testing; SAMA-CSF relies on self-assessment. SAMA-CSF vs PRA CBEST (UK): similar financial sector model. SAMA-CSF maturity model (6 levels) more granular than ECC-2 (5 levels)</t>
        </is>
      </c>
      <c r="AM90" s="106" t="inlineStr">
        <is>
          <t>SAMA (2017) Cybersecurity Framework sama.gov.sa; BCBS (2018) Cyber-Resilience Basel Committee; Wattlecorp (2025) SAMA Cybersecurity Framework Aug 2025; Al-Matari EM et al. (2014) 'Corporate Governance in Saudi Arabia' Asian Social Science 10(9); Convene (2025) SAMA Cybersecurity Framework Overview Aug 2025</t>
        </is>
      </c>
      <c r="AN90" s="107" t="inlineStr">
        <is>
          <t>Official: SAMA website (sama.gov.sa) — free PDF. Training: CISM (Certified Information Security Manager) — governance domain aligns; CRISC (risk management); ISACA GRC tools. Estimated: 30 hours</t>
        </is>
      </c>
      <c r="AO90" s="108" t="inlineStr">
        <is>
          <t>GH-ICGA Layer 1 (Governance) — SAMA-CSF maturity model is an important reference for GH-ICGA's own maturity assessment design. Thesis: GH-ICGA proposes adapting SAMA-CSF's 6-level maturity model for healthcare IoT governance assessment — the financial sector's approach provides a tested template for health sector adoption</t>
        </is>
      </c>
      <c r="AP90" s="34" t="inlineStr">
        <is>
          <t>G + R + C (sector-specific GRC framework — most comprehensive in GRC terms for financial sector)</t>
        </is>
      </c>
      <c r="AQ90" s="109" t="inlineStr">
        <is>
          <t>Board: approve cybersecurity strategy annually; review maturity scores; ensure CISO reporting line. CISO: present quarterly to board; own SAMA-CSF self-assessment. Risk Committee: integrate cyber risk into enterprise risk. Compliance: monitor SAMA regulatory requirements</t>
        </is>
      </c>
      <c r="AR90" s="104" t="inlineStr">
        <is>
          <t>Cyber Risk; Operational Risk; Third-Party Risk; Systemic Risk (financial sector contagion); Reputational Risk; Regulatory Risk</t>
        </is>
      </c>
      <c r="AS90" s="61" t="inlineStr">
        <is>
          <t>REGULATORY — SAMA mandatory circular for all regulated entities. Enforced through SAMA supervisory examinations. No published maximum fine but SAMA can: suspend licence; impose mandatory remediation; require capital buffer for cyber risk</t>
        </is>
      </c>
      <c r="AT90" s="105" t="inlineStr">
        <is>
          <t>Administrative (A): 45 controls — governance; policy; awareness; HR. Technical (T): 42 controls — access management; operations security; incident management. Physical (P): 12 controls — physical security. Operational (O): 15 controls — vendor management; BCP</t>
        </is>
      </c>
      <c r="AU90" s="110" t="inlineStr">
        <is>
          <t>1. SAMA-CSF self-assessment score per domain (target maturity level 3+ / 5 domains). 2. Maturity progression year-on-year. 3. # critical cyber incidents per year. 4. Third-party risk assessment completion rate (target 100% for critical vendors). 5. % staff passed cybersecurity awareness training. 6. Penetration test findings remediation rate</t>
        </is>
      </c>
      <c r="AV90" s="111" t="inlineStr">
        <is>
          <t>Annual SAMA-CSF self-assessment (mandatory — submitted to SAMA); SAMA supervisory examination (every 3 years for major entities); external penetration test (annual); Red team exercise (every 2-3 years for Tier 1 entities); BCP/DR test (annual)</t>
        </is>
      </c>
      <c r="AW90" s="112" t="inlineStr">
        <is>
          <t>IBM OpenPages; RSA Archer; CURA Risk Management; ServiceNow GRC; MetricStream; Resolver. KSA: Maqsam (local GRC tool); FICO Advisors. SAMA-approved assessment tools</t>
        </is>
      </c>
      <c r="AX90" s="113" t="inlineStr">
        <is>
          <t>All critical third parties: SAMA-CSF compliance assessment before engagement; annual reassessment; contractual right-to-audit; exit plan mandatory; cloud providers: SAMA Cloud Policy compliance; No data sharing without due diligence; sub-outsourcing requires SAMA prior approval for material activities</t>
        </is>
      </c>
      <c r="AY90" s="114" t="inlineStr">
        <is>
          <t>Low maturity (Level 1-2 in critical domains): SAMA mandatory remediation plan + deadline; regulatory capital impact consideration; reputational risk from SAMA disclosure. Licence conditions possible. For health insurers: CCHI + SAMA dual-regulator scrutiny</t>
        </is>
      </c>
      <c r="AZ90" s="111" t="inlineStr">
        <is>
          <t>Financial Regulators; Healthcare &amp; Life Sciences (health insurers)</t>
        </is>
      </c>
      <c r="BA90" s="41" t="inlineStr">
        <is>
          <t>Sector-Specific</t>
        </is>
      </c>
      <c r="BB90" s="591">
        <f>IF(E90="","",IF(ISNUMBER(SEARCH("Institutional theory and regulatory governance theory underpin",AI90)),"TEMPLATE",IF(LEN(AI90)&gt;100,"DEEP",IF(AI90="","SPARSE","SHALLOW"))))</f>
        <v/>
      </c>
      <c r="BC90" s="591">
        <f>IF(E90="","",D90&amp;"-"&amp;B90&amp;"-"&amp;E90)</f>
        <v/>
      </c>
      <c r="BD90" s="591">
        <f>IF(E90="","",SUBSTITUTE(SUBSTITUTE(B90&amp;"-"&amp;E90," ",""),":","-"))</f>
        <v/>
      </c>
      <c r="BE90" s="591">
        <f>IF(E90="","",IF(ISNUMBER(SEARCH("ECC",E90)),"NCA-ECC-2-2024",IF(ISNUMBER(SEARCH("OTCC",E90)),"NCA-ECC-2-2024",IF(ISNUMBER(SEARCH("CCC",E90)),"NCA-ECC-2-2024",IF(ISNUMBER(SEARCH("DCC",E90)),"NCA-ECC-2-2024",IF(ISNUMBER(SEARCH("CSCC",E90)),"NCA-ECC-2-2024",IF(ISNUMBER(SEARCH("PDPL-IR",E90)),"PDPL-2021",IF(ISNUMBER(SEARCH("PDPL-DTR",E90)),"PDPL-2021","NONE"))))))))</f>
        <v/>
      </c>
      <c r="BF90" s="594">
        <f>IF(E90="","",IF(BB90="DEEP",10,IF(BB90="SHALLOW",5,IF(BB90="TEMPLATE",3,1)))+IF(N90="HIGHEST",5,IF(N90="HIGH",3,IF(N90="MODERATE",1,0)))+IF(ISNUMBER(SEARCH("Mandatory",L90)),3,0))</f>
        <v/>
      </c>
    </row>
    <row r="91" ht="42" customHeight="1">
      <c r="A91" s="42" t="n">
        <v>84</v>
      </c>
      <c r="B91" s="115" t="inlineStr">
        <is>
          <t>SAMA</t>
        </is>
      </c>
      <c r="C91" s="44" t="inlineStr">
        <is>
          <t>Saudi Central Bank</t>
        </is>
      </c>
      <c r="D91" s="44" t="inlineStr">
        <is>
          <t>5. Financial Regulators</t>
        </is>
      </c>
      <c r="E91" s="115" t="inlineStr">
        <is>
          <t>SAMA-AML</t>
        </is>
      </c>
      <c r="F91" s="45" t="inlineStr">
        <is>
          <t>Anti-Money Laundering Regulations</t>
        </is>
      </c>
      <c r="G91" s="44" t="inlineStr">
        <is>
          <t>قواعد مكافحة غسل الأموال</t>
        </is>
      </c>
      <c r="H91" s="44" t="inlineStr">
        <is>
          <t>Updated 2024</t>
        </is>
      </c>
      <c r="I91" s="46" t="inlineStr">
        <is>
          <t>2012</t>
        </is>
      </c>
      <c r="J91" s="46" t="inlineStr">
        <is>
          <t>167</t>
        </is>
      </c>
      <c r="K91" s="44" t="inlineStr">
        <is>
          <t>ISSUES/ENFORCES</t>
        </is>
      </c>
      <c r="L91" s="22" t="inlineStr">
        <is>
          <t>Mandatory Enforcer</t>
        </is>
      </c>
      <c r="M91" s="44" t="inlineStr">
        <is>
          <t>All SAMA-regulated financial institutions</t>
        </is>
      </c>
      <c r="N91" s="59" t="inlineStr">
        <is>
          <t>LOW</t>
        </is>
      </c>
      <c r="O91" s="48" t="inlineStr">
        <is>
          <t>https://www.sama.gov.sa/</t>
        </is>
      </c>
      <c r="P91" s="44" t="inlineStr">
        <is>
          <t>SAMA official</t>
        </is>
      </c>
      <c r="Q91" s="98" t="inlineStr">
        <is>
          <t>First 2012 → major update 2024; aligned with FATF recommendations</t>
        </is>
      </c>
      <c r="R91" s="98" t="inlineStr">
        <is>
          <t>FATF-aligned AML/CTF framework. 167 controls covering: customer due diligence, enhanced due diligence for high-risk customers, transaction monitoring, STR/SAR reporting to SAFIU, correspondent banking, PEP screening. 2024 update: virtual asset coverage; beneficial ownership enhanced; digital onboarding AML requirements. Healthcare relevance: health insurance premium fraud, medical billing fraud</t>
        </is>
      </c>
      <c r="S91" s="100" t="inlineStr">
        <is>
          <t>First: 2012. Major update: 2024</t>
        </is>
      </c>
      <c r="T91" s="98" t="inlineStr">
        <is>
          <t>Updated with FATF mutual evaluation recommendations</t>
        </is>
      </c>
      <c r="U91" s="25" t="inlineStr">
        <is>
          <t>CURRENT — 2024 version</t>
        </is>
      </c>
      <c r="V91" s="98" t="inlineStr">
        <is>
          <t>Penalties defined by issuing authority; consult official source. NCA ECC-2 penalties apply if relevant</t>
        </is>
      </c>
      <c r="W91" s="99" t="inlineStr">
        <is>
          <t>Issuing authority and/or designated inspection department</t>
        </is>
      </c>
      <c r="X91" s="98" t="inlineStr">
        <is>
          <t>As specified in framework scope — consult official document</t>
        </is>
      </c>
      <c r="Y91" s="49" t="inlineStr">
        <is>
          <t>Both (unless specified otherwise in official document)</t>
        </is>
      </c>
      <c r="Z91" s="98" t="inlineStr">
        <is>
          <t>As defined by issuing authority</t>
        </is>
      </c>
      <c r="AA91" s="100" t="inlineStr">
        <is>
          <t>As defined by issuing authority</t>
        </is>
      </c>
      <c r="AB91" s="98" t="inlineStr">
        <is>
          <t>To be determined from framework text — see official source</t>
        </is>
      </c>
      <c r="AC91" s="98" t="inlineStr">
        <is>
          <t>See framework preamble for international standard references</t>
        </is>
      </c>
      <c r="AD91" s="49" t="inlineStr">
        <is>
          <t>Arabic (primary in KSA); English may be available</t>
        </is>
      </c>
      <c r="AE91" s="58" t="inlineStr">
        <is>
          <t>Mapped to relevant GH-ICGA layer — requires manual assessment</t>
        </is>
      </c>
      <c r="AF91" s="56" t="inlineStr">
        <is>
          <t>See official framework for maturity model details</t>
        </is>
      </c>
      <c r="AG91" s="98" t="inlineStr">
        <is>
          <t>Aligned with relevant Vision 2030 programme — see framework context</t>
        </is>
      </c>
      <c r="AH91" s="98" t="inlineStr">
        <is>
          <t>As specified in framework compliance requirements</t>
        </is>
      </c>
      <c r="AI91" s="103" t="inlineStr">
        <is>
          <t>Institutional theory and regulatory governance theory underpin all KSA regulatory frameworks. Specific theoretical basis varies by framework — consult academic literature via Google Scholar using framework name as search term.</t>
        </is>
      </c>
      <c r="AJ91" s="98" t="inlineStr">
        <is>
          <t>Academic debate varies by framework maturity and international adoption. For KSA-specific debate, consult: Almohammad &amp; Wills (2021) J Cybersecurity; Al-Khater et al. (2020) IEEE Access; Baker McKenzie KSA regulatory updates.</t>
        </is>
      </c>
      <c r="AK91" s="104" t="inlineStr">
        <is>
          <t>Known criticisms include: implementation gap between standards and practice; resource constraints for smaller healthcare entities; rapid technology evolution outpacing regulation. Consult framework evaluation literature for specifics.</t>
        </is>
      </c>
      <c r="AL91" s="105" t="inlineStr">
        <is>
          <t>Framework comparison requires contextual analysis. Key comparators: NIST CSF 2.0 (international benchmark), ISO 27001 (certifiable standard), ECC-2 (KSA mandatory baseline). See main database for cross-framework mapping.</t>
        </is>
      </c>
      <c r="AM91" s="10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91" s="107" t="inlineStr">
        <is>
          <t>Official: Consult the official source URL in the database for the primary document. Training: ISACA, ISC2, RAPS, IAPP, and HIMSS offer professional development covering most regulatory domains. Estimated hours vary by framework complexity.</t>
        </is>
      </c>
      <c r="AO91" s="108" t="inlineStr">
        <is>
          <t>Relevance to GH-ICGA framework varies by layer — see GH-ICGA Layer Mapping column. All KSA mandatory frameworks are compliance inputs to GH-ICGA Layer 4. Frameworks with IoMT-specific provisions directly inform Layers 2 and 3.</t>
        </is>
      </c>
      <c r="AP91" s="51" t="inlineStr">
        <is>
          <t>G + C (Governance + Compliance — standard regulatory framework positioning)</t>
        </is>
      </c>
      <c r="AQ91" s="109" t="inlineStr">
        <is>
          <t>Senior management: accountability for framework compliance. Designated compliance officer: monitor requirements. All staff: awareness of applicable obligations</t>
        </is>
      </c>
      <c r="AR91" s="104" t="inlineStr">
        <is>
          <t>Regulatory Risk; Operational Risk; Reputational Risk — specific domains determined by framework scope</t>
        </is>
      </c>
      <c r="AS91" s="22" t="inlineStr">
        <is>
          <t>See official source — legal obligation, regulatory requirement, or voluntary standard as applicable</t>
        </is>
      </c>
      <c r="AT91" s="105" t="inlineStr">
        <is>
          <t>Administrative; Technical; Operational — specific distribution determined by framework content</t>
        </is>
      </c>
      <c r="AU91" s="110" t="inlineStr">
        <is>
          <t>1. Compliance status (compliant/non-compliant). 2. # open findings from last assessment. 3. % controls implemented. 4. Time to remediate findings. 5. Incident rate in framework scope area</t>
        </is>
      </c>
      <c r="AV91" s="111" t="inlineStr">
        <is>
          <t>Self-assessment; internal audit; external assessment as specified by issuing authority</t>
        </is>
      </c>
      <c r="AW91" s="112" t="inlineStr">
        <is>
          <t>ServiceNow GRC; IBM OpenPages; RSA Archer; MetricStream — all major GRC platforms support custom framework import. Contact vendor for framework-specific module</t>
        </is>
      </c>
      <c r="AX91" s="113" t="inlineStr">
        <is>
          <t>Third parties in scope must demonstrate equivalent compliance. Contractual compliance obligations; right-to-audit clauses; annual third-party assessment</t>
        </is>
      </c>
      <c r="AY91" s="114" t="inlineStr">
        <is>
          <t>Non-compliance: regulatory action by issuing authority; fines and penalties as specified; operational and reputational consequences</t>
        </is>
      </c>
      <c r="AZ91" s="111" t="inlineStr">
        <is>
          <t>Financial Regulators</t>
        </is>
      </c>
      <c r="BA91" s="41" t="inlineStr">
        <is>
          <t>Sector-Specific</t>
        </is>
      </c>
      <c r="BB91" s="591">
        <f>IF(E91="","",IF(ISNUMBER(SEARCH("Institutional theory and regulatory governance theory underpin",AI91)),"TEMPLATE",IF(LEN(AI91)&gt;100,"DEEP",IF(AI91="","SPARSE","SHALLOW"))))</f>
        <v/>
      </c>
      <c r="BC91" s="591">
        <f>IF(E91="","",D91&amp;"-"&amp;B91&amp;"-"&amp;E91)</f>
        <v/>
      </c>
      <c r="BD91" s="591">
        <f>IF(E91="","",SUBSTITUTE(SUBSTITUTE(B91&amp;"-"&amp;E91," ",""),":","-"))</f>
        <v/>
      </c>
      <c r="BE91" s="591">
        <f>IF(E91="","",IF(ISNUMBER(SEARCH("ECC",E91)),"NCA-ECC-2-2024",IF(ISNUMBER(SEARCH("OTCC",E91)),"NCA-ECC-2-2024",IF(ISNUMBER(SEARCH("CCC",E91)),"NCA-ECC-2-2024",IF(ISNUMBER(SEARCH("DCC",E91)),"NCA-ECC-2-2024",IF(ISNUMBER(SEARCH("CSCC",E91)),"NCA-ECC-2-2024",IF(ISNUMBER(SEARCH("PDPL-IR",E91)),"PDPL-2021",IF(ISNUMBER(SEARCH("PDPL-DTR",E91)),"PDPL-2021","NONE"))))))))</f>
        <v/>
      </c>
      <c r="BF91" s="594">
        <f>IF(E91="","",IF(BB91="DEEP",10,IF(BB91="SHALLOW",5,IF(BB91="TEMPLATE",3,1)))+IF(N91="HIGHEST",5,IF(N91="HIGH",3,IF(N91="MODERATE",1,0)))+IF(ISNUMBER(SEARCH("Mandatory",L91)),3,0))</f>
        <v/>
      </c>
    </row>
    <row r="92" ht="42" customHeight="1">
      <c r="A92" s="96" t="n">
        <v>85</v>
      </c>
      <c r="B92" s="97" t="inlineStr">
        <is>
          <t>SAMA</t>
        </is>
      </c>
      <c r="C92" s="98" t="inlineStr">
        <is>
          <t>Saudi Central Bank</t>
        </is>
      </c>
      <c r="D92" s="98" t="inlineStr">
        <is>
          <t>5. Financial Regulators</t>
        </is>
      </c>
      <c r="E92" s="97" t="inlineStr">
        <is>
          <t>SAMA-OBF</t>
        </is>
      </c>
      <c r="F92" s="99" t="inlineStr">
        <is>
          <t>Open Banking Framework</t>
        </is>
      </c>
      <c r="G92" s="98" t="inlineStr">
        <is>
          <t>إطار الخدمات المصرفية المفتوحة</t>
        </is>
      </c>
      <c r="H92" s="98" t="inlineStr">
        <is>
          <t>2022</t>
        </is>
      </c>
      <c r="I92" s="100" t="inlineStr">
        <is>
          <t>2022</t>
        </is>
      </c>
      <c r="J92" s="100" t="inlineStr">
        <is>
          <t>45</t>
        </is>
      </c>
      <c r="K92" s="98" t="inlineStr">
        <is>
          <t>ISSUES/ENFORCES</t>
        </is>
      </c>
      <c r="L92" s="22" t="inlineStr">
        <is>
          <t>Mandatory Enforcer</t>
        </is>
      </c>
      <c r="M92" s="98" t="inlineStr">
        <is>
          <t>Banks and payment providers</t>
        </is>
      </c>
      <c r="N92" s="116" t="inlineStr">
        <is>
          <t>LOW</t>
        </is>
      </c>
      <c r="O92" s="102" t="inlineStr">
        <is>
          <t>https://www.sama.gov.sa/</t>
        </is>
      </c>
      <c r="P92" s="98" t="inlineStr">
        <is>
          <t>SAMA official</t>
        </is>
      </c>
      <c r="Q92" s="98" t="inlineStr">
        <is>
          <t>See official source for version history</t>
        </is>
      </c>
      <c r="R92" s="98" t="inlineStr">
        <is>
          <t>Framework issued by the relevant authority. Version details available on the official website referenced in the source URL column. The framework has been updated periodically since first issuance.</t>
        </is>
      </c>
      <c r="S92" s="100" t="inlineStr">
        <is>
          <t>See official source</t>
        </is>
      </c>
      <c r="T92" s="98" t="inlineStr">
        <is>
          <t>Updated as needed by the issuing authority</t>
        </is>
      </c>
      <c r="U92" s="25" t="inlineStr">
        <is>
          <t>CURRENT — consult official source for latest version</t>
        </is>
      </c>
      <c r="V92" s="98" t="inlineStr">
        <is>
          <t>Penalties defined by issuing authority; consult official source. NCA ECC-2 penalties apply if relevant</t>
        </is>
      </c>
      <c r="W92" s="99" t="inlineStr">
        <is>
          <t>Issuing authority and/or designated inspection department</t>
        </is>
      </c>
      <c r="X92" s="98" t="inlineStr">
        <is>
          <t>As specified in framework scope — consult official document</t>
        </is>
      </c>
      <c r="Y92" s="49" t="inlineStr">
        <is>
          <t>Both (unless specified otherwise in official document)</t>
        </is>
      </c>
      <c r="Z92" s="98" t="inlineStr">
        <is>
          <t>As defined by issuing authority</t>
        </is>
      </c>
      <c r="AA92" s="100" t="inlineStr">
        <is>
          <t>As defined by issuing authority</t>
        </is>
      </c>
      <c r="AB92" s="98" t="inlineStr">
        <is>
          <t>To be determined from framework text — see official source</t>
        </is>
      </c>
      <c r="AC92" s="98" t="inlineStr">
        <is>
          <t>See framework preamble for international standard references</t>
        </is>
      </c>
      <c r="AD92" s="49" t="inlineStr">
        <is>
          <t>Arabic (primary in KSA); English may be available</t>
        </is>
      </c>
      <c r="AE92" s="58" t="inlineStr">
        <is>
          <t>Mapped to relevant GH-ICGA layer — requires manual assessment</t>
        </is>
      </c>
      <c r="AF92" s="56" t="inlineStr">
        <is>
          <t>See official framework for maturity model details</t>
        </is>
      </c>
      <c r="AG92" s="98" t="inlineStr">
        <is>
          <t>Aligned with relevant Vision 2030 programme — see framework context</t>
        </is>
      </c>
      <c r="AH92" s="98" t="inlineStr">
        <is>
          <t>As specified in framework compliance requirements</t>
        </is>
      </c>
      <c r="AI92" s="103" t="inlineStr">
        <is>
          <t>Institutional theory and regulatory governance theory underpin all KSA regulatory frameworks. Specific theoretical basis varies by framework — consult academic literature via Google Scholar using framework name as search term.</t>
        </is>
      </c>
      <c r="AJ92" s="98" t="inlineStr">
        <is>
          <t>Academic debate varies by framework maturity and international adoption. For KSA-specific debate, consult: Almohammad &amp; Wills (2021) J Cybersecurity; Al-Khater et al. (2020) IEEE Access; Baker McKenzie KSA regulatory updates.</t>
        </is>
      </c>
      <c r="AK92" s="104" t="inlineStr">
        <is>
          <t>Known criticisms include: implementation gap between standards and practice; resource constraints for smaller healthcare entities; rapid technology evolution outpacing regulation. Consult framework evaluation literature for specifics.</t>
        </is>
      </c>
      <c r="AL92" s="105" t="inlineStr">
        <is>
          <t>Framework comparison requires contextual analysis. Key comparators: NIST CSF 2.0 (international benchmark), ISO 27001 (certifiable standard), ECC-2 (KSA mandatory baseline). See main database for cross-framework mapping.</t>
        </is>
      </c>
      <c r="AM92" s="10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92" s="107" t="inlineStr">
        <is>
          <t>Official: Consult the official source URL in the database for the primary document. Training: ISACA, ISC2, RAPS, IAPP, and HIMSS offer professional development covering most regulatory domains. Estimated hours vary by framework complexity.</t>
        </is>
      </c>
      <c r="AO92" s="108" t="inlineStr">
        <is>
          <t>Relevance to GH-ICGA framework varies by layer — see GH-ICGA Layer Mapping column. All KSA mandatory frameworks are compliance inputs to GH-ICGA Layer 4. Frameworks with IoMT-specific provisions directly inform Layers 2 and 3.</t>
        </is>
      </c>
      <c r="AP92" s="51" t="inlineStr">
        <is>
          <t>G + C (Governance + Compliance — standard regulatory framework positioning)</t>
        </is>
      </c>
      <c r="AQ92" s="109" t="inlineStr">
        <is>
          <t>Senior management: accountability for framework compliance. Designated compliance officer: monitor requirements. All staff: awareness of applicable obligations</t>
        </is>
      </c>
      <c r="AR92" s="104" t="inlineStr">
        <is>
          <t>Regulatory Risk; Operational Risk; Reputational Risk — specific domains determined by framework scope</t>
        </is>
      </c>
      <c r="AS92" s="22" t="inlineStr">
        <is>
          <t>See official source — legal obligation, regulatory requirement, or voluntary standard as applicable</t>
        </is>
      </c>
      <c r="AT92" s="105" t="inlineStr">
        <is>
          <t>Administrative; Technical; Operational — specific distribution determined by framework content</t>
        </is>
      </c>
      <c r="AU92" s="110" t="inlineStr">
        <is>
          <t>1. Compliance status (compliant/non-compliant). 2. # open findings from last assessment. 3. % controls implemented. 4. Time to remediate findings. 5. Incident rate in framework scope area</t>
        </is>
      </c>
      <c r="AV92" s="111" t="inlineStr">
        <is>
          <t>Self-assessment; internal audit; external assessment as specified by issuing authority</t>
        </is>
      </c>
      <c r="AW92" s="112" t="inlineStr">
        <is>
          <t>ServiceNow GRC; IBM OpenPages; RSA Archer; MetricStream — all major GRC platforms support custom framework import. Contact vendor for framework-specific module</t>
        </is>
      </c>
      <c r="AX92" s="113" t="inlineStr">
        <is>
          <t>Third parties in scope must demonstrate equivalent compliance. Contractual compliance obligations; right-to-audit clauses; annual third-party assessment</t>
        </is>
      </c>
      <c r="AY92" s="114" t="inlineStr">
        <is>
          <t>Non-compliance: regulatory action by issuing authority; fines and penalties as specified; operational and reputational consequences</t>
        </is>
      </c>
      <c r="AZ92" s="111" t="inlineStr">
        <is>
          <t>Financial Regulators</t>
        </is>
      </c>
      <c r="BA92" s="41" t="inlineStr">
        <is>
          <t>Sector-Specific</t>
        </is>
      </c>
      <c r="BB92" s="591">
        <f>IF(E92="","",IF(ISNUMBER(SEARCH("Institutional theory and regulatory governance theory underpin",AI92)),"TEMPLATE",IF(LEN(AI92)&gt;100,"DEEP",IF(AI92="","SPARSE","SHALLOW"))))</f>
        <v/>
      </c>
      <c r="BC92" s="591">
        <f>IF(E92="","",D92&amp;"-"&amp;B92&amp;"-"&amp;E92)</f>
        <v/>
      </c>
      <c r="BD92" s="591">
        <f>IF(E92="","",SUBSTITUTE(SUBSTITUTE(B92&amp;"-"&amp;E92," ",""),":","-"))</f>
        <v/>
      </c>
      <c r="BE92" s="591">
        <f>IF(E92="","",IF(ISNUMBER(SEARCH("ECC",E92)),"NCA-ECC-2-2024",IF(ISNUMBER(SEARCH("OTCC",E92)),"NCA-ECC-2-2024",IF(ISNUMBER(SEARCH("CCC",E92)),"NCA-ECC-2-2024",IF(ISNUMBER(SEARCH("DCC",E92)),"NCA-ECC-2-2024",IF(ISNUMBER(SEARCH("CSCC",E92)),"NCA-ECC-2-2024",IF(ISNUMBER(SEARCH("PDPL-IR",E92)),"PDPL-2021",IF(ISNUMBER(SEARCH("PDPL-DTR",E92)),"PDPL-2021","NONE"))))))))</f>
        <v/>
      </c>
      <c r="BF92" s="594">
        <f>IF(E92="","",IF(BB92="DEEP",10,IF(BB92="SHALLOW",5,IF(BB92="TEMPLATE",3,1)))+IF(N92="HIGHEST",5,IF(N92="HIGH",3,IF(N92="MODERATE",1,0)))+IF(ISNUMBER(SEARCH("Mandatory",L92)),3,0))</f>
        <v/>
      </c>
    </row>
    <row r="93" ht="42" customHeight="1">
      <c r="A93" s="42" t="n">
        <v>86</v>
      </c>
      <c r="B93" s="115" t="inlineStr">
        <is>
          <t>SAMA</t>
        </is>
      </c>
      <c r="C93" s="44" t="inlineStr">
        <is>
          <t>Saudi Central Bank</t>
        </is>
      </c>
      <c r="D93" s="44" t="inlineStr">
        <is>
          <t>5. Financial Regulators</t>
        </is>
      </c>
      <c r="E93" s="115" t="inlineStr">
        <is>
          <t>SAMA-PSR</t>
        </is>
      </c>
      <c r="F93" s="45" t="inlineStr">
        <is>
          <t>Payment Services Regulations</t>
        </is>
      </c>
      <c r="G93" s="44" t="inlineStr">
        <is>
          <t>لائحة خدمات الدفع</t>
        </is>
      </c>
      <c r="H93" s="44" t="inlineStr">
        <is>
          <t>2021</t>
        </is>
      </c>
      <c r="I93" s="46" t="inlineStr">
        <is>
          <t>2021</t>
        </is>
      </c>
      <c r="J93" s="46" t="inlineStr">
        <is>
          <t>67</t>
        </is>
      </c>
      <c r="K93" s="44" t="inlineStr">
        <is>
          <t>ISSUES/ENFORCES</t>
        </is>
      </c>
      <c r="L93" s="22" t="inlineStr">
        <is>
          <t>Mandatory Enforcer</t>
        </is>
      </c>
      <c r="M93" s="44" t="inlineStr">
        <is>
          <t>Payment service providers — hospital billing</t>
        </is>
      </c>
      <c r="N93" s="59" t="inlineStr">
        <is>
          <t>LOW</t>
        </is>
      </c>
      <c r="O93" s="48" t="inlineStr">
        <is>
          <t>https://www.sama.gov.sa/</t>
        </is>
      </c>
      <c r="P93" s="44" t="inlineStr">
        <is>
          <t>SAMA official</t>
        </is>
      </c>
      <c r="Q93" s="98" t="inlineStr">
        <is>
          <t>See official source for version history</t>
        </is>
      </c>
      <c r="R93" s="98" t="inlineStr">
        <is>
          <t>Framework issued by the relevant authority. Version details available on the official website referenced in the source URL column. The framework has been updated periodically since first issuance.</t>
        </is>
      </c>
      <c r="S93" s="100" t="inlineStr">
        <is>
          <t>See official source</t>
        </is>
      </c>
      <c r="T93" s="98" t="inlineStr">
        <is>
          <t>Updated as needed by the issuing authority</t>
        </is>
      </c>
      <c r="U93" s="25" t="inlineStr">
        <is>
          <t>CURRENT — consult official source for latest version</t>
        </is>
      </c>
      <c r="V93" s="98" t="inlineStr">
        <is>
          <t>Penalties defined by issuing authority; consult official source. NCA ECC-2 penalties apply if relevant</t>
        </is>
      </c>
      <c r="W93" s="99" t="inlineStr">
        <is>
          <t>Issuing authority and/or designated inspection department</t>
        </is>
      </c>
      <c r="X93" s="98" t="inlineStr">
        <is>
          <t>As specified in framework scope — consult official document</t>
        </is>
      </c>
      <c r="Y93" s="49" t="inlineStr">
        <is>
          <t>Both (unless specified otherwise in official document)</t>
        </is>
      </c>
      <c r="Z93" s="98" t="inlineStr">
        <is>
          <t>As defined by issuing authority</t>
        </is>
      </c>
      <c r="AA93" s="100" t="inlineStr">
        <is>
          <t>As defined by issuing authority</t>
        </is>
      </c>
      <c r="AB93" s="98" t="inlineStr">
        <is>
          <t>To be determined from framework text — see official source</t>
        </is>
      </c>
      <c r="AC93" s="98" t="inlineStr">
        <is>
          <t>See framework preamble for international standard references</t>
        </is>
      </c>
      <c r="AD93" s="49" t="inlineStr">
        <is>
          <t>Arabic (primary in KSA); English may be available</t>
        </is>
      </c>
      <c r="AE93" s="58" t="inlineStr">
        <is>
          <t>Mapped to relevant GH-ICGA layer — requires manual assessment</t>
        </is>
      </c>
      <c r="AF93" s="56" t="inlineStr">
        <is>
          <t>See official framework for maturity model details</t>
        </is>
      </c>
      <c r="AG93" s="98" t="inlineStr">
        <is>
          <t>Aligned with relevant Vision 2030 programme — see framework context</t>
        </is>
      </c>
      <c r="AH93" s="98" t="inlineStr">
        <is>
          <t>As specified in framework compliance requirements</t>
        </is>
      </c>
      <c r="AI93" s="103" t="inlineStr">
        <is>
          <t>Institutional theory and regulatory governance theory underpin all KSA regulatory frameworks. Specific theoretical basis varies by framework — consult academic literature via Google Scholar using framework name as search term.</t>
        </is>
      </c>
      <c r="AJ93" s="98" t="inlineStr">
        <is>
          <t>Academic debate varies by framework maturity and international adoption. For KSA-specific debate, consult: Almohammad &amp; Wills (2021) J Cybersecurity; Al-Khater et al. (2020) IEEE Access; Baker McKenzie KSA regulatory updates.</t>
        </is>
      </c>
      <c r="AK93" s="104" t="inlineStr">
        <is>
          <t>Known criticisms include: implementation gap between standards and practice; resource constraints for smaller healthcare entities; rapid technology evolution outpacing regulation. Consult framework evaluation literature for specifics.</t>
        </is>
      </c>
      <c r="AL93" s="105" t="inlineStr">
        <is>
          <t>Framework comparison requires contextual analysis. Key comparators: NIST CSF 2.0 (international benchmark), ISO 27001 (certifiable standard), ECC-2 (KSA mandatory baseline). See main database for cross-framework mapping.</t>
        </is>
      </c>
      <c r="AM93" s="10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93" s="107" t="inlineStr">
        <is>
          <t>Official: Consult the official source URL in the database for the primary document. Training: ISACA, ISC2, RAPS, IAPP, and HIMSS offer professional development covering most regulatory domains. Estimated hours vary by framework complexity.</t>
        </is>
      </c>
      <c r="AO93" s="108" t="inlineStr">
        <is>
          <t>Relevance to GH-ICGA framework varies by layer — see GH-ICGA Layer Mapping column. All KSA mandatory frameworks are compliance inputs to GH-ICGA Layer 4. Frameworks with IoMT-specific provisions directly inform Layers 2 and 3.</t>
        </is>
      </c>
      <c r="AP93" s="51" t="inlineStr">
        <is>
          <t>G + C (Governance + Compliance — standard regulatory framework positioning)</t>
        </is>
      </c>
      <c r="AQ93" s="109" t="inlineStr">
        <is>
          <t>Senior management: accountability for framework compliance. Designated compliance officer: monitor requirements. All staff: awareness of applicable obligations</t>
        </is>
      </c>
      <c r="AR93" s="104" t="inlineStr">
        <is>
          <t>Regulatory Risk; Operational Risk; Reputational Risk — specific domains determined by framework scope</t>
        </is>
      </c>
      <c r="AS93" s="22" t="inlineStr">
        <is>
          <t>See official source — legal obligation, regulatory requirement, or voluntary standard as applicable</t>
        </is>
      </c>
      <c r="AT93" s="105" t="inlineStr">
        <is>
          <t>Administrative; Technical; Operational — specific distribution determined by framework content</t>
        </is>
      </c>
      <c r="AU93" s="110" t="inlineStr">
        <is>
          <t>1. Compliance status (compliant/non-compliant). 2. # open findings from last assessment. 3. % controls implemented. 4. Time to remediate findings. 5. Incident rate in framework scope area</t>
        </is>
      </c>
      <c r="AV93" s="111" t="inlineStr">
        <is>
          <t>Self-assessment; internal audit; external assessment as specified by issuing authority</t>
        </is>
      </c>
      <c r="AW93" s="112" t="inlineStr">
        <is>
          <t>ServiceNow GRC; IBM OpenPages; RSA Archer; MetricStream — all major GRC platforms support custom framework import. Contact vendor for framework-specific module</t>
        </is>
      </c>
      <c r="AX93" s="113" t="inlineStr">
        <is>
          <t>Third parties in scope must demonstrate equivalent compliance. Contractual compliance obligations; right-to-audit clauses; annual third-party assessment</t>
        </is>
      </c>
      <c r="AY93" s="114" t="inlineStr">
        <is>
          <t>Non-compliance: regulatory action by issuing authority; fines and penalties as specified; operational and reputational consequences</t>
        </is>
      </c>
      <c r="AZ93" s="111" t="inlineStr">
        <is>
          <t>Financial Regulators; Industry &amp; Trade (payment providers)</t>
        </is>
      </c>
      <c r="BA93" s="41" t="inlineStr">
        <is>
          <t>Sector-Specific</t>
        </is>
      </c>
      <c r="BB93" s="591">
        <f>IF(E93="","",IF(ISNUMBER(SEARCH("Institutional theory and regulatory governance theory underpin",AI93)),"TEMPLATE",IF(LEN(AI93)&gt;100,"DEEP",IF(AI93="","SPARSE","SHALLOW"))))</f>
        <v/>
      </c>
      <c r="BC93" s="591">
        <f>IF(E93="","",D93&amp;"-"&amp;B93&amp;"-"&amp;E93)</f>
        <v/>
      </c>
      <c r="BD93" s="591">
        <f>IF(E93="","",SUBSTITUTE(SUBSTITUTE(B93&amp;"-"&amp;E93," ",""),":","-"))</f>
        <v/>
      </c>
      <c r="BE93" s="591">
        <f>IF(E93="","",IF(ISNUMBER(SEARCH("ECC",E93)),"NCA-ECC-2-2024",IF(ISNUMBER(SEARCH("OTCC",E93)),"NCA-ECC-2-2024",IF(ISNUMBER(SEARCH("CCC",E93)),"NCA-ECC-2-2024",IF(ISNUMBER(SEARCH("DCC",E93)),"NCA-ECC-2-2024",IF(ISNUMBER(SEARCH("CSCC",E93)),"NCA-ECC-2-2024",IF(ISNUMBER(SEARCH("PDPL-IR",E93)),"PDPL-2021",IF(ISNUMBER(SEARCH("PDPL-DTR",E93)),"PDPL-2021","NONE"))))))))</f>
        <v/>
      </c>
      <c r="BF93" s="594">
        <f>IF(E93="","",IF(BB93="DEEP",10,IF(BB93="SHALLOW",5,IF(BB93="TEMPLATE",3,1)))+IF(N93="HIGHEST",5,IF(N93="HIGH",3,IF(N93="MODERATE",1,0)))+IF(ISNUMBER(SEARCH("Mandatory",L93)),3,0))</f>
        <v/>
      </c>
    </row>
    <row r="94" ht="42" customHeight="1">
      <c r="A94" s="96" t="n">
        <v>87</v>
      </c>
      <c r="B94" s="97" t="inlineStr">
        <is>
          <t>SAMA</t>
        </is>
      </c>
      <c r="C94" s="98" t="inlineStr">
        <is>
          <t>Saudi Central Bank</t>
        </is>
      </c>
      <c r="D94" s="98" t="inlineStr">
        <is>
          <t>5. Financial Regulators</t>
        </is>
      </c>
      <c r="E94" s="97" t="inlineStr">
        <is>
          <t>SAMA-ITGF</t>
        </is>
      </c>
      <c r="F94" s="99" t="inlineStr">
        <is>
          <t>IT Governance Framework</t>
        </is>
      </c>
      <c r="G94" s="98" t="inlineStr">
        <is>
          <t>إطار حوكمة تقنية المعلومات</t>
        </is>
      </c>
      <c r="H94" s="98" t="inlineStr">
        <is>
          <t>Updated 2021</t>
        </is>
      </c>
      <c r="I94" s="100" t="inlineStr">
        <is>
          <t>2017</t>
        </is>
      </c>
      <c r="J94" s="100" t="inlineStr">
        <is>
          <t>55</t>
        </is>
      </c>
      <c r="K94" s="98" t="inlineStr">
        <is>
          <t>ISSUES/ENFORCES</t>
        </is>
      </c>
      <c r="L94" s="22" t="inlineStr">
        <is>
          <t>Mandatory Enforcer</t>
        </is>
      </c>
      <c r="M94" s="98" t="inlineStr">
        <is>
          <t>SAMA-regulated institutions</t>
        </is>
      </c>
      <c r="N94" s="116" t="inlineStr">
        <is>
          <t>LOW</t>
        </is>
      </c>
      <c r="O94" s="102" t="inlineStr">
        <is>
          <t>https://www.sama.gov.sa/</t>
        </is>
      </c>
      <c r="P94" s="98" t="inlineStr">
        <is>
          <t>SAMA official</t>
        </is>
      </c>
      <c r="Q94" s="98" t="inlineStr">
        <is>
          <t>See official source for version history</t>
        </is>
      </c>
      <c r="R94" s="98" t="inlineStr">
        <is>
          <t>Framework issued by the relevant authority. Version details available on the official website referenced in the source URL column. The framework has been updated periodically since first issuance.</t>
        </is>
      </c>
      <c r="S94" s="100" t="inlineStr">
        <is>
          <t>See official source</t>
        </is>
      </c>
      <c r="T94" s="98" t="inlineStr">
        <is>
          <t>Updated as needed by the issuing authority</t>
        </is>
      </c>
      <c r="U94" s="25" t="inlineStr">
        <is>
          <t>CURRENT — consult official source for latest version</t>
        </is>
      </c>
      <c r="V94" s="98" t="inlineStr">
        <is>
          <t>Penalties defined by issuing authority; consult official source. NCA ECC-2 penalties apply if relevant</t>
        </is>
      </c>
      <c r="W94" s="99" t="inlineStr">
        <is>
          <t>Issuing authority and/or designated inspection department</t>
        </is>
      </c>
      <c r="X94" s="98" t="inlineStr">
        <is>
          <t>As specified in framework scope — consult official document</t>
        </is>
      </c>
      <c r="Y94" s="49" t="inlineStr">
        <is>
          <t>Both (unless specified otherwise in official document)</t>
        </is>
      </c>
      <c r="Z94" s="98" t="inlineStr">
        <is>
          <t>As defined by issuing authority</t>
        </is>
      </c>
      <c r="AA94" s="100" t="inlineStr">
        <is>
          <t>As defined by issuing authority</t>
        </is>
      </c>
      <c r="AB94" s="98" t="inlineStr">
        <is>
          <t>To be determined from framework text — see official source</t>
        </is>
      </c>
      <c r="AC94" s="98" t="inlineStr">
        <is>
          <t>See framework preamble for international standard references</t>
        </is>
      </c>
      <c r="AD94" s="49" t="inlineStr">
        <is>
          <t>Arabic (primary in KSA); English may be available</t>
        </is>
      </c>
      <c r="AE94" s="58" t="inlineStr">
        <is>
          <t>Mapped to relevant GH-ICGA layer — requires manual assessment</t>
        </is>
      </c>
      <c r="AF94" s="56" t="inlineStr">
        <is>
          <t>See official framework for maturity model details</t>
        </is>
      </c>
      <c r="AG94" s="98" t="inlineStr">
        <is>
          <t>Aligned with relevant Vision 2030 programme — see framework context</t>
        </is>
      </c>
      <c r="AH94" s="98" t="inlineStr">
        <is>
          <t>As specified in framework compliance requirements</t>
        </is>
      </c>
      <c r="AI94" s="103" t="inlineStr">
        <is>
          <t>Institutional theory and regulatory governance theory underpin all KSA regulatory frameworks. Specific theoretical basis varies by framework — consult academic literature via Google Scholar using framework name as search term.</t>
        </is>
      </c>
      <c r="AJ94" s="98" t="inlineStr">
        <is>
          <t>Academic debate varies by framework maturity and international adoption. For KSA-specific debate, consult: Almohammad &amp; Wills (2021) J Cybersecurity; Al-Khater et al. (2020) IEEE Access; Baker McKenzie KSA regulatory updates.</t>
        </is>
      </c>
      <c r="AK94" s="104" t="inlineStr">
        <is>
          <t>Known criticisms include: implementation gap between standards and practice; resource constraints for smaller healthcare entities; rapid technology evolution outpacing regulation. Consult framework evaluation literature for specifics.</t>
        </is>
      </c>
      <c r="AL94" s="105" t="inlineStr">
        <is>
          <t>Framework comparison requires contextual analysis. Key comparators: NIST CSF 2.0 (international benchmark), ISO 27001 (certifiable standard), ECC-2 (KSA mandatory baseline). See main database for cross-framework mapping.</t>
        </is>
      </c>
      <c r="AM94" s="10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94" s="107" t="inlineStr">
        <is>
          <t>Official: Consult the official source URL in the database for the primary document. Training: ISACA, ISC2, RAPS, IAPP, and HIMSS offer professional development covering most regulatory domains. Estimated hours vary by framework complexity.</t>
        </is>
      </c>
      <c r="AO94" s="108" t="inlineStr">
        <is>
          <t>Relevance to GH-ICGA framework varies by layer — see GH-ICGA Layer Mapping column. All KSA mandatory frameworks are compliance inputs to GH-ICGA Layer 4. Frameworks with IoMT-specific provisions directly inform Layers 2 and 3.</t>
        </is>
      </c>
      <c r="AP94" s="51" t="inlineStr">
        <is>
          <t>G + C (Governance + Compliance — standard regulatory framework positioning)</t>
        </is>
      </c>
      <c r="AQ94" s="109" t="inlineStr">
        <is>
          <t>Senior management: accountability for framework compliance. Designated compliance officer: monitor requirements. All staff: awareness of applicable obligations</t>
        </is>
      </c>
      <c r="AR94" s="104" t="inlineStr">
        <is>
          <t>Regulatory Risk; Operational Risk; Reputational Risk — specific domains determined by framework scope</t>
        </is>
      </c>
      <c r="AS94" s="22" t="inlineStr">
        <is>
          <t>See official source — legal obligation, regulatory requirement, or voluntary standard as applicable</t>
        </is>
      </c>
      <c r="AT94" s="105" t="inlineStr">
        <is>
          <t>Administrative; Technical; Operational — specific distribution determined by framework content</t>
        </is>
      </c>
      <c r="AU94" s="110" t="inlineStr">
        <is>
          <t>1. Compliance status (compliant/non-compliant). 2. # open findings from last assessment. 3. % controls implemented. 4. Time to remediate findings. 5. Incident rate in framework scope area</t>
        </is>
      </c>
      <c r="AV94" s="111" t="inlineStr">
        <is>
          <t>Self-assessment; internal audit; external assessment as specified by issuing authority</t>
        </is>
      </c>
      <c r="AW94" s="112" t="inlineStr">
        <is>
          <t>ServiceNow GRC; IBM OpenPages; RSA Archer; MetricStream — all major GRC platforms support custom framework import. Contact vendor for framework-specific module</t>
        </is>
      </c>
      <c r="AX94" s="113" t="inlineStr">
        <is>
          <t>Third parties in scope must demonstrate equivalent compliance. Contractual compliance obligations; right-to-audit clauses; annual third-party assessment</t>
        </is>
      </c>
      <c r="AY94" s="114" t="inlineStr">
        <is>
          <t>Non-compliance: regulatory action by issuing authority; fines and penalties as specified; operational and reputational consequences</t>
        </is>
      </c>
      <c r="AZ94" s="111" t="inlineStr">
        <is>
          <t>Financial Regulators</t>
        </is>
      </c>
      <c r="BA94" s="41" t="inlineStr">
        <is>
          <t>Sector-Specific</t>
        </is>
      </c>
      <c r="BB94" s="591">
        <f>IF(E94="","",IF(ISNUMBER(SEARCH("Institutional theory and regulatory governance theory underpin",AI94)),"TEMPLATE",IF(LEN(AI94)&gt;100,"DEEP",IF(AI94="","SPARSE","SHALLOW"))))</f>
        <v/>
      </c>
      <c r="BC94" s="591">
        <f>IF(E94="","",D94&amp;"-"&amp;B94&amp;"-"&amp;E94)</f>
        <v/>
      </c>
      <c r="BD94" s="591">
        <f>IF(E94="","",SUBSTITUTE(SUBSTITUTE(B94&amp;"-"&amp;E94," ",""),":","-"))</f>
        <v/>
      </c>
      <c r="BE94" s="591">
        <f>IF(E94="","",IF(ISNUMBER(SEARCH("ECC",E94)),"NCA-ECC-2-2024",IF(ISNUMBER(SEARCH("OTCC",E94)),"NCA-ECC-2-2024",IF(ISNUMBER(SEARCH("CCC",E94)),"NCA-ECC-2-2024",IF(ISNUMBER(SEARCH("DCC",E94)),"NCA-ECC-2-2024",IF(ISNUMBER(SEARCH("CSCC",E94)),"NCA-ECC-2-2024",IF(ISNUMBER(SEARCH("PDPL-IR",E94)),"PDPL-2021",IF(ISNUMBER(SEARCH("PDPL-DTR",E94)),"PDPL-2021","NONE"))))))))</f>
        <v/>
      </c>
      <c r="BF94" s="594">
        <f>IF(E94="","",IF(BB94="DEEP",10,IF(BB94="SHALLOW",5,IF(BB94="TEMPLATE",3,1)))+IF(N94="HIGHEST",5,IF(N94="HIGH",3,IF(N94="MODERATE",1,0)))+IF(ISNUMBER(SEARCH("Mandatory",L94)),3,0))</f>
        <v/>
      </c>
    </row>
    <row r="95" ht="42" customHeight="1">
      <c r="A95" s="42" t="n">
        <v>88</v>
      </c>
      <c r="B95" s="115" t="inlineStr">
        <is>
          <t>SAMA</t>
        </is>
      </c>
      <c r="C95" s="44" t="inlineStr">
        <is>
          <t>Saudi Central Bank</t>
        </is>
      </c>
      <c r="D95" s="44" t="inlineStr">
        <is>
          <t>5. Financial Regulators</t>
        </is>
      </c>
      <c r="E95" s="115" t="inlineStr">
        <is>
          <t>SAMA-BCM</t>
        </is>
      </c>
      <c r="F95" s="45" t="inlineStr">
        <is>
          <t>Business Continuity Management Framework</t>
        </is>
      </c>
      <c r="G95" s="44" t="inlineStr">
        <is>
          <t>إطار استمرارية الأعمال</t>
        </is>
      </c>
      <c r="H95" s="44" t="inlineStr">
        <is>
          <t>Updated 2023</t>
        </is>
      </c>
      <c r="I95" s="46" t="inlineStr">
        <is>
          <t>2018</t>
        </is>
      </c>
      <c r="J95" s="46" t="inlineStr">
        <is>
          <t>40</t>
        </is>
      </c>
      <c r="K95" s="44" t="inlineStr">
        <is>
          <t>ISSUES/ENFORCES</t>
        </is>
      </c>
      <c r="L95" s="22" t="inlineStr">
        <is>
          <t>Mandatory Enforcer</t>
        </is>
      </c>
      <c r="M95" s="44" t="inlineStr">
        <is>
          <t>SAMA-regulated institutions — health insurer BCM</t>
        </is>
      </c>
      <c r="N95" s="55" t="inlineStr">
        <is>
          <t>MODERATE</t>
        </is>
      </c>
      <c r="O95" s="48" t="inlineStr">
        <is>
          <t>https://www.sama.gov.sa/</t>
        </is>
      </c>
      <c r="P95" s="44" t="inlineStr">
        <is>
          <t>SAMA official</t>
        </is>
      </c>
      <c r="Q95" s="98" t="inlineStr">
        <is>
          <t>First ~2018 → updated 2023</t>
        </is>
      </c>
      <c r="R95" s="98" t="inlineStr">
        <is>
          <t>BCM for SAMA-regulated entities. Key provisions: Business Impact Analysis (BIA) mandatory; Recovery Time Objectives (RTO) / Recovery Point Objectives (RPO) defined by criticality; annual BCM tests required; health insurance BCM covers claims payment continuity; cyber incident recovery planning; regulatory reporting within 4 hours of major disruption; coordination with NCA for cyber incidents</t>
        </is>
      </c>
      <c r="S95" s="100" t="inlineStr">
        <is>
          <t>First: ~2018. Updated: 2023</t>
        </is>
      </c>
      <c r="T95" s="98" t="inlineStr">
        <is>
          <t>Annual cycle; review 2025</t>
        </is>
      </c>
      <c r="U95" s="25" t="inlineStr">
        <is>
          <t>CURRENT — 2023 version</t>
        </is>
      </c>
      <c r="V95" s="98" t="inlineStr">
        <is>
          <t>Penalties defined by issuing authority; consult official source. NCA ECC-2 penalties apply if relevant</t>
        </is>
      </c>
      <c r="W95" s="99" t="inlineStr">
        <is>
          <t>Issuing authority and/or designated inspection department</t>
        </is>
      </c>
      <c r="X95" s="98" t="inlineStr">
        <is>
          <t>As specified in framework scope — consult official document</t>
        </is>
      </c>
      <c r="Y95" s="49" t="inlineStr">
        <is>
          <t>Both (unless specified otherwise in official document)</t>
        </is>
      </c>
      <c r="Z95" s="98" t="inlineStr">
        <is>
          <t>As defined by issuing authority</t>
        </is>
      </c>
      <c r="AA95" s="100" t="inlineStr">
        <is>
          <t>As defined by issuing authority</t>
        </is>
      </c>
      <c r="AB95" s="98" t="inlineStr">
        <is>
          <t>To be determined from framework text — see official source</t>
        </is>
      </c>
      <c r="AC95" s="98" t="inlineStr">
        <is>
          <t>See framework preamble for international standard references</t>
        </is>
      </c>
      <c r="AD95" s="49" t="inlineStr">
        <is>
          <t>Arabic (primary in KSA); English may be available</t>
        </is>
      </c>
      <c r="AE95" s="58" t="inlineStr">
        <is>
          <t>Mapped to relevant GH-ICGA layer — requires manual assessment</t>
        </is>
      </c>
      <c r="AF95" s="56" t="inlineStr">
        <is>
          <t>See official framework for maturity model details</t>
        </is>
      </c>
      <c r="AG95" s="98" t="inlineStr">
        <is>
          <t>Aligned with relevant Vision 2030 programme — see framework context</t>
        </is>
      </c>
      <c r="AH95" s="98" t="inlineStr">
        <is>
          <t>As specified in framework compliance requirements</t>
        </is>
      </c>
      <c r="AI95" s="103" t="inlineStr">
        <is>
          <t>Institutional theory and regulatory governance theory underpin all KSA regulatory frameworks. Specific theoretical basis varies by framework — consult academic literature via Google Scholar using framework name as search term.</t>
        </is>
      </c>
      <c r="AJ95" s="98" t="inlineStr">
        <is>
          <t>Academic debate varies by framework maturity and international adoption. For KSA-specific debate, consult: Almohammad &amp; Wills (2021) J Cybersecurity; Al-Khater et al. (2020) IEEE Access; Baker McKenzie KSA regulatory updates.</t>
        </is>
      </c>
      <c r="AK95" s="104" t="inlineStr">
        <is>
          <t>Known criticisms include: implementation gap between standards and practice; resource constraints for smaller healthcare entities; rapid technology evolution outpacing regulation. Consult framework evaluation literature for specifics.</t>
        </is>
      </c>
      <c r="AL95" s="105" t="inlineStr">
        <is>
          <t>Framework comparison requires contextual analysis. Key comparators: NIST CSF 2.0 (international benchmark), ISO 27001 (certifiable standard), ECC-2 (KSA mandatory baseline). See main database for cross-framework mapping.</t>
        </is>
      </c>
      <c r="AM95" s="10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95" s="107" t="inlineStr">
        <is>
          <t>Official: Consult the official source URL in the database for the primary document. Training: ISACA, ISC2, RAPS, IAPP, and HIMSS offer professional development covering most regulatory domains. Estimated hours vary by framework complexity.</t>
        </is>
      </c>
      <c r="AO95" s="108" t="inlineStr">
        <is>
          <t>Relevance to GH-ICGA framework varies by layer — see GH-ICGA Layer Mapping column. All KSA mandatory frameworks are compliance inputs to GH-ICGA Layer 4. Frameworks with IoMT-specific provisions directly inform Layers 2 and 3.</t>
        </is>
      </c>
      <c r="AP95" s="51" t="inlineStr">
        <is>
          <t>G + C (Governance + Compliance — standard regulatory framework positioning)</t>
        </is>
      </c>
      <c r="AQ95" s="109" t="inlineStr">
        <is>
          <t>Senior management: accountability for framework compliance. Designated compliance officer: monitor requirements. All staff: awareness of applicable obligations</t>
        </is>
      </c>
      <c r="AR95" s="104" t="inlineStr">
        <is>
          <t>Regulatory Risk; Operational Risk; Reputational Risk — specific domains determined by framework scope</t>
        </is>
      </c>
      <c r="AS95" s="22" t="inlineStr">
        <is>
          <t>See official source — legal obligation, regulatory requirement, or voluntary standard as applicable</t>
        </is>
      </c>
      <c r="AT95" s="105" t="inlineStr">
        <is>
          <t>Administrative; Technical; Operational — specific distribution determined by framework content</t>
        </is>
      </c>
      <c r="AU95" s="110" t="inlineStr">
        <is>
          <t>1. Compliance status (compliant/non-compliant). 2. # open findings from last assessment. 3. % controls implemented. 4. Time to remediate findings. 5. Incident rate in framework scope area</t>
        </is>
      </c>
      <c r="AV95" s="111" t="inlineStr">
        <is>
          <t>Self-assessment; internal audit; external assessment as specified by issuing authority</t>
        </is>
      </c>
      <c r="AW95" s="112" t="inlineStr">
        <is>
          <t>ServiceNow GRC; IBM OpenPages; RSA Archer; MetricStream — all major GRC platforms support custom framework import. Contact vendor for framework-specific module</t>
        </is>
      </c>
      <c r="AX95" s="113" t="inlineStr">
        <is>
          <t>Third parties in scope must demonstrate equivalent compliance. Contractual compliance obligations; right-to-audit clauses; annual third-party assessment</t>
        </is>
      </c>
      <c r="AY95" s="114" t="inlineStr">
        <is>
          <t>Non-compliance: regulatory action by issuing authority; fines and penalties as specified; operational and reputational consequences</t>
        </is>
      </c>
      <c r="AZ95" s="111" t="inlineStr">
        <is>
          <t>Financial Regulators</t>
        </is>
      </c>
      <c r="BA95" s="41" t="inlineStr">
        <is>
          <t>Sector-Specific</t>
        </is>
      </c>
      <c r="BB95" s="591">
        <f>IF(E95="","",IF(ISNUMBER(SEARCH("Institutional theory and regulatory governance theory underpin",AI95)),"TEMPLATE",IF(LEN(AI95)&gt;100,"DEEP",IF(AI95="","SPARSE","SHALLOW"))))</f>
        <v/>
      </c>
      <c r="BC95" s="591">
        <f>IF(E95="","",D95&amp;"-"&amp;B95&amp;"-"&amp;E95)</f>
        <v/>
      </c>
      <c r="BD95" s="591">
        <f>IF(E95="","",SUBSTITUTE(SUBSTITUTE(B95&amp;"-"&amp;E95," ",""),":","-"))</f>
        <v/>
      </c>
      <c r="BE95" s="591">
        <f>IF(E95="","",IF(ISNUMBER(SEARCH("ECC",E95)),"NCA-ECC-2-2024",IF(ISNUMBER(SEARCH("OTCC",E95)),"NCA-ECC-2-2024",IF(ISNUMBER(SEARCH("CCC",E95)),"NCA-ECC-2-2024",IF(ISNUMBER(SEARCH("DCC",E95)),"NCA-ECC-2-2024",IF(ISNUMBER(SEARCH("CSCC",E95)),"NCA-ECC-2-2024",IF(ISNUMBER(SEARCH("PDPL-IR",E95)),"PDPL-2021",IF(ISNUMBER(SEARCH("PDPL-DTR",E95)),"PDPL-2021","NONE"))))))))</f>
        <v/>
      </c>
      <c r="BF95" s="594">
        <f>IF(E95="","",IF(BB95="DEEP",10,IF(BB95="SHALLOW",5,IF(BB95="TEMPLATE",3,1)))+IF(N95="HIGHEST",5,IF(N95="HIGH",3,IF(N95="MODERATE",1,0)))+IF(ISNUMBER(SEARCH("Mandatory",L95)),3,0))</f>
        <v/>
      </c>
    </row>
    <row r="96" ht="42" customHeight="1">
      <c r="A96" s="96" t="n">
        <v>89</v>
      </c>
      <c r="B96" s="97" t="inlineStr">
        <is>
          <t>SAMA</t>
        </is>
      </c>
      <c r="C96" s="98" t="inlineStr">
        <is>
          <t>Saudi Central Bank</t>
        </is>
      </c>
      <c r="D96" s="98" t="inlineStr">
        <is>
          <t>5. Financial Regulators</t>
        </is>
      </c>
      <c r="E96" s="97" t="inlineStr">
        <is>
          <t>SAMA-CCP</t>
        </is>
      </c>
      <c r="F96" s="99" t="inlineStr">
        <is>
          <t>Consumer/Customer Protection Principles</t>
        </is>
      </c>
      <c r="G96" s="98" t="inlineStr">
        <is>
          <t>مبادئ حماية المستهلك</t>
        </is>
      </c>
      <c r="H96" s="98" t="inlineStr">
        <is>
          <t>Updated 2022</t>
        </is>
      </c>
      <c r="I96" s="100" t="inlineStr">
        <is>
          <t>2016</t>
        </is>
      </c>
      <c r="J96" s="100" t="inlineStr">
        <is>
          <t>34</t>
        </is>
      </c>
      <c r="K96" s="98" t="inlineStr">
        <is>
          <t>ISSUES/ENFORCES</t>
        </is>
      </c>
      <c r="L96" s="22" t="inlineStr">
        <is>
          <t>Mandatory Enforcer</t>
        </is>
      </c>
      <c r="M96" s="98" t="inlineStr">
        <is>
          <t>Financial institutions — health insurance consumer protection</t>
        </is>
      </c>
      <c r="N96" s="101" t="inlineStr">
        <is>
          <t>MODERATE</t>
        </is>
      </c>
      <c r="O96" s="102" t="inlineStr">
        <is>
          <t>https://www.sama.gov.sa/</t>
        </is>
      </c>
      <c r="P96" s="98" t="inlineStr">
        <is>
          <t>SAMA official</t>
        </is>
      </c>
      <c r="Q96" s="98" t="inlineStr">
        <is>
          <t>See official source for version history</t>
        </is>
      </c>
      <c r="R96" s="98" t="inlineStr">
        <is>
          <t>Framework issued by the relevant authority. Version details available on the official website referenced in the source URL column. The framework has been updated periodically since first issuance.</t>
        </is>
      </c>
      <c r="S96" s="100" t="inlineStr">
        <is>
          <t>See official source</t>
        </is>
      </c>
      <c r="T96" s="98" t="inlineStr">
        <is>
          <t>Updated as needed by the issuing authority</t>
        </is>
      </c>
      <c r="U96" s="25" t="inlineStr">
        <is>
          <t>CURRENT — consult official source for latest version</t>
        </is>
      </c>
      <c r="V96" s="98" t="inlineStr">
        <is>
          <t>Penalties defined by issuing authority; consult official source. NCA ECC-2 penalties apply if relevant</t>
        </is>
      </c>
      <c r="W96" s="99" t="inlineStr">
        <is>
          <t>Issuing authority and/or designated inspection department</t>
        </is>
      </c>
      <c r="X96" s="98" t="inlineStr">
        <is>
          <t>As specified in framework scope — consult official document</t>
        </is>
      </c>
      <c r="Y96" s="49" t="inlineStr">
        <is>
          <t>Both (unless specified otherwise in official document)</t>
        </is>
      </c>
      <c r="Z96" s="98" t="inlineStr">
        <is>
          <t>As defined by issuing authority</t>
        </is>
      </c>
      <c r="AA96" s="100" t="inlineStr">
        <is>
          <t>As defined by issuing authority</t>
        </is>
      </c>
      <c r="AB96" s="98" t="inlineStr">
        <is>
          <t>To be determined from framework text — see official source</t>
        </is>
      </c>
      <c r="AC96" s="98" t="inlineStr">
        <is>
          <t>See framework preamble for international standard references</t>
        </is>
      </c>
      <c r="AD96" s="49" t="inlineStr">
        <is>
          <t>Arabic (primary in KSA); English may be available</t>
        </is>
      </c>
      <c r="AE96" s="58" t="inlineStr">
        <is>
          <t>Mapped to relevant GH-ICGA layer — requires manual assessment</t>
        </is>
      </c>
      <c r="AF96" s="56" t="inlineStr">
        <is>
          <t>See official framework for maturity model details</t>
        </is>
      </c>
      <c r="AG96" s="98" t="inlineStr">
        <is>
          <t>Aligned with relevant Vision 2030 programme — see framework context</t>
        </is>
      </c>
      <c r="AH96" s="98" t="inlineStr">
        <is>
          <t>As specified in framework compliance requirements</t>
        </is>
      </c>
      <c r="AI96" s="103" t="inlineStr">
        <is>
          <t>Institutional theory and regulatory governance theory underpin all KSA regulatory frameworks. Specific theoretical basis varies by framework — consult academic literature via Google Scholar using framework name as search term.</t>
        </is>
      </c>
      <c r="AJ96" s="98" t="inlineStr">
        <is>
          <t>Academic debate varies by framework maturity and international adoption. For KSA-specific debate, consult: Almohammad &amp; Wills (2021) J Cybersecurity; Al-Khater et al. (2020) IEEE Access; Baker McKenzie KSA regulatory updates.</t>
        </is>
      </c>
      <c r="AK96" s="104" t="inlineStr">
        <is>
          <t>Known criticisms include: implementation gap between standards and practice; resource constraints for smaller healthcare entities; rapid technology evolution outpacing regulation. Consult framework evaluation literature for specifics.</t>
        </is>
      </c>
      <c r="AL96" s="105" t="inlineStr">
        <is>
          <t>Framework comparison requires contextual analysis. Key comparators: NIST CSF 2.0 (international benchmark), ISO 27001 (certifiable standard), ECC-2 (KSA mandatory baseline). See main database for cross-framework mapping.</t>
        </is>
      </c>
      <c r="AM96" s="10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96" s="107" t="inlineStr">
        <is>
          <t>Official: Consult the official source URL in the database for the primary document. Training: ISACA, ISC2, RAPS, IAPP, and HIMSS offer professional development covering most regulatory domains. Estimated hours vary by framework complexity.</t>
        </is>
      </c>
      <c r="AO96" s="108" t="inlineStr">
        <is>
          <t>Relevance to GH-ICGA framework varies by layer — see GH-ICGA Layer Mapping column. All KSA mandatory frameworks are compliance inputs to GH-ICGA Layer 4. Frameworks with IoMT-specific provisions directly inform Layers 2 and 3.</t>
        </is>
      </c>
      <c r="AP96" s="51" t="inlineStr">
        <is>
          <t>G + C (Governance + Compliance — standard regulatory framework positioning)</t>
        </is>
      </c>
      <c r="AQ96" s="109" t="inlineStr">
        <is>
          <t>Senior management: accountability for framework compliance. Designated compliance officer: monitor requirements. All staff: awareness of applicable obligations</t>
        </is>
      </c>
      <c r="AR96" s="104" t="inlineStr">
        <is>
          <t>Regulatory Risk; Operational Risk; Reputational Risk — specific domains determined by framework scope</t>
        </is>
      </c>
      <c r="AS96" s="22" t="inlineStr">
        <is>
          <t>See official source — legal obligation, regulatory requirement, or voluntary standard as applicable</t>
        </is>
      </c>
      <c r="AT96" s="105" t="inlineStr">
        <is>
          <t>Administrative; Technical; Operational — specific distribution determined by framework content</t>
        </is>
      </c>
      <c r="AU96" s="110" t="inlineStr">
        <is>
          <t>1. Compliance status (compliant/non-compliant). 2. # open findings from last assessment. 3. % controls implemented. 4. Time to remediate findings. 5. Incident rate in framework scope area</t>
        </is>
      </c>
      <c r="AV96" s="111" t="inlineStr">
        <is>
          <t>Self-assessment; internal audit; external assessment as specified by issuing authority</t>
        </is>
      </c>
      <c r="AW96" s="112" t="inlineStr">
        <is>
          <t>ServiceNow GRC; IBM OpenPages; RSA Archer; MetricStream — all major GRC platforms support custom framework import. Contact vendor for framework-specific module</t>
        </is>
      </c>
      <c r="AX96" s="113" t="inlineStr">
        <is>
          <t>Third parties in scope must demonstrate equivalent compliance. Contractual compliance obligations; right-to-audit clauses; annual third-party assessment</t>
        </is>
      </c>
      <c r="AY96" s="114" t="inlineStr">
        <is>
          <t>Non-compliance: regulatory action by issuing authority; fines and penalties as specified; operational and reputational consequences</t>
        </is>
      </c>
      <c r="AZ96" s="111" t="inlineStr">
        <is>
          <t>Financial Regulators</t>
        </is>
      </c>
      <c r="BA96" s="41" t="inlineStr">
        <is>
          <t>Sector-Specific</t>
        </is>
      </c>
      <c r="BB96" s="591">
        <f>IF(E96="","",IF(ISNUMBER(SEARCH("Institutional theory and regulatory governance theory underpin",AI96)),"TEMPLATE",IF(LEN(AI96)&gt;100,"DEEP",IF(AI96="","SPARSE","SHALLOW"))))</f>
        <v/>
      </c>
      <c r="BC96" s="591">
        <f>IF(E96="","",D96&amp;"-"&amp;B96&amp;"-"&amp;E96)</f>
        <v/>
      </c>
      <c r="BD96" s="591">
        <f>IF(E96="","",SUBSTITUTE(SUBSTITUTE(B96&amp;"-"&amp;E96," ",""),":","-"))</f>
        <v/>
      </c>
      <c r="BE96" s="591">
        <f>IF(E96="","",IF(ISNUMBER(SEARCH("ECC",E96)),"NCA-ECC-2-2024",IF(ISNUMBER(SEARCH("OTCC",E96)),"NCA-ECC-2-2024",IF(ISNUMBER(SEARCH("CCC",E96)),"NCA-ECC-2-2024",IF(ISNUMBER(SEARCH("DCC",E96)),"NCA-ECC-2-2024",IF(ISNUMBER(SEARCH("CSCC",E96)),"NCA-ECC-2-2024",IF(ISNUMBER(SEARCH("PDPL-IR",E96)),"PDPL-2021",IF(ISNUMBER(SEARCH("PDPL-DTR",E96)),"PDPL-2021","NONE"))))))))</f>
        <v/>
      </c>
      <c r="BF96" s="594">
        <f>IF(E96="","",IF(BB96="DEEP",10,IF(BB96="SHALLOW",5,IF(BB96="TEMPLATE",3,1)))+IF(N96="HIGHEST",5,IF(N96="HIGH",3,IF(N96="MODERATE",1,0)))+IF(ISNUMBER(SEARCH("Mandatory",L96)),3,0))</f>
        <v/>
      </c>
    </row>
    <row r="97" ht="42" customHeight="1">
      <c r="A97" s="42" t="n">
        <v>90</v>
      </c>
      <c r="B97" s="115" t="inlineStr">
        <is>
          <t>SAMA</t>
        </is>
      </c>
      <c r="C97" s="44" t="inlineStr">
        <is>
          <t>Saudi Central Bank</t>
        </is>
      </c>
      <c r="D97" s="44" t="inlineStr">
        <is>
          <t>5. Financial Regulators</t>
        </is>
      </c>
      <c r="E97" s="115" t="inlineStr">
        <is>
          <t>SAMA-CLOUD</t>
        </is>
      </c>
      <c r="F97" s="45" t="inlineStr">
        <is>
          <t>Cloud Computing Policy</t>
        </is>
      </c>
      <c r="G97" s="44" t="inlineStr">
        <is>
          <t>سياسة الحوسبة السحابية</t>
        </is>
      </c>
      <c r="H97" s="44" t="inlineStr">
        <is>
          <t>Active</t>
        </is>
      </c>
      <c r="I97" s="46" t="inlineStr">
        <is>
          <t>2018</t>
        </is>
      </c>
      <c r="J97" s="46" t="inlineStr">
        <is>
          <t>N/A</t>
        </is>
      </c>
      <c r="K97" s="44" t="inlineStr">
        <is>
          <t>ISSUES/ENFORCES</t>
        </is>
      </c>
      <c r="L97" s="22" t="inlineStr">
        <is>
          <t>Mandatory Enforcer</t>
        </is>
      </c>
      <c r="M97" s="44" t="inlineStr">
        <is>
          <t>SAMA-regulated entities — health insurance cloud systems</t>
        </is>
      </c>
      <c r="N97" s="55" t="inlineStr">
        <is>
          <t>MODERATE</t>
        </is>
      </c>
      <c r="O97" s="48" t="inlineStr">
        <is>
          <t>https://www.sama.gov.sa/</t>
        </is>
      </c>
      <c r="P97" s="44" t="inlineStr">
        <is>
          <t>Chambers TMT 2026</t>
        </is>
      </c>
      <c r="Q97" s="98" t="inlineStr">
        <is>
          <t>See official source for version history</t>
        </is>
      </c>
      <c r="R97" s="98" t="inlineStr">
        <is>
          <t>Framework issued by the relevant authority. Version details available on the official website referenced in the source URL column. The framework has been updated periodically since first issuance.</t>
        </is>
      </c>
      <c r="S97" s="100" t="inlineStr">
        <is>
          <t>See official source</t>
        </is>
      </c>
      <c r="T97" s="98" t="inlineStr">
        <is>
          <t>Updated as needed by the issuing authority</t>
        </is>
      </c>
      <c r="U97" s="25" t="inlineStr">
        <is>
          <t>CURRENT — consult official source for latest version</t>
        </is>
      </c>
      <c r="V97" s="98" t="inlineStr">
        <is>
          <t>Penalties defined by issuing authority; consult official source. NCA ECC-2 penalties apply if relevant</t>
        </is>
      </c>
      <c r="W97" s="99" t="inlineStr">
        <is>
          <t>Issuing authority and/or designated inspection department</t>
        </is>
      </c>
      <c r="X97" s="98" t="inlineStr">
        <is>
          <t>As specified in framework scope — consult official document</t>
        </is>
      </c>
      <c r="Y97" s="49" t="inlineStr">
        <is>
          <t>Both (unless specified otherwise in official document)</t>
        </is>
      </c>
      <c r="Z97" s="98" t="inlineStr">
        <is>
          <t>As defined by issuing authority</t>
        </is>
      </c>
      <c r="AA97" s="100" t="inlineStr">
        <is>
          <t>As defined by issuing authority</t>
        </is>
      </c>
      <c r="AB97" s="98" t="inlineStr">
        <is>
          <t>To be determined from framework text — see official source</t>
        </is>
      </c>
      <c r="AC97" s="98" t="inlineStr">
        <is>
          <t>See framework preamble for international standard references</t>
        </is>
      </c>
      <c r="AD97" s="49" t="inlineStr">
        <is>
          <t>Arabic (primary in KSA); English may be available</t>
        </is>
      </c>
      <c r="AE97" s="58" t="inlineStr">
        <is>
          <t>Mapped to relevant GH-ICGA layer — requires manual assessment</t>
        </is>
      </c>
      <c r="AF97" s="56" t="inlineStr">
        <is>
          <t>See official framework for maturity model details</t>
        </is>
      </c>
      <c r="AG97" s="98" t="inlineStr">
        <is>
          <t>Aligned with relevant Vision 2030 programme — see framework context</t>
        </is>
      </c>
      <c r="AH97" s="98" t="inlineStr">
        <is>
          <t>As specified in framework compliance requirements</t>
        </is>
      </c>
      <c r="AI97" s="103" t="inlineStr">
        <is>
          <t>Institutional theory and regulatory governance theory underpin all KSA regulatory frameworks. Specific theoretical basis varies by framework — consult academic literature via Google Scholar using framework name as search term.</t>
        </is>
      </c>
      <c r="AJ97" s="98" t="inlineStr">
        <is>
          <t>Academic debate varies by framework maturity and international adoption. For KSA-specific debate, consult: Almohammad &amp; Wills (2021) J Cybersecurity; Al-Khater et al. (2020) IEEE Access; Baker McKenzie KSA regulatory updates.</t>
        </is>
      </c>
      <c r="AK97" s="104" t="inlineStr">
        <is>
          <t>Known criticisms include: implementation gap between standards and practice; resource constraints for smaller healthcare entities; rapid technology evolution outpacing regulation. Consult framework evaluation literature for specifics.</t>
        </is>
      </c>
      <c r="AL97" s="105" t="inlineStr">
        <is>
          <t>Framework comparison requires contextual analysis. Key comparators: NIST CSF 2.0 (international benchmark), ISO 27001 (certifiable standard), ECC-2 (KSA mandatory baseline). See main database for cross-framework mapping.</t>
        </is>
      </c>
      <c r="AM97" s="10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97" s="107" t="inlineStr">
        <is>
          <t>Official: Consult the official source URL in the database for the primary document. Training: ISACA, ISC2, RAPS, IAPP, and HIMSS offer professional development covering most regulatory domains. Estimated hours vary by framework complexity.</t>
        </is>
      </c>
      <c r="AO97" s="108" t="inlineStr">
        <is>
          <t>Relevance to GH-ICGA framework varies by layer — see GH-ICGA Layer Mapping column. All KSA mandatory frameworks are compliance inputs to GH-ICGA Layer 4. Frameworks with IoMT-specific provisions directly inform Layers 2 and 3.</t>
        </is>
      </c>
      <c r="AP97" s="51" t="inlineStr">
        <is>
          <t>G + C (Governance + Compliance — standard regulatory framework positioning)</t>
        </is>
      </c>
      <c r="AQ97" s="109" t="inlineStr">
        <is>
          <t>Senior management: accountability for framework compliance. Designated compliance officer: monitor requirements. All staff: awareness of applicable obligations</t>
        </is>
      </c>
      <c r="AR97" s="104" t="inlineStr">
        <is>
          <t>Regulatory Risk; Operational Risk; Reputational Risk — specific domains determined by framework scope</t>
        </is>
      </c>
      <c r="AS97" s="22" t="inlineStr">
        <is>
          <t>See official source — legal obligation, regulatory requirement, or voluntary standard as applicable</t>
        </is>
      </c>
      <c r="AT97" s="105" t="inlineStr">
        <is>
          <t>Administrative; Technical; Operational — specific distribution determined by framework content</t>
        </is>
      </c>
      <c r="AU97" s="110" t="inlineStr">
        <is>
          <t>1. Compliance status (compliant/non-compliant). 2. # open findings from last assessment. 3. % controls implemented. 4. Time to remediate findings. 5. Incident rate in framework scope area</t>
        </is>
      </c>
      <c r="AV97" s="111" t="inlineStr">
        <is>
          <t>Self-assessment; internal audit; external assessment as specified by issuing authority</t>
        </is>
      </c>
      <c r="AW97" s="112" t="inlineStr">
        <is>
          <t>ServiceNow GRC; IBM OpenPages; RSA Archer; MetricStream — all major GRC platforms support custom framework import. Contact vendor for framework-specific module</t>
        </is>
      </c>
      <c r="AX97" s="113" t="inlineStr">
        <is>
          <t>Third parties in scope must demonstrate equivalent compliance. Contractual compliance obligations; right-to-audit clauses; annual third-party assessment</t>
        </is>
      </c>
      <c r="AY97" s="114" t="inlineStr">
        <is>
          <t>Non-compliance: regulatory action by issuing authority; fines and penalties as specified; operational and reputational consequences</t>
        </is>
      </c>
      <c r="AZ97" s="111" t="inlineStr">
        <is>
          <t>Financial Regulators</t>
        </is>
      </c>
      <c r="BA97" s="41" t="inlineStr">
        <is>
          <t>Sector-Specific</t>
        </is>
      </c>
      <c r="BB97" s="591">
        <f>IF(E97="","",IF(ISNUMBER(SEARCH("Institutional theory and regulatory governance theory underpin",AI97)),"TEMPLATE",IF(LEN(AI97)&gt;100,"DEEP",IF(AI97="","SPARSE","SHALLOW"))))</f>
        <v/>
      </c>
      <c r="BC97" s="591">
        <f>IF(E97="","",D97&amp;"-"&amp;B97&amp;"-"&amp;E97)</f>
        <v/>
      </c>
      <c r="BD97" s="591">
        <f>IF(E97="","",SUBSTITUTE(SUBSTITUTE(B97&amp;"-"&amp;E97," ",""),":","-"))</f>
        <v/>
      </c>
      <c r="BE97" s="591">
        <f>IF(E97="","",IF(ISNUMBER(SEARCH("ECC",E97)),"NCA-ECC-2-2024",IF(ISNUMBER(SEARCH("OTCC",E97)),"NCA-ECC-2-2024",IF(ISNUMBER(SEARCH("CCC",E97)),"NCA-ECC-2-2024",IF(ISNUMBER(SEARCH("DCC",E97)),"NCA-ECC-2-2024",IF(ISNUMBER(SEARCH("CSCC",E97)),"NCA-ECC-2-2024",IF(ISNUMBER(SEARCH("PDPL-IR",E97)),"PDPL-2021",IF(ISNUMBER(SEARCH("PDPL-DTR",E97)),"PDPL-2021","NONE"))))))))</f>
        <v/>
      </c>
      <c r="BF97" s="594">
        <f>IF(E97="","",IF(BB97="DEEP",10,IF(BB97="SHALLOW",5,IF(BB97="TEMPLATE",3,1)))+IF(N97="HIGHEST",5,IF(N97="HIGH",3,IF(N97="MODERATE",1,0)))+IF(ISNUMBER(SEARCH("Mandatory",L97)),3,0))</f>
        <v/>
      </c>
    </row>
    <row r="98" ht="42" customHeight="1">
      <c r="A98" s="96" t="n">
        <v>91</v>
      </c>
      <c r="B98" s="97" t="inlineStr">
        <is>
          <t>SAMA</t>
        </is>
      </c>
      <c r="C98" s="98" t="inlineStr">
        <is>
          <t>Saudi Central Bank</t>
        </is>
      </c>
      <c r="D98" s="98" t="inlineStr">
        <is>
          <t>5. Financial Regulators</t>
        </is>
      </c>
      <c r="E98" s="97" t="inlineStr">
        <is>
          <t>NCA-ECC-2:2024</t>
        </is>
      </c>
      <c r="F98" s="99" t="inlineStr">
        <is>
          <t>Essential Cybersecurity Controls</t>
        </is>
      </c>
      <c r="G98" s="98" t="inlineStr">
        <is>
          <t>ضوابط الأمن السيبراني الأساسية</t>
        </is>
      </c>
      <c r="H98" s="98" t="inlineStr">
        <is>
          <t>ECC-2:2024</t>
        </is>
      </c>
      <c r="I98" s="100" t="inlineStr">
        <is>
          <t>2018</t>
        </is>
      </c>
      <c r="J98" s="100" t="inlineStr">
        <is>
          <t>108</t>
        </is>
      </c>
      <c r="K98" s="98" t="inlineStr">
        <is>
          <t>MUST COMPLY WITH</t>
        </is>
      </c>
      <c r="L98" s="66" t="inlineStr">
        <is>
          <t>Mandatory Complier</t>
        </is>
      </c>
      <c r="M98" s="98" t="inlineStr">
        <is>
          <t>SAMA as government entity + SAMA-regulated entities as CNI</t>
        </is>
      </c>
      <c r="N98" s="101" t="inlineStr">
        <is>
          <t>MODERATE</t>
        </is>
      </c>
      <c r="O98" s="102" t="inlineStr">
        <is>
          <t>https://nca.gov.sa/</t>
        </is>
      </c>
      <c r="P98" s="98" t="inlineStr">
        <is>
          <t>NCA ECC scope</t>
        </is>
      </c>
      <c r="Q98" s="98" t="inlineStr">
        <is>
          <t>See official source for version history</t>
        </is>
      </c>
      <c r="R98" s="98" t="inlineStr">
        <is>
          <t>Framework issued by the relevant authority. Version details available on the official website referenced in the source URL column. The framework has been updated periodically since first issuance.</t>
        </is>
      </c>
      <c r="S98" s="100" t="inlineStr">
        <is>
          <t>See official source</t>
        </is>
      </c>
      <c r="T98" s="98" t="inlineStr">
        <is>
          <t>Updated as needed by the issuing authority</t>
        </is>
      </c>
      <c r="U98" s="25" t="inlineStr">
        <is>
          <t>CURRENT — consult official source for latest version</t>
        </is>
      </c>
      <c r="V98" s="98" t="inlineStr">
        <is>
          <t>Penalties defined by issuing authority; consult official source. NCA ECC-2 penalties apply if relevant</t>
        </is>
      </c>
      <c r="W98" s="99" t="inlineStr">
        <is>
          <t>Issuing authority and/or designated inspection department</t>
        </is>
      </c>
      <c r="X98" s="98" t="inlineStr">
        <is>
          <t>As specified in framework scope — consult official document</t>
        </is>
      </c>
      <c r="Y98" s="49" t="inlineStr">
        <is>
          <t>Both (unless specified otherwise in official document)</t>
        </is>
      </c>
      <c r="Z98" s="98" t="inlineStr">
        <is>
          <t>As defined by issuing authority</t>
        </is>
      </c>
      <c r="AA98" s="100" t="inlineStr">
        <is>
          <t>As defined by issuing authority</t>
        </is>
      </c>
      <c r="AB98" s="98" t="inlineStr">
        <is>
          <t>To be determined from framework text — see official source</t>
        </is>
      </c>
      <c r="AC98" s="98" t="inlineStr">
        <is>
          <t>See framework preamble for international standard references</t>
        </is>
      </c>
      <c r="AD98" s="49" t="inlineStr">
        <is>
          <t>Arabic (primary in KSA); English may be available</t>
        </is>
      </c>
      <c r="AE98" s="58" t="inlineStr">
        <is>
          <t>Mapped to relevant GH-ICGA layer — requires manual assessment</t>
        </is>
      </c>
      <c r="AF98" s="56" t="inlineStr">
        <is>
          <t>See official framework for maturity model details</t>
        </is>
      </c>
      <c r="AG98" s="98" t="inlineStr">
        <is>
          <t>Aligned with relevant Vision 2030 programme — see framework context</t>
        </is>
      </c>
      <c r="AH98" s="98" t="inlineStr">
        <is>
          <t>As specified in framework compliance requirements</t>
        </is>
      </c>
      <c r="AI98" s="103" t="inlineStr">
        <is>
          <t>Institutional theory and regulatory governance theory underpin all KSA regulatory frameworks. Specific theoretical basis varies by framework — consult academic literature via Google Scholar using framework name as search term.</t>
        </is>
      </c>
      <c r="AJ98" s="98" t="inlineStr">
        <is>
          <t>Academic debate varies by framework maturity and international adoption. For KSA-specific debate, consult: Almohammad &amp; Wills (2021) J Cybersecurity; Al-Khater et al. (2020) IEEE Access; Baker McKenzie KSA regulatory updates.</t>
        </is>
      </c>
      <c r="AK98" s="104" t="inlineStr">
        <is>
          <t>Known criticisms include: implementation gap between standards and practice; resource constraints for smaller healthcare entities; rapid technology evolution outpacing regulation. Consult framework evaluation literature for specifics.</t>
        </is>
      </c>
      <c r="AL98" s="105" t="inlineStr">
        <is>
          <t>Framework comparison requires contextual analysis. Key comparators: NIST CSF 2.0 (international benchmark), ISO 27001 (certifiable standard), ECC-2 (KSA mandatory baseline). See main database for cross-framework mapping.</t>
        </is>
      </c>
      <c r="AM98" s="10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98" s="107" t="inlineStr">
        <is>
          <t>Official: Consult the official source URL in the database for the primary document. Training: ISACA, ISC2, RAPS, IAPP, and HIMSS offer professional development covering most regulatory domains. Estimated hours vary by framework complexity.</t>
        </is>
      </c>
      <c r="AO98" s="108" t="inlineStr">
        <is>
          <t>Relevance to GH-ICGA framework varies by layer — see GH-ICGA Layer Mapping column. All KSA mandatory frameworks are compliance inputs to GH-ICGA Layer 4. Frameworks with IoMT-specific provisions directly inform Layers 2 and 3.</t>
        </is>
      </c>
      <c r="AP98" s="51" t="inlineStr">
        <is>
          <t>G + C (Governance + Compliance — standard regulatory framework positioning)</t>
        </is>
      </c>
      <c r="AQ98" s="109" t="inlineStr">
        <is>
          <t>Senior management: accountability for framework compliance. Designated compliance officer: monitor requirements. All staff: awareness of applicable obligations</t>
        </is>
      </c>
      <c r="AR98" s="104" t="inlineStr">
        <is>
          <t>Regulatory Risk; Operational Risk; Reputational Risk — specific domains determined by framework scope</t>
        </is>
      </c>
      <c r="AS98" s="22" t="inlineStr">
        <is>
          <t>See official source — legal obligation, regulatory requirement, or voluntary standard as applicable</t>
        </is>
      </c>
      <c r="AT98" s="105" t="inlineStr">
        <is>
          <t>Administrative; Technical; Operational — specific distribution determined by framework content</t>
        </is>
      </c>
      <c r="AU98" s="110" t="inlineStr">
        <is>
          <t>1. Compliance status (compliant/non-compliant). 2. # open findings from last assessment. 3. % controls implemented. 4. Time to remediate findings. 5. Incident rate in framework scope area</t>
        </is>
      </c>
      <c r="AV98" s="111" t="inlineStr">
        <is>
          <t>Self-assessment; internal audit; external assessment as specified by issuing authority</t>
        </is>
      </c>
      <c r="AW98" s="112" t="inlineStr">
        <is>
          <t>ServiceNow GRC; IBM OpenPages; RSA Archer; MetricStream — all major GRC platforms support custom framework import. Contact vendor for framework-specific module</t>
        </is>
      </c>
      <c r="AX98" s="113" t="inlineStr">
        <is>
          <t>Third parties in scope must demonstrate equivalent compliance. Contractual compliance obligations; right-to-audit clauses; annual third-party assessment</t>
        </is>
      </c>
      <c r="AY98" s="114" t="inlineStr">
        <is>
          <t>Non-compliance: regulatory action by issuing authority; fines and penalties as specified; operational and reputational consequences</t>
        </is>
      </c>
      <c r="AZ98" s="111" t="inlineStr">
        <is>
          <t>ALL 17 SECTORS</t>
        </is>
      </c>
      <c r="BA98" s="34" t="inlineStr">
        <is>
          <t>YES — ALL SECTORS</t>
        </is>
      </c>
      <c r="BB98" s="591">
        <f>IF(E98="","",IF(ISNUMBER(SEARCH("Institutional theory and regulatory governance theory underpin",AI98)),"TEMPLATE",IF(LEN(AI98)&gt;100,"DEEP",IF(AI98="","SPARSE","SHALLOW"))))</f>
        <v/>
      </c>
      <c r="BC98" s="591">
        <f>IF(E98="","",D98&amp;"-"&amp;B98&amp;"-"&amp;E98)</f>
        <v/>
      </c>
      <c r="BD98" s="591">
        <f>IF(E98="","",SUBSTITUTE(SUBSTITUTE(B98&amp;"-"&amp;E98," ",""),":","-"))</f>
        <v/>
      </c>
      <c r="BE98" s="591">
        <f>IF(E98="","",IF(ISNUMBER(SEARCH("ECC",E98)),"NCA-ECC-2-2024",IF(ISNUMBER(SEARCH("OTCC",E98)),"NCA-ECC-2-2024",IF(ISNUMBER(SEARCH("CCC",E98)),"NCA-ECC-2-2024",IF(ISNUMBER(SEARCH("DCC",E98)),"NCA-ECC-2-2024",IF(ISNUMBER(SEARCH("CSCC",E98)),"NCA-ECC-2-2024",IF(ISNUMBER(SEARCH("PDPL-IR",E98)),"PDPL-2021",IF(ISNUMBER(SEARCH("PDPL-DTR",E98)),"PDPL-2021","NONE"))))))))</f>
        <v/>
      </c>
      <c r="BF98" s="594">
        <f>IF(E98="","",IF(BB98="DEEP",10,IF(BB98="SHALLOW",5,IF(BB98="TEMPLATE",3,1)))+IF(N98="HIGHEST",5,IF(N98="HIGH",3,IF(N98="MODERATE",1,0)))+IF(ISNUMBER(SEARCH("Mandatory",L98)),3,0))</f>
        <v/>
      </c>
    </row>
    <row r="99" ht="42" customHeight="1">
      <c r="A99" s="42" t="n">
        <v>92</v>
      </c>
      <c r="B99" s="115" t="inlineStr">
        <is>
          <t>SAMA</t>
        </is>
      </c>
      <c r="C99" s="44" t="inlineStr">
        <is>
          <t>Saudi Central Bank</t>
        </is>
      </c>
      <c r="D99" s="44" t="inlineStr">
        <is>
          <t>5. Financial Regulators</t>
        </is>
      </c>
      <c r="E99" s="115" t="inlineStr">
        <is>
          <t>PDPL-2021</t>
        </is>
      </c>
      <c r="F99" s="45" t="inlineStr">
        <is>
          <t>Personal Data Protection Law</t>
        </is>
      </c>
      <c r="G99" s="44" t="inlineStr">
        <is>
          <t>نظام حماية البيانات الشخصية</t>
        </is>
      </c>
      <c r="H99" s="44" t="inlineStr">
        <is>
          <t>2021+IR 2023</t>
        </is>
      </c>
      <c r="I99" s="46" t="inlineStr">
        <is>
          <t>2021</t>
        </is>
      </c>
      <c r="J99" s="46" t="inlineStr">
        <is>
          <t>45</t>
        </is>
      </c>
      <c r="K99" s="44" t="inlineStr">
        <is>
          <t>MUST COMPLY WITH</t>
        </is>
      </c>
      <c r="L99" s="66" t="inlineStr">
        <is>
          <t>Mandatory Complier</t>
        </is>
      </c>
      <c r="M99" s="44" t="inlineStr">
        <is>
          <t>SAMA and regulated entities process customer data</t>
        </is>
      </c>
      <c r="N99" s="55" t="inlineStr">
        <is>
          <t>MODERATE</t>
        </is>
      </c>
      <c r="O99" s="48" t="inlineStr">
        <is>
          <t>https://sdaia.gov.sa/</t>
        </is>
      </c>
      <c r="P99" s="44" t="inlineStr">
        <is>
          <t>SDAIA; Baker McKenzie 2025</t>
        </is>
      </c>
      <c r="Q99" s="98" t="inlineStr">
        <is>
          <t>Royal Decree M/19 (16 Sep 2021) → amended Apr 2023</t>
        </is>
      </c>
      <c r="R99" s="98" t="inlineStr">
        <is>
          <t>Original (2021): 19 articles covering consent, data subject rights, controller obligations, sensitive data (health = sensitive), cross-border transfer. Apr 2023 amendment: strengthened enforcement, clarified health data provisions, aligned with PDPL-IR-2023. Grace period for compliance ended Sep 14, 2024. Penalties: up to SAR 5 million fine + 2 years imprisonment for sensitive data breach</t>
        </is>
      </c>
      <c r="S99" s="100" t="inlineStr">
        <is>
          <t>Issued: Sep 2021. Amended: Apr 2023. Fully enforceable: Sep 14, 2024</t>
        </is>
      </c>
      <c r="T99" s="98" t="inlineStr">
        <is>
          <t>SDAIA reviews annually; amendments expected 2025-2026</t>
        </is>
      </c>
      <c r="U99" s="25" t="inlineStr">
        <is>
          <t>CURRENT — fully enforceable since Sep 2024</t>
        </is>
      </c>
      <c r="V99" s="98" t="inlineStr">
        <is>
          <t>Criminal offence: up to 2 years imprisonment + SAR 3M fine for disclosing sensitive data (health data = sensitive); administrative fine up to SAR 5M; mandatory breach notification to SDAIA within 72 hours; data subject compensation claims</t>
        </is>
      </c>
      <c r="W99" s="99" t="inlineStr">
        <is>
          <t>SDAIA — Data Protection Authority (DPA functions); NDMO for government entities; courts for criminal penalties</t>
        </is>
      </c>
      <c r="X99" s="98" t="inlineStr">
        <is>
          <t>Hospital; Clinic; Lab; Pharmacy; Health IT Vendor; Health Insurer; Government Health Entity; Medical Device Manufacturer (all processing patient data)</t>
        </is>
      </c>
      <c r="Y99" s="49" t="inlineStr">
        <is>
          <t>Both + foreign entities processing data of KSA residents</t>
        </is>
      </c>
      <c r="Z99" s="98" t="inlineStr">
        <is>
          <t>SDAIA audit; controller self-assessment; DPO oversight; data subject complaints trigger investigation</t>
        </is>
      </c>
      <c r="AA99" s="100" t="inlineStr">
        <is>
          <t>Continuous (breach notification: 72 hours); annual DPO report; SDAIA random audits</t>
        </is>
      </c>
      <c r="AB99" s="98" t="inlineStr">
        <is>
          <t>12 (IoMT data minimisation; purpose limitation; consent management for wearable data; automated decision-making; data subject rights for IoMT-generated health data; cross-border transfer of IoMT data)</t>
        </is>
      </c>
      <c r="AC99" s="98" t="inlineStr">
        <is>
          <t>GDPR (substantial alignment — adequate protection basis); APEC Privacy Framework; ISO 29100; ISO 27701</t>
        </is>
      </c>
      <c r="AD99" s="49" t="inlineStr">
        <is>
          <t>Arabic (official); English translation (unofficial)</t>
        </is>
      </c>
      <c r="AE99" s="50" t="inlineStr">
        <is>
          <t>Layer 4: Compliance; Layer 2: Risk Management</t>
        </is>
      </c>
      <c r="AF99" s="60" t="inlineStr">
        <is>
          <t>No formal maturity model; SDAIA publishes compliance guidance</t>
        </is>
      </c>
      <c r="AG99" s="98" t="inlineStr">
        <is>
          <t>National Data Strategy; Vision 2030 Digital Economy; Digital Government transformation</t>
        </is>
      </c>
      <c r="AH99" s="98" t="inlineStr">
        <is>
          <t>Privacy notices; consent records; DPO appointment letter; data mapping/flow diagrams; breach notification records; DPIA for health data processing; controller registration</t>
        </is>
      </c>
      <c r="AI99" s="103" t="inlineStr">
        <is>
          <t>Privacy as fundamental right (Warren &amp; Brandeis 1890; Westin 1967). Contextual integrity theory (Nissenbaum 2004): health data flows must match medical context norms. Regulatory theory: data protection authority independence and enforcement. Information asymmetry theory: patients cannot protect their own data without regulation.</t>
        </is>
      </c>
      <c r="AJ99" s="98" t="inlineStr">
        <is>
          <t>FOR: Long-overdue — KSA had no comprehensive data protection law until 2021; health data explicitly protected as sensitive category; aligns KSA with global adequacy standards. AGAINST: Alrawabdeh (2014) and Aldawood &amp; Skinner (2019) documented Saudi privacy culture gap — regulation without public awareness is ineffective; 'GDPR-lite' criticism: exemptions broader than GDPR, enforcement weaker; health data provisions in IR still less specific than UK GDPR Schedule 1 conditions</t>
        </is>
      </c>
      <c r="AK99" s="104" t="inlineStr">
        <is>
          <t>No independent supervisory authority (SDAIA is both promoter and regulator — conflict of interest noted by Baker McKenzie 2025); patient data portability rights weaker than GDPR Article 20; no explicit right to explanation for AI-automated health decisions; cross-border transfer rules changed twice in 12 months (regulatory instability); small healthcare providers lack capacity for DPO requirements</t>
        </is>
      </c>
      <c r="AL99" s="105" t="inlineStr">
        <is>
          <t>PDPL vs GDPR: PDPL penalty lower (SAR 5M vs €20M); PDPL broader government exemptions; GDPR has independent DPA, PDPL does not. PDPL vs HIPAA: PDPL = all personal data (broader); HIPAA = US-specific health data only. PDPL vs UK GDPR: PDPL misses explicit Schedule 1 health data conditions. PDPL ahead of HIPAA on consent granularity; behind GDPR on enforcement independence</t>
        </is>
      </c>
      <c r="AM99" s="106" t="inlineStr">
        <is>
          <t>Baker McKenzie (2025) Saudi Arabia PDPL Global Data &amp; Cyber Handbook; Alrawabdeh W (2014) 'Internet and Social Media Challenges in Arab World' EJSR; Westin AF (1967) Privacy and Freedom NY Atheneum; Nissenbaum H (2004) 'Privacy as Contextual Integrity' Washington Law Review 79(1); CMS Law (2025) Saudi Arabia Data Protection &amp; Cybersecurity Expert Guide Oct 2025</t>
        </is>
      </c>
      <c r="AN99" s="107" t="inlineStr">
        <is>
          <t>Official: SDAIA website (sdaia.gov.sa) — Arabic + English. Training: IAPP CIPM/CIPP/E (privacy certifications applicable); OneTrust PDPL compliance course; Baker McKenzie PDPL compliance guide. Language: Arabic primary — strong Arabic reading recommended. Estimated: 50 hours for health sector DPO competence</t>
        </is>
      </c>
      <c r="AO99" s="108" t="inlineStr">
        <is>
          <t>PRIMARY driver for GH-ICGA Layer 4 (Compliance) — PDPL is the legal foundation for patient data governance in the preliminary GH-ICGA framework. Thesis argument: GH-ICGA Layer 4 operationalises PDPL requirements into IoMT-specific controls (consent management for wearable data; purpose limitation for monitoring streams; breach response for connected device incidents)</t>
        </is>
      </c>
      <c r="AP99" s="51" t="inlineStr">
        <is>
          <t>G + C (Governance + Compliance — strong compliance driver; risk implicit)</t>
        </is>
      </c>
      <c r="AQ99" s="109" t="inlineStr">
        <is>
          <t>Board/CEO: ultimate accountability for PDPL compliance. DPO: mandatory for large-scale health data processors — reports to highest management level. Privacy Committee: cross-functional oversight. All staff processing personal data: mandatory privacy awareness training annually</t>
        </is>
      </c>
      <c r="AR99" s="104" t="inlineStr">
        <is>
          <t>Privacy Risk (PRIMARY); Legal/Regulatory Risk; Reputational Risk; Strategic Risk (data monetisation constraints); Cross-Border Risk (data transfer restrictions)</t>
        </is>
      </c>
      <c r="AS99" s="22" t="inlineStr">
        <is>
          <t>LEGAL — Royal Decree M/19 2021 + Implementing Regulations Sep 2023. Criminal: imprisonment up to 2 years + SAR 3M fine for sensitive data disclosure. Administrative: SAR 5M maximum fine. Civil: data subject compensation claims</t>
        </is>
      </c>
      <c r="AT99" s="105" t="inlineStr">
        <is>
          <t>Administrative (A): consent management; privacy notices; DPO appointment; DPIA process; breach notification procedure. Technical (T): data minimisation; pseudonymisation; access controls for personal data; encryption. Operational (O): data retention enforcement; data subject rights fulfilment process; cross-border transfer review</t>
        </is>
      </c>
      <c r="AU99" s="110" t="inlineStr">
        <is>
          <t>1. # data subject rights requests fulfilled on time (target: 100% within 30 days). 2. # data breaches notified to SDAIA within 72h (target: 100%). 3. % staff completed privacy training (target: 100%). 4. # DPIAs completed for high-risk processing activities. 5. Data retention compliance rate (% records within policy). 6. % third-party processors with DPA agreements</t>
        </is>
      </c>
      <c r="AV99" s="111" t="inlineStr">
        <is>
          <t>Annual DPIA review; data mapping audit (controller record validation); consent record audit; breach response simulation (tabletop); access control review for personal data systems; third-party processor audit; SDAIA compliance self-assessment</t>
        </is>
      </c>
      <c r="AW99" s="112" t="inlineStr">
        <is>
          <t>OneTrust (market leader for PDPL); TrustArc; Nymity; DataGrail; Varonis (data discovery); Microsoft Purview (data classification). SDAIA National Data Governance Platform for registration. Arabic-capable tools preferred</t>
        </is>
      </c>
      <c r="AX99" s="113" t="inlineStr">
        <is>
          <t>All third-party data processors must have Data Processing Agreement (DPA). Processors must demonstrate equivalent PDPL compliance. Cross-border transfers require adequacy assessment or appropriate safeguards. Sub-processor disclosure mandatory. Annual processor risk assessment required</t>
        </is>
      </c>
      <c r="AY99" s="114" t="inlineStr">
        <is>
          <t>Non-compliance: SAR 5M administrative fine; criminal prosecution for sensitive data breach; SDAIA investigation; mandatory breach public disclosure. Business disruption: SDAIA can order processing suspension. Reputational: patient trust damage. Market: EU adequate protection status depends on PDPL enforcement credibility</t>
        </is>
      </c>
      <c r="AZ99" s="111" t="inlineStr">
        <is>
          <t>ALL 17 SECTORS — any entity processing personal data</t>
        </is>
      </c>
      <c r="BA99" s="34" t="inlineStr">
        <is>
          <t>YES — ALL SECTORS</t>
        </is>
      </c>
      <c r="BB99" s="591">
        <f>IF(E99="","",IF(ISNUMBER(SEARCH("Institutional theory and regulatory governance theory underpin",AI99)),"TEMPLATE",IF(LEN(AI99)&gt;100,"DEEP",IF(AI99="","SPARSE","SHALLOW"))))</f>
        <v/>
      </c>
      <c r="BC99" s="591">
        <f>IF(E99="","",D99&amp;"-"&amp;B99&amp;"-"&amp;E99)</f>
        <v/>
      </c>
      <c r="BD99" s="591">
        <f>IF(E99="","",SUBSTITUTE(SUBSTITUTE(B99&amp;"-"&amp;E99," ",""),":","-"))</f>
        <v/>
      </c>
      <c r="BE99" s="591">
        <f>IF(E99="","",IF(ISNUMBER(SEARCH("ECC",E99)),"NCA-ECC-2-2024",IF(ISNUMBER(SEARCH("OTCC",E99)),"NCA-ECC-2-2024",IF(ISNUMBER(SEARCH("CCC",E99)),"NCA-ECC-2-2024",IF(ISNUMBER(SEARCH("DCC",E99)),"NCA-ECC-2-2024",IF(ISNUMBER(SEARCH("CSCC",E99)),"NCA-ECC-2-2024",IF(ISNUMBER(SEARCH("PDPL-IR",E99)),"PDPL-2021",IF(ISNUMBER(SEARCH("PDPL-DTR",E99)),"PDPL-2021","NONE"))))))))</f>
        <v/>
      </c>
      <c r="BF99" s="594">
        <f>IF(E99="","",IF(BB99="DEEP",10,IF(BB99="SHALLOW",5,IF(BB99="TEMPLATE",3,1)))+IF(N99="HIGHEST",5,IF(N99="HIGH",3,IF(N99="MODERATE",1,0)))+IF(ISNUMBER(SEARCH("Mandatory",L99)),3,0))</f>
        <v/>
      </c>
    </row>
    <row r="100">
      <c r="BB100" s="591">
        <f>IF(E100="","",IF(ISNUMBER(SEARCH("Institutional theory and regulatory governance theory underpin",AI100)),"TEMPLATE",IF(LEN(AI100)&gt;100,"DEEP",IF(AI100="","SPARSE","SHALLOW"))))</f>
        <v/>
      </c>
      <c r="BC100" s="591">
        <f>IF(E100="","",D100&amp;"-"&amp;B100&amp;"-"&amp;E100)</f>
        <v/>
      </c>
      <c r="BD100" s="591">
        <f>IF(E100="","",SUBSTITUTE(SUBSTITUTE(B100&amp;"-"&amp;E100," ",""),":","-"))</f>
        <v/>
      </c>
      <c r="BE100" s="591">
        <f>IF(E100="","",IF(ISNUMBER(SEARCH("ECC",E100)),"NCA-ECC-2-2024",IF(ISNUMBER(SEARCH("OTCC",E100)),"NCA-ECC-2-2024",IF(ISNUMBER(SEARCH("CCC",E100)),"NCA-ECC-2-2024",IF(ISNUMBER(SEARCH("DCC",E100)),"NCA-ECC-2-2024",IF(ISNUMBER(SEARCH("CSCC",E100)),"NCA-ECC-2-2024",IF(ISNUMBER(SEARCH("PDPL-IR",E100)),"PDPL-2021",IF(ISNUMBER(SEARCH("PDPL-DTR",E100)),"PDPL-2021","NONE"))))))))</f>
        <v/>
      </c>
      <c r="BF100" s="594">
        <f>IF(E100="","",IF(BB100="DEEP",10,IF(BB100="SHALLOW",5,IF(BB100="TEMPLATE",3,1)))+IF(N100="HIGHEST",5,IF(N100="HIGH",3,IF(N100="MODERATE",1,0)))+IF(ISNUMBER(SEARCH("Mandatory",L100)),3,0))</f>
        <v/>
      </c>
    </row>
    <row r="101" ht="19.5" customHeight="1">
      <c r="A101" s="117" t="n"/>
      <c r="B101" s="118" t="inlineStr">
        <is>
          <t xml:space="preserve">  ── 4. ICT / Digital / Telecom ──</t>
        </is>
      </c>
      <c r="C101" s="117" t="n"/>
      <c r="D101" s="117" t="n"/>
      <c r="E101" s="117" t="n"/>
      <c r="F101" s="117" t="n"/>
      <c r="G101" s="117" t="n"/>
      <c r="H101" s="117" t="n"/>
      <c r="I101" s="117" t="n"/>
      <c r="J101" s="117" t="n"/>
      <c r="K101" s="117" t="n"/>
      <c r="L101" s="117" t="n"/>
      <c r="M101" s="117" t="n"/>
      <c r="N101" s="117" t="n"/>
      <c r="O101" s="117" t="n"/>
      <c r="P101" s="117" t="n"/>
      <c r="BB101" s="591">
        <f>IF(E101="","",IF(ISNUMBER(SEARCH("Institutional theory and regulatory governance theory underpin",AI101)),"TEMPLATE",IF(LEN(AI101)&gt;100,"DEEP",IF(AI101="","SPARSE","SHALLOW"))))</f>
        <v/>
      </c>
      <c r="BC101" s="591">
        <f>IF(E101="","",D101&amp;"-"&amp;B101&amp;"-"&amp;E101)</f>
        <v/>
      </c>
      <c r="BD101" s="591">
        <f>IF(E101="","",SUBSTITUTE(SUBSTITUTE(B101&amp;"-"&amp;E101," ",""),":","-"))</f>
        <v/>
      </c>
      <c r="BE101" s="591">
        <f>IF(E101="","",IF(ISNUMBER(SEARCH("ECC",E101)),"NCA-ECC-2-2024",IF(ISNUMBER(SEARCH("OTCC",E101)),"NCA-ECC-2-2024",IF(ISNUMBER(SEARCH("CCC",E101)),"NCA-ECC-2-2024",IF(ISNUMBER(SEARCH("DCC",E101)),"NCA-ECC-2-2024",IF(ISNUMBER(SEARCH("CSCC",E101)),"NCA-ECC-2-2024",IF(ISNUMBER(SEARCH("PDPL-IR",E101)),"PDPL-2021",IF(ISNUMBER(SEARCH("PDPL-DTR",E101)),"PDPL-2021","NONE"))))))))</f>
        <v/>
      </c>
      <c r="BF101" s="594">
        <f>IF(E101="","",IF(BB101="DEEP",10,IF(BB101="SHALLOW",5,IF(BB101="TEMPLATE",3,1)))+IF(N101="HIGHEST",5,IF(N101="HIGH",3,IF(N101="MODERATE",1,0)))+IF(ISNUMBER(SEARCH("Mandatory",L101)),3,0))</f>
        <v/>
      </c>
    </row>
    <row r="102" ht="42" customHeight="1">
      <c r="A102" s="119" t="n">
        <v>93</v>
      </c>
      <c r="B102" s="120" t="inlineStr">
        <is>
          <t>CST</t>
        </is>
      </c>
      <c r="C102" s="121" t="inlineStr">
        <is>
          <t>Communications Space &amp; Technology Commission</t>
        </is>
      </c>
      <c r="D102" s="121" t="inlineStr">
        <is>
          <t>4. ICT / Digital / Telecom</t>
        </is>
      </c>
      <c r="E102" s="120" t="inlineStr">
        <is>
          <t>CST-TITA</t>
        </is>
      </c>
      <c r="F102" s="122" t="inlineStr">
        <is>
          <t>Telecommunications &amp; IT Act</t>
        </is>
      </c>
      <c r="G102" s="121" t="inlineStr">
        <is>
          <t>نظام الاتصالات وتقنية المعلومات</t>
        </is>
      </c>
      <c r="H102" s="121" t="inlineStr">
        <is>
          <t>Updated 2022</t>
        </is>
      </c>
      <c r="I102" s="123" t="inlineStr">
        <is>
          <t>2001</t>
        </is>
      </c>
      <c r="J102" s="123" t="inlineStr">
        <is>
          <t>N/A</t>
        </is>
      </c>
      <c r="K102" s="121" t="inlineStr">
        <is>
          <t>ISSUES/ENFORCES</t>
        </is>
      </c>
      <c r="L102" s="22" t="inlineStr">
        <is>
          <t>Mandatory Enforcer</t>
        </is>
      </c>
      <c r="M102" s="121" t="inlineStr">
        <is>
          <t>Telecom and ICT providers — health IT vendors</t>
        </is>
      </c>
      <c r="N102" s="124" t="inlineStr">
        <is>
          <t>HIGH</t>
        </is>
      </c>
      <c r="O102" s="125" t="inlineStr">
        <is>
          <t>https://www.cst.gov.sa/en</t>
        </is>
      </c>
      <c r="P102" s="121" t="inlineStr">
        <is>
          <t>CST official; Wikipedia CST</t>
        </is>
      </c>
      <c r="Q102" s="121" t="inlineStr">
        <is>
          <t>Telecom Law 2001 → renamed CST (from CITC) Dec 2022 → updated 2024</t>
        </is>
      </c>
      <c r="R102" s="121" t="inlineStr">
        <is>
          <t>Original Telecommunications Act 2001. CITC renamed to Communications, Space and Technology Commission (CST) in Dec 2022 gaining space regulatory mandate. 2022-2024 updates: digital content platform regulations; data center licensing; IoT framework expansion; spectrum management for 5G/6G; number portability; consumer protection strengthened; SLA disclosure requirements for cloud providers. Healthcare relevance: telehealth platform licensing under CST</t>
        </is>
      </c>
      <c r="S102" s="123" t="inlineStr">
        <is>
          <t>Original: 2001. CST rename: Dec 2022. Updated: 2022-2024</t>
        </is>
      </c>
      <c r="T102" s="121" t="inlineStr">
        <is>
          <t>Continuous updates; ICT Strategy 2025+ under development</t>
        </is>
      </c>
      <c r="U102" s="25" t="inlineStr">
        <is>
          <t>CURRENT — continuously updated</t>
        </is>
      </c>
      <c r="V102" s="121" t="inlineStr">
        <is>
          <t>Penalties defined by issuing authority; consult official source. NCA ECC-2 penalties apply if relevant</t>
        </is>
      </c>
      <c r="W102" s="122" t="inlineStr">
        <is>
          <t>Issuing authority and/or designated inspection department</t>
        </is>
      </c>
      <c r="X102" s="121" t="inlineStr">
        <is>
          <t>As specified in framework scope — consult official document</t>
        </is>
      </c>
      <c r="Y102" s="49" t="inlineStr">
        <is>
          <t>Both (unless specified otherwise in official document)</t>
        </is>
      </c>
      <c r="Z102" s="121" t="inlineStr">
        <is>
          <t>As defined by issuing authority</t>
        </is>
      </c>
      <c r="AA102" s="123" t="inlineStr">
        <is>
          <t>As defined by issuing authority</t>
        </is>
      </c>
      <c r="AB102" s="121" t="inlineStr">
        <is>
          <t>To be determined from framework text — see official source</t>
        </is>
      </c>
      <c r="AC102" s="121" t="inlineStr">
        <is>
          <t>See framework preamble for international standard references</t>
        </is>
      </c>
      <c r="AD102" s="49" t="inlineStr">
        <is>
          <t>Arabic (primary in KSA); English may be available</t>
        </is>
      </c>
      <c r="AE102" s="58" t="inlineStr">
        <is>
          <t>Mapped to relevant GH-ICGA layer — requires manual assessment</t>
        </is>
      </c>
      <c r="AF102" s="56" t="inlineStr">
        <is>
          <t>See official framework for maturity model details</t>
        </is>
      </c>
      <c r="AG102" s="121" t="inlineStr">
        <is>
          <t>Aligned with relevant Vision 2030 programme — see framework context</t>
        </is>
      </c>
      <c r="AH102" s="121" t="inlineStr">
        <is>
          <t>As specified in framework compliance requirements</t>
        </is>
      </c>
      <c r="AI102" s="126" t="inlineStr">
        <is>
          <t>Institutional theory and regulatory governance theory underpin all KSA regulatory frameworks. Specific theoretical basis varies by framework — consult academic literature via Google Scholar using framework name as search term.</t>
        </is>
      </c>
      <c r="AJ102" s="121" t="inlineStr">
        <is>
          <t>Academic debate varies by framework maturity and international adoption. For KSA-specific debate, consult: Almohammad &amp; Wills (2021) J Cybersecurity; Al-Khater et al. (2020) IEEE Access; Baker McKenzie KSA regulatory updates.</t>
        </is>
      </c>
      <c r="AK102" s="127" t="inlineStr">
        <is>
          <t>Known criticisms include: implementation gap between standards and practice; resource constraints for smaller healthcare entities; rapid technology evolution outpacing regulation. Consult framework evaluation literature for specifics.</t>
        </is>
      </c>
      <c r="AL102" s="128" t="inlineStr">
        <is>
          <t>Framework comparison requires contextual analysis. Key comparators: NIST CSF 2.0 (international benchmark), ISO 27001 (certifiable standard), ECC-2 (KSA mandatory baseline). See main database for cross-framework mapping.</t>
        </is>
      </c>
      <c r="AM102" s="129"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02" s="130" t="inlineStr">
        <is>
          <t>Official: Consult the official source URL in the database for the primary document. Training: ISACA, ISC2, RAPS, IAPP, and HIMSS offer professional development covering most regulatory domains. Estimated hours vary by framework complexity.</t>
        </is>
      </c>
      <c r="AO102" s="131" t="inlineStr">
        <is>
          <t>Relevance to GH-ICGA framework varies by layer — see GH-ICGA Layer Mapping column. All KSA mandatory frameworks are compliance inputs to GH-ICGA Layer 4. Frameworks with IoMT-specific provisions directly inform Layers 2 and 3.</t>
        </is>
      </c>
      <c r="AP102" s="51" t="inlineStr">
        <is>
          <t>G + C (Governance + Compliance — standard regulatory framework positioning)</t>
        </is>
      </c>
      <c r="AQ102" s="132" t="inlineStr">
        <is>
          <t>Senior management: accountability for framework compliance. Designated compliance officer: monitor requirements. All staff: awareness of applicable obligations</t>
        </is>
      </c>
      <c r="AR102" s="127" t="inlineStr">
        <is>
          <t>Regulatory Risk; Operational Risk; Reputational Risk — specific domains determined by framework scope</t>
        </is>
      </c>
      <c r="AS102" s="22" t="inlineStr">
        <is>
          <t>See official source — legal obligation, regulatory requirement, or voluntary standard as applicable</t>
        </is>
      </c>
      <c r="AT102" s="128" t="inlineStr">
        <is>
          <t>Administrative; Technical; Operational — specific distribution determined by framework content</t>
        </is>
      </c>
      <c r="AU102" s="133" t="inlineStr">
        <is>
          <t>1. Compliance status (compliant/non-compliant). 2. # open findings from last assessment. 3. % controls implemented. 4. Time to remediate findings. 5. Incident rate in framework scope area</t>
        </is>
      </c>
      <c r="AV102" s="134" t="inlineStr">
        <is>
          <t>Self-assessment; internal audit; external assessment as specified by issuing authority</t>
        </is>
      </c>
      <c r="AW102" s="135" t="inlineStr">
        <is>
          <t>ServiceNow GRC; IBM OpenPages; RSA Archer; MetricStream — all major GRC platforms support custom framework import. Contact vendor for framework-specific module</t>
        </is>
      </c>
      <c r="AX102" s="136" t="inlineStr">
        <is>
          <t>Third parties in scope must demonstrate equivalent compliance. Contractual compliance obligations; right-to-audit clauses; annual third-party assessment</t>
        </is>
      </c>
      <c r="AY102" s="137" t="inlineStr">
        <is>
          <t>Non-compliance: regulatory action by issuing authority; fines and penalties as specified; operational and reputational consequences</t>
        </is>
      </c>
      <c r="AZ102" s="134" t="inlineStr">
        <is>
          <t>ICT / Digital / Telecom</t>
        </is>
      </c>
      <c r="BA102" s="41" t="inlineStr">
        <is>
          <t>Sector-Specific</t>
        </is>
      </c>
      <c r="BB102" s="591">
        <f>IF(E102="","",IF(ISNUMBER(SEARCH("Institutional theory and regulatory governance theory underpin",AI102)),"TEMPLATE",IF(LEN(AI102)&gt;100,"DEEP",IF(AI102="","SPARSE","SHALLOW"))))</f>
        <v/>
      </c>
      <c r="BC102" s="591">
        <f>IF(E102="","",D102&amp;"-"&amp;B102&amp;"-"&amp;E102)</f>
        <v/>
      </c>
      <c r="BD102" s="591">
        <f>IF(E102="","",SUBSTITUTE(SUBSTITUTE(B102&amp;"-"&amp;E102," ",""),":","-"))</f>
        <v/>
      </c>
      <c r="BE102" s="591">
        <f>IF(E102="","",IF(ISNUMBER(SEARCH("ECC",E102)),"NCA-ECC-2-2024",IF(ISNUMBER(SEARCH("OTCC",E102)),"NCA-ECC-2-2024",IF(ISNUMBER(SEARCH("CCC",E102)),"NCA-ECC-2-2024",IF(ISNUMBER(SEARCH("DCC",E102)),"NCA-ECC-2-2024",IF(ISNUMBER(SEARCH("CSCC",E102)),"NCA-ECC-2-2024",IF(ISNUMBER(SEARCH("PDPL-IR",E102)),"PDPL-2021",IF(ISNUMBER(SEARCH("PDPL-DTR",E102)),"PDPL-2021","NONE"))))))))</f>
        <v/>
      </c>
      <c r="BF102" s="594">
        <f>IF(E102="","",IF(BB102="DEEP",10,IF(BB102="SHALLOW",5,IF(BB102="TEMPLATE",3,1)))+IF(N102="HIGHEST",5,IF(N102="HIGH",3,IF(N102="MODERATE",1,0)))+IF(ISNUMBER(SEARCH("Mandatory",L102)),3,0))</f>
        <v/>
      </c>
    </row>
    <row r="103" ht="42" customHeight="1">
      <c r="A103" s="42" t="n">
        <v>94</v>
      </c>
      <c r="B103" s="138" t="inlineStr">
        <is>
          <t>CST</t>
        </is>
      </c>
      <c r="C103" s="44" t="inlineStr">
        <is>
          <t>Communications Space &amp; Technology Commission</t>
        </is>
      </c>
      <c r="D103" s="44" t="inlineStr">
        <is>
          <t>4. ICT / Digital / Telecom</t>
        </is>
      </c>
      <c r="E103" s="138" t="inlineStr">
        <is>
          <t>CST-CSRF</t>
        </is>
      </c>
      <c r="F103" s="45" t="inlineStr">
        <is>
          <t>Cybersecurity Regulatory Framework for ICT</t>
        </is>
      </c>
      <c r="G103" s="44" t="inlineStr">
        <is>
          <t>إطار الأمن السيبراني لقطاع الاتصالات</t>
        </is>
      </c>
      <c r="H103" s="44" t="inlineStr">
        <is>
          <t>Version 1.0 June 2020</t>
        </is>
      </c>
      <c r="I103" s="46" t="inlineStr">
        <is>
          <t>2020</t>
        </is>
      </c>
      <c r="J103" s="46" t="inlineStr">
        <is>
          <t>45</t>
        </is>
      </c>
      <c r="K103" s="44" t="inlineStr">
        <is>
          <t>ISSUES/ENFORCES</t>
        </is>
      </c>
      <c r="L103" s="22" t="inlineStr">
        <is>
          <t>Mandatory Enforcer</t>
        </is>
      </c>
      <c r="M103" s="44" t="inlineStr">
        <is>
          <t>ICT and postal sector operators — health IT service providers</t>
        </is>
      </c>
      <c r="N103" s="54" t="inlineStr">
        <is>
          <t>HIGH</t>
        </is>
      </c>
      <c r="O103" s="48" t="inlineStr">
        <is>
          <t>https://www.cst.gov.sa/en</t>
        </is>
      </c>
      <c r="P103" s="44" t="inlineStr">
        <is>
          <t>Baker McKenzie KSA 2025</t>
        </is>
      </c>
      <c r="Q103" s="121" t="inlineStr">
        <is>
          <t>See official source for version history</t>
        </is>
      </c>
      <c r="R103" s="121" t="inlineStr">
        <is>
          <t>Framework issued by the relevant authority. Version details available on the official website referenced in the source URL column. The framework has been updated periodically since first issuance.</t>
        </is>
      </c>
      <c r="S103" s="123" t="inlineStr">
        <is>
          <t>See official source</t>
        </is>
      </c>
      <c r="T103" s="121" t="inlineStr">
        <is>
          <t>Updated as needed by the issuing authority</t>
        </is>
      </c>
      <c r="U103" s="25" t="inlineStr">
        <is>
          <t>CURRENT — consult official source for latest version</t>
        </is>
      </c>
      <c r="V103" s="121" t="inlineStr">
        <is>
          <t>Penalties defined by issuing authority; consult official source. NCA ECC-2 penalties apply if relevant</t>
        </is>
      </c>
      <c r="W103" s="122" t="inlineStr">
        <is>
          <t>Issuing authority and/or designated inspection department</t>
        </is>
      </c>
      <c r="X103" s="121" t="inlineStr">
        <is>
          <t>As specified in framework scope — consult official document</t>
        </is>
      </c>
      <c r="Y103" s="49" t="inlineStr">
        <is>
          <t>Both (unless specified otherwise in official document)</t>
        </is>
      </c>
      <c r="Z103" s="121" t="inlineStr">
        <is>
          <t>As defined by issuing authority</t>
        </is>
      </c>
      <c r="AA103" s="123" t="inlineStr">
        <is>
          <t>As defined by issuing authority</t>
        </is>
      </c>
      <c r="AB103" s="121" t="inlineStr">
        <is>
          <t>To be determined from framework text — see official source</t>
        </is>
      </c>
      <c r="AC103" s="121" t="inlineStr">
        <is>
          <t>See framework preamble for international standard references</t>
        </is>
      </c>
      <c r="AD103" s="49" t="inlineStr">
        <is>
          <t>Arabic (primary in KSA); English may be available</t>
        </is>
      </c>
      <c r="AE103" s="58" t="inlineStr">
        <is>
          <t>Mapped to relevant GH-ICGA layer — requires manual assessment</t>
        </is>
      </c>
      <c r="AF103" s="56" t="inlineStr">
        <is>
          <t>See official framework for maturity model details</t>
        </is>
      </c>
      <c r="AG103" s="121" t="inlineStr">
        <is>
          <t>Aligned with relevant Vision 2030 programme — see framework context</t>
        </is>
      </c>
      <c r="AH103" s="121" t="inlineStr">
        <is>
          <t>As specified in framework compliance requirements</t>
        </is>
      </c>
      <c r="AI103" s="126" t="inlineStr">
        <is>
          <t>Institutional theory and regulatory governance theory underpin all KSA regulatory frameworks. Specific theoretical basis varies by framework — consult academic literature via Google Scholar using framework name as search term.</t>
        </is>
      </c>
      <c r="AJ103" s="121" t="inlineStr">
        <is>
          <t>Academic debate varies by framework maturity and international adoption. For KSA-specific debate, consult: Almohammad &amp; Wills (2021) J Cybersecurity; Al-Khater et al. (2020) IEEE Access; Baker McKenzie KSA regulatory updates.</t>
        </is>
      </c>
      <c r="AK103" s="127" t="inlineStr">
        <is>
          <t>Known criticisms include: implementation gap between standards and practice; resource constraints for smaller healthcare entities; rapid technology evolution outpacing regulation. Consult framework evaluation literature for specifics.</t>
        </is>
      </c>
      <c r="AL103" s="128" t="inlineStr">
        <is>
          <t>Framework comparison requires contextual analysis. Key comparators: NIST CSF 2.0 (international benchmark), ISO 27001 (certifiable standard), ECC-2 (KSA mandatory baseline). See main database for cross-framework mapping.</t>
        </is>
      </c>
      <c r="AM103" s="129"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03" s="130" t="inlineStr">
        <is>
          <t>Official: Consult the official source URL in the database for the primary document. Training: ISACA, ISC2, RAPS, IAPP, and HIMSS offer professional development covering most regulatory domains. Estimated hours vary by framework complexity.</t>
        </is>
      </c>
      <c r="AO103" s="131" t="inlineStr">
        <is>
          <t>Relevance to GH-ICGA framework varies by layer — see GH-ICGA Layer Mapping column. All KSA mandatory frameworks are compliance inputs to GH-ICGA Layer 4. Frameworks with IoMT-specific provisions directly inform Layers 2 and 3.</t>
        </is>
      </c>
      <c r="AP103" s="51" t="inlineStr">
        <is>
          <t>G + C (Governance + Compliance — standard regulatory framework positioning)</t>
        </is>
      </c>
      <c r="AQ103" s="132" t="inlineStr">
        <is>
          <t>Senior management: accountability for framework compliance. Designated compliance officer: monitor requirements. All staff: awareness of applicable obligations</t>
        </is>
      </c>
      <c r="AR103" s="127" t="inlineStr">
        <is>
          <t>Regulatory Risk; Operational Risk; Reputational Risk — specific domains determined by framework scope</t>
        </is>
      </c>
      <c r="AS103" s="22" t="inlineStr">
        <is>
          <t>See official source — legal obligation, regulatory requirement, or voluntary standard as applicable</t>
        </is>
      </c>
      <c r="AT103" s="128" t="inlineStr">
        <is>
          <t>Administrative; Technical; Operational — specific distribution determined by framework content</t>
        </is>
      </c>
      <c r="AU103" s="133" t="inlineStr">
        <is>
          <t>1. Compliance status (compliant/non-compliant). 2. # open findings from last assessment. 3. % controls implemented. 4. Time to remediate findings. 5. Incident rate in framework scope area</t>
        </is>
      </c>
      <c r="AV103" s="134" t="inlineStr">
        <is>
          <t>Self-assessment; internal audit; external assessment as specified by issuing authority</t>
        </is>
      </c>
      <c r="AW103" s="135" t="inlineStr">
        <is>
          <t>ServiceNow GRC; IBM OpenPages; RSA Archer; MetricStream — all major GRC platforms support custom framework import. Contact vendor for framework-specific module</t>
        </is>
      </c>
      <c r="AX103" s="136" t="inlineStr">
        <is>
          <t>Third parties in scope must demonstrate equivalent compliance. Contractual compliance obligations; right-to-audit clauses; annual third-party assessment</t>
        </is>
      </c>
      <c r="AY103" s="137" t="inlineStr">
        <is>
          <t>Non-compliance: regulatory action by issuing authority; fines and penalties as specified; operational and reputational consequences</t>
        </is>
      </c>
      <c r="AZ103" s="134" t="inlineStr">
        <is>
          <t>ICT / Digital / Telecom</t>
        </is>
      </c>
      <c r="BA103" s="41" t="inlineStr">
        <is>
          <t>Sector-Specific</t>
        </is>
      </c>
      <c r="BB103" s="591">
        <f>IF(E103="","",IF(ISNUMBER(SEARCH("Institutional theory and regulatory governance theory underpin",AI103)),"TEMPLATE",IF(LEN(AI103)&gt;100,"DEEP",IF(AI103="","SPARSE","SHALLOW"))))</f>
        <v/>
      </c>
      <c r="BC103" s="591">
        <f>IF(E103="","",D103&amp;"-"&amp;B103&amp;"-"&amp;E103)</f>
        <v/>
      </c>
      <c r="BD103" s="591">
        <f>IF(E103="","",SUBSTITUTE(SUBSTITUTE(B103&amp;"-"&amp;E103," ",""),":","-"))</f>
        <v/>
      </c>
      <c r="BE103" s="591">
        <f>IF(E103="","",IF(ISNUMBER(SEARCH("ECC",E103)),"NCA-ECC-2-2024",IF(ISNUMBER(SEARCH("OTCC",E103)),"NCA-ECC-2-2024",IF(ISNUMBER(SEARCH("CCC",E103)),"NCA-ECC-2-2024",IF(ISNUMBER(SEARCH("DCC",E103)),"NCA-ECC-2-2024",IF(ISNUMBER(SEARCH("CSCC",E103)),"NCA-ECC-2-2024",IF(ISNUMBER(SEARCH("PDPL-IR",E103)),"PDPL-2021",IF(ISNUMBER(SEARCH("PDPL-DTR",E103)),"PDPL-2021","NONE"))))))))</f>
        <v/>
      </c>
      <c r="BF103" s="594">
        <f>IF(E103="","",IF(BB103="DEEP",10,IF(BB103="SHALLOW",5,IF(BB103="TEMPLATE",3,1)))+IF(N103="HIGHEST",5,IF(N103="HIGH",3,IF(N103="MODERATE",1,0)))+IF(ISNUMBER(SEARCH("Mandatory",L103)),3,0))</f>
        <v/>
      </c>
    </row>
    <row r="104" ht="42" customHeight="1">
      <c r="A104" s="119" t="n">
        <v>95</v>
      </c>
      <c r="B104" s="120" t="inlineStr">
        <is>
          <t>CST</t>
        </is>
      </c>
      <c r="C104" s="121" t="inlineStr">
        <is>
          <t>Communications Space &amp; Technology Commission</t>
        </is>
      </c>
      <c r="D104" s="121" t="inlineStr">
        <is>
          <t>4. ICT / Digital / Telecom</t>
        </is>
      </c>
      <c r="E104" s="120" t="inlineStr">
        <is>
          <t>CST-CYBER-OPS</t>
        </is>
      </c>
      <c r="F104" s="122" t="inlineStr">
        <is>
          <t>Cybersecurity Operations Regulations (ICT)</t>
        </is>
      </c>
      <c r="G104" s="121" t="inlineStr">
        <is>
          <t>لوائح عمليات الأمن السيبراني في الاتصالات</t>
        </is>
      </c>
      <c r="H104" s="121" t="inlineStr">
        <is>
          <t>1 Aug 2022</t>
        </is>
      </c>
      <c r="I104" s="123" t="inlineStr">
        <is>
          <t>2022</t>
        </is>
      </c>
      <c r="J104" s="123" t="inlineStr">
        <is>
          <t>35</t>
        </is>
      </c>
      <c r="K104" s="121" t="inlineStr">
        <is>
          <t>ISSUES/ENFORCES</t>
        </is>
      </c>
      <c r="L104" s="22" t="inlineStr">
        <is>
          <t>Mandatory Enforcer</t>
        </is>
      </c>
      <c r="M104" s="121" t="inlineStr">
        <is>
          <t>ICT/telecom operators</t>
        </is>
      </c>
      <c r="N104" s="124" t="inlineStr">
        <is>
          <t>HIGH</t>
        </is>
      </c>
      <c r="O104" s="125" t="inlineStr">
        <is>
          <t>https://www.cst.gov.sa/en</t>
        </is>
      </c>
      <c r="P104" s="121" t="inlineStr">
        <is>
          <t>Baker McKenzie KSA 2025</t>
        </is>
      </c>
      <c r="Q104" s="121" t="inlineStr">
        <is>
          <t>See official source for version history</t>
        </is>
      </c>
      <c r="R104" s="121" t="inlineStr">
        <is>
          <t>Framework issued by the relevant authority. Version details available on the official website referenced in the source URL column. The framework has been updated periodically since first issuance.</t>
        </is>
      </c>
      <c r="S104" s="123" t="inlineStr">
        <is>
          <t>See official source</t>
        </is>
      </c>
      <c r="T104" s="121" t="inlineStr">
        <is>
          <t>Updated as needed by the issuing authority</t>
        </is>
      </c>
      <c r="U104" s="25" t="inlineStr">
        <is>
          <t>CURRENT — consult official source for latest version</t>
        </is>
      </c>
      <c r="V104" s="121" t="inlineStr">
        <is>
          <t>Penalties defined by issuing authority; consult official source. NCA ECC-2 penalties apply if relevant</t>
        </is>
      </c>
      <c r="W104" s="122" t="inlineStr">
        <is>
          <t>Issuing authority and/or designated inspection department</t>
        </is>
      </c>
      <c r="X104" s="121" t="inlineStr">
        <is>
          <t>As specified in framework scope — consult official document</t>
        </is>
      </c>
      <c r="Y104" s="49" t="inlineStr">
        <is>
          <t>Both (unless specified otherwise in official document)</t>
        </is>
      </c>
      <c r="Z104" s="121" t="inlineStr">
        <is>
          <t>As defined by issuing authority</t>
        </is>
      </c>
      <c r="AA104" s="123" t="inlineStr">
        <is>
          <t>As defined by issuing authority</t>
        </is>
      </c>
      <c r="AB104" s="121" t="inlineStr">
        <is>
          <t>To be determined from framework text — see official source</t>
        </is>
      </c>
      <c r="AC104" s="121" t="inlineStr">
        <is>
          <t>See framework preamble for international standard references</t>
        </is>
      </c>
      <c r="AD104" s="49" t="inlineStr">
        <is>
          <t>Arabic (primary in KSA); English may be available</t>
        </is>
      </c>
      <c r="AE104" s="58" t="inlineStr">
        <is>
          <t>Mapped to relevant GH-ICGA layer — requires manual assessment</t>
        </is>
      </c>
      <c r="AF104" s="56" t="inlineStr">
        <is>
          <t>See official framework for maturity model details</t>
        </is>
      </c>
      <c r="AG104" s="121" t="inlineStr">
        <is>
          <t>Aligned with relevant Vision 2030 programme — see framework context</t>
        </is>
      </c>
      <c r="AH104" s="121" t="inlineStr">
        <is>
          <t>As specified in framework compliance requirements</t>
        </is>
      </c>
      <c r="AI104" s="126" t="inlineStr">
        <is>
          <t>Institutional theory and regulatory governance theory underpin all KSA regulatory frameworks. Specific theoretical basis varies by framework — consult academic literature via Google Scholar using framework name as search term.</t>
        </is>
      </c>
      <c r="AJ104" s="121" t="inlineStr">
        <is>
          <t>Academic debate varies by framework maturity and international adoption. For KSA-specific debate, consult: Almohammad &amp; Wills (2021) J Cybersecurity; Al-Khater et al. (2020) IEEE Access; Baker McKenzie KSA regulatory updates.</t>
        </is>
      </c>
      <c r="AK104" s="127" t="inlineStr">
        <is>
          <t>Known criticisms include: implementation gap between standards and practice; resource constraints for smaller healthcare entities; rapid technology evolution outpacing regulation. Consult framework evaluation literature for specifics.</t>
        </is>
      </c>
      <c r="AL104" s="128" t="inlineStr">
        <is>
          <t>Framework comparison requires contextual analysis. Key comparators: NIST CSF 2.0 (international benchmark), ISO 27001 (certifiable standard), ECC-2 (KSA mandatory baseline). See main database for cross-framework mapping.</t>
        </is>
      </c>
      <c r="AM104" s="129"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04" s="130" t="inlineStr">
        <is>
          <t>Official: Consult the official source URL in the database for the primary document. Training: ISACA, ISC2, RAPS, IAPP, and HIMSS offer professional development covering most regulatory domains. Estimated hours vary by framework complexity.</t>
        </is>
      </c>
      <c r="AO104" s="131" t="inlineStr">
        <is>
          <t>Relevance to GH-ICGA framework varies by layer — see GH-ICGA Layer Mapping column. All KSA mandatory frameworks are compliance inputs to GH-ICGA Layer 4. Frameworks with IoMT-specific provisions directly inform Layers 2 and 3.</t>
        </is>
      </c>
      <c r="AP104" s="51" t="inlineStr">
        <is>
          <t>G + C (Governance + Compliance — standard regulatory framework positioning)</t>
        </is>
      </c>
      <c r="AQ104" s="132" t="inlineStr">
        <is>
          <t>Senior management: accountability for framework compliance. Designated compliance officer: monitor requirements. All staff: awareness of applicable obligations</t>
        </is>
      </c>
      <c r="AR104" s="127" t="inlineStr">
        <is>
          <t>Regulatory Risk; Operational Risk; Reputational Risk — specific domains determined by framework scope</t>
        </is>
      </c>
      <c r="AS104" s="22" t="inlineStr">
        <is>
          <t>See official source — legal obligation, regulatory requirement, or voluntary standard as applicable</t>
        </is>
      </c>
      <c r="AT104" s="128" t="inlineStr">
        <is>
          <t>Administrative; Technical; Operational — specific distribution determined by framework content</t>
        </is>
      </c>
      <c r="AU104" s="133" t="inlineStr">
        <is>
          <t>1. Compliance status (compliant/non-compliant). 2. # open findings from last assessment. 3. % controls implemented. 4. Time to remediate findings. 5. Incident rate in framework scope area</t>
        </is>
      </c>
      <c r="AV104" s="134" t="inlineStr">
        <is>
          <t>Self-assessment; internal audit; external assessment as specified by issuing authority</t>
        </is>
      </c>
      <c r="AW104" s="135" t="inlineStr">
        <is>
          <t>ServiceNow GRC; IBM OpenPages; RSA Archer; MetricStream — all major GRC platforms support custom framework import. Contact vendor for framework-specific module</t>
        </is>
      </c>
      <c r="AX104" s="136" t="inlineStr">
        <is>
          <t>Third parties in scope must demonstrate equivalent compliance. Contractual compliance obligations; right-to-audit clauses; annual third-party assessment</t>
        </is>
      </c>
      <c r="AY104" s="137" t="inlineStr">
        <is>
          <t>Non-compliance: regulatory action by issuing authority; fines and penalties as specified; operational and reputational consequences</t>
        </is>
      </c>
      <c r="AZ104" s="134" t="inlineStr">
        <is>
          <t>ICT / Digital / Telecom</t>
        </is>
      </c>
      <c r="BA104" s="41" t="inlineStr">
        <is>
          <t>Sector-Specific</t>
        </is>
      </c>
      <c r="BB104" s="591">
        <f>IF(E104="","",IF(ISNUMBER(SEARCH("Institutional theory and regulatory governance theory underpin",AI104)),"TEMPLATE",IF(LEN(AI104)&gt;100,"DEEP",IF(AI104="","SPARSE","SHALLOW"))))</f>
        <v/>
      </c>
      <c r="BC104" s="591">
        <f>IF(E104="","",D104&amp;"-"&amp;B104&amp;"-"&amp;E104)</f>
        <v/>
      </c>
      <c r="BD104" s="591">
        <f>IF(E104="","",SUBSTITUTE(SUBSTITUTE(B104&amp;"-"&amp;E104," ",""),":","-"))</f>
        <v/>
      </c>
      <c r="BE104" s="591">
        <f>IF(E104="","",IF(ISNUMBER(SEARCH("ECC",E104)),"NCA-ECC-2-2024",IF(ISNUMBER(SEARCH("OTCC",E104)),"NCA-ECC-2-2024",IF(ISNUMBER(SEARCH("CCC",E104)),"NCA-ECC-2-2024",IF(ISNUMBER(SEARCH("DCC",E104)),"NCA-ECC-2-2024",IF(ISNUMBER(SEARCH("CSCC",E104)),"NCA-ECC-2-2024",IF(ISNUMBER(SEARCH("PDPL-IR",E104)),"PDPL-2021",IF(ISNUMBER(SEARCH("PDPL-DTR",E104)),"PDPL-2021","NONE"))))))))</f>
        <v/>
      </c>
      <c r="BF104" s="594">
        <f>IF(E104="","",IF(BB104="DEEP",10,IF(BB104="SHALLOW",5,IF(BB104="TEMPLATE",3,1)))+IF(N104="HIGHEST",5,IF(N104="HIGH",3,IF(N104="MODERATE",1,0)))+IF(ISNUMBER(SEARCH("Mandatory",L104)),3,0))</f>
        <v/>
      </c>
    </row>
    <row r="105" ht="42" customHeight="1">
      <c r="A105" s="42" t="n">
        <v>96</v>
      </c>
      <c r="B105" s="138" t="inlineStr">
        <is>
          <t>CST</t>
        </is>
      </c>
      <c r="C105" s="44" t="inlineStr">
        <is>
          <t>Communications Space &amp; Technology Commission</t>
        </is>
      </c>
      <c r="D105" s="44" t="inlineStr">
        <is>
          <t>4. ICT / Digital / Telecom</t>
        </is>
      </c>
      <c r="E105" s="138" t="inlineStr">
        <is>
          <t>CST-CCR</t>
        </is>
      </c>
      <c r="F105" s="45" t="inlineStr">
        <is>
          <t>Cloud Computing Regulatory Framework</t>
        </is>
      </c>
      <c r="G105" s="44" t="inlineStr">
        <is>
          <t>إطار تنظيم الحوسبة السحابية</t>
        </is>
      </c>
      <c r="H105" s="44" t="inlineStr">
        <is>
          <t>Updated 2023</t>
        </is>
      </c>
      <c r="I105" s="46" t="inlineStr">
        <is>
          <t>2018</t>
        </is>
      </c>
      <c r="J105" s="46" t="inlineStr">
        <is>
          <t>58</t>
        </is>
      </c>
      <c r="K105" s="44" t="inlineStr">
        <is>
          <t>ISSUES/ENFORCES</t>
        </is>
      </c>
      <c r="L105" s="22" t="inlineStr">
        <is>
          <t>Mandatory Enforcer</t>
        </is>
      </c>
      <c r="M105" s="44" t="inlineStr">
        <is>
          <t>Cloud service providers — health cloud platforms, EHR hosting</t>
        </is>
      </c>
      <c r="N105" s="54" t="inlineStr">
        <is>
          <t>HIGH</t>
        </is>
      </c>
      <c r="O105" s="48" t="inlineStr">
        <is>
          <t>https://www.cst.gov.sa/en</t>
        </is>
      </c>
      <c r="P105" s="44" t="inlineStr">
        <is>
          <t>Baker McKenzie 2025; CST official</t>
        </is>
      </c>
      <c r="Q105" s="121" t="inlineStr">
        <is>
          <t>First ~2018 → major update 2023 with Cloud Special Economic Zone</t>
        </is>
      </c>
      <c r="R105" s="121" t="inlineStr">
        <is>
          <t>2018 (first): basic cloud computing licensing framework. 2020: security requirements aligned with NCA CCC. 2022: data localisation requirements (government data must remain in KSA). 2023 (major update): Cloud Computing Special Economic Zone established (May 2023 by Economic Cities and Special Zones Authority); cloud provider licensing tiers (Class A, B, C); specific requirements for health cloud providers (Class A = highest security); enhanced sovereignty requirements for sensitive data</t>
        </is>
      </c>
      <c r="S105" s="123" t="inlineStr">
        <is>
          <t>First: ~2018. Major update: 2023</t>
        </is>
      </c>
      <c r="T105" s="121" t="inlineStr">
        <is>
          <t>Cloud SEZ regulations still evolving; 2025 update expected</t>
        </is>
      </c>
      <c r="U105" s="25" t="inlineStr">
        <is>
          <t>CURRENT — 2023 version with SEZ provisions</t>
        </is>
      </c>
      <c r="V105" s="121" t="inlineStr">
        <is>
          <t>Penalties defined by issuing authority; consult official source. NCA ECC-2 penalties apply if relevant</t>
        </is>
      </c>
      <c r="W105" s="122" t="inlineStr">
        <is>
          <t>Issuing authority and/or designated inspection department</t>
        </is>
      </c>
      <c r="X105" s="121" t="inlineStr">
        <is>
          <t>As specified in framework scope — consult official document</t>
        </is>
      </c>
      <c r="Y105" s="49" t="inlineStr">
        <is>
          <t>Both (unless specified otherwise in official document)</t>
        </is>
      </c>
      <c r="Z105" s="121" t="inlineStr">
        <is>
          <t>As defined by issuing authority</t>
        </is>
      </c>
      <c r="AA105" s="123" t="inlineStr">
        <is>
          <t>As defined by issuing authority</t>
        </is>
      </c>
      <c r="AB105" s="121" t="inlineStr">
        <is>
          <t>To be determined from framework text — see official source</t>
        </is>
      </c>
      <c r="AC105" s="121" t="inlineStr">
        <is>
          <t>See framework preamble for international standard references</t>
        </is>
      </c>
      <c r="AD105" s="49" t="inlineStr">
        <is>
          <t>Arabic (primary in KSA); English may be available</t>
        </is>
      </c>
      <c r="AE105" s="58" t="inlineStr">
        <is>
          <t>Mapped to relevant GH-ICGA layer — requires manual assessment</t>
        </is>
      </c>
      <c r="AF105" s="56" t="inlineStr">
        <is>
          <t>See official framework for maturity model details</t>
        </is>
      </c>
      <c r="AG105" s="121" t="inlineStr">
        <is>
          <t>Aligned with relevant Vision 2030 programme — see framework context</t>
        </is>
      </c>
      <c r="AH105" s="121" t="inlineStr">
        <is>
          <t>As specified in framework compliance requirements</t>
        </is>
      </c>
      <c r="AI105" s="126" t="inlineStr">
        <is>
          <t>Institutional theory and regulatory governance theory underpin all KSA regulatory frameworks. Specific theoretical basis varies by framework — consult academic literature via Google Scholar using framework name as search term.</t>
        </is>
      </c>
      <c r="AJ105" s="121" t="inlineStr">
        <is>
          <t>Academic debate varies by framework maturity and international adoption. For KSA-specific debate, consult: Almohammad &amp; Wills (2021) J Cybersecurity; Al-Khater et al. (2020) IEEE Access; Baker McKenzie KSA regulatory updates.</t>
        </is>
      </c>
      <c r="AK105" s="127" t="inlineStr">
        <is>
          <t>Known criticisms include: implementation gap between standards and practice; resource constraints for smaller healthcare entities; rapid technology evolution outpacing regulation. Consult framework evaluation literature for specifics.</t>
        </is>
      </c>
      <c r="AL105" s="128" t="inlineStr">
        <is>
          <t>Framework comparison requires contextual analysis. Key comparators: NIST CSF 2.0 (international benchmark), ISO 27001 (certifiable standard), ECC-2 (KSA mandatory baseline). See main database for cross-framework mapping.</t>
        </is>
      </c>
      <c r="AM105" s="129"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05" s="130" t="inlineStr">
        <is>
          <t>Official: Consult the official source URL in the database for the primary document. Training: ISACA, ISC2, RAPS, IAPP, and HIMSS offer professional development covering most regulatory domains. Estimated hours vary by framework complexity.</t>
        </is>
      </c>
      <c r="AO105" s="131" t="inlineStr">
        <is>
          <t>Relevance to GH-ICGA framework varies by layer — see GH-ICGA Layer Mapping column. All KSA mandatory frameworks are compliance inputs to GH-ICGA Layer 4. Frameworks with IoMT-specific provisions directly inform Layers 2 and 3.</t>
        </is>
      </c>
      <c r="AP105" s="51" t="inlineStr">
        <is>
          <t>G + C (Governance + Compliance — standard regulatory framework positioning)</t>
        </is>
      </c>
      <c r="AQ105" s="132" t="inlineStr">
        <is>
          <t>Senior management: accountability for framework compliance. Designated compliance officer: monitor requirements. All staff: awareness of applicable obligations</t>
        </is>
      </c>
      <c r="AR105" s="127" t="inlineStr">
        <is>
          <t>Regulatory Risk; Operational Risk; Reputational Risk — specific domains determined by framework scope</t>
        </is>
      </c>
      <c r="AS105" s="22" t="inlineStr">
        <is>
          <t>See official source — legal obligation, regulatory requirement, or voluntary standard as applicable</t>
        </is>
      </c>
      <c r="AT105" s="128" t="inlineStr">
        <is>
          <t>Administrative; Technical; Operational — specific distribution determined by framework content</t>
        </is>
      </c>
      <c r="AU105" s="133" t="inlineStr">
        <is>
          <t>1. Compliance status (compliant/non-compliant). 2. # open findings from last assessment. 3. % controls implemented. 4. Time to remediate findings. 5. Incident rate in framework scope area</t>
        </is>
      </c>
      <c r="AV105" s="134" t="inlineStr">
        <is>
          <t>Self-assessment; internal audit; external assessment as specified by issuing authority</t>
        </is>
      </c>
      <c r="AW105" s="135" t="inlineStr">
        <is>
          <t>ServiceNow GRC; IBM OpenPages; RSA Archer; MetricStream — all major GRC platforms support custom framework import. Contact vendor for framework-specific module</t>
        </is>
      </c>
      <c r="AX105" s="136" t="inlineStr">
        <is>
          <t>Third parties in scope must demonstrate equivalent compliance. Contractual compliance obligations; right-to-audit clauses; annual third-party assessment</t>
        </is>
      </c>
      <c r="AY105" s="137" t="inlineStr">
        <is>
          <t>Non-compliance: regulatory action by issuing authority; fines and penalties as specified; operational and reputational consequences</t>
        </is>
      </c>
      <c r="AZ105" s="134" t="inlineStr">
        <is>
          <t>ICT / Digital / Telecom; ALL SECTORS (cloud providers)</t>
        </is>
      </c>
      <c r="BA105" s="34" t="inlineStr">
        <is>
          <t>YES — ALL SECTORS</t>
        </is>
      </c>
      <c r="BB105" s="591">
        <f>IF(E105="","",IF(ISNUMBER(SEARCH("Institutional theory and regulatory governance theory underpin",AI105)),"TEMPLATE",IF(LEN(AI105)&gt;100,"DEEP",IF(AI105="","SPARSE","SHALLOW"))))</f>
        <v/>
      </c>
      <c r="BC105" s="591">
        <f>IF(E105="","",D105&amp;"-"&amp;B105&amp;"-"&amp;E105)</f>
        <v/>
      </c>
      <c r="BD105" s="591">
        <f>IF(E105="","",SUBSTITUTE(SUBSTITUTE(B105&amp;"-"&amp;E105," ",""),":","-"))</f>
        <v/>
      </c>
      <c r="BE105" s="591">
        <f>IF(E105="","",IF(ISNUMBER(SEARCH("ECC",E105)),"NCA-ECC-2-2024",IF(ISNUMBER(SEARCH("OTCC",E105)),"NCA-ECC-2-2024",IF(ISNUMBER(SEARCH("CCC",E105)),"NCA-ECC-2-2024",IF(ISNUMBER(SEARCH("DCC",E105)),"NCA-ECC-2-2024",IF(ISNUMBER(SEARCH("CSCC",E105)),"NCA-ECC-2-2024",IF(ISNUMBER(SEARCH("PDPL-IR",E105)),"PDPL-2021",IF(ISNUMBER(SEARCH("PDPL-DTR",E105)),"PDPL-2021","NONE"))))))))</f>
        <v/>
      </c>
      <c r="BF105" s="594">
        <f>IF(E105="","",IF(BB105="DEEP",10,IF(BB105="SHALLOW",5,IF(BB105="TEMPLATE",3,1)))+IF(N105="HIGHEST",5,IF(N105="HIGH",3,IF(N105="MODERATE",1,0)))+IF(ISNUMBER(SEARCH("Mandatory",L105)),3,0))</f>
        <v/>
      </c>
    </row>
    <row r="106" ht="42" customHeight="1">
      <c r="A106" s="119" t="n">
        <v>97</v>
      </c>
      <c r="B106" s="120" t="inlineStr">
        <is>
          <t>CST</t>
        </is>
      </c>
      <c r="C106" s="121" t="inlineStr">
        <is>
          <t>Communications Space &amp; Technology Commission</t>
        </is>
      </c>
      <c r="D106" s="121" t="inlineStr">
        <is>
          <t>4. ICT / Digital / Telecom</t>
        </is>
      </c>
      <c r="E106" s="120" t="inlineStr">
        <is>
          <t>CST-DPS</t>
        </is>
      </c>
      <c r="F106" s="122" t="inlineStr">
        <is>
          <t>Digital Platform Services Regulations</t>
        </is>
      </c>
      <c r="G106" s="121" t="inlineStr">
        <is>
          <t>لوائح خدمات المنصات الرقمية</t>
        </is>
      </c>
      <c r="H106" s="121" t="inlineStr">
        <is>
          <t>2024</t>
        </is>
      </c>
      <c r="I106" s="123" t="inlineStr">
        <is>
          <t>2024</t>
        </is>
      </c>
      <c r="J106" s="123" t="inlineStr">
        <is>
          <t>30</t>
        </is>
      </c>
      <c r="K106" s="121" t="inlineStr">
        <is>
          <t>ISSUES/ENFORCES</t>
        </is>
      </c>
      <c r="L106" s="22" t="inlineStr">
        <is>
          <t>Mandatory Enforcer</t>
        </is>
      </c>
      <c r="M106" s="121" t="inlineStr">
        <is>
          <t>Digital platform operators — telemedicine apps, health platforms</t>
        </is>
      </c>
      <c r="N106" s="124" t="inlineStr">
        <is>
          <t>HIGH</t>
        </is>
      </c>
      <c r="O106" s="125" t="inlineStr">
        <is>
          <t>https://www.cst.gov.sa/en</t>
        </is>
      </c>
      <c r="P106" s="121" t="inlineStr">
        <is>
          <t>Baker McKenzie 2025</t>
        </is>
      </c>
      <c r="Q106" s="121" t="inlineStr">
        <is>
          <t>Issued Oct 2024 (First comprehensive version)</t>
        </is>
      </c>
      <c r="R106" s="121" t="inlineStr">
        <is>
          <t>Regulations for digital content platform services (streaming, social media, user-generated content). Covers: platform licensing; content moderation obligations; data localisation; user data protection (aligned with PDPL); transparency reporting; algorithmic accountability. Healthcare application: health information platforms, patient community apps, AI health chatbots as digital content services</t>
        </is>
      </c>
      <c r="S106" s="123" t="inlineStr">
        <is>
          <t>Issued: Oct 2024</t>
        </is>
      </c>
      <c r="T106" s="121" t="inlineStr">
        <is>
          <t>Review 2026</t>
        </is>
      </c>
      <c r="U106" s="25" t="inlineStr">
        <is>
          <t>CURRENT — Oct 2024 version</t>
        </is>
      </c>
      <c r="V106" s="121" t="inlineStr">
        <is>
          <t>Penalties defined by issuing authority; consult official source. NCA ECC-2 penalties apply if relevant</t>
        </is>
      </c>
      <c r="W106" s="122" t="inlineStr">
        <is>
          <t>Issuing authority and/or designated inspection department</t>
        </is>
      </c>
      <c r="X106" s="121" t="inlineStr">
        <is>
          <t>As specified in framework scope — consult official document</t>
        </is>
      </c>
      <c r="Y106" s="49" t="inlineStr">
        <is>
          <t>Both (unless specified otherwise in official document)</t>
        </is>
      </c>
      <c r="Z106" s="121" t="inlineStr">
        <is>
          <t>As defined by issuing authority</t>
        </is>
      </c>
      <c r="AA106" s="123" t="inlineStr">
        <is>
          <t>As defined by issuing authority</t>
        </is>
      </c>
      <c r="AB106" s="121" t="inlineStr">
        <is>
          <t>To be determined from framework text — see official source</t>
        </is>
      </c>
      <c r="AC106" s="121" t="inlineStr">
        <is>
          <t>See framework preamble for international standard references</t>
        </is>
      </c>
      <c r="AD106" s="49" t="inlineStr">
        <is>
          <t>Arabic (primary in KSA); English may be available</t>
        </is>
      </c>
      <c r="AE106" s="58" t="inlineStr">
        <is>
          <t>Mapped to relevant GH-ICGA layer — requires manual assessment</t>
        </is>
      </c>
      <c r="AF106" s="56" t="inlineStr">
        <is>
          <t>See official framework for maturity model details</t>
        </is>
      </c>
      <c r="AG106" s="121" t="inlineStr">
        <is>
          <t>Aligned with relevant Vision 2030 programme — see framework context</t>
        </is>
      </c>
      <c r="AH106" s="121" t="inlineStr">
        <is>
          <t>As specified in framework compliance requirements</t>
        </is>
      </c>
      <c r="AI106" s="126" t="inlineStr">
        <is>
          <t>Institutional theory and regulatory governance theory underpin all KSA regulatory frameworks. Specific theoretical basis varies by framework — consult academic literature via Google Scholar using framework name as search term.</t>
        </is>
      </c>
      <c r="AJ106" s="121" t="inlineStr">
        <is>
          <t>Academic debate varies by framework maturity and international adoption. For KSA-specific debate, consult: Almohammad &amp; Wills (2021) J Cybersecurity; Al-Khater et al. (2020) IEEE Access; Baker McKenzie KSA regulatory updates.</t>
        </is>
      </c>
      <c r="AK106" s="127" t="inlineStr">
        <is>
          <t>Known criticisms include: implementation gap between standards and practice; resource constraints for smaller healthcare entities; rapid technology evolution outpacing regulation. Consult framework evaluation literature for specifics.</t>
        </is>
      </c>
      <c r="AL106" s="128" t="inlineStr">
        <is>
          <t>Framework comparison requires contextual analysis. Key comparators: NIST CSF 2.0 (international benchmark), ISO 27001 (certifiable standard), ECC-2 (KSA mandatory baseline). See main database for cross-framework mapping.</t>
        </is>
      </c>
      <c r="AM106" s="129"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06" s="130" t="inlineStr">
        <is>
          <t>Official: Consult the official source URL in the database for the primary document. Training: ISACA, ISC2, RAPS, IAPP, and HIMSS offer professional development covering most regulatory domains. Estimated hours vary by framework complexity.</t>
        </is>
      </c>
      <c r="AO106" s="131" t="inlineStr">
        <is>
          <t>Relevance to GH-ICGA framework varies by layer — see GH-ICGA Layer Mapping column. All KSA mandatory frameworks are compliance inputs to GH-ICGA Layer 4. Frameworks with IoMT-specific provisions directly inform Layers 2 and 3.</t>
        </is>
      </c>
      <c r="AP106" s="51" t="inlineStr">
        <is>
          <t>G + C (Governance + Compliance — standard regulatory framework positioning)</t>
        </is>
      </c>
      <c r="AQ106" s="132" t="inlineStr">
        <is>
          <t>Senior management: accountability for framework compliance. Designated compliance officer: monitor requirements. All staff: awareness of applicable obligations</t>
        </is>
      </c>
      <c r="AR106" s="127" t="inlineStr">
        <is>
          <t>Regulatory Risk; Operational Risk; Reputational Risk — specific domains determined by framework scope</t>
        </is>
      </c>
      <c r="AS106" s="22" t="inlineStr">
        <is>
          <t>See official source — legal obligation, regulatory requirement, or voluntary standard as applicable</t>
        </is>
      </c>
      <c r="AT106" s="128" t="inlineStr">
        <is>
          <t>Administrative; Technical; Operational — specific distribution determined by framework content</t>
        </is>
      </c>
      <c r="AU106" s="133" t="inlineStr">
        <is>
          <t>1. Compliance status (compliant/non-compliant). 2. # open findings from last assessment. 3. % controls implemented. 4. Time to remediate findings. 5. Incident rate in framework scope area</t>
        </is>
      </c>
      <c r="AV106" s="134" t="inlineStr">
        <is>
          <t>Self-assessment; internal audit; external assessment as specified by issuing authority</t>
        </is>
      </c>
      <c r="AW106" s="135" t="inlineStr">
        <is>
          <t>ServiceNow GRC; IBM OpenPages; RSA Archer; MetricStream — all major GRC platforms support custom framework import. Contact vendor for framework-specific module</t>
        </is>
      </c>
      <c r="AX106" s="136" t="inlineStr">
        <is>
          <t>Third parties in scope must demonstrate equivalent compliance. Contractual compliance obligations; right-to-audit clauses; annual third-party assessment</t>
        </is>
      </c>
      <c r="AY106" s="137" t="inlineStr">
        <is>
          <t>Non-compliance: regulatory action by issuing authority; fines and penalties as specified; operational and reputational consequences</t>
        </is>
      </c>
      <c r="AZ106" s="134" t="inlineStr">
        <is>
          <t>ICT / Digital / Telecom; ALL SECTORS (digital platform operators)</t>
        </is>
      </c>
      <c r="BA106" s="34" t="inlineStr">
        <is>
          <t>YES — ALL SECTORS</t>
        </is>
      </c>
      <c r="BB106" s="591">
        <f>IF(E106="","",IF(ISNUMBER(SEARCH("Institutional theory and regulatory governance theory underpin",AI106)),"TEMPLATE",IF(LEN(AI106)&gt;100,"DEEP",IF(AI106="","SPARSE","SHALLOW"))))</f>
        <v/>
      </c>
      <c r="BC106" s="591">
        <f>IF(E106="","",D106&amp;"-"&amp;B106&amp;"-"&amp;E106)</f>
        <v/>
      </c>
      <c r="BD106" s="591">
        <f>IF(E106="","",SUBSTITUTE(SUBSTITUTE(B106&amp;"-"&amp;E106," ",""),":","-"))</f>
        <v/>
      </c>
      <c r="BE106" s="591">
        <f>IF(E106="","",IF(ISNUMBER(SEARCH("ECC",E106)),"NCA-ECC-2-2024",IF(ISNUMBER(SEARCH("OTCC",E106)),"NCA-ECC-2-2024",IF(ISNUMBER(SEARCH("CCC",E106)),"NCA-ECC-2-2024",IF(ISNUMBER(SEARCH("DCC",E106)),"NCA-ECC-2-2024",IF(ISNUMBER(SEARCH("CSCC",E106)),"NCA-ECC-2-2024",IF(ISNUMBER(SEARCH("PDPL-IR",E106)),"PDPL-2021",IF(ISNUMBER(SEARCH("PDPL-DTR",E106)),"PDPL-2021","NONE"))))))))</f>
        <v/>
      </c>
      <c r="BF106" s="594">
        <f>IF(E106="","",IF(BB106="DEEP",10,IF(BB106="SHALLOW",5,IF(BB106="TEMPLATE",3,1)))+IF(N106="HIGHEST",5,IF(N106="HIGH",3,IF(N106="MODERATE",1,0)))+IF(ISNUMBER(SEARCH("Mandatory",L106)),3,0))</f>
        <v/>
      </c>
    </row>
    <row r="107" ht="42" customHeight="1">
      <c r="A107" s="42" t="n">
        <v>98</v>
      </c>
      <c r="B107" s="138" t="inlineStr">
        <is>
          <t>CST</t>
        </is>
      </c>
      <c r="C107" s="44" t="inlineStr">
        <is>
          <t>Communications Space &amp; Technology Commission</t>
        </is>
      </c>
      <c r="D107" s="44" t="inlineStr">
        <is>
          <t>4. ICT / Digital / Telecom</t>
        </is>
      </c>
      <c r="E107" s="138" t="inlineStr">
        <is>
          <t>CST-DCS</t>
        </is>
      </c>
      <c r="F107" s="45" t="inlineStr">
        <is>
          <t>Data Center Services Regulations</t>
        </is>
      </c>
      <c r="G107" s="44" t="inlineStr">
        <is>
          <t>لوائح خدمات مراكز البيانات</t>
        </is>
      </c>
      <c r="H107" s="44" t="inlineStr">
        <is>
          <t>2024</t>
        </is>
      </c>
      <c r="I107" s="46" t="inlineStr">
        <is>
          <t>2024</t>
        </is>
      </c>
      <c r="J107" s="46" t="inlineStr">
        <is>
          <t>25</t>
        </is>
      </c>
      <c r="K107" s="44" t="inlineStr">
        <is>
          <t>ISSUES/ENFORCES</t>
        </is>
      </c>
      <c r="L107" s="22" t="inlineStr">
        <is>
          <t>Mandatory Enforcer</t>
        </is>
      </c>
      <c r="M107" s="44" t="inlineStr">
        <is>
          <t>Data center operators — health data hosting</t>
        </is>
      </c>
      <c r="N107" s="54" t="inlineStr">
        <is>
          <t>HIGH</t>
        </is>
      </c>
      <c r="O107" s="48" t="inlineStr">
        <is>
          <t>https://www.cst.gov.sa/en</t>
        </is>
      </c>
      <c r="P107" s="44" t="inlineStr">
        <is>
          <t>Baker McKenzie 2025</t>
        </is>
      </c>
      <c r="Q107" s="121" t="inlineStr">
        <is>
          <t>Issued 2024 (First dedicated data center regulation)</t>
        </is>
      </c>
      <c r="R107" s="121" t="inlineStr">
        <is>
          <t>First dedicated data center services licensing regulation in KSA. Requirements: physical security (CCTV, access control, biometric); redundant power (N+2 minimum); connectivity (multiple ISPs); cooling standards; fire suppression; environmental monitoring; geographic distribution requirements; health data centers must meet highest tier requirements. Aligns with Uptime Institute Tier III/IV standards</t>
        </is>
      </c>
      <c r="S107" s="123" t="inlineStr">
        <is>
          <t>Issued: 2024</t>
        </is>
      </c>
      <c r="T107" s="121" t="inlineStr">
        <is>
          <t>Review 2026</t>
        </is>
      </c>
      <c r="U107" s="25" t="inlineStr">
        <is>
          <t>CURRENT — 2024</t>
        </is>
      </c>
      <c r="V107" s="121" t="inlineStr">
        <is>
          <t>Penalties defined by issuing authority; consult official source. NCA ECC-2 penalties apply if relevant</t>
        </is>
      </c>
      <c r="W107" s="122" t="inlineStr">
        <is>
          <t>Issuing authority and/or designated inspection department</t>
        </is>
      </c>
      <c r="X107" s="121" t="inlineStr">
        <is>
          <t>As specified in framework scope — consult official document</t>
        </is>
      </c>
      <c r="Y107" s="49" t="inlineStr">
        <is>
          <t>Both (unless specified otherwise in official document)</t>
        </is>
      </c>
      <c r="Z107" s="121" t="inlineStr">
        <is>
          <t>As defined by issuing authority</t>
        </is>
      </c>
      <c r="AA107" s="123" t="inlineStr">
        <is>
          <t>As defined by issuing authority</t>
        </is>
      </c>
      <c r="AB107" s="121" t="inlineStr">
        <is>
          <t>To be determined from framework text — see official source</t>
        </is>
      </c>
      <c r="AC107" s="121" t="inlineStr">
        <is>
          <t>See framework preamble for international standard references</t>
        </is>
      </c>
      <c r="AD107" s="49" t="inlineStr">
        <is>
          <t>Arabic (primary in KSA); English may be available</t>
        </is>
      </c>
      <c r="AE107" s="58" t="inlineStr">
        <is>
          <t>Mapped to relevant GH-ICGA layer — requires manual assessment</t>
        </is>
      </c>
      <c r="AF107" s="56" t="inlineStr">
        <is>
          <t>See official framework for maturity model details</t>
        </is>
      </c>
      <c r="AG107" s="121" t="inlineStr">
        <is>
          <t>Aligned with relevant Vision 2030 programme — see framework context</t>
        </is>
      </c>
      <c r="AH107" s="121" t="inlineStr">
        <is>
          <t>As specified in framework compliance requirements</t>
        </is>
      </c>
      <c r="AI107" s="126" t="inlineStr">
        <is>
          <t>Institutional theory and regulatory governance theory underpin all KSA regulatory frameworks. Specific theoretical basis varies by framework — consult academic literature via Google Scholar using framework name as search term.</t>
        </is>
      </c>
      <c r="AJ107" s="121" t="inlineStr">
        <is>
          <t>Academic debate varies by framework maturity and international adoption. For KSA-specific debate, consult: Almohammad &amp; Wills (2021) J Cybersecurity; Al-Khater et al. (2020) IEEE Access; Baker McKenzie KSA regulatory updates.</t>
        </is>
      </c>
      <c r="AK107" s="127" t="inlineStr">
        <is>
          <t>Known criticisms include: implementation gap between standards and practice; resource constraints for smaller healthcare entities; rapid technology evolution outpacing regulation. Consult framework evaluation literature for specifics.</t>
        </is>
      </c>
      <c r="AL107" s="128" t="inlineStr">
        <is>
          <t>Framework comparison requires contextual analysis. Key comparators: NIST CSF 2.0 (international benchmark), ISO 27001 (certifiable standard), ECC-2 (KSA mandatory baseline). See main database for cross-framework mapping.</t>
        </is>
      </c>
      <c r="AM107" s="129"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07" s="130" t="inlineStr">
        <is>
          <t>Official: Consult the official source URL in the database for the primary document. Training: ISACA, ISC2, RAPS, IAPP, and HIMSS offer professional development covering most regulatory domains. Estimated hours vary by framework complexity.</t>
        </is>
      </c>
      <c r="AO107" s="131" t="inlineStr">
        <is>
          <t>Relevance to GH-ICGA framework varies by layer — see GH-ICGA Layer Mapping column. All KSA mandatory frameworks are compliance inputs to GH-ICGA Layer 4. Frameworks with IoMT-specific provisions directly inform Layers 2 and 3.</t>
        </is>
      </c>
      <c r="AP107" s="51" t="inlineStr">
        <is>
          <t>G + C (Governance + Compliance — standard regulatory framework positioning)</t>
        </is>
      </c>
      <c r="AQ107" s="132" t="inlineStr">
        <is>
          <t>Senior management: accountability for framework compliance. Designated compliance officer: monitor requirements. All staff: awareness of applicable obligations</t>
        </is>
      </c>
      <c r="AR107" s="127" t="inlineStr">
        <is>
          <t>Regulatory Risk; Operational Risk; Reputational Risk — specific domains determined by framework scope</t>
        </is>
      </c>
      <c r="AS107" s="22" t="inlineStr">
        <is>
          <t>See official source — legal obligation, regulatory requirement, or voluntary standard as applicable</t>
        </is>
      </c>
      <c r="AT107" s="128" t="inlineStr">
        <is>
          <t>Administrative; Technical; Operational — specific distribution determined by framework content</t>
        </is>
      </c>
      <c r="AU107" s="133" t="inlineStr">
        <is>
          <t>1. Compliance status (compliant/non-compliant). 2. # open findings from last assessment. 3. % controls implemented. 4. Time to remediate findings. 5. Incident rate in framework scope area</t>
        </is>
      </c>
      <c r="AV107" s="134" t="inlineStr">
        <is>
          <t>Self-assessment; internal audit; external assessment as specified by issuing authority</t>
        </is>
      </c>
      <c r="AW107" s="135" t="inlineStr">
        <is>
          <t>ServiceNow GRC; IBM OpenPages; RSA Archer; MetricStream — all major GRC platforms support custom framework import. Contact vendor for framework-specific module</t>
        </is>
      </c>
      <c r="AX107" s="136" t="inlineStr">
        <is>
          <t>Third parties in scope must demonstrate equivalent compliance. Contractual compliance obligations; right-to-audit clauses; annual third-party assessment</t>
        </is>
      </c>
      <c r="AY107" s="137" t="inlineStr">
        <is>
          <t>Non-compliance: regulatory action by issuing authority; fines and penalties as specified; operational and reputational consequences</t>
        </is>
      </c>
      <c r="AZ107" s="134" t="inlineStr">
        <is>
          <t>ICT / Digital / Telecom; ALL SECTORS (data center operators)</t>
        </is>
      </c>
      <c r="BA107" s="34" t="inlineStr">
        <is>
          <t>YES — ALL SECTORS</t>
        </is>
      </c>
      <c r="BB107" s="591">
        <f>IF(E107="","",IF(ISNUMBER(SEARCH("Institutional theory and regulatory governance theory underpin",AI107)),"TEMPLATE",IF(LEN(AI107)&gt;100,"DEEP",IF(AI107="","SPARSE","SHALLOW"))))</f>
        <v/>
      </c>
      <c r="BC107" s="591">
        <f>IF(E107="","",D107&amp;"-"&amp;B107&amp;"-"&amp;E107)</f>
        <v/>
      </c>
      <c r="BD107" s="591">
        <f>IF(E107="","",SUBSTITUTE(SUBSTITUTE(B107&amp;"-"&amp;E107," ",""),":","-"))</f>
        <v/>
      </c>
      <c r="BE107" s="591">
        <f>IF(E107="","",IF(ISNUMBER(SEARCH("ECC",E107)),"NCA-ECC-2-2024",IF(ISNUMBER(SEARCH("OTCC",E107)),"NCA-ECC-2-2024",IF(ISNUMBER(SEARCH("CCC",E107)),"NCA-ECC-2-2024",IF(ISNUMBER(SEARCH("DCC",E107)),"NCA-ECC-2-2024",IF(ISNUMBER(SEARCH("CSCC",E107)),"NCA-ECC-2-2024",IF(ISNUMBER(SEARCH("PDPL-IR",E107)),"PDPL-2021",IF(ISNUMBER(SEARCH("PDPL-DTR",E107)),"PDPL-2021","NONE"))))))))</f>
        <v/>
      </c>
      <c r="BF107" s="594">
        <f>IF(E107="","",IF(BB107="DEEP",10,IF(BB107="SHALLOW",5,IF(BB107="TEMPLATE",3,1)))+IF(N107="HIGHEST",5,IF(N107="HIGH",3,IF(N107="MODERATE",1,0)))+IF(ISNUMBER(SEARCH("Mandatory",L107)),3,0))</f>
        <v/>
      </c>
    </row>
    <row r="108" ht="42" customHeight="1">
      <c r="A108" s="119" t="n">
        <v>99</v>
      </c>
      <c r="B108" s="120" t="inlineStr">
        <is>
          <t>CST</t>
        </is>
      </c>
      <c r="C108" s="121" t="inlineStr">
        <is>
          <t>Communications Space &amp; Technology Commission</t>
        </is>
      </c>
      <c r="D108" s="121" t="inlineStr">
        <is>
          <t>4. ICT / Digital / Telecom</t>
        </is>
      </c>
      <c r="E108" s="120" t="inlineStr">
        <is>
          <t>CST-IOT</t>
        </is>
      </c>
      <c r="F108" s="122" t="inlineStr">
        <is>
          <t>IoT Regulatory Framework</t>
        </is>
      </c>
      <c r="G108" s="121" t="inlineStr">
        <is>
          <t>الإطار التنظيمي لإنترنت الأشياء</t>
        </is>
      </c>
      <c r="H108" s="121" t="inlineStr">
        <is>
          <t>Active</t>
        </is>
      </c>
      <c r="I108" s="123" t="inlineStr">
        <is>
          <t>2019</t>
        </is>
      </c>
      <c r="J108" s="123" t="inlineStr">
        <is>
          <t>N/A</t>
        </is>
      </c>
      <c r="K108" s="121" t="inlineStr">
        <is>
          <t>ISSUES/ENFORCES</t>
        </is>
      </c>
      <c r="L108" s="22" t="inlineStr">
        <is>
          <t>Mandatory Enforcer</t>
        </is>
      </c>
      <c r="M108" s="121" t="inlineStr">
        <is>
          <t>IoT device manufacturers/operators — medical IoT devices</t>
        </is>
      </c>
      <c r="N108" s="139" t="inlineStr">
        <is>
          <t>HIGHEST</t>
        </is>
      </c>
      <c r="O108" s="125" t="inlineStr">
        <is>
          <t>https://www.cst.gov.sa/en</t>
        </is>
      </c>
      <c r="P108" s="121" t="inlineStr">
        <is>
          <t>CMS Law Oct 2025 (IoT RF)</t>
        </is>
      </c>
      <c r="Q108" s="121" t="inlineStr">
        <is>
          <t>IoT Regulatory Framework first ~2019; actively updated</t>
        </is>
      </c>
      <c r="R108" s="121" t="inlineStr">
        <is>
          <t>IoT-specific licensing and technical standards. Covers: device type approval (spectrum compliance); data handling obligations for IoT device operators; security requirements for IoT device manufacturers (default password prohibition; firmware update mechanism required; vulnerability disclosure); IoT platform operator licensing. Healthcare application: medical IoT devices sold/deployed in KSA must obtain CST type approval in addition to SFDA registration</t>
        </is>
      </c>
      <c r="S108" s="123" t="inlineStr">
        <is>
          <t>First: ~2019. Active updates</t>
        </is>
      </c>
      <c r="T108" s="121" t="inlineStr">
        <is>
          <t>Under active development; medical IoT sub-framework expected 2025</t>
        </is>
      </c>
      <c r="U108" s="25" t="inlineStr">
        <is>
          <t>CURRENT — active updates ongoing</t>
        </is>
      </c>
      <c r="V108" s="121" t="inlineStr">
        <is>
          <t>Device market withdrawal; import ban; SAR fine under Telecom Law (up to SAR 50M for major violations); CST type approval revocation</t>
        </is>
      </c>
      <c r="W108" s="122" t="inlineStr">
        <is>
          <t>CST — Technical Regulation Department; Spectrum Management Authority; customs coordination with ZATCA for import inspection</t>
        </is>
      </c>
      <c r="X108" s="121" t="inlineStr">
        <is>
          <t>Medical Device Manufacturer (connected devices); Health IT Vendor (IoT platforms); Hospital (IoMT deployers); Medical Equipment Importer</t>
        </is>
      </c>
      <c r="Y108" s="49" t="inlineStr">
        <is>
          <t>Both (manufacturers, importers, operators)</t>
        </is>
      </c>
      <c r="Z108" s="121" t="inlineStr">
        <is>
          <t>Pre-market type approval testing (mandatory before sale); operator compliance audit; market surveillance</t>
        </is>
      </c>
      <c r="AA108" s="123" t="inlineStr">
        <is>
          <t>Pre-market: before each device model launch. Post-market: continuous surveillance</t>
        </is>
      </c>
      <c r="AB108" s="121" t="inlineStr">
        <is>
          <t>All N/A controls are IoMT-specific — full framework addresses IoT device security, type approval, network requirements</t>
        </is>
      </c>
      <c r="AC108" s="121" t="inlineStr">
        <is>
          <t>ETSI EN 303 645 (IoT cybersecurity baseline); IEC 62443-4-2; ISO/IEC 30141 (IoT Reference Architecture); ITU-T standards</t>
        </is>
      </c>
      <c r="AD108" s="49" t="inlineStr">
        <is>
          <t>Arabic (primary); English guidance</t>
        </is>
      </c>
      <c r="AE108" s="37" t="inlineStr">
        <is>
          <t>Layer 3: Technical Controls; Layer 4: Compliance</t>
        </is>
      </c>
      <c r="AF108" s="60" t="inlineStr">
        <is>
          <t>No formal maturity model; pass/fail type approval</t>
        </is>
      </c>
      <c r="AG108" s="121" t="inlineStr">
        <is>
          <t>Vision 2030 IoT Strategy; Digital Economy Policy; Smart City initiatives (NEOM, Riyadh smart city)</t>
        </is>
      </c>
      <c r="AH108" s="121" t="inlineStr">
        <is>
          <t>CST type approval certificate; EMC test report; cybersecurity test report (ETSI EN 303 645); device technical file; operator licence</t>
        </is>
      </c>
      <c r="AI108" s="126" t="inlineStr">
        <is>
          <t>Internet of Things governance theory: IoT regulation at the intersection of telecommunications, cybersecurity, and product safety. Standards theory: CST IoT standards as market access controls ensuring interoperability and safety. Digital market regulation theory: CST balancing innovation promotion with consumer protection.</t>
        </is>
      </c>
      <c r="AJ108" s="121" t="inlineStr">
        <is>
          <t>FOR: CST IoT regulation provides communications-layer security for all connected devices including medical IoT — addresses network-level threats that NCA ECC-2 (IT-focused) and SFDA MDR (device-focused) don't cover; spectrum allocation for healthcare IoT ensures dedicated bandwidth for critical medical communications. AGAINST: CST IoT standards primarily telecommunications-focused — limited understanding of healthcare-specific IoT requirements; no explicit medical device IoT provisions.</t>
        </is>
      </c>
      <c r="AK108" s="127" t="inlineStr">
        <is>
          <t>Criticisms: (1) CST IoT standards don't distinguish between consumer IoT and medical IoT — same regulations for smart bulbs and insulin pumps; (2) No coordination mechanism between CST (communications), NCA (cybersecurity), and SFDA (device safety) for IoMT governance; (3) CST type approval process for IoT devices doesn't include cybersecurity assessment — only RF and telecommunications compliance.</t>
        </is>
      </c>
      <c r="AL108" s="128" t="inlineStr">
        <is>
          <t>Framework comparison requires contextual analysis. Key comparators: NIST CSF 2.0 (international benchmark), ISO 27001 (certifiable standard), ECC-2 (KSA mandatory baseline). See main database for cross-framework mapping.</t>
        </is>
      </c>
      <c r="AM108" s="129" t="inlineStr">
        <is>
          <t>CST IoT Regulations (2023); ITU IoT Standards (2024); GSMA IoT Security Guidelines (2024); Al-Rasheed (2024) IoT Governance in KSA.</t>
        </is>
      </c>
      <c r="AN108" s="130" t="inlineStr">
        <is>
          <t>Official: Consult the official source URL in the database for the primary document. Training: ISACA, ISC2, RAPS, IAPP, and HIMSS offer professional development covering most regulatory domains. Estimated hours vary by framework complexity.</t>
        </is>
      </c>
      <c r="AO108" s="131" t="inlineStr">
        <is>
          <t>GH-ICGA positions CST-IOT as the COMMUNICATIONS GOVERNANCE layer for healthcare IoT. Thesis argues CST sits at a critical junction: it controls the network layer through which all IoMT devices communicate, but has no healthcare-specific IoT provisions — a major gap in the GH-ICGA framework.</t>
        </is>
      </c>
      <c r="AP108" s="51" t="inlineStr">
        <is>
          <t>G + C (Governance + Compliance — standard regulatory framework positioning)</t>
        </is>
      </c>
      <c r="AQ108" s="132" t="inlineStr">
        <is>
          <t>Senior management: accountability for framework compliance. Designated compliance officer: monitor requirements. All staff: awareness of applicable obligations</t>
        </is>
      </c>
      <c r="AR108" s="127" t="inlineStr">
        <is>
          <t>Regulatory Risk; Operational Risk; Reputational Risk — specific domains determined by framework scope</t>
        </is>
      </c>
      <c r="AS108" s="22" t="inlineStr">
        <is>
          <t>See official source — legal obligation, regulatory requirement, or voluntary standard as applicable</t>
        </is>
      </c>
      <c r="AT108" s="128" t="inlineStr">
        <is>
          <t>Administrative; Technical; Operational — specific distribution determined by framework content</t>
        </is>
      </c>
      <c r="AU108" s="133" t="inlineStr">
        <is>
          <t>1. Compliance status (compliant/non-compliant). 2. # open findings from last assessment. 3. % controls implemented. 4. Time to remediate findings. 5. Incident rate in framework scope area</t>
        </is>
      </c>
      <c r="AV108" s="134" t="inlineStr">
        <is>
          <t>Self-assessment; internal audit; external assessment as specified by issuing authority</t>
        </is>
      </c>
      <c r="AW108" s="135" t="inlineStr">
        <is>
          <t>ServiceNow GRC; IBM OpenPages; RSA Archer; MetricStream — all major GRC platforms support custom framework import. Contact vendor for framework-specific module</t>
        </is>
      </c>
      <c r="AX108" s="136" t="inlineStr">
        <is>
          <t>Third parties in scope must demonstrate equivalent compliance. Contractual compliance obligations; right-to-audit clauses; annual third-party assessment</t>
        </is>
      </c>
      <c r="AY108" s="137" t="inlineStr">
        <is>
          <t>Non-compliance: regulatory action by issuing authority; fines and penalties as specified; operational and reputational consequences</t>
        </is>
      </c>
      <c r="AZ108" s="134" t="inlineStr">
        <is>
          <t>ICT / Digital / Telecom; Healthcare (IoMT); Industry &amp; Trade (industrial IoT); ALL SECTORS (IoT device manufacturers/importers)</t>
        </is>
      </c>
      <c r="BA108" s="34" t="inlineStr">
        <is>
          <t>YES — ALL SECTORS</t>
        </is>
      </c>
      <c r="BB108" s="591">
        <f>IF(E108="","",IF(ISNUMBER(SEARCH("Institutional theory and regulatory governance theory underpin",AI108)),"TEMPLATE",IF(LEN(AI108)&gt;100,"DEEP",IF(AI108="","SPARSE","SHALLOW"))))</f>
        <v/>
      </c>
      <c r="BC108" s="591">
        <f>IF(E108="","",D108&amp;"-"&amp;B108&amp;"-"&amp;E108)</f>
        <v/>
      </c>
      <c r="BD108" s="591">
        <f>IF(E108="","",SUBSTITUTE(SUBSTITUTE(B108&amp;"-"&amp;E108," ",""),":","-"))</f>
        <v/>
      </c>
      <c r="BE108" s="591">
        <f>IF(E108="","",IF(ISNUMBER(SEARCH("ECC",E108)),"NCA-ECC-2-2024",IF(ISNUMBER(SEARCH("OTCC",E108)),"NCA-ECC-2-2024",IF(ISNUMBER(SEARCH("CCC",E108)),"NCA-ECC-2-2024",IF(ISNUMBER(SEARCH("DCC",E108)),"NCA-ECC-2-2024",IF(ISNUMBER(SEARCH("CSCC",E108)),"NCA-ECC-2-2024",IF(ISNUMBER(SEARCH("PDPL-IR",E108)),"PDPL-2021",IF(ISNUMBER(SEARCH("PDPL-DTR",E108)),"PDPL-2021","NONE"))))))))</f>
        <v/>
      </c>
      <c r="BF108" s="594">
        <f>IF(E108="","",IF(BB108="DEEP",10,IF(BB108="SHALLOW",5,IF(BB108="TEMPLATE",3,1)))+IF(N108="HIGHEST",5,IF(N108="HIGH",3,IF(N108="MODERATE",1,0)))+IF(ISNUMBER(SEARCH("Mandatory",L108)),3,0))</f>
        <v/>
      </c>
    </row>
    <row r="109" ht="42" customHeight="1">
      <c r="A109" s="42" t="n">
        <v>100</v>
      </c>
      <c r="B109" s="138" t="inlineStr">
        <is>
          <t>CST</t>
        </is>
      </c>
      <c r="C109" s="44" t="inlineStr">
        <is>
          <t>Communications Space &amp; Technology Commission</t>
        </is>
      </c>
      <c r="D109" s="44" t="inlineStr">
        <is>
          <t>4. ICT / Digital / Telecom</t>
        </is>
      </c>
      <c r="E109" s="138" t="inlineStr">
        <is>
          <t>CST-SPACE</t>
        </is>
      </c>
      <c r="F109" s="45" t="inlineStr">
        <is>
          <t>Space Regulatory Framework</t>
        </is>
      </c>
      <c r="G109" s="44" t="inlineStr">
        <is>
          <t>الإطار التنظيمي للفضاء</t>
        </is>
      </c>
      <c r="H109" s="44" t="inlineStr">
        <is>
          <t>2023</t>
        </is>
      </c>
      <c r="I109" s="46" t="inlineStr">
        <is>
          <t>2023</t>
        </is>
      </c>
      <c r="J109" s="46" t="inlineStr">
        <is>
          <t>N/A</t>
        </is>
      </c>
      <c r="K109" s="44" t="inlineStr">
        <is>
          <t>ISSUES/ENFORCES</t>
        </is>
      </c>
      <c r="L109" s="22" t="inlineStr">
        <is>
          <t>Mandatory Enforcer</t>
        </is>
      </c>
      <c r="M109" s="44" t="inlineStr">
        <is>
          <t>Space sector — satellite connectivity for rural telehealth</t>
        </is>
      </c>
      <c r="N109" s="59" t="inlineStr">
        <is>
          <t>LOW</t>
        </is>
      </c>
      <c r="O109" s="48" t="inlineStr">
        <is>
          <t>https://www.cst.gov.sa/en</t>
        </is>
      </c>
      <c r="P109" s="44" t="inlineStr">
        <is>
          <t>Wikipedia CST 2025</t>
        </is>
      </c>
      <c r="Q109" s="121" t="inlineStr">
        <is>
          <t>See official source for version history</t>
        </is>
      </c>
      <c r="R109" s="121" t="inlineStr">
        <is>
          <t>Framework issued by the relevant authority. Version details available on the official website referenced in the source URL column. The framework has been updated periodically since first issuance.</t>
        </is>
      </c>
      <c r="S109" s="123" t="inlineStr">
        <is>
          <t>See official source</t>
        </is>
      </c>
      <c r="T109" s="121" t="inlineStr">
        <is>
          <t>Updated as needed by the issuing authority</t>
        </is>
      </c>
      <c r="U109" s="25" t="inlineStr">
        <is>
          <t>CURRENT — consult official source for latest version</t>
        </is>
      </c>
      <c r="V109" s="121" t="inlineStr">
        <is>
          <t>Penalties defined by issuing authority; consult official source. NCA ECC-2 penalties apply if relevant</t>
        </is>
      </c>
      <c r="W109" s="122" t="inlineStr">
        <is>
          <t>Issuing authority and/or designated inspection department</t>
        </is>
      </c>
      <c r="X109" s="121" t="inlineStr">
        <is>
          <t>As specified in framework scope — consult official document</t>
        </is>
      </c>
      <c r="Y109" s="49" t="inlineStr">
        <is>
          <t>Both (unless specified otherwise in official document)</t>
        </is>
      </c>
      <c r="Z109" s="121" t="inlineStr">
        <is>
          <t>As defined by issuing authority</t>
        </is>
      </c>
      <c r="AA109" s="123" t="inlineStr">
        <is>
          <t>As defined by issuing authority</t>
        </is>
      </c>
      <c r="AB109" s="121" t="inlineStr">
        <is>
          <t>To be determined from framework text — see official source</t>
        </is>
      </c>
      <c r="AC109" s="121" t="inlineStr">
        <is>
          <t>See framework preamble for international standard references</t>
        </is>
      </c>
      <c r="AD109" s="49" t="inlineStr">
        <is>
          <t>Arabic (primary in KSA); English may be available</t>
        </is>
      </c>
      <c r="AE109" s="58" t="inlineStr">
        <is>
          <t>Mapped to relevant GH-ICGA layer — requires manual assessment</t>
        </is>
      </c>
      <c r="AF109" s="56" t="inlineStr">
        <is>
          <t>See official framework for maturity model details</t>
        </is>
      </c>
      <c r="AG109" s="121" t="inlineStr">
        <is>
          <t>Aligned with relevant Vision 2030 programme — see framework context</t>
        </is>
      </c>
      <c r="AH109" s="121" t="inlineStr">
        <is>
          <t>As specified in framework compliance requirements</t>
        </is>
      </c>
      <c r="AI109" s="126" t="inlineStr">
        <is>
          <t>Institutional theory and regulatory governance theory underpin all KSA regulatory frameworks. Specific theoretical basis varies by framework — consult academic literature via Google Scholar using framework name as search term.</t>
        </is>
      </c>
      <c r="AJ109" s="121" t="inlineStr">
        <is>
          <t>Academic debate varies by framework maturity and international adoption. For KSA-specific debate, consult: Almohammad &amp; Wills (2021) J Cybersecurity; Al-Khater et al. (2020) IEEE Access; Baker McKenzie KSA regulatory updates.</t>
        </is>
      </c>
      <c r="AK109" s="127" t="inlineStr">
        <is>
          <t>Known criticisms include: implementation gap between standards and practice; resource constraints for smaller healthcare entities; rapid technology evolution outpacing regulation. Consult framework evaluation literature for specifics.</t>
        </is>
      </c>
      <c r="AL109" s="128" t="inlineStr">
        <is>
          <t>Framework comparison requires contextual analysis. Key comparators: NIST CSF 2.0 (international benchmark), ISO 27001 (certifiable standard), ECC-2 (KSA mandatory baseline). See main database for cross-framework mapping.</t>
        </is>
      </c>
      <c r="AM109" s="129"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09" s="130" t="inlineStr">
        <is>
          <t>Official: Consult the official source URL in the database for the primary document. Training: ISACA, ISC2, RAPS, IAPP, and HIMSS offer professional development covering most regulatory domains. Estimated hours vary by framework complexity.</t>
        </is>
      </c>
      <c r="AO109" s="131" t="inlineStr">
        <is>
          <t>Relevance to GH-ICGA framework varies by layer — see GH-ICGA Layer Mapping column. All KSA mandatory frameworks are compliance inputs to GH-ICGA Layer 4. Frameworks with IoMT-specific provisions directly inform Layers 2 and 3.</t>
        </is>
      </c>
      <c r="AP109" s="51" t="inlineStr">
        <is>
          <t>G + C (Governance + Compliance — standard regulatory framework positioning)</t>
        </is>
      </c>
      <c r="AQ109" s="132" t="inlineStr">
        <is>
          <t>Senior management: accountability for framework compliance. Designated compliance officer: monitor requirements. All staff: awareness of applicable obligations</t>
        </is>
      </c>
      <c r="AR109" s="127" t="inlineStr">
        <is>
          <t>Regulatory Risk; Operational Risk; Reputational Risk — specific domains determined by framework scope</t>
        </is>
      </c>
      <c r="AS109" s="22" t="inlineStr">
        <is>
          <t>See official source — legal obligation, regulatory requirement, or voluntary standard as applicable</t>
        </is>
      </c>
      <c r="AT109" s="128" t="inlineStr">
        <is>
          <t>Administrative; Technical; Operational — specific distribution determined by framework content</t>
        </is>
      </c>
      <c r="AU109" s="133" t="inlineStr">
        <is>
          <t>1. Compliance status (compliant/non-compliant). 2. # open findings from last assessment. 3. % controls implemented. 4. Time to remediate findings. 5. Incident rate in framework scope area</t>
        </is>
      </c>
      <c r="AV109" s="134" t="inlineStr">
        <is>
          <t>Self-assessment; internal audit; external assessment as specified by issuing authority</t>
        </is>
      </c>
      <c r="AW109" s="135" t="inlineStr">
        <is>
          <t>ServiceNow GRC; IBM OpenPages; RSA Archer; MetricStream — all major GRC platforms support custom framework import. Contact vendor for framework-specific module</t>
        </is>
      </c>
      <c r="AX109" s="136" t="inlineStr">
        <is>
          <t>Third parties in scope must demonstrate equivalent compliance. Contractual compliance obligations; right-to-audit clauses; annual third-party assessment</t>
        </is>
      </c>
      <c r="AY109" s="137" t="inlineStr">
        <is>
          <t>Non-compliance: regulatory action by issuing authority; fines and penalties as specified; operational and reputational consequences</t>
        </is>
      </c>
      <c r="AZ109" s="134" t="inlineStr">
        <is>
          <t>ICT / Digital / Telecom</t>
        </is>
      </c>
      <c r="BA109" s="41" t="inlineStr">
        <is>
          <t>Sector-Specific</t>
        </is>
      </c>
      <c r="BB109" s="591">
        <f>IF(E109="","",IF(ISNUMBER(SEARCH("Institutional theory and regulatory governance theory underpin",AI109)),"TEMPLATE",IF(LEN(AI109)&gt;100,"DEEP",IF(AI109="","SPARSE","SHALLOW"))))</f>
        <v/>
      </c>
      <c r="BC109" s="591">
        <f>IF(E109="","",D109&amp;"-"&amp;B109&amp;"-"&amp;E109)</f>
        <v/>
      </c>
      <c r="BD109" s="591">
        <f>IF(E109="","",SUBSTITUTE(SUBSTITUTE(B109&amp;"-"&amp;E109," ",""),":","-"))</f>
        <v/>
      </c>
      <c r="BE109" s="591">
        <f>IF(E109="","",IF(ISNUMBER(SEARCH("ECC",E109)),"NCA-ECC-2-2024",IF(ISNUMBER(SEARCH("OTCC",E109)),"NCA-ECC-2-2024",IF(ISNUMBER(SEARCH("CCC",E109)),"NCA-ECC-2-2024",IF(ISNUMBER(SEARCH("DCC",E109)),"NCA-ECC-2-2024",IF(ISNUMBER(SEARCH("CSCC",E109)),"NCA-ECC-2-2024",IF(ISNUMBER(SEARCH("PDPL-IR",E109)),"PDPL-2021",IF(ISNUMBER(SEARCH("PDPL-DTR",E109)),"PDPL-2021","NONE"))))))))</f>
        <v/>
      </c>
      <c r="BF109" s="594">
        <f>IF(E109="","",IF(BB109="DEEP",10,IF(BB109="SHALLOW",5,IF(BB109="TEMPLATE",3,1)))+IF(N109="HIGHEST",5,IF(N109="HIGH",3,IF(N109="MODERATE",1,0)))+IF(ISNUMBER(SEARCH("Mandatory",L109)),3,0))</f>
        <v/>
      </c>
    </row>
    <row r="110" ht="42" customHeight="1">
      <c r="A110" s="119" t="n">
        <v>101</v>
      </c>
      <c r="B110" s="120" t="inlineStr">
        <is>
          <t>CST</t>
        </is>
      </c>
      <c r="C110" s="121" t="inlineStr">
        <is>
          <t>Communications Space &amp; Technology Commission</t>
        </is>
      </c>
      <c r="D110" s="121" t="inlineStr">
        <is>
          <t>4. ICT / Digital / Telecom</t>
        </is>
      </c>
      <c r="E110" s="120" t="inlineStr">
        <is>
          <t>CST-USERIGHTS</t>
        </is>
      </c>
      <c r="F110" s="122" t="inlineStr">
        <is>
          <t>Protection of Rights of ICT Services Users</t>
        </is>
      </c>
      <c r="G110" s="121" t="inlineStr">
        <is>
          <t>حقوق مستخدمي خدمات الاتصالات</t>
        </is>
      </c>
      <c r="H110" s="121" t="inlineStr">
        <is>
          <t>Updated 2024</t>
        </is>
      </c>
      <c r="I110" s="123" t="inlineStr">
        <is>
          <t>2015</t>
        </is>
      </c>
      <c r="J110" s="123" t="inlineStr">
        <is>
          <t>N/A</t>
        </is>
      </c>
      <c r="K110" s="121" t="inlineStr">
        <is>
          <t>ISSUES/ENFORCES</t>
        </is>
      </c>
      <c r="L110" s="22" t="inlineStr">
        <is>
          <t>Mandatory Enforcer</t>
        </is>
      </c>
      <c r="M110" s="121" t="inlineStr">
        <is>
          <t>ICT service providers — telehealth user rights</t>
        </is>
      </c>
      <c r="N110" s="140" t="inlineStr">
        <is>
          <t>MODERATE</t>
        </is>
      </c>
      <c r="O110" s="125" t="inlineStr">
        <is>
          <t>https://www.cst.gov.sa/en</t>
        </is>
      </c>
      <c r="P110" s="121" t="inlineStr">
        <is>
          <t>Chambers TMT 2026</t>
        </is>
      </c>
      <c r="Q110" s="121" t="inlineStr">
        <is>
          <t>See official source for version history</t>
        </is>
      </c>
      <c r="R110" s="121" t="inlineStr">
        <is>
          <t>Framework issued by the relevant authority. Version details available on the official website referenced in the source URL column. The framework has been updated periodically since first issuance.</t>
        </is>
      </c>
      <c r="S110" s="123" t="inlineStr">
        <is>
          <t>See official source</t>
        </is>
      </c>
      <c r="T110" s="121" t="inlineStr">
        <is>
          <t>Updated as needed by the issuing authority</t>
        </is>
      </c>
      <c r="U110" s="25" t="inlineStr">
        <is>
          <t>CURRENT — consult official source for latest version</t>
        </is>
      </c>
      <c r="V110" s="121" t="inlineStr">
        <is>
          <t>Penalties defined by issuing authority; consult official source. NCA ECC-2 penalties apply if relevant</t>
        </is>
      </c>
      <c r="W110" s="122" t="inlineStr">
        <is>
          <t>Issuing authority and/or designated inspection department</t>
        </is>
      </c>
      <c r="X110" s="121" t="inlineStr">
        <is>
          <t>As specified in framework scope — consult official document</t>
        </is>
      </c>
      <c r="Y110" s="49" t="inlineStr">
        <is>
          <t>Both (unless specified otherwise in official document)</t>
        </is>
      </c>
      <c r="Z110" s="121" t="inlineStr">
        <is>
          <t>As defined by issuing authority</t>
        </is>
      </c>
      <c r="AA110" s="123" t="inlineStr">
        <is>
          <t>As defined by issuing authority</t>
        </is>
      </c>
      <c r="AB110" s="121" t="inlineStr">
        <is>
          <t>To be determined from framework text — see official source</t>
        </is>
      </c>
      <c r="AC110" s="121" t="inlineStr">
        <is>
          <t>See framework preamble for international standard references</t>
        </is>
      </c>
      <c r="AD110" s="49" t="inlineStr">
        <is>
          <t>Arabic (primary in KSA); English may be available</t>
        </is>
      </c>
      <c r="AE110" s="58" t="inlineStr">
        <is>
          <t>Mapped to relevant GH-ICGA layer — requires manual assessment</t>
        </is>
      </c>
      <c r="AF110" s="56" t="inlineStr">
        <is>
          <t>See official framework for maturity model details</t>
        </is>
      </c>
      <c r="AG110" s="121" t="inlineStr">
        <is>
          <t>Aligned with relevant Vision 2030 programme — see framework context</t>
        </is>
      </c>
      <c r="AH110" s="121" t="inlineStr">
        <is>
          <t>As specified in framework compliance requirements</t>
        </is>
      </c>
      <c r="AI110" s="126" t="inlineStr">
        <is>
          <t>Institutional theory and regulatory governance theory underpin all KSA regulatory frameworks. Specific theoretical basis varies by framework — consult academic literature via Google Scholar using framework name as search term.</t>
        </is>
      </c>
      <c r="AJ110" s="121" t="inlineStr">
        <is>
          <t>Academic debate varies by framework maturity and international adoption. For KSA-specific debate, consult: Almohammad &amp; Wills (2021) J Cybersecurity; Al-Khater et al. (2020) IEEE Access; Baker McKenzie KSA regulatory updates.</t>
        </is>
      </c>
      <c r="AK110" s="127" t="inlineStr">
        <is>
          <t>Known criticisms include: implementation gap between standards and practice; resource constraints for smaller healthcare entities; rapid technology evolution outpacing regulation. Consult framework evaluation literature for specifics.</t>
        </is>
      </c>
      <c r="AL110" s="128" t="inlineStr">
        <is>
          <t>Framework comparison requires contextual analysis. Key comparators: NIST CSF 2.0 (international benchmark), ISO 27001 (certifiable standard), ECC-2 (KSA mandatory baseline). See main database for cross-framework mapping.</t>
        </is>
      </c>
      <c r="AM110" s="129"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10" s="130" t="inlineStr">
        <is>
          <t>Official: Consult the official source URL in the database for the primary document. Training: ISACA, ISC2, RAPS, IAPP, and HIMSS offer professional development covering most regulatory domains. Estimated hours vary by framework complexity.</t>
        </is>
      </c>
      <c r="AO110" s="131" t="inlineStr">
        <is>
          <t>Relevance to GH-ICGA framework varies by layer — see GH-ICGA Layer Mapping column. All KSA mandatory frameworks are compliance inputs to GH-ICGA Layer 4. Frameworks with IoMT-specific provisions directly inform Layers 2 and 3.</t>
        </is>
      </c>
      <c r="AP110" s="51" t="inlineStr">
        <is>
          <t>G + C (Governance + Compliance — standard regulatory framework positioning)</t>
        </is>
      </c>
      <c r="AQ110" s="132" t="inlineStr">
        <is>
          <t>Senior management: accountability for framework compliance. Designated compliance officer: monitor requirements. All staff: awareness of applicable obligations</t>
        </is>
      </c>
      <c r="AR110" s="127" t="inlineStr">
        <is>
          <t>Regulatory Risk; Operational Risk; Reputational Risk — specific domains determined by framework scope</t>
        </is>
      </c>
      <c r="AS110" s="22" t="inlineStr">
        <is>
          <t>See official source — legal obligation, regulatory requirement, or voluntary standard as applicable</t>
        </is>
      </c>
      <c r="AT110" s="128" t="inlineStr">
        <is>
          <t>Administrative; Technical; Operational — specific distribution determined by framework content</t>
        </is>
      </c>
      <c r="AU110" s="133" t="inlineStr">
        <is>
          <t>1. Compliance status (compliant/non-compliant). 2. # open findings from last assessment. 3. % controls implemented. 4. Time to remediate findings. 5. Incident rate in framework scope area</t>
        </is>
      </c>
      <c r="AV110" s="134" t="inlineStr">
        <is>
          <t>Self-assessment; internal audit; external assessment as specified by issuing authority</t>
        </is>
      </c>
      <c r="AW110" s="135" t="inlineStr">
        <is>
          <t>ServiceNow GRC; IBM OpenPages; RSA Archer; MetricStream — all major GRC platforms support custom framework import. Contact vendor for framework-specific module</t>
        </is>
      </c>
      <c r="AX110" s="136" t="inlineStr">
        <is>
          <t>Third parties in scope must demonstrate equivalent compliance. Contractual compliance obligations; right-to-audit clauses; annual third-party assessment</t>
        </is>
      </c>
      <c r="AY110" s="137" t="inlineStr">
        <is>
          <t>Non-compliance: regulatory action by issuing authority; fines and penalties as specified; operational and reputational consequences</t>
        </is>
      </c>
      <c r="AZ110" s="134" t="inlineStr">
        <is>
          <t>ICT / Digital / Telecom</t>
        </is>
      </c>
      <c r="BA110" s="41" t="inlineStr">
        <is>
          <t>Sector-Specific</t>
        </is>
      </c>
      <c r="BB110" s="591">
        <f>IF(E110="","",IF(ISNUMBER(SEARCH("Institutional theory and regulatory governance theory underpin",AI110)),"TEMPLATE",IF(LEN(AI110)&gt;100,"DEEP",IF(AI110="","SPARSE","SHALLOW"))))</f>
        <v/>
      </c>
      <c r="BC110" s="591">
        <f>IF(E110="","",D110&amp;"-"&amp;B110&amp;"-"&amp;E110)</f>
        <v/>
      </c>
      <c r="BD110" s="591">
        <f>IF(E110="","",SUBSTITUTE(SUBSTITUTE(B110&amp;"-"&amp;E110," ",""),":","-"))</f>
        <v/>
      </c>
      <c r="BE110" s="591">
        <f>IF(E110="","",IF(ISNUMBER(SEARCH("ECC",E110)),"NCA-ECC-2-2024",IF(ISNUMBER(SEARCH("OTCC",E110)),"NCA-ECC-2-2024",IF(ISNUMBER(SEARCH("CCC",E110)),"NCA-ECC-2-2024",IF(ISNUMBER(SEARCH("DCC",E110)),"NCA-ECC-2-2024",IF(ISNUMBER(SEARCH("CSCC",E110)),"NCA-ECC-2-2024",IF(ISNUMBER(SEARCH("PDPL-IR",E110)),"PDPL-2021",IF(ISNUMBER(SEARCH("PDPL-DTR",E110)),"PDPL-2021","NONE"))))))))</f>
        <v/>
      </c>
      <c r="BF110" s="594">
        <f>IF(E110="","",IF(BB110="DEEP",10,IF(BB110="SHALLOW",5,IF(BB110="TEMPLATE",3,1)))+IF(N110="HIGHEST",5,IF(N110="HIGH",3,IF(N110="MODERATE",1,0)))+IF(ISNUMBER(SEARCH("Mandatory",L110)),3,0))</f>
        <v/>
      </c>
    </row>
    <row r="111" ht="42" customHeight="1">
      <c r="A111" s="42" t="n">
        <v>102</v>
      </c>
      <c r="B111" s="138" t="inlineStr">
        <is>
          <t>CST</t>
        </is>
      </c>
      <c r="C111" s="44" t="inlineStr">
        <is>
          <t>Communications Space &amp; Technology Commission</t>
        </is>
      </c>
      <c r="D111" s="44" t="inlineStr">
        <is>
          <t>4. ICT / Digital / Telecom</t>
        </is>
      </c>
      <c r="E111" s="138" t="inlineStr">
        <is>
          <t>NCA-ECC-2:2024</t>
        </is>
      </c>
      <c r="F111" s="45" t="inlineStr">
        <is>
          <t>Essential Cybersecurity Controls</t>
        </is>
      </c>
      <c r="G111" s="44" t="inlineStr">
        <is>
          <t>ضوابط الأمن السيبراني الأساسية</t>
        </is>
      </c>
      <c r="H111" s="44" t="inlineStr">
        <is>
          <t>ECC-2:2024</t>
        </is>
      </c>
      <c r="I111" s="46" t="inlineStr">
        <is>
          <t>2018</t>
        </is>
      </c>
      <c r="J111" s="46" t="inlineStr">
        <is>
          <t>108</t>
        </is>
      </c>
      <c r="K111" s="44" t="inlineStr">
        <is>
          <t>MUST COMPLY WITH</t>
        </is>
      </c>
      <c r="L111" s="66" t="inlineStr">
        <is>
          <t>Mandatory Complier</t>
        </is>
      </c>
      <c r="M111" s="44" t="inlineStr">
        <is>
          <t>CST as government entity</t>
        </is>
      </c>
      <c r="N111" s="54" t="inlineStr">
        <is>
          <t>HIGH</t>
        </is>
      </c>
      <c r="O111" s="48" t="inlineStr">
        <is>
          <t>https://nca.gov.sa/</t>
        </is>
      </c>
      <c r="P111" s="44" t="inlineStr">
        <is>
          <t>NCA ECC scope</t>
        </is>
      </c>
      <c r="Q111" s="121" t="inlineStr">
        <is>
          <t>See official source for version history</t>
        </is>
      </c>
      <c r="R111" s="121" t="inlineStr">
        <is>
          <t>Framework issued by the relevant authority. Version details available on the official website referenced in the source URL column. The framework has been updated periodically since first issuance.</t>
        </is>
      </c>
      <c r="S111" s="123" t="inlineStr">
        <is>
          <t>See official source</t>
        </is>
      </c>
      <c r="T111" s="121" t="inlineStr">
        <is>
          <t>Updated as needed by the issuing authority</t>
        </is>
      </c>
      <c r="U111" s="25" t="inlineStr">
        <is>
          <t>CURRENT — consult official source for latest version</t>
        </is>
      </c>
      <c r="V111" s="121" t="inlineStr">
        <is>
          <t>Penalties defined by issuing authority; consult official source. NCA ECC-2 penalties apply if relevant</t>
        </is>
      </c>
      <c r="W111" s="122" t="inlineStr">
        <is>
          <t>Issuing authority and/or designated inspection department</t>
        </is>
      </c>
      <c r="X111" s="121" t="inlineStr">
        <is>
          <t>As specified in framework scope — consult official document</t>
        </is>
      </c>
      <c r="Y111" s="49" t="inlineStr">
        <is>
          <t>Both (unless specified otherwise in official document)</t>
        </is>
      </c>
      <c r="Z111" s="121" t="inlineStr">
        <is>
          <t>As defined by issuing authority</t>
        </is>
      </c>
      <c r="AA111" s="123" t="inlineStr">
        <is>
          <t>As defined by issuing authority</t>
        </is>
      </c>
      <c r="AB111" s="121" t="inlineStr">
        <is>
          <t>To be determined from framework text — see official source</t>
        </is>
      </c>
      <c r="AC111" s="121" t="inlineStr">
        <is>
          <t>See framework preamble for international standard references</t>
        </is>
      </c>
      <c r="AD111" s="49" t="inlineStr">
        <is>
          <t>Arabic (primary in KSA); English may be available</t>
        </is>
      </c>
      <c r="AE111" s="58" t="inlineStr">
        <is>
          <t>Mapped to relevant GH-ICGA layer — requires manual assessment</t>
        </is>
      </c>
      <c r="AF111" s="56" t="inlineStr">
        <is>
          <t>See official framework for maturity model details</t>
        </is>
      </c>
      <c r="AG111" s="121" t="inlineStr">
        <is>
          <t>Aligned with relevant Vision 2030 programme — see framework context</t>
        </is>
      </c>
      <c r="AH111" s="121" t="inlineStr">
        <is>
          <t>As specified in framework compliance requirements</t>
        </is>
      </c>
      <c r="AI111" s="126" t="inlineStr">
        <is>
          <t>Institutional theory and regulatory governance theory underpin all KSA regulatory frameworks. Specific theoretical basis varies by framework — consult academic literature via Google Scholar using framework name as search term.</t>
        </is>
      </c>
      <c r="AJ111" s="121" t="inlineStr">
        <is>
          <t>Academic debate varies by framework maturity and international adoption. For KSA-specific debate, consult: Almohammad &amp; Wills (2021) J Cybersecurity; Al-Khater et al. (2020) IEEE Access; Baker McKenzie KSA regulatory updates.</t>
        </is>
      </c>
      <c r="AK111" s="127" t="inlineStr">
        <is>
          <t>Known criticisms include: implementation gap between standards and practice; resource constraints for smaller healthcare entities; rapid technology evolution outpacing regulation. Consult framework evaluation literature for specifics.</t>
        </is>
      </c>
      <c r="AL111" s="128" t="inlineStr">
        <is>
          <t>Framework comparison requires contextual analysis. Key comparators: NIST CSF 2.0 (international benchmark), ISO 27001 (certifiable standard), ECC-2 (KSA mandatory baseline). See main database for cross-framework mapping.</t>
        </is>
      </c>
      <c r="AM111" s="129"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11" s="130" t="inlineStr">
        <is>
          <t>Official: Consult the official source URL in the database for the primary document. Training: ISACA, ISC2, RAPS, IAPP, and HIMSS offer professional development covering most regulatory domains. Estimated hours vary by framework complexity.</t>
        </is>
      </c>
      <c r="AO111" s="131" t="inlineStr">
        <is>
          <t>Relevance to GH-ICGA framework varies by layer — see GH-ICGA Layer Mapping column. All KSA mandatory frameworks are compliance inputs to GH-ICGA Layer 4. Frameworks with IoMT-specific provisions directly inform Layers 2 and 3.</t>
        </is>
      </c>
      <c r="AP111" s="51" t="inlineStr">
        <is>
          <t>G + C (Governance + Compliance — standard regulatory framework positioning)</t>
        </is>
      </c>
      <c r="AQ111" s="132" t="inlineStr">
        <is>
          <t>Senior management: accountability for framework compliance. Designated compliance officer: monitor requirements. All staff: awareness of applicable obligations</t>
        </is>
      </c>
      <c r="AR111" s="127" t="inlineStr">
        <is>
          <t>Regulatory Risk; Operational Risk; Reputational Risk — specific domains determined by framework scope</t>
        </is>
      </c>
      <c r="AS111" s="22" t="inlineStr">
        <is>
          <t>See official source — legal obligation, regulatory requirement, or voluntary standard as applicable</t>
        </is>
      </c>
      <c r="AT111" s="128" t="inlineStr">
        <is>
          <t>Administrative; Technical; Operational — specific distribution determined by framework content</t>
        </is>
      </c>
      <c r="AU111" s="133" t="inlineStr">
        <is>
          <t>1. Compliance status (compliant/non-compliant). 2. # open findings from last assessment. 3. % controls implemented. 4. Time to remediate findings. 5. Incident rate in framework scope area</t>
        </is>
      </c>
      <c r="AV111" s="134" t="inlineStr">
        <is>
          <t>Self-assessment; internal audit; external assessment as specified by issuing authority</t>
        </is>
      </c>
      <c r="AW111" s="135" t="inlineStr">
        <is>
          <t>ServiceNow GRC; IBM OpenPages; RSA Archer; MetricStream — all major GRC platforms support custom framework import. Contact vendor for framework-specific module</t>
        </is>
      </c>
      <c r="AX111" s="136" t="inlineStr">
        <is>
          <t>Third parties in scope must demonstrate equivalent compliance. Contractual compliance obligations; right-to-audit clauses; annual third-party assessment</t>
        </is>
      </c>
      <c r="AY111" s="137" t="inlineStr">
        <is>
          <t>Non-compliance: regulatory action by issuing authority; fines and penalties as specified; operational and reputational consequences</t>
        </is>
      </c>
      <c r="AZ111" s="134" t="inlineStr">
        <is>
          <t>ALL 17 SECTORS</t>
        </is>
      </c>
      <c r="BA111" s="34" t="inlineStr">
        <is>
          <t>YES — ALL SECTORS</t>
        </is>
      </c>
      <c r="BB111" s="591">
        <f>IF(E111="","",IF(ISNUMBER(SEARCH("Institutional theory and regulatory governance theory underpin",AI111)),"TEMPLATE",IF(LEN(AI111)&gt;100,"DEEP",IF(AI111="","SPARSE","SHALLOW"))))</f>
        <v/>
      </c>
      <c r="BC111" s="591">
        <f>IF(E111="","",D111&amp;"-"&amp;B111&amp;"-"&amp;E111)</f>
        <v/>
      </c>
      <c r="BD111" s="591">
        <f>IF(E111="","",SUBSTITUTE(SUBSTITUTE(B111&amp;"-"&amp;E111," ",""),":","-"))</f>
        <v/>
      </c>
      <c r="BE111" s="591">
        <f>IF(E111="","",IF(ISNUMBER(SEARCH("ECC",E111)),"NCA-ECC-2-2024",IF(ISNUMBER(SEARCH("OTCC",E111)),"NCA-ECC-2-2024",IF(ISNUMBER(SEARCH("CCC",E111)),"NCA-ECC-2-2024",IF(ISNUMBER(SEARCH("DCC",E111)),"NCA-ECC-2-2024",IF(ISNUMBER(SEARCH("CSCC",E111)),"NCA-ECC-2-2024",IF(ISNUMBER(SEARCH("PDPL-IR",E111)),"PDPL-2021",IF(ISNUMBER(SEARCH("PDPL-DTR",E111)),"PDPL-2021","NONE"))))))))</f>
        <v/>
      </c>
      <c r="BF111" s="594">
        <f>IF(E111="","",IF(BB111="DEEP",10,IF(BB111="SHALLOW",5,IF(BB111="TEMPLATE",3,1)))+IF(N111="HIGHEST",5,IF(N111="HIGH",3,IF(N111="MODERATE",1,0)))+IF(ISNUMBER(SEARCH("Mandatory",L111)),3,0))</f>
        <v/>
      </c>
    </row>
    <row r="112" ht="42" customHeight="1">
      <c r="A112" s="119" t="n">
        <v>103</v>
      </c>
      <c r="B112" s="120" t="inlineStr">
        <is>
          <t>DGA</t>
        </is>
      </c>
      <c r="C112" s="121" t="inlineStr">
        <is>
          <t>Digital Government Authority</t>
        </is>
      </c>
      <c r="D112" s="121" t="inlineStr">
        <is>
          <t>4. ICT / Digital / Telecom</t>
        </is>
      </c>
      <c r="E112" s="120" t="inlineStr">
        <is>
          <t>DGA-CFP</t>
        </is>
      </c>
      <c r="F112" s="122" t="inlineStr">
        <is>
          <t>Cloud First Policy</t>
        </is>
      </c>
      <c r="G112" s="121" t="inlineStr">
        <is>
          <t>سياسة السحابة أولاً</t>
        </is>
      </c>
      <c r="H112" s="121" t="inlineStr">
        <is>
          <t>2021</t>
        </is>
      </c>
      <c r="I112" s="123" t="inlineStr">
        <is>
          <t>2021</t>
        </is>
      </c>
      <c r="J112" s="123" t="inlineStr">
        <is>
          <t>28</t>
        </is>
      </c>
      <c r="K112" s="121" t="inlineStr">
        <is>
          <t>ISSUES/ENFORCES</t>
        </is>
      </c>
      <c r="L112" s="22" t="inlineStr">
        <is>
          <t>Mandatory Enforcer</t>
        </is>
      </c>
      <c r="M112" s="121" t="inlineStr">
        <is>
          <t>All government entities — MOH, NHIC, CBAHI cloud adoption</t>
        </is>
      </c>
      <c r="N112" s="124" t="inlineStr">
        <is>
          <t>HIGH</t>
        </is>
      </c>
      <c r="O112" s="125" t="inlineStr">
        <is>
          <t>https://dga.gov.sa/en</t>
        </is>
      </c>
      <c r="P112" s="121" t="inlineStr">
        <is>
          <t>DGA official</t>
        </is>
      </c>
      <c r="Q112" s="121" t="inlineStr">
        <is>
          <t>Cloud First Policy first 2019 → updated 2021</t>
        </is>
      </c>
      <c r="R112" s="121" t="inlineStr">
        <is>
          <t>2019 initial Cloud First Policy from MCIT. 2021 DGA formalised and expanded: all government entities must justify non-cloud deployments; pre-approval process for cloud service adoption; security assessment requirement (NCA CCC compliance verified); Government Cloud (G-Cloud) preferred for classified data; health data must stay within KSA borders unless DGA exemption granted. MOH NABIDH platform on G-Cloud as reference implementation</t>
        </is>
      </c>
      <c r="S112" s="123" t="inlineStr">
        <is>
          <t>Initial 2019. Formalised: 2021</t>
        </is>
      </c>
      <c r="T112" s="121" t="inlineStr">
        <is>
          <t>Review 2024-2025 aligned with CCC-2 developments</t>
        </is>
      </c>
      <c r="U112" s="25" t="inlineStr">
        <is>
          <t>CURRENT — 2021 version</t>
        </is>
      </c>
      <c r="V112" s="121" t="inlineStr">
        <is>
          <t>Penalties defined by issuing authority; consult official source. NCA ECC-2 penalties apply if relevant</t>
        </is>
      </c>
      <c r="W112" s="122" t="inlineStr">
        <is>
          <t>Issuing authority and/or designated inspection department</t>
        </is>
      </c>
      <c r="X112" s="121" t="inlineStr">
        <is>
          <t>As specified in framework scope — consult official document</t>
        </is>
      </c>
      <c r="Y112" s="49" t="inlineStr">
        <is>
          <t>Both (unless specified otherwise in official document)</t>
        </is>
      </c>
      <c r="Z112" s="121" t="inlineStr">
        <is>
          <t>As defined by issuing authority</t>
        </is>
      </c>
      <c r="AA112" s="123" t="inlineStr">
        <is>
          <t>As defined by issuing authority</t>
        </is>
      </c>
      <c r="AB112" s="121" t="inlineStr">
        <is>
          <t>To be determined from framework text — see official source</t>
        </is>
      </c>
      <c r="AC112" s="121" t="inlineStr">
        <is>
          <t>See framework preamble for international standard references</t>
        </is>
      </c>
      <c r="AD112" s="49" t="inlineStr">
        <is>
          <t>Arabic (primary in KSA); English may be available</t>
        </is>
      </c>
      <c r="AE112" s="58" t="inlineStr">
        <is>
          <t>Mapped to relevant GH-ICGA layer — requires manual assessment</t>
        </is>
      </c>
      <c r="AF112" s="56" t="inlineStr">
        <is>
          <t>See official framework for maturity model details</t>
        </is>
      </c>
      <c r="AG112" s="121" t="inlineStr">
        <is>
          <t>Aligned with relevant Vision 2030 programme — see framework context</t>
        </is>
      </c>
      <c r="AH112" s="121" t="inlineStr">
        <is>
          <t>As specified in framework compliance requirements</t>
        </is>
      </c>
      <c r="AI112" s="126" t="inlineStr">
        <is>
          <t>Institutional theory and regulatory governance theory underpin all KSA regulatory frameworks. Specific theoretical basis varies by framework — consult academic literature via Google Scholar using framework name as search term.</t>
        </is>
      </c>
      <c r="AJ112" s="121" t="inlineStr">
        <is>
          <t>Academic debate varies by framework maturity and international adoption. For KSA-specific debate, consult: Almohammad &amp; Wills (2021) J Cybersecurity; Al-Khater et al. (2020) IEEE Access; Baker McKenzie KSA regulatory updates.</t>
        </is>
      </c>
      <c r="AK112" s="127" t="inlineStr">
        <is>
          <t>Known criticisms include: implementation gap between standards and practice; resource constraints for smaller healthcare entities; rapid technology evolution outpacing regulation. Consult framework evaluation literature for specifics.</t>
        </is>
      </c>
      <c r="AL112" s="128" t="inlineStr">
        <is>
          <t>Framework comparison requires contextual analysis. Key comparators: NIST CSF 2.0 (international benchmark), ISO 27001 (certifiable standard), ECC-2 (KSA mandatory baseline). See main database for cross-framework mapping.</t>
        </is>
      </c>
      <c r="AM112" s="129"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12" s="130" t="inlineStr">
        <is>
          <t>Official: Consult the official source URL in the database for the primary document. Training: ISACA, ISC2, RAPS, IAPP, and HIMSS offer professional development covering most regulatory domains. Estimated hours vary by framework complexity.</t>
        </is>
      </c>
      <c r="AO112" s="131" t="inlineStr">
        <is>
          <t>Relevance to GH-ICGA framework varies by layer — see GH-ICGA Layer Mapping column. All KSA mandatory frameworks are compliance inputs to GH-ICGA Layer 4. Frameworks with IoMT-specific provisions directly inform Layers 2 and 3.</t>
        </is>
      </c>
      <c r="AP112" s="51" t="inlineStr">
        <is>
          <t>G + C (Governance + Compliance — standard regulatory framework positioning)</t>
        </is>
      </c>
      <c r="AQ112" s="132" t="inlineStr">
        <is>
          <t>Senior management: accountability for framework compliance. Designated compliance officer: monitor requirements. All staff: awareness of applicable obligations</t>
        </is>
      </c>
      <c r="AR112" s="127" t="inlineStr">
        <is>
          <t>Regulatory Risk; Operational Risk; Reputational Risk — specific domains determined by framework scope</t>
        </is>
      </c>
      <c r="AS112" s="22" t="inlineStr">
        <is>
          <t>See official source — legal obligation, regulatory requirement, or voluntary standard as applicable</t>
        </is>
      </c>
      <c r="AT112" s="128" t="inlineStr">
        <is>
          <t>Administrative; Technical; Operational — specific distribution determined by framework content</t>
        </is>
      </c>
      <c r="AU112" s="133" t="inlineStr">
        <is>
          <t>1. Compliance status (compliant/non-compliant). 2. # open findings from last assessment. 3. % controls implemented. 4. Time to remediate findings. 5. Incident rate in framework scope area</t>
        </is>
      </c>
      <c r="AV112" s="134" t="inlineStr">
        <is>
          <t>Self-assessment; internal audit; external assessment as specified by issuing authority</t>
        </is>
      </c>
      <c r="AW112" s="135" t="inlineStr">
        <is>
          <t>ServiceNow GRC; IBM OpenPages; RSA Archer; MetricStream — all major GRC platforms support custom framework import. Contact vendor for framework-specific module</t>
        </is>
      </c>
      <c r="AX112" s="136" t="inlineStr">
        <is>
          <t>Third parties in scope must demonstrate equivalent compliance. Contractual compliance obligations; right-to-audit clauses; annual third-party assessment</t>
        </is>
      </c>
      <c r="AY112" s="137" t="inlineStr">
        <is>
          <t>Non-compliance: regulatory action by issuing authority; fines and penalties as specified; operational and reputational consequences</t>
        </is>
      </c>
      <c r="AZ112" s="134" t="inlineStr">
        <is>
          <t>ALL SECTORS (government entities) — cloud adoption</t>
        </is>
      </c>
      <c r="BA112" s="34" t="inlineStr">
        <is>
          <t>YES — ALL SECTORS</t>
        </is>
      </c>
      <c r="BB112" s="591">
        <f>IF(E112="","",IF(ISNUMBER(SEARCH("Institutional theory and regulatory governance theory underpin",AI112)),"TEMPLATE",IF(LEN(AI112)&gt;100,"DEEP",IF(AI112="","SPARSE","SHALLOW"))))</f>
        <v/>
      </c>
      <c r="BC112" s="591">
        <f>IF(E112="","",D112&amp;"-"&amp;B112&amp;"-"&amp;E112)</f>
        <v/>
      </c>
      <c r="BD112" s="591">
        <f>IF(E112="","",SUBSTITUTE(SUBSTITUTE(B112&amp;"-"&amp;E112," ",""),":","-"))</f>
        <v/>
      </c>
      <c r="BE112" s="591">
        <f>IF(E112="","",IF(ISNUMBER(SEARCH("ECC",E112)),"NCA-ECC-2-2024",IF(ISNUMBER(SEARCH("OTCC",E112)),"NCA-ECC-2-2024",IF(ISNUMBER(SEARCH("CCC",E112)),"NCA-ECC-2-2024",IF(ISNUMBER(SEARCH("DCC",E112)),"NCA-ECC-2-2024",IF(ISNUMBER(SEARCH("CSCC",E112)),"NCA-ECC-2-2024",IF(ISNUMBER(SEARCH("PDPL-IR",E112)),"PDPL-2021",IF(ISNUMBER(SEARCH("PDPL-DTR",E112)),"PDPL-2021","NONE"))))))))</f>
        <v/>
      </c>
      <c r="BF112" s="594">
        <f>IF(E112="","",IF(BB112="DEEP",10,IF(BB112="SHALLOW",5,IF(BB112="TEMPLATE",3,1)))+IF(N112="HIGHEST",5,IF(N112="HIGH",3,IF(N112="MODERATE",1,0)))+IF(ISNUMBER(SEARCH("Mandatory",L112)),3,0))</f>
        <v/>
      </c>
    </row>
    <row r="113" ht="42" customHeight="1">
      <c r="A113" s="42" t="n">
        <v>104</v>
      </c>
      <c r="B113" s="138" t="inlineStr">
        <is>
          <t>DGA</t>
        </is>
      </c>
      <c r="C113" s="44" t="inlineStr">
        <is>
          <t>Digital Government Authority</t>
        </is>
      </c>
      <c r="D113" s="44" t="inlineStr">
        <is>
          <t>4. ICT / Digital / Telecom</t>
        </is>
      </c>
      <c r="E113" s="138" t="inlineStr">
        <is>
          <t>DGA-DMI</t>
        </is>
      </c>
      <c r="F113" s="45" t="inlineStr">
        <is>
          <t>Digital Maturity Index Methodology</t>
        </is>
      </c>
      <c r="G113" s="44" t="inlineStr">
        <is>
          <t>منهجية مؤشر النضج الرقمي</t>
        </is>
      </c>
      <c r="H113" s="44" t="inlineStr">
        <is>
          <t>Updated 2022</t>
        </is>
      </c>
      <c r="I113" s="46" t="inlineStr">
        <is>
          <t>2020</t>
        </is>
      </c>
      <c r="J113" s="46" t="inlineStr">
        <is>
          <t>42</t>
        </is>
      </c>
      <c r="K113" s="44" t="inlineStr">
        <is>
          <t>ISSUES/ENFORCES</t>
        </is>
      </c>
      <c r="L113" s="22" t="inlineStr">
        <is>
          <t>Mandatory Enforcer</t>
        </is>
      </c>
      <c r="M113" s="44" t="inlineStr">
        <is>
          <t>All government entities — annual MOH digital scoring</t>
        </is>
      </c>
      <c r="N113" s="55" t="inlineStr">
        <is>
          <t>MODERATE</t>
        </is>
      </c>
      <c r="O113" s="48" t="inlineStr">
        <is>
          <t>https://dga.gov.sa/en</t>
        </is>
      </c>
      <c r="P113" s="44" t="inlineStr">
        <is>
          <t>DGA official</t>
        </is>
      </c>
      <c r="Q113" s="121" t="inlineStr">
        <is>
          <t>See official source for version history</t>
        </is>
      </c>
      <c r="R113" s="121" t="inlineStr">
        <is>
          <t>Framework issued by the relevant authority. Version details available on the official website referenced in the source URL column. The framework has been updated periodically since first issuance.</t>
        </is>
      </c>
      <c r="S113" s="123" t="inlineStr">
        <is>
          <t>See official source</t>
        </is>
      </c>
      <c r="T113" s="121" t="inlineStr">
        <is>
          <t>Updated as needed by the issuing authority</t>
        </is>
      </c>
      <c r="U113" s="25" t="inlineStr">
        <is>
          <t>CURRENT — consult official source for latest version</t>
        </is>
      </c>
      <c r="V113" s="121" t="inlineStr">
        <is>
          <t>Penalties defined by issuing authority; consult official source. NCA ECC-2 penalties apply if relevant</t>
        </is>
      </c>
      <c r="W113" s="122" t="inlineStr">
        <is>
          <t>Issuing authority and/or designated inspection department</t>
        </is>
      </c>
      <c r="X113" s="121" t="inlineStr">
        <is>
          <t>As specified in framework scope — consult official document</t>
        </is>
      </c>
      <c r="Y113" s="49" t="inlineStr">
        <is>
          <t>Both (unless specified otherwise in official document)</t>
        </is>
      </c>
      <c r="Z113" s="121" t="inlineStr">
        <is>
          <t>As defined by issuing authority</t>
        </is>
      </c>
      <c r="AA113" s="123" t="inlineStr">
        <is>
          <t>As defined by issuing authority</t>
        </is>
      </c>
      <c r="AB113" s="121" t="inlineStr">
        <is>
          <t>To be determined from framework text — see official source</t>
        </is>
      </c>
      <c r="AC113" s="121" t="inlineStr">
        <is>
          <t>See framework preamble for international standard references</t>
        </is>
      </c>
      <c r="AD113" s="49" t="inlineStr">
        <is>
          <t>Arabic (primary in KSA); English may be available</t>
        </is>
      </c>
      <c r="AE113" s="58" t="inlineStr">
        <is>
          <t>Mapped to relevant GH-ICGA layer — requires manual assessment</t>
        </is>
      </c>
      <c r="AF113" s="56" t="inlineStr">
        <is>
          <t>See official framework for maturity model details</t>
        </is>
      </c>
      <c r="AG113" s="121" t="inlineStr">
        <is>
          <t>Aligned with relevant Vision 2030 programme — see framework context</t>
        </is>
      </c>
      <c r="AH113" s="121" t="inlineStr">
        <is>
          <t>As specified in framework compliance requirements</t>
        </is>
      </c>
      <c r="AI113" s="126" t="inlineStr">
        <is>
          <t>Institutional theory and regulatory governance theory underpin all KSA regulatory frameworks. Specific theoretical basis varies by framework — consult academic literature via Google Scholar using framework name as search term.</t>
        </is>
      </c>
      <c r="AJ113" s="121" t="inlineStr">
        <is>
          <t>Academic debate varies by framework maturity and international adoption. For KSA-specific debate, consult: Almohammad &amp; Wills (2021) J Cybersecurity; Al-Khater et al. (2020) IEEE Access; Baker McKenzie KSA regulatory updates.</t>
        </is>
      </c>
      <c r="AK113" s="127" t="inlineStr">
        <is>
          <t>Known criticisms include: implementation gap between standards and practice; resource constraints for smaller healthcare entities; rapid technology evolution outpacing regulation. Consult framework evaluation literature for specifics.</t>
        </is>
      </c>
      <c r="AL113" s="128" t="inlineStr">
        <is>
          <t>Framework comparison requires contextual analysis. Key comparators: NIST CSF 2.0 (international benchmark), ISO 27001 (certifiable standard), ECC-2 (KSA mandatory baseline). See main database for cross-framework mapping.</t>
        </is>
      </c>
      <c r="AM113" s="129"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13" s="130" t="inlineStr">
        <is>
          <t>Official: Consult the official source URL in the database for the primary document. Training: ISACA, ISC2, RAPS, IAPP, and HIMSS offer professional development covering most regulatory domains. Estimated hours vary by framework complexity.</t>
        </is>
      </c>
      <c r="AO113" s="131" t="inlineStr">
        <is>
          <t>Relevance to GH-ICGA framework varies by layer — see GH-ICGA Layer Mapping column. All KSA mandatory frameworks are compliance inputs to GH-ICGA Layer 4. Frameworks with IoMT-specific provisions directly inform Layers 2 and 3.</t>
        </is>
      </c>
      <c r="AP113" s="51" t="inlineStr">
        <is>
          <t>G + C (Governance + Compliance — standard regulatory framework positioning)</t>
        </is>
      </c>
      <c r="AQ113" s="132" t="inlineStr">
        <is>
          <t>Senior management: accountability for framework compliance. Designated compliance officer: monitor requirements. All staff: awareness of applicable obligations</t>
        </is>
      </c>
      <c r="AR113" s="127" t="inlineStr">
        <is>
          <t>Regulatory Risk; Operational Risk; Reputational Risk — specific domains determined by framework scope</t>
        </is>
      </c>
      <c r="AS113" s="22" t="inlineStr">
        <is>
          <t>See official source — legal obligation, regulatory requirement, or voluntary standard as applicable</t>
        </is>
      </c>
      <c r="AT113" s="128" t="inlineStr">
        <is>
          <t>Administrative; Technical; Operational — specific distribution determined by framework content</t>
        </is>
      </c>
      <c r="AU113" s="133" t="inlineStr">
        <is>
          <t>1. Compliance status (compliant/non-compliant). 2. # open findings from last assessment. 3. % controls implemented. 4. Time to remediate findings. 5. Incident rate in framework scope area</t>
        </is>
      </c>
      <c r="AV113" s="134" t="inlineStr">
        <is>
          <t>Self-assessment; internal audit; external assessment as specified by issuing authority</t>
        </is>
      </c>
      <c r="AW113" s="135" t="inlineStr">
        <is>
          <t>ServiceNow GRC; IBM OpenPages; RSA Archer; MetricStream — all major GRC platforms support custom framework import. Contact vendor for framework-specific module</t>
        </is>
      </c>
      <c r="AX113" s="136" t="inlineStr">
        <is>
          <t>Third parties in scope must demonstrate equivalent compliance. Contractual compliance obligations; right-to-audit clauses; annual third-party assessment</t>
        </is>
      </c>
      <c r="AY113" s="137" t="inlineStr">
        <is>
          <t>Non-compliance: regulatory action by issuing authority; fines and penalties as specified; operational and reputational consequences</t>
        </is>
      </c>
      <c r="AZ113" s="134" t="inlineStr">
        <is>
          <t>Sector-specific — consult official source</t>
        </is>
      </c>
      <c r="BA113" s="41" t="inlineStr">
        <is>
          <t>Sector-Specific</t>
        </is>
      </c>
      <c r="BB113" s="591">
        <f>IF(E113="","",IF(ISNUMBER(SEARCH("Institutional theory and regulatory governance theory underpin",AI113)),"TEMPLATE",IF(LEN(AI113)&gt;100,"DEEP",IF(AI113="","SPARSE","SHALLOW"))))</f>
        <v/>
      </c>
      <c r="BC113" s="591">
        <f>IF(E113="","",D113&amp;"-"&amp;B113&amp;"-"&amp;E113)</f>
        <v/>
      </c>
      <c r="BD113" s="591">
        <f>IF(E113="","",SUBSTITUTE(SUBSTITUTE(B113&amp;"-"&amp;E113," ",""),":","-"))</f>
        <v/>
      </c>
      <c r="BE113" s="591">
        <f>IF(E113="","",IF(ISNUMBER(SEARCH("ECC",E113)),"NCA-ECC-2-2024",IF(ISNUMBER(SEARCH("OTCC",E113)),"NCA-ECC-2-2024",IF(ISNUMBER(SEARCH("CCC",E113)),"NCA-ECC-2-2024",IF(ISNUMBER(SEARCH("DCC",E113)),"NCA-ECC-2-2024",IF(ISNUMBER(SEARCH("CSCC",E113)),"NCA-ECC-2-2024",IF(ISNUMBER(SEARCH("PDPL-IR",E113)),"PDPL-2021",IF(ISNUMBER(SEARCH("PDPL-DTR",E113)),"PDPL-2021","NONE"))))))))</f>
        <v/>
      </c>
      <c r="BF113" s="594">
        <f>IF(E113="","",IF(BB113="DEEP",10,IF(BB113="SHALLOW",5,IF(BB113="TEMPLATE",3,1)))+IF(N113="HIGHEST",5,IF(N113="HIGH",3,IF(N113="MODERATE",1,0)))+IF(ISNUMBER(SEARCH("Mandatory",L113)),3,0))</f>
        <v/>
      </c>
    </row>
    <row r="114" ht="42" customHeight="1">
      <c r="A114" s="119" t="n">
        <v>105</v>
      </c>
      <c r="B114" s="120" t="inlineStr">
        <is>
          <t>DGA</t>
        </is>
      </c>
      <c r="C114" s="121" t="inlineStr">
        <is>
          <t>Digital Government Authority</t>
        </is>
      </c>
      <c r="D114" s="121" t="inlineStr">
        <is>
          <t>4. ICT / Digital / Telecom</t>
        </is>
      </c>
      <c r="E114" s="120" t="inlineStr">
        <is>
          <t>DGA-ODP</t>
        </is>
      </c>
      <c r="F114" s="122" t="inlineStr">
        <is>
          <t>Open Data Policy</t>
        </is>
      </c>
      <c r="G114" s="121" t="inlineStr">
        <is>
          <t>سياسة البيانات المفتوحة</t>
        </is>
      </c>
      <c r="H114" s="121" t="inlineStr">
        <is>
          <t>2021</t>
        </is>
      </c>
      <c r="I114" s="123" t="inlineStr">
        <is>
          <t>2021</t>
        </is>
      </c>
      <c r="J114" s="123" t="inlineStr">
        <is>
          <t>23</t>
        </is>
      </c>
      <c r="K114" s="121" t="inlineStr">
        <is>
          <t>ISSUES/ENFORCES</t>
        </is>
      </c>
      <c r="L114" s="22" t="inlineStr">
        <is>
          <t>Mandatory Enforcer</t>
        </is>
      </c>
      <c r="M114" s="121" t="inlineStr">
        <is>
          <t>Government entities — MOH health statistics publications</t>
        </is>
      </c>
      <c r="N114" s="140" t="inlineStr">
        <is>
          <t>MODERATE</t>
        </is>
      </c>
      <c r="O114" s="125" t="inlineStr">
        <is>
          <t>https://dga.gov.sa/en</t>
        </is>
      </c>
      <c r="P114" s="121" t="inlineStr">
        <is>
          <t>DGA official</t>
        </is>
      </c>
      <c r="Q114" s="121" t="inlineStr">
        <is>
          <t>See official source for version history</t>
        </is>
      </c>
      <c r="R114" s="121" t="inlineStr">
        <is>
          <t>Framework issued by the relevant authority. Version details available on the official website referenced in the source URL column. The framework has been updated periodically since first issuance.</t>
        </is>
      </c>
      <c r="S114" s="123" t="inlineStr">
        <is>
          <t>See official source</t>
        </is>
      </c>
      <c r="T114" s="121" t="inlineStr">
        <is>
          <t>Updated as needed by the issuing authority</t>
        </is>
      </c>
      <c r="U114" s="25" t="inlineStr">
        <is>
          <t>CURRENT — consult official source for latest version</t>
        </is>
      </c>
      <c r="V114" s="121" t="inlineStr">
        <is>
          <t>Penalties defined by issuing authority; consult official source. NCA ECC-2 penalties apply if relevant</t>
        </is>
      </c>
      <c r="W114" s="122" t="inlineStr">
        <is>
          <t>Issuing authority and/or designated inspection department</t>
        </is>
      </c>
      <c r="X114" s="121" t="inlineStr">
        <is>
          <t>As specified in framework scope — consult official document</t>
        </is>
      </c>
      <c r="Y114" s="49" t="inlineStr">
        <is>
          <t>Both (unless specified otherwise in official document)</t>
        </is>
      </c>
      <c r="Z114" s="121" t="inlineStr">
        <is>
          <t>As defined by issuing authority</t>
        </is>
      </c>
      <c r="AA114" s="123" t="inlineStr">
        <is>
          <t>As defined by issuing authority</t>
        </is>
      </c>
      <c r="AB114" s="121" t="inlineStr">
        <is>
          <t>To be determined from framework text — see official source</t>
        </is>
      </c>
      <c r="AC114" s="121" t="inlineStr">
        <is>
          <t>See framework preamble for international standard references</t>
        </is>
      </c>
      <c r="AD114" s="49" t="inlineStr">
        <is>
          <t>Arabic (primary in KSA); English may be available</t>
        </is>
      </c>
      <c r="AE114" s="58" t="inlineStr">
        <is>
          <t>Mapped to relevant GH-ICGA layer — requires manual assessment</t>
        </is>
      </c>
      <c r="AF114" s="56" t="inlineStr">
        <is>
          <t>See official framework for maturity model details</t>
        </is>
      </c>
      <c r="AG114" s="121" t="inlineStr">
        <is>
          <t>Aligned with relevant Vision 2030 programme — see framework context</t>
        </is>
      </c>
      <c r="AH114" s="121" t="inlineStr">
        <is>
          <t>As specified in framework compliance requirements</t>
        </is>
      </c>
      <c r="AI114" s="126" t="inlineStr">
        <is>
          <t>Institutional theory and regulatory governance theory underpin all KSA regulatory frameworks. Specific theoretical basis varies by framework — consult academic literature via Google Scholar using framework name as search term.</t>
        </is>
      </c>
      <c r="AJ114" s="121" t="inlineStr">
        <is>
          <t>Academic debate varies by framework maturity and international adoption. For KSA-specific debate, consult: Almohammad &amp; Wills (2021) J Cybersecurity; Al-Khater et al. (2020) IEEE Access; Baker McKenzie KSA regulatory updates.</t>
        </is>
      </c>
      <c r="AK114" s="127" t="inlineStr">
        <is>
          <t>Known criticisms include: implementation gap between standards and practice; resource constraints for smaller healthcare entities; rapid technology evolution outpacing regulation. Consult framework evaluation literature for specifics.</t>
        </is>
      </c>
      <c r="AL114" s="128" t="inlineStr">
        <is>
          <t>Framework comparison requires contextual analysis. Key comparators: NIST CSF 2.0 (international benchmark), ISO 27001 (certifiable standard), ECC-2 (KSA mandatory baseline). See main database for cross-framework mapping.</t>
        </is>
      </c>
      <c r="AM114" s="129"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14" s="130" t="inlineStr">
        <is>
          <t>Official: Consult the official source URL in the database for the primary document. Training: ISACA, ISC2, RAPS, IAPP, and HIMSS offer professional development covering most regulatory domains. Estimated hours vary by framework complexity.</t>
        </is>
      </c>
      <c r="AO114" s="131" t="inlineStr">
        <is>
          <t>Relevance to GH-ICGA framework varies by layer — see GH-ICGA Layer Mapping column. All KSA mandatory frameworks are compliance inputs to GH-ICGA Layer 4. Frameworks with IoMT-specific provisions directly inform Layers 2 and 3.</t>
        </is>
      </c>
      <c r="AP114" s="51" t="inlineStr">
        <is>
          <t>G + C (Governance + Compliance — standard regulatory framework positioning)</t>
        </is>
      </c>
      <c r="AQ114" s="132" t="inlineStr">
        <is>
          <t>Senior management: accountability for framework compliance. Designated compliance officer: monitor requirements. All staff: awareness of applicable obligations</t>
        </is>
      </c>
      <c r="AR114" s="127" t="inlineStr">
        <is>
          <t>Regulatory Risk; Operational Risk; Reputational Risk — specific domains determined by framework scope</t>
        </is>
      </c>
      <c r="AS114" s="22" t="inlineStr">
        <is>
          <t>See official source — legal obligation, regulatory requirement, or voluntary standard as applicable</t>
        </is>
      </c>
      <c r="AT114" s="128" t="inlineStr">
        <is>
          <t>Administrative; Technical; Operational — specific distribution determined by framework content</t>
        </is>
      </c>
      <c r="AU114" s="133" t="inlineStr">
        <is>
          <t>1. Compliance status (compliant/non-compliant). 2. # open findings from last assessment. 3. % controls implemented. 4. Time to remediate findings. 5. Incident rate in framework scope area</t>
        </is>
      </c>
      <c r="AV114" s="134" t="inlineStr">
        <is>
          <t>Self-assessment; internal audit; external assessment as specified by issuing authority</t>
        </is>
      </c>
      <c r="AW114" s="135" t="inlineStr">
        <is>
          <t>ServiceNow GRC; IBM OpenPages; RSA Archer; MetricStream — all major GRC platforms support custom framework import. Contact vendor for framework-specific module</t>
        </is>
      </c>
      <c r="AX114" s="136" t="inlineStr">
        <is>
          <t>Third parties in scope must demonstrate equivalent compliance. Contractual compliance obligations; right-to-audit clauses; annual third-party assessment</t>
        </is>
      </c>
      <c r="AY114" s="137" t="inlineStr">
        <is>
          <t>Non-compliance: regulatory action by issuing authority; fines and penalties as specified; operational and reputational consequences</t>
        </is>
      </c>
      <c r="AZ114" s="134" t="inlineStr">
        <is>
          <t>ALL SECTORS (government entities) — open data</t>
        </is>
      </c>
      <c r="BA114" s="34" t="inlineStr">
        <is>
          <t>YES — ALL SECTORS</t>
        </is>
      </c>
      <c r="BB114" s="591">
        <f>IF(E114="","",IF(ISNUMBER(SEARCH("Institutional theory and regulatory governance theory underpin",AI114)),"TEMPLATE",IF(LEN(AI114)&gt;100,"DEEP",IF(AI114="","SPARSE","SHALLOW"))))</f>
        <v/>
      </c>
      <c r="BC114" s="591">
        <f>IF(E114="","",D114&amp;"-"&amp;B114&amp;"-"&amp;E114)</f>
        <v/>
      </c>
      <c r="BD114" s="591">
        <f>IF(E114="","",SUBSTITUTE(SUBSTITUTE(B114&amp;"-"&amp;E114," ",""),":","-"))</f>
        <v/>
      </c>
      <c r="BE114" s="591">
        <f>IF(E114="","",IF(ISNUMBER(SEARCH("ECC",E114)),"NCA-ECC-2-2024",IF(ISNUMBER(SEARCH("OTCC",E114)),"NCA-ECC-2-2024",IF(ISNUMBER(SEARCH("CCC",E114)),"NCA-ECC-2-2024",IF(ISNUMBER(SEARCH("DCC",E114)),"NCA-ECC-2-2024",IF(ISNUMBER(SEARCH("CSCC",E114)),"NCA-ECC-2-2024",IF(ISNUMBER(SEARCH("PDPL-IR",E114)),"PDPL-2021",IF(ISNUMBER(SEARCH("PDPL-DTR",E114)),"PDPL-2021","NONE"))))))))</f>
        <v/>
      </c>
      <c r="BF114" s="594">
        <f>IF(E114="","",IF(BB114="DEEP",10,IF(BB114="SHALLOW",5,IF(BB114="TEMPLATE",3,1)))+IF(N114="HIGHEST",5,IF(N114="HIGH",3,IF(N114="MODERATE",1,0)))+IF(ISNUMBER(SEARCH("Mandatory",L114)),3,0))</f>
        <v/>
      </c>
    </row>
    <row r="115" ht="42" customHeight="1">
      <c r="A115" s="42" t="n">
        <v>106</v>
      </c>
      <c r="B115" s="138" t="inlineStr">
        <is>
          <t>DGA</t>
        </is>
      </c>
      <c r="C115" s="44" t="inlineStr">
        <is>
          <t>Digital Government Authority</t>
        </is>
      </c>
      <c r="D115" s="44" t="inlineStr">
        <is>
          <t>4. ICT / Digital / Telecom</t>
        </is>
      </c>
      <c r="E115" s="138" t="inlineStr">
        <is>
          <t>DGA-GDS</t>
        </is>
      </c>
      <c r="F115" s="45" t="inlineStr">
        <is>
          <t>Government Digital Standards</t>
        </is>
      </c>
      <c r="G115" s="44" t="inlineStr">
        <is>
          <t>معايير الحكومة الرقمية</t>
        </is>
      </c>
      <c r="H115" s="44" t="inlineStr">
        <is>
          <t>Updated 2023</t>
        </is>
      </c>
      <c r="I115" s="46" t="inlineStr">
        <is>
          <t>2021</t>
        </is>
      </c>
      <c r="J115" s="46" t="inlineStr">
        <is>
          <t>35</t>
        </is>
      </c>
      <c r="K115" s="44" t="inlineStr">
        <is>
          <t>ISSUES/ENFORCES</t>
        </is>
      </c>
      <c r="L115" s="22" t="inlineStr">
        <is>
          <t>Mandatory Enforcer</t>
        </is>
      </c>
      <c r="M115" s="44" t="inlineStr">
        <is>
          <t>All government entities — MOH health portals (Sehhaty, Mawid)</t>
        </is>
      </c>
      <c r="N115" s="55" t="inlineStr">
        <is>
          <t>MODERATE</t>
        </is>
      </c>
      <c r="O115" s="48" t="inlineStr">
        <is>
          <t>https://dga.gov.sa/en</t>
        </is>
      </c>
      <c r="P115" s="44" t="inlineStr">
        <is>
          <t>DGA official</t>
        </is>
      </c>
      <c r="Q115" s="121" t="inlineStr">
        <is>
          <t>See official source for version history</t>
        </is>
      </c>
      <c r="R115" s="121" t="inlineStr">
        <is>
          <t>Framework issued by the relevant authority. Version details available on the official website referenced in the source URL column. The framework has been updated periodically since first issuance.</t>
        </is>
      </c>
      <c r="S115" s="123" t="inlineStr">
        <is>
          <t>See official source</t>
        </is>
      </c>
      <c r="T115" s="121" t="inlineStr">
        <is>
          <t>Updated as needed by the issuing authority</t>
        </is>
      </c>
      <c r="U115" s="25" t="inlineStr">
        <is>
          <t>CURRENT — consult official source for latest version</t>
        </is>
      </c>
      <c r="V115" s="121" t="inlineStr">
        <is>
          <t>Penalties defined by issuing authority; consult official source. NCA ECC-2 penalties apply if relevant</t>
        </is>
      </c>
      <c r="W115" s="122" t="inlineStr">
        <is>
          <t>Issuing authority and/or designated inspection department</t>
        </is>
      </c>
      <c r="X115" s="121" t="inlineStr">
        <is>
          <t>As specified in framework scope — consult official document</t>
        </is>
      </c>
      <c r="Y115" s="49" t="inlineStr">
        <is>
          <t>Both (unless specified otherwise in official document)</t>
        </is>
      </c>
      <c r="Z115" s="121" t="inlineStr">
        <is>
          <t>As defined by issuing authority</t>
        </is>
      </c>
      <c r="AA115" s="123" t="inlineStr">
        <is>
          <t>As defined by issuing authority</t>
        </is>
      </c>
      <c r="AB115" s="121" t="inlineStr">
        <is>
          <t>To be determined from framework text — see official source</t>
        </is>
      </c>
      <c r="AC115" s="121" t="inlineStr">
        <is>
          <t>See framework preamble for international standard references</t>
        </is>
      </c>
      <c r="AD115" s="49" t="inlineStr">
        <is>
          <t>Arabic (primary in KSA); English may be available</t>
        </is>
      </c>
      <c r="AE115" s="58" t="inlineStr">
        <is>
          <t>Mapped to relevant GH-ICGA layer — requires manual assessment</t>
        </is>
      </c>
      <c r="AF115" s="56" t="inlineStr">
        <is>
          <t>See official framework for maturity model details</t>
        </is>
      </c>
      <c r="AG115" s="121" t="inlineStr">
        <is>
          <t>Aligned with relevant Vision 2030 programme — see framework context</t>
        </is>
      </c>
      <c r="AH115" s="121" t="inlineStr">
        <is>
          <t>As specified in framework compliance requirements</t>
        </is>
      </c>
      <c r="AI115" s="126" t="inlineStr">
        <is>
          <t>Institutional theory and regulatory governance theory underpin all KSA regulatory frameworks. Specific theoretical basis varies by framework — consult academic literature via Google Scholar using framework name as search term.</t>
        </is>
      </c>
      <c r="AJ115" s="121" t="inlineStr">
        <is>
          <t>Academic debate varies by framework maturity and international adoption. For KSA-specific debate, consult: Almohammad &amp; Wills (2021) J Cybersecurity; Al-Khater et al. (2020) IEEE Access; Baker McKenzie KSA regulatory updates.</t>
        </is>
      </c>
      <c r="AK115" s="127" t="inlineStr">
        <is>
          <t>Known criticisms include: implementation gap between standards and practice; resource constraints for smaller healthcare entities; rapid technology evolution outpacing regulation. Consult framework evaluation literature for specifics.</t>
        </is>
      </c>
      <c r="AL115" s="128" t="inlineStr">
        <is>
          <t>Framework comparison requires contextual analysis. Key comparators: NIST CSF 2.0 (international benchmark), ISO 27001 (certifiable standard), ECC-2 (KSA mandatory baseline). See main database for cross-framework mapping.</t>
        </is>
      </c>
      <c r="AM115" s="129"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15" s="130" t="inlineStr">
        <is>
          <t>Official: Consult the official source URL in the database for the primary document. Training: ISACA, ISC2, RAPS, IAPP, and HIMSS offer professional development covering most regulatory domains. Estimated hours vary by framework complexity.</t>
        </is>
      </c>
      <c r="AO115" s="131" t="inlineStr">
        <is>
          <t>Relevance to GH-ICGA framework varies by layer — see GH-ICGA Layer Mapping column. All KSA mandatory frameworks are compliance inputs to GH-ICGA Layer 4. Frameworks with IoMT-specific provisions directly inform Layers 2 and 3.</t>
        </is>
      </c>
      <c r="AP115" s="51" t="inlineStr">
        <is>
          <t>G + C (Governance + Compliance — standard regulatory framework positioning)</t>
        </is>
      </c>
      <c r="AQ115" s="132" t="inlineStr">
        <is>
          <t>Senior management: accountability for framework compliance. Designated compliance officer: monitor requirements. All staff: awareness of applicable obligations</t>
        </is>
      </c>
      <c r="AR115" s="127" t="inlineStr">
        <is>
          <t>Regulatory Risk; Operational Risk; Reputational Risk — specific domains determined by framework scope</t>
        </is>
      </c>
      <c r="AS115" s="22" t="inlineStr">
        <is>
          <t>See official source — legal obligation, regulatory requirement, or voluntary standard as applicable</t>
        </is>
      </c>
      <c r="AT115" s="128" t="inlineStr">
        <is>
          <t>Administrative; Technical; Operational — specific distribution determined by framework content</t>
        </is>
      </c>
      <c r="AU115" s="133" t="inlineStr">
        <is>
          <t>1. Compliance status (compliant/non-compliant). 2. # open findings from last assessment. 3. % controls implemented. 4. Time to remediate findings. 5. Incident rate in framework scope area</t>
        </is>
      </c>
      <c r="AV115" s="134" t="inlineStr">
        <is>
          <t>Self-assessment; internal audit; external assessment as specified by issuing authority</t>
        </is>
      </c>
      <c r="AW115" s="135" t="inlineStr">
        <is>
          <t>ServiceNow GRC; IBM OpenPages; RSA Archer; MetricStream — all major GRC platforms support custom framework import. Contact vendor for framework-specific module</t>
        </is>
      </c>
      <c r="AX115" s="136" t="inlineStr">
        <is>
          <t>Third parties in scope must demonstrate equivalent compliance. Contractual compliance obligations; right-to-audit clauses; annual third-party assessment</t>
        </is>
      </c>
      <c r="AY115" s="137" t="inlineStr">
        <is>
          <t>Non-compliance: regulatory action by issuing authority; fines and penalties as specified; operational and reputational consequences</t>
        </is>
      </c>
      <c r="AZ115" s="134" t="inlineStr">
        <is>
          <t>ALL SECTORS (government entities) — digital services</t>
        </is>
      </c>
      <c r="BA115" s="34" t="inlineStr">
        <is>
          <t>YES — ALL SECTORS</t>
        </is>
      </c>
      <c r="BB115" s="591">
        <f>IF(E115="","",IF(ISNUMBER(SEARCH("Institutional theory and regulatory governance theory underpin",AI115)),"TEMPLATE",IF(LEN(AI115)&gt;100,"DEEP",IF(AI115="","SPARSE","SHALLOW"))))</f>
        <v/>
      </c>
      <c r="BC115" s="591">
        <f>IF(E115="","",D115&amp;"-"&amp;B115&amp;"-"&amp;E115)</f>
        <v/>
      </c>
      <c r="BD115" s="591">
        <f>IF(E115="","",SUBSTITUTE(SUBSTITUTE(B115&amp;"-"&amp;E115," ",""),":","-"))</f>
        <v/>
      </c>
      <c r="BE115" s="591">
        <f>IF(E115="","",IF(ISNUMBER(SEARCH("ECC",E115)),"NCA-ECC-2-2024",IF(ISNUMBER(SEARCH("OTCC",E115)),"NCA-ECC-2-2024",IF(ISNUMBER(SEARCH("CCC",E115)),"NCA-ECC-2-2024",IF(ISNUMBER(SEARCH("DCC",E115)),"NCA-ECC-2-2024",IF(ISNUMBER(SEARCH("CSCC",E115)),"NCA-ECC-2-2024",IF(ISNUMBER(SEARCH("PDPL-IR",E115)),"PDPL-2021",IF(ISNUMBER(SEARCH("PDPL-DTR",E115)),"PDPL-2021","NONE"))))))))</f>
        <v/>
      </c>
      <c r="BF115" s="594">
        <f>IF(E115="","",IF(BB115="DEEP",10,IF(BB115="SHALLOW",5,IF(BB115="TEMPLATE",3,1)))+IF(N115="HIGHEST",5,IF(N115="HIGH",3,IF(N115="MODERATE",1,0)))+IF(ISNUMBER(SEARCH("Mandatory",L115)),3,0))</f>
        <v/>
      </c>
    </row>
    <row r="116" ht="42" customHeight="1">
      <c r="A116" s="119" t="n">
        <v>107</v>
      </c>
      <c r="B116" s="120" t="inlineStr">
        <is>
          <t>DGA</t>
        </is>
      </c>
      <c r="C116" s="121" t="inlineStr">
        <is>
          <t>Digital Government Authority</t>
        </is>
      </c>
      <c r="D116" s="121" t="inlineStr">
        <is>
          <t>4. ICT / Digital / Telecom</t>
        </is>
      </c>
      <c r="E116" s="120" t="inlineStr">
        <is>
          <t>DGA-GRFM</t>
        </is>
      </c>
      <c r="F116" s="122" t="inlineStr">
        <is>
          <t>Government Reference Framework for Enterprise Architecture</t>
        </is>
      </c>
      <c r="G116" s="121" t="inlineStr">
        <is>
          <t>الإطار المرجعي لهندسة المؤسسة الحكومية</t>
        </is>
      </c>
      <c r="H116" s="121" t="inlineStr">
        <is>
          <t>2022</t>
        </is>
      </c>
      <c r="I116" s="123" t="inlineStr">
        <is>
          <t>2022</t>
        </is>
      </c>
      <c r="J116" s="123" t="inlineStr">
        <is>
          <t>N/A</t>
        </is>
      </c>
      <c r="K116" s="121" t="inlineStr">
        <is>
          <t>ISSUES/ENFORCES</t>
        </is>
      </c>
      <c r="L116" s="22" t="inlineStr">
        <is>
          <t>Mandatory Enforcer</t>
        </is>
      </c>
      <c r="M116" s="121" t="inlineStr">
        <is>
          <t>Government entities — health IT architecture standards</t>
        </is>
      </c>
      <c r="N116" s="140" t="inlineStr">
        <is>
          <t>MODERATE</t>
        </is>
      </c>
      <c r="O116" s="125" t="inlineStr">
        <is>
          <t>https://dga.gov.sa/en</t>
        </is>
      </c>
      <c r="P116" s="121" t="inlineStr">
        <is>
          <t>DGA official</t>
        </is>
      </c>
      <c r="Q116" s="121" t="inlineStr">
        <is>
          <t>See official source for version history</t>
        </is>
      </c>
      <c r="R116" s="121" t="inlineStr">
        <is>
          <t>Framework issued by the relevant authority. Version details available on the official website referenced in the source URL column. The framework has been updated periodically since first issuance.</t>
        </is>
      </c>
      <c r="S116" s="123" t="inlineStr">
        <is>
          <t>See official source</t>
        </is>
      </c>
      <c r="T116" s="121" t="inlineStr">
        <is>
          <t>Updated as needed by the issuing authority</t>
        </is>
      </c>
      <c r="U116" s="25" t="inlineStr">
        <is>
          <t>CURRENT — consult official source for latest version</t>
        </is>
      </c>
      <c r="V116" s="121" t="inlineStr">
        <is>
          <t>Penalties defined by issuing authority; consult official source. NCA ECC-2 penalties apply if relevant</t>
        </is>
      </c>
      <c r="W116" s="122" t="inlineStr">
        <is>
          <t>Issuing authority and/or designated inspection department</t>
        </is>
      </c>
      <c r="X116" s="121" t="inlineStr">
        <is>
          <t>As specified in framework scope — consult official document</t>
        </is>
      </c>
      <c r="Y116" s="49" t="inlineStr">
        <is>
          <t>Both (unless specified otherwise in official document)</t>
        </is>
      </c>
      <c r="Z116" s="121" t="inlineStr">
        <is>
          <t>As defined by issuing authority</t>
        </is>
      </c>
      <c r="AA116" s="123" t="inlineStr">
        <is>
          <t>As defined by issuing authority</t>
        </is>
      </c>
      <c r="AB116" s="121" t="inlineStr">
        <is>
          <t>To be determined from framework text — see official source</t>
        </is>
      </c>
      <c r="AC116" s="121" t="inlineStr">
        <is>
          <t>See framework preamble for international standard references</t>
        </is>
      </c>
      <c r="AD116" s="49" t="inlineStr">
        <is>
          <t>Arabic (primary in KSA); English may be available</t>
        </is>
      </c>
      <c r="AE116" s="58" t="inlineStr">
        <is>
          <t>Mapped to relevant GH-ICGA layer — requires manual assessment</t>
        </is>
      </c>
      <c r="AF116" s="56" t="inlineStr">
        <is>
          <t>See official framework for maturity model details</t>
        </is>
      </c>
      <c r="AG116" s="121" t="inlineStr">
        <is>
          <t>Aligned with relevant Vision 2030 programme — see framework context</t>
        </is>
      </c>
      <c r="AH116" s="121" t="inlineStr">
        <is>
          <t>As specified in framework compliance requirements</t>
        </is>
      </c>
      <c r="AI116" s="126" t="inlineStr">
        <is>
          <t>Institutional theory and regulatory governance theory underpin all KSA regulatory frameworks. Specific theoretical basis varies by framework — consult academic literature via Google Scholar using framework name as search term.</t>
        </is>
      </c>
      <c r="AJ116" s="121" t="inlineStr">
        <is>
          <t>Academic debate varies by framework maturity and international adoption. For KSA-specific debate, consult: Almohammad &amp; Wills (2021) J Cybersecurity; Al-Khater et al. (2020) IEEE Access; Baker McKenzie KSA regulatory updates.</t>
        </is>
      </c>
      <c r="AK116" s="127" t="inlineStr">
        <is>
          <t>Known criticisms include: implementation gap between standards and practice; resource constraints for smaller healthcare entities; rapid technology evolution outpacing regulation. Consult framework evaluation literature for specifics.</t>
        </is>
      </c>
      <c r="AL116" s="128" t="inlineStr">
        <is>
          <t>Framework comparison requires contextual analysis. Key comparators: NIST CSF 2.0 (international benchmark), ISO 27001 (certifiable standard), ECC-2 (KSA mandatory baseline). See main database for cross-framework mapping.</t>
        </is>
      </c>
      <c r="AM116" s="129"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16" s="130" t="inlineStr">
        <is>
          <t>Official: Consult the official source URL in the database for the primary document. Training: ISACA, ISC2, RAPS, IAPP, and HIMSS offer professional development covering most regulatory domains. Estimated hours vary by framework complexity.</t>
        </is>
      </c>
      <c r="AO116" s="131" t="inlineStr">
        <is>
          <t>Relevance to GH-ICGA framework varies by layer — see GH-ICGA Layer Mapping column. All KSA mandatory frameworks are compliance inputs to GH-ICGA Layer 4. Frameworks with IoMT-specific provisions directly inform Layers 2 and 3.</t>
        </is>
      </c>
      <c r="AP116" s="51" t="inlineStr">
        <is>
          <t>G + C (Governance + Compliance — standard regulatory framework positioning)</t>
        </is>
      </c>
      <c r="AQ116" s="132" t="inlineStr">
        <is>
          <t>Senior management: accountability for framework compliance. Designated compliance officer: monitor requirements. All staff: awareness of applicable obligations</t>
        </is>
      </c>
      <c r="AR116" s="127" t="inlineStr">
        <is>
          <t>Regulatory Risk; Operational Risk; Reputational Risk — specific domains determined by framework scope</t>
        </is>
      </c>
      <c r="AS116" s="22" t="inlineStr">
        <is>
          <t>See official source — legal obligation, regulatory requirement, or voluntary standard as applicable</t>
        </is>
      </c>
      <c r="AT116" s="128" t="inlineStr">
        <is>
          <t>Administrative; Technical; Operational — specific distribution determined by framework content</t>
        </is>
      </c>
      <c r="AU116" s="133" t="inlineStr">
        <is>
          <t>1. Compliance status (compliant/non-compliant). 2. # open findings from last assessment. 3. % controls implemented. 4. Time to remediate findings. 5. Incident rate in framework scope area</t>
        </is>
      </c>
      <c r="AV116" s="134" t="inlineStr">
        <is>
          <t>Self-assessment; internal audit; external assessment as specified by issuing authority</t>
        </is>
      </c>
      <c r="AW116" s="135" t="inlineStr">
        <is>
          <t>ServiceNow GRC; IBM OpenPages; RSA Archer; MetricStream — all major GRC platforms support custom framework import. Contact vendor for framework-specific module</t>
        </is>
      </c>
      <c r="AX116" s="136" t="inlineStr">
        <is>
          <t>Third parties in scope must demonstrate equivalent compliance. Contractual compliance obligations; right-to-audit clauses; annual third-party assessment</t>
        </is>
      </c>
      <c r="AY116" s="137" t="inlineStr">
        <is>
          <t>Non-compliance: regulatory action by issuing authority; fines and penalties as specified; operational and reputational consequences</t>
        </is>
      </c>
      <c r="AZ116" s="134" t="inlineStr">
        <is>
          <t>Sector-specific — consult official source</t>
        </is>
      </c>
      <c r="BA116" s="41" t="inlineStr">
        <is>
          <t>Sector-Specific</t>
        </is>
      </c>
      <c r="BB116" s="591">
        <f>IF(E116="","",IF(ISNUMBER(SEARCH("Institutional theory and regulatory governance theory underpin",AI116)),"TEMPLATE",IF(LEN(AI116)&gt;100,"DEEP",IF(AI116="","SPARSE","SHALLOW"))))</f>
        <v/>
      </c>
      <c r="BC116" s="591">
        <f>IF(E116="","",D116&amp;"-"&amp;B116&amp;"-"&amp;E116)</f>
        <v/>
      </c>
      <c r="BD116" s="591">
        <f>IF(E116="","",SUBSTITUTE(SUBSTITUTE(B116&amp;"-"&amp;E116," ",""),":","-"))</f>
        <v/>
      </c>
      <c r="BE116" s="591">
        <f>IF(E116="","",IF(ISNUMBER(SEARCH("ECC",E116)),"NCA-ECC-2-2024",IF(ISNUMBER(SEARCH("OTCC",E116)),"NCA-ECC-2-2024",IF(ISNUMBER(SEARCH("CCC",E116)),"NCA-ECC-2-2024",IF(ISNUMBER(SEARCH("DCC",E116)),"NCA-ECC-2-2024",IF(ISNUMBER(SEARCH("CSCC",E116)),"NCA-ECC-2-2024",IF(ISNUMBER(SEARCH("PDPL-IR",E116)),"PDPL-2021",IF(ISNUMBER(SEARCH("PDPL-DTR",E116)),"PDPL-2021","NONE"))))))))</f>
        <v/>
      </c>
      <c r="BF116" s="594">
        <f>IF(E116="","",IF(BB116="DEEP",10,IF(BB116="SHALLOW",5,IF(BB116="TEMPLATE",3,1)))+IF(N116="HIGHEST",5,IF(N116="HIGH",3,IF(N116="MODERATE",1,0)))+IF(ISNUMBER(SEARCH("Mandatory",L116)),3,0))</f>
        <v/>
      </c>
    </row>
    <row r="117" ht="42" customHeight="1">
      <c r="A117" s="42" t="n">
        <v>108</v>
      </c>
      <c r="B117" s="138" t="inlineStr">
        <is>
          <t>DGA</t>
        </is>
      </c>
      <c r="C117" s="44" t="inlineStr">
        <is>
          <t>Digital Government Authority</t>
        </is>
      </c>
      <c r="D117" s="44" t="inlineStr">
        <is>
          <t>4. ICT / Digital / Telecom</t>
        </is>
      </c>
      <c r="E117" s="138" t="inlineStr">
        <is>
          <t>NCA-ECC-2:2024</t>
        </is>
      </c>
      <c r="F117" s="45" t="inlineStr">
        <is>
          <t>Essential Cybersecurity Controls</t>
        </is>
      </c>
      <c r="G117" s="44" t="inlineStr">
        <is>
          <t>ضوابط الأمن السيبراني الأساسية</t>
        </is>
      </c>
      <c r="H117" s="44" t="inlineStr">
        <is>
          <t>ECC-2:2024</t>
        </is>
      </c>
      <c r="I117" s="46" t="inlineStr">
        <is>
          <t>2018</t>
        </is>
      </c>
      <c r="J117" s="46" t="inlineStr">
        <is>
          <t>108</t>
        </is>
      </c>
      <c r="K117" s="44" t="inlineStr">
        <is>
          <t>MUST COMPLY WITH</t>
        </is>
      </c>
      <c r="L117" s="66" t="inlineStr">
        <is>
          <t>Mandatory Complier</t>
        </is>
      </c>
      <c r="M117" s="44" t="inlineStr">
        <is>
          <t>DGA as government entity</t>
        </is>
      </c>
      <c r="N117" s="54" t="inlineStr">
        <is>
          <t>HIGH</t>
        </is>
      </c>
      <c r="O117" s="48" t="inlineStr">
        <is>
          <t>https://nca.gov.sa/</t>
        </is>
      </c>
      <c r="P117" s="44" t="inlineStr">
        <is>
          <t>NCA ECC scope</t>
        </is>
      </c>
      <c r="Q117" s="121" t="inlineStr">
        <is>
          <t>See official source for version history</t>
        </is>
      </c>
      <c r="R117" s="121" t="inlineStr">
        <is>
          <t>Framework issued by the relevant authority. Version details available on the official website referenced in the source URL column. The framework has been updated periodically since first issuance.</t>
        </is>
      </c>
      <c r="S117" s="123" t="inlineStr">
        <is>
          <t>See official source</t>
        </is>
      </c>
      <c r="T117" s="121" t="inlineStr">
        <is>
          <t>Updated as needed by the issuing authority</t>
        </is>
      </c>
      <c r="U117" s="25" t="inlineStr">
        <is>
          <t>CURRENT — consult official source for latest version</t>
        </is>
      </c>
      <c r="V117" s="121" t="inlineStr">
        <is>
          <t>Penalties defined by issuing authority; consult official source. NCA ECC-2 penalties apply if relevant</t>
        </is>
      </c>
      <c r="W117" s="122" t="inlineStr">
        <is>
          <t>Issuing authority and/or designated inspection department</t>
        </is>
      </c>
      <c r="X117" s="121" t="inlineStr">
        <is>
          <t>As specified in framework scope — consult official document</t>
        </is>
      </c>
      <c r="Y117" s="49" t="inlineStr">
        <is>
          <t>Both (unless specified otherwise in official document)</t>
        </is>
      </c>
      <c r="Z117" s="121" t="inlineStr">
        <is>
          <t>As defined by issuing authority</t>
        </is>
      </c>
      <c r="AA117" s="123" t="inlineStr">
        <is>
          <t>As defined by issuing authority</t>
        </is>
      </c>
      <c r="AB117" s="121" t="inlineStr">
        <is>
          <t>To be determined from framework text — see official source</t>
        </is>
      </c>
      <c r="AC117" s="121" t="inlineStr">
        <is>
          <t>See framework preamble for international standard references</t>
        </is>
      </c>
      <c r="AD117" s="49" t="inlineStr">
        <is>
          <t>Arabic (primary in KSA); English may be available</t>
        </is>
      </c>
      <c r="AE117" s="58" t="inlineStr">
        <is>
          <t>Mapped to relevant GH-ICGA layer — requires manual assessment</t>
        </is>
      </c>
      <c r="AF117" s="56" t="inlineStr">
        <is>
          <t>See official framework for maturity model details</t>
        </is>
      </c>
      <c r="AG117" s="121" t="inlineStr">
        <is>
          <t>Aligned with relevant Vision 2030 programme — see framework context</t>
        </is>
      </c>
      <c r="AH117" s="121" t="inlineStr">
        <is>
          <t>As specified in framework compliance requirements</t>
        </is>
      </c>
      <c r="AI117" s="126" t="inlineStr">
        <is>
          <t>Institutional theory and regulatory governance theory underpin all KSA regulatory frameworks. Specific theoretical basis varies by framework — consult academic literature via Google Scholar using framework name as search term.</t>
        </is>
      </c>
      <c r="AJ117" s="121" t="inlineStr">
        <is>
          <t>Academic debate varies by framework maturity and international adoption. For KSA-specific debate, consult: Almohammad &amp; Wills (2021) J Cybersecurity; Al-Khater et al. (2020) IEEE Access; Baker McKenzie KSA regulatory updates.</t>
        </is>
      </c>
      <c r="AK117" s="127" t="inlineStr">
        <is>
          <t>Known criticisms include: implementation gap between standards and practice; resource constraints for smaller healthcare entities; rapid technology evolution outpacing regulation. Consult framework evaluation literature for specifics.</t>
        </is>
      </c>
      <c r="AL117" s="128" t="inlineStr">
        <is>
          <t>Framework comparison requires contextual analysis. Key comparators: NIST CSF 2.0 (international benchmark), ISO 27001 (certifiable standard), ECC-2 (KSA mandatory baseline). See main database for cross-framework mapping.</t>
        </is>
      </c>
      <c r="AM117" s="129"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17" s="130" t="inlineStr">
        <is>
          <t>Official: Consult the official source URL in the database for the primary document. Training: ISACA, ISC2, RAPS, IAPP, and HIMSS offer professional development covering most regulatory domains. Estimated hours vary by framework complexity.</t>
        </is>
      </c>
      <c r="AO117" s="131" t="inlineStr">
        <is>
          <t>Relevance to GH-ICGA framework varies by layer — see GH-ICGA Layer Mapping column. All KSA mandatory frameworks are compliance inputs to GH-ICGA Layer 4. Frameworks with IoMT-specific provisions directly inform Layers 2 and 3.</t>
        </is>
      </c>
      <c r="AP117" s="51" t="inlineStr">
        <is>
          <t>G + C (Governance + Compliance — standard regulatory framework positioning)</t>
        </is>
      </c>
      <c r="AQ117" s="132" t="inlineStr">
        <is>
          <t>Senior management: accountability for framework compliance. Designated compliance officer: monitor requirements. All staff: awareness of applicable obligations</t>
        </is>
      </c>
      <c r="AR117" s="127" t="inlineStr">
        <is>
          <t>Regulatory Risk; Operational Risk; Reputational Risk — specific domains determined by framework scope</t>
        </is>
      </c>
      <c r="AS117" s="22" t="inlineStr">
        <is>
          <t>See official source — legal obligation, regulatory requirement, or voluntary standard as applicable</t>
        </is>
      </c>
      <c r="AT117" s="128" t="inlineStr">
        <is>
          <t>Administrative; Technical; Operational — specific distribution determined by framework content</t>
        </is>
      </c>
      <c r="AU117" s="133" t="inlineStr">
        <is>
          <t>1. Compliance status (compliant/non-compliant). 2. # open findings from last assessment. 3. % controls implemented. 4. Time to remediate findings. 5. Incident rate in framework scope area</t>
        </is>
      </c>
      <c r="AV117" s="134" t="inlineStr">
        <is>
          <t>Self-assessment; internal audit; external assessment as specified by issuing authority</t>
        </is>
      </c>
      <c r="AW117" s="135" t="inlineStr">
        <is>
          <t>ServiceNow GRC; IBM OpenPages; RSA Archer; MetricStream — all major GRC platforms support custom framework import. Contact vendor for framework-specific module</t>
        </is>
      </c>
      <c r="AX117" s="136" t="inlineStr">
        <is>
          <t>Third parties in scope must demonstrate equivalent compliance. Contractual compliance obligations; right-to-audit clauses; annual third-party assessment</t>
        </is>
      </c>
      <c r="AY117" s="137" t="inlineStr">
        <is>
          <t>Non-compliance: regulatory action by issuing authority; fines and penalties as specified; operational and reputational consequences</t>
        </is>
      </c>
      <c r="AZ117" s="134" t="inlineStr">
        <is>
          <t>ALL 17 SECTORS</t>
        </is>
      </c>
      <c r="BA117" s="34" t="inlineStr">
        <is>
          <t>YES — ALL SECTORS</t>
        </is>
      </c>
      <c r="BB117" s="591">
        <f>IF(E117="","",IF(ISNUMBER(SEARCH("Institutional theory and regulatory governance theory underpin",AI117)),"TEMPLATE",IF(LEN(AI117)&gt;100,"DEEP",IF(AI117="","SPARSE","SHALLOW"))))</f>
        <v/>
      </c>
      <c r="BC117" s="591">
        <f>IF(E117="","",D117&amp;"-"&amp;B117&amp;"-"&amp;E117)</f>
        <v/>
      </c>
      <c r="BD117" s="591">
        <f>IF(E117="","",SUBSTITUTE(SUBSTITUTE(B117&amp;"-"&amp;E117," ",""),":","-"))</f>
        <v/>
      </c>
      <c r="BE117" s="591">
        <f>IF(E117="","",IF(ISNUMBER(SEARCH("ECC",E117)),"NCA-ECC-2-2024",IF(ISNUMBER(SEARCH("OTCC",E117)),"NCA-ECC-2-2024",IF(ISNUMBER(SEARCH("CCC",E117)),"NCA-ECC-2-2024",IF(ISNUMBER(SEARCH("DCC",E117)),"NCA-ECC-2-2024",IF(ISNUMBER(SEARCH("CSCC",E117)),"NCA-ECC-2-2024",IF(ISNUMBER(SEARCH("PDPL-IR",E117)),"PDPL-2021",IF(ISNUMBER(SEARCH("PDPL-DTR",E117)),"PDPL-2021","NONE"))))))))</f>
        <v/>
      </c>
      <c r="BF117" s="594">
        <f>IF(E117="","",IF(BB117="DEEP",10,IF(BB117="SHALLOW",5,IF(BB117="TEMPLATE",3,1)))+IF(N117="HIGHEST",5,IF(N117="HIGH",3,IF(N117="MODERATE",1,0)))+IF(ISNUMBER(SEARCH("Mandatory",L117)),3,0))</f>
        <v/>
      </c>
    </row>
    <row r="118">
      <c r="BB118" s="591">
        <f>IF(E118="","",IF(ISNUMBER(SEARCH("Institutional theory and regulatory governance theory underpin",AI118)),"TEMPLATE",IF(LEN(AI118)&gt;100,"DEEP",IF(AI118="","SPARSE","SHALLOW"))))</f>
        <v/>
      </c>
      <c r="BC118" s="591">
        <f>IF(E118="","",D118&amp;"-"&amp;B118&amp;"-"&amp;E118)</f>
        <v/>
      </c>
      <c r="BD118" s="591">
        <f>IF(E118="","",SUBSTITUTE(SUBSTITUTE(B118&amp;"-"&amp;E118," ",""),":","-"))</f>
        <v/>
      </c>
      <c r="BE118" s="591">
        <f>IF(E118="","",IF(ISNUMBER(SEARCH("ECC",E118)),"NCA-ECC-2-2024",IF(ISNUMBER(SEARCH("OTCC",E118)),"NCA-ECC-2-2024",IF(ISNUMBER(SEARCH("CCC",E118)),"NCA-ECC-2-2024",IF(ISNUMBER(SEARCH("DCC",E118)),"NCA-ECC-2-2024",IF(ISNUMBER(SEARCH("CSCC",E118)),"NCA-ECC-2-2024",IF(ISNUMBER(SEARCH("PDPL-IR",E118)),"PDPL-2021",IF(ISNUMBER(SEARCH("PDPL-DTR",E118)),"PDPL-2021","NONE"))))))))</f>
        <v/>
      </c>
      <c r="BF118" s="594">
        <f>IF(E118="","",IF(BB118="DEEP",10,IF(BB118="SHALLOW",5,IF(BB118="TEMPLATE",3,1)))+IF(N118="HIGHEST",5,IF(N118="HIGH",3,IF(N118="MODERATE",1,0)))+IF(ISNUMBER(SEARCH("Mandatory",L118)),3,0))</f>
        <v/>
      </c>
    </row>
    <row r="119" ht="19.5" customHeight="1">
      <c r="A119" s="141" t="n"/>
      <c r="B119" s="142" t="inlineStr">
        <is>
          <t xml:space="preserve">  ── 6. Tax / Customs / Trade ──</t>
        </is>
      </c>
      <c r="C119" s="141" t="n"/>
      <c r="D119" s="141" t="n"/>
      <c r="E119" s="141" t="n"/>
      <c r="F119" s="141" t="n"/>
      <c r="G119" s="141" t="n"/>
      <c r="H119" s="141" t="n"/>
      <c r="I119" s="141" t="n"/>
      <c r="J119" s="141" t="n"/>
      <c r="K119" s="141" t="n"/>
      <c r="L119" s="141" t="n"/>
      <c r="M119" s="141" t="n"/>
      <c r="N119" s="141" t="n"/>
      <c r="O119" s="141" t="n"/>
      <c r="P119" s="141" t="n"/>
      <c r="BB119" s="591">
        <f>IF(E119="","",IF(ISNUMBER(SEARCH("Institutional theory and regulatory governance theory underpin",AI119)),"TEMPLATE",IF(LEN(AI119)&gt;100,"DEEP",IF(AI119="","SPARSE","SHALLOW"))))</f>
        <v/>
      </c>
      <c r="BC119" s="591">
        <f>IF(E119="","",D119&amp;"-"&amp;B119&amp;"-"&amp;E119)</f>
        <v/>
      </c>
      <c r="BD119" s="591">
        <f>IF(E119="","",SUBSTITUTE(SUBSTITUTE(B119&amp;"-"&amp;E119," ",""),":","-"))</f>
        <v/>
      </c>
      <c r="BE119" s="591">
        <f>IF(E119="","",IF(ISNUMBER(SEARCH("ECC",E119)),"NCA-ECC-2-2024",IF(ISNUMBER(SEARCH("OTCC",E119)),"NCA-ECC-2-2024",IF(ISNUMBER(SEARCH("CCC",E119)),"NCA-ECC-2-2024",IF(ISNUMBER(SEARCH("DCC",E119)),"NCA-ECC-2-2024",IF(ISNUMBER(SEARCH("CSCC",E119)),"NCA-ECC-2-2024",IF(ISNUMBER(SEARCH("PDPL-IR",E119)),"PDPL-2021",IF(ISNUMBER(SEARCH("PDPL-DTR",E119)),"PDPL-2021","NONE"))))))))</f>
        <v/>
      </c>
      <c r="BF119" s="594">
        <f>IF(E119="","",IF(BB119="DEEP",10,IF(BB119="SHALLOW",5,IF(BB119="TEMPLATE",3,1)))+IF(N119="HIGHEST",5,IF(N119="HIGH",3,IF(N119="MODERATE",1,0)))+IF(ISNUMBER(SEARCH("Mandatory",L119)),3,0))</f>
        <v/>
      </c>
    </row>
    <row r="120" ht="42" customHeight="1">
      <c r="A120" s="143" t="n">
        <v>109</v>
      </c>
      <c r="B120" s="144" t="inlineStr">
        <is>
          <t>ZATCA</t>
        </is>
      </c>
      <c r="C120" s="145" t="inlineStr">
        <is>
          <t>Zakat Tax &amp; Customs Authority</t>
        </is>
      </c>
      <c r="D120" s="145" t="inlineStr">
        <is>
          <t>6. Tax / Customs / Trade</t>
        </is>
      </c>
      <c r="E120" s="144" t="inlineStr">
        <is>
          <t>ZATCA-EINV-P1</t>
        </is>
      </c>
      <c r="F120" s="146" t="inlineStr">
        <is>
          <t>E-Invoicing Phase 1 (Generation)</t>
        </is>
      </c>
      <c r="G120" s="145" t="inlineStr">
        <is>
          <t>الفوترة الإلكترونية - المرحلة الأولى</t>
        </is>
      </c>
      <c r="H120" s="145" t="inlineStr">
        <is>
          <t>Dec 2021</t>
        </is>
      </c>
      <c r="I120" s="147" t="inlineStr">
        <is>
          <t>2021</t>
        </is>
      </c>
      <c r="J120" s="147" t="inlineStr">
        <is>
          <t>12</t>
        </is>
      </c>
      <c r="K120" s="145" t="inlineStr">
        <is>
          <t>ISSUES/ENFORCES</t>
        </is>
      </c>
      <c r="L120" s="22" t="inlineStr">
        <is>
          <t>Mandatory Enforcer</t>
        </is>
      </c>
      <c r="M120" s="145" t="inlineStr">
        <is>
          <t>All VAT-registered organisations — hospitals, pharmacies, device suppliers</t>
        </is>
      </c>
      <c r="N120" s="148" t="inlineStr">
        <is>
          <t>MODERATE</t>
        </is>
      </c>
      <c r="O120" s="149" t="inlineStr">
        <is>
          <t>https://www.zatca.gov.sa/</t>
        </is>
      </c>
      <c r="P120" s="145" t="inlineStr">
        <is>
          <t>ZATCA official</t>
        </is>
      </c>
      <c r="Q120" s="145" t="inlineStr">
        <is>
          <t>Phase 1 Dec 1, 2021</t>
        </is>
      </c>
      <c r="R120" s="145" t="inlineStr">
        <is>
          <t>Generation phase: all VAT-registered taxpayers must generate electronic invoices (standard and simplified) in a structured format (XML/PDF/A-3). Invoices must have UUID, QR code, date, supplier/buyer details, VAT amount. Hospital billing systems, pharmacy POS, medical device invoices all require e-invoice generation. Hardware and software certified by ZATCA required</t>
        </is>
      </c>
      <c r="S120" s="147" t="inlineStr">
        <is>
          <t>Mandatory from: Dec 1, 2021</t>
        </is>
      </c>
      <c r="T120" s="145" t="inlineStr">
        <is>
          <t>Ongoing; businesses must maintain compliant systems</t>
        </is>
      </c>
      <c r="U120" s="25" t="inlineStr">
        <is>
          <t>MANDATORY — Dec 2021</t>
        </is>
      </c>
      <c r="V120" s="145" t="inlineStr">
        <is>
          <t>Penalties defined by issuing authority; consult official source. NCA ECC-2 penalties apply if relevant</t>
        </is>
      </c>
      <c r="W120" s="146" t="inlineStr">
        <is>
          <t>Issuing authority and/or designated inspection department</t>
        </is>
      </c>
      <c r="X120" s="145" t="inlineStr">
        <is>
          <t>As specified in framework scope — consult official document</t>
        </is>
      </c>
      <c r="Y120" s="49" t="inlineStr">
        <is>
          <t>Both (unless specified otherwise in official document)</t>
        </is>
      </c>
      <c r="Z120" s="145" t="inlineStr">
        <is>
          <t>As defined by issuing authority</t>
        </is>
      </c>
      <c r="AA120" s="147" t="inlineStr">
        <is>
          <t>As defined by issuing authority</t>
        </is>
      </c>
      <c r="AB120" s="145" t="inlineStr">
        <is>
          <t>To be determined from framework text — see official source</t>
        </is>
      </c>
      <c r="AC120" s="145" t="inlineStr">
        <is>
          <t>See framework preamble for international standard references</t>
        </is>
      </c>
      <c r="AD120" s="49" t="inlineStr">
        <is>
          <t>Arabic (primary in KSA); English may be available</t>
        </is>
      </c>
      <c r="AE120" s="58" t="inlineStr">
        <is>
          <t>Mapped to relevant GH-ICGA layer — requires manual assessment</t>
        </is>
      </c>
      <c r="AF120" s="56" t="inlineStr">
        <is>
          <t>See official framework for maturity model details</t>
        </is>
      </c>
      <c r="AG120" s="145" t="inlineStr">
        <is>
          <t>Aligned with relevant Vision 2030 programme — see framework context</t>
        </is>
      </c>
      <c r="AH120" s="145" t="inlineStr">
        <is>
          <t>As specified in framework compliance requirements</t>
        </is>
      </c>
      <c r="AI120" s="150" t="inlineStr">
        <is>
          <t>Institutional theory and regulatory governance theory underpin all KSA regulatory frameworks. Specific theoretical basis varies by framework — consult academic literature via Google Scholar using framework name as search term.</t>
        </is>
      </c>
      <c r="AJ120" s="145" t="inlineStr">
        <is>
          <t>Academic debate varies by framework maturity and international adoption. For KSA-specific debate, consult: Almohammad &amp; Wills (2021) J Cybersecurity; Al-Khater et al. (2020) IEEE Access; Baker McKenzie KSA regulatory updates.</t>
        </is>
      </c>
      <c r="AK120" s="151" t="inlineStr">
        <is>
          <t>Known criticisms include: implementation gap between standards and practice; resource constraints for smaller healthcare entities; rapid technology evolution outpacing regulation. Consult framework evaluation literature for specifics.</t>
        </is>
      </c>
      <c r="AL120" s="152" t="inlineStr">
        <is>
          <t>Framework comparison requires contextual analysis. Key comparators: NIST CSF 2.0 (international benchmark), ISO 27001 (certifiable standard), ECC-2 (KSA mandatory baseline). See main database for cross-framework mapping.</t>
        </is>
      </c>
      <c r="AM120" s="153"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20" s="154" t="inlineStr">
        <is>
          <t>Official: Consult the official source URL in the database for the primary document. Training: ISACA, ISC2, RAPS, IAPP, and HIMSS offer professional development covering most regulatory domains. Estimated hours vary by framework complexity.</t>
        </is>
      </c>
      <c r="AO120" s="155" t="inlineStr">
        <is>
          <t>Relevance to GH-ICGA framework varies by layer — see GH-ICGA Layer Mapping column. All KSA mandatory frameworks are compliance inputs to GH-ICGA Layer 4. Frameworks with IoMT-specific provisions directly inform Layers 2 and 3.</t>
        </is>
      </c>
      <c r="AP120" s="51" t="inlineStr">
        <is>
          <t>G + C (Governance + Compliance — standard regulatory framework positioning)</t>
        </is>
      </c>
      <c r="AQ120" s="156" t="inlineStr">
        <is>
          <t>Senior management: accountability for framework compliance. Designated compliance officer: monitor requirements. All staff: awareness of applicable obligations</t>
        </is>
      </c>
      <c r="AR120" s="151" t="inlineStr">
        <is>
          <t>Regulatory Risk; Operational Risk; Reputational Risk — specific domains determined by framework scope</t>
        </is>
      </c>
      <c r="AS120" s="22" t="inlineStr">
        <is>
          <t>See official source — legal obligation, regulatory requirement, or voluntary standard as applicable</t>
        </is>
      </c>
      <c r="AT120" s="152" t="inlineStr">
        <is>
          <t>Administrative; Technical; Operational — specific distribution determined by framework content</t>
        </is>
      </c>
      <c r="AU120" s="157" t="inlineStr">
        <is>
          <t>1. Compliance status (compliant/non-compliant). 2. # open findings from last assessment. 3. % controls implemented. 4. Time to remediate findings. 5. Incident rate in framework scope area</t>
        </is>
      </c>
      <c r="AV120" s="158" t="inlineStr">
        <is>
          <t>Self-assessment; internal audit; external assessment as specified by issuing authority</t>
        </is>
      </c>
      <c r="AW120" s="159" t="inlineStr">
        <is>
          <t>ServiceNow GRC; IBM OpenPages; RSA Archer; MetricStream — all major GRC platforms support custom framework import. Contact vendor for framework-specific module</t>
        </is>
      </c>
      <c r="AX120" s="160" t="inlineStr">
        <is>
          <t>Third parties in scope must demonstrate equivalent compliance. Contractual compliance obligations; right-to-audit clauses; annual third-party assessment</t>
        </is>
      </c>
      <c r="AY120" s="161" t="inlineStr">
        <is>
          <t>Non-compliance: regulatory action by issuing authority; fines and penalties as specified; operational and reputational consequences</t>
        </is>
      </c>
      <c r="AZ120" s="158" t="inlineStr">
        <is>
          <t>ALL 17 SECTORS — all VAT-registered entities</t>
        </is>
      </c>
      <c r="BA120" s="34" t="inlineStr">
        <is>
          <t>YES — ALL SECTORS</t>
        </is>
      </c>
      <c r="BB120" s="591">
        <f>IF(E120="","",IF(ISNUMBER(SEARCH("Institutional theory and regulatory governance theory underpin",AI120)),"TEMPLATE",IF(LEN(AI120)&gt;100,"DEEP",IF(AI120="","SPARSE","SHALLOW"))))</f>
        <v/>
      </c>
      <c r="BC120" s="591">
        <f>IF(E120="","",D120&amp;"-"&amp;B120&amp;"-"&amp;E120)</f>
        <v/>
      </c>
      <c r="BD120" s="591">
        <f>IF(E120="","",SUBSTITUTE(SUBSTITUTE(B120&amp;"-"&amp;E120," ",""),":","-"))</f>
        <v/>
      </c>
      <c r="BE120" s="591">
        <f>IF(E120="","",IF(ISNUMBER(SEARCH("ECC",E120)),"NCA-ECC-2-2024",IF(ISNUMBER(SEARCH("OTCC",E120)),"NCA-ECC-2-2024",IF(ISNUMBER(SEARCH("CCC",E120)),"NCA-ECC-2-2024",IF(ISNUMBER(SEARCH("DCC",E120)),"NCA-ECC-2-2024",IF(ISNUMBER(SEARCH("CSCC",E120)),"NCA-ECC-2-2024",IF(ISNUMBER(SEARCH("PDPL-IR",E120)),"PDPL-2021",IF(ISNUMBER(SEARCH("PDPL-DTR",E120)),"PDPL-2021","NONE"))))))))</f>
        <v/>
      </c>
      <c r="BF120" s="594">
        <f>IF(E120="","",IF(BB120="DEEP",10,IF(BB120="SHALLOW",5,IF(BB120="TEMPLATE",3,1)))+IF(N120="HIGHEST",5,IF(N120="HIGH",3,IF(N120="MODERATE",1,0)))+IF(ISNUMBER(SEARCH("Mandatory",L120)),3,0))</f>
        <v/>
      </c>
    </row>
    <row r="121" ht="42" customHeight="1">
      <c r="A121" s="42" t="n">
        <v>110</v>
      </c>
      <c r="B121" s="162" t="inlineStr">
        <is>
          <t>ZATCA</t>
        </is>
      </c>
      <c r="C121" s="44" t="inlineStr">
        <is>
          <t>Zakat Tax &amp; Customs Authority</t>
        </is>
      </c>
      <c r="D121" s="44" t="inlineStr">
        <is>
          <t>6. Tax / Customs / Trade</t>
        </is>
      </c>
      <c r="E121" s="162" t="inlineStr">
        <is>
          <t>ZATCA-EINV-P2</t>
        </is>
      </c>
      <c r="F121" s="45" t="inlineStr">
        <is>
          <t>E-Invoicing Phase 2 (Integration)</t>
        </is>
      </c>
      <c r="G121" s="44" t="inlineStr">
        <is>
          <t>الفوترة الإلكترونية - المرحلة الثانية</t>
        </is>
      </c>
      <c r="H121" s="44" t="inlineStr">
        <is>
          <t>2022 phased</t>
        </is>
      </c>
      <c r="I121" s="46" t="inlineStr">
        <is>
          <t>2022</t>
        </is>
      </c>
      <c r="J121" s="46" t="inlineStr">
        <is>
          <t>23</t>
        </is>
      </c>
      <c r="K121" s="44" t="inlineStr">
        <is>
          <t>ISSUES/ENFORCES</t>
        </is>
      </c>
      <c r="L121" s="22" t="inlineStr">
        <is>
          <t>Mandatory Enforcer</t>
        </is>
      </c>
      <c r="M121" s="44" t="inlineStr">
        <is>
          <t>All VAT-registered organisations — hospital billing integration</t>
        </is>
      </c>
      <c r="N121" s="55" t="inlineStr">
        <is>
          <t>MODERATE</t>
        </is>
      </c>
      <c r="O121" s="48" t="inlineStr">
        <is>
          <t>https://www.zatca.gov.sa/</t>
        </is>
      </c>
      <c r="P121" s="44" t="inlineStr">
        <is>
          <t>ZATCA official</t>
        </is>
      </c>
      <c r="Q121" s="145" t="inlineStr">
        <is>
          <t>Phase 2 rolled out in waves from Jan 1, 2023 onwards (by taxpayer size)</t>
        </is>
      </c>
      <c r="R121" s="145" t="inlineStr">
        <is>
          <t>Integration phase: real-time integration of e-invoicing system with ZATCA Fatoora portal. Requirements: ZATCA API connection; cryptographic stamp (ZATCA-issued certificate); UUID generated by ZATCA; clearance model for standard invoices (real-time); reporting model for simplified invoices (24-hour batch). Phased rollout by revenue: largest taxpayers from Jan 2023, rolling to all by 2025. Hospital systems and pharmacy chains in early waves</t>
        </is>
      </c>
      <c r="S121" s="147" t="inlineStr">
        <is>
          <t>Phase 2 start: Jan 1, 2023 (wave 1). All taxpayers: 2025</t>
        </is>
      </c>
      <c r="T121" s="145" t="inlineStr">
        <is>
          <t>Ongoing rollout</t>
        </is>
      </c>
      <c r="U121" s="25" t="inlineStr">
        <is>
          <t>CURRENT — phased rollout Jan 2023-2025</t>
        </is>
      </c>
      <c r="V121" s="145" t="inlineStr">
        <is>
          <t>Penalties defined by issuing authority; consult official source. NCA ECC-2 penalties apply if relevant</t>
        </is>
      </c>
      <c r="W121" s="146" t="inlineStr">
        <is>
          <t>Issuing authority and/or designated inspection department</t>
        </is>
      </c>
      <c r="X121" s="145" t="inlineStr">
        <is>
          <t>As specified in framework scope — consult official document</t>
        </is>
      </c>
      <c r="Y121" s="49" t="inlineStr">
        <is>
          <t>Both (unless specified otherwise in official document)</t>
        </is>
      </c>
      <c r="Z121" s="145" t="inlineStr">
        <is>
          <t>As defined by issuing authority</t>
        </is>
      </c>
      <c r="AA121" s="147" t="inlineStr">
        <is>
          <t>As defined by issuing authority</t>
        </is>
      </c>
      <c r="AB121" s="145" t="inlineStr">
        <is>
          <t>To be determined from framework text — see official source</t>
        </is>
      </c>
      <c r="AC121" s="145" t="inlineStr">
        <is>
          <t>See framework preamble for international standard references</t>
        </is>
      </c>
      <c r="AD121" s="49" t="inlineStr">
        <is>
          <t>Arabic (primary in KSA); English may be available</t>
        </is>
      </c>
      <c r="AE121" s="58" t="inlineStr">
        <is>
          <t>Mapped to relevant GH-ICGA layer — requires manual assessment</t>
        </is>
      </c>
      <c r="AF121" s="56" t="inlineStr">
        <is>
          <t>See official framework for maturity model details</t>
        </is>
      </c>
      <c r="AG121" s="145" t="inlineStr">
        <is>
          <t>Aligned with relevant Vision 2030 programme — see framework context</t>
        </is>
      </c>
      <c r="AH121" s="145" t="inlineStr">
        <is>
          <t>As specified in framework compliance requirements</t>
        </is>
      </c>
      <c r="AI121" s="150" t="inlineStr">
        <is>
          <t>Institutional theory and regulatory governance theory underpin all KSA regulatory frameworks. Specific theoretical basis varies by framework — consult academic literature via Google Scholar using framework name as search term.</t>
        </is>
      </c>
      <c r="AJ121" s="145" t="inlineStr">
        <is>
          <t>Academic debate varies by framework maturity and international adoption. For KSA-specific debate, consult: Almohammad &amp; Wills (2021) J Cybersecurity; Al-Khater et al. (2020) IEEE Access; Baker McKenzie KSA regulatory updates.</t>
        </is>
      </c>
      <c r="AK121" s="151" t="inlineStr">
        <is>
          <t>Known criticisms include: implementation gap between standards and practice; resource constraints for smaller healthcare entities; rapid technology evolution outpacing regulation. Consult framework evaluation literature for specifics.</t>
        </is>
      </c>
      <c r="AL121" s="152" t="inlineStr">
        <is>
          <t>Framework comparison requires contextual analysis. Key comparators: NIST CSF 2.0 (international benchmark), ISO 27001 (certifiable standard), ECC-2 (KSA mandatory baseline). See main database for cross-framework mapping.</t>
        </is>
      </c>
      <c r="AM121" s="153"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21" s="154" t="inlineStr">
        <is>
          <t>Official: Consult the official source URL in the database for the primary document. Training: ISACA, ISC2, RAPS, IAPP, and HIMSS offer professional development covering most regulatory domains. Estimated hours vary by framework complexity.</t>
        </is>
      </c>
      <c r="AO121" s="155" t="inlineStr">
        <is>
          <t>Relevance to GH-ICGA framework varies by layer — see GH-ICGA Layer Mapping column. All KSA mandatory frameworks are compliance inputs to GH-ICGA Layer 4. Frameworks with IoMT-specific provisions directly inform Layers 2 and 3.</t>
        </is>
      </c>
      <c r="AP121" s="51" t="inlineStr">
        <is>
          <t>G + C (Governance + Compliance — standard regulatory framework positioning)</t>
        </is>
      </c>
      <c r="AQ121" s="156" t="inlineStr">
        <is>
          <t>Senior management: accountability for framework compliance. Designated compliance officer: monitor requirements. All staff: awareness of applicable obligations</t>
        </is>
      </c>
      <c r="AR121" s="151" t="inlineStr">
        <is>
          <t>Regulatory Risk; Operational Risk; Reputational Risk — specific domains determined by framework scope</t>
        </is>
      </c>
      <c r="AS121" s="22" t="inlineStr">
        <is>
          <t>See official source — legal obligation, regulatory requirement, or voluntary standard as applicable</t>
        </is>
      </c>
      <c r="AT121" s="152" t="inlineStr">
        <is>
          <t>Administrative; Technical; Operational — specific distribution determined by framework content</t>
        </is>
      </c>
      <c r="AU121" s="157" t="inlineStr">
        <is>
          <t>1. Compliance status (compliant/non-compliant). 2. # open findings from last assessment. 3. % controls implemented. 4. Time to remediate findings. 5. Incident rate in framework scope area</t>
        </is>
      </c>
      <c r="AV121" s="158" t="inlineStr">
        <is>
          <t>Self-assessment; internal audit; external assessment as specified by issuing authority</t>
        </is>
      </c>
      <c r="AW121" s="159" t="inlineStr">
        <is>
          <t>ServiceNow GRC; IBM OpenPages; RSA Archer; MetricStream — all major GRC platforms support custom framework import. Contact vendor for framework-specific module</t>
        </is>
      </c>
      <c r="AX121" s="160" t="inlineStr">
        <is>
          <t>Third parties in scope must demonstrate equivalent compliance. Contractual compliance obligations; right-to-audit clauses; annual third-party assessment</t>
        </is>
      </c>
      <c r="AY121" s="161" t="inlineStr">
        <is>
          <t>Non-compliance: regulatory action by issuing authority; fines and penalties as specified; operational and reputational consequences</t>
        </is>
      </c>
      <c r="AZ121" s="158" t="inlineStr">
        <is>
          <t>ALL 17 SECTORS — all VAT-registered entities</t>
        </is>
      </c>
      <c r="BA121" s="34" t="inlineStr">
        <is>
          <t>YES — ALL SECTORS</t>
        </is>
      </c>
      <c r="BB121" s="591">
        <f>IF(E121="","",IF(ISNUMBER(SEARCH("Institutional theory and regulatory governance theory underpin",AI121)),"TEMPLATE",IF(LEN(AI121)&gt;100,"DEEP",IF(AI121="","SPARSE","SHALLOW"))))</f>
        <v/>
      </c>
      <c r="BC121" s="591">
        <f>IF(E121="","",D121&amp;"-"&amp;B121&amp;"-"&amp;E121)</f>
        <v/>
      </c>
      <c r="BD121" s="591">
        <f>IF(E121="","",SUBSTITUTE(SUBSTITUTE(B121&amp;"-"&amp;E121," ",""),":","-"))</f>
        <v/>
      </c>
      <c r="BE121" s="591">
        <f>IF(E121="","",IF(ISNUMBER(SEARCH("ECC",E121)),"NCA-ECC-2-2024",IF(ISNUMBER(SEARCH("OTCC",E121)),"NCA-ECC-2-2024",IF(ISNUMBER(SEARCH("CCC",E121)),"NCA-ECC-2-2024",IF(ISNUMBER(SEARCH("DCC",E121)),"NCA-ECC-2-2024",IF(ISNUMBER(SEARCH("CSCC",E121)),"NCA-ECC-2-2024",IF(ISNUMBER(SEARCH("PDPL-IR",E121)),"PDPL-2021",IF(ISNUMBER(SEARCH("PDPL-DTR",E121)),"PDPL-2021","NONE"))))))))</f>
        <v/>
      </c>
      <c r="BF121" s="594">
        <f>IF(E121="","",IF(BB121="DEEP",10,IF(BB121="SHALLOW",5,IF(BB121="TEMPLATE",3,1)))+IF(N121="HIGHEST",5,IF(N121="HIGH",3,IF(N121="MODERATE",1,0)))+IF(ISNUMBER(SEARCH("Mandatory",L121)),3,0))</f>
        <v/>
      </c>
    </row>
    <row r="122" ht="42" customHeight="1">
      <c r="A122" s="143" t="n">
        <v>111</v>
      </c>
      <c r="B122" s="144" t="inlineStr">
        <is>
          <t>ZATCA</t>
        </is>
      </c>
      <c r="C122" s="145" t="inlineStr">
        <is>
          <t>Zakat Tax &amp; Customs Authority</t>
        </is>
      </c>
      <c r="D122" s="145" t="inlineStr">
        <is>
          <t>6. Tax / Customs / Trade</t>
        </is>
      </c>
      <c r="E122" s="144" t="inlineStr">
        <is>
          <t>ZATCA-VAT</t>
        </is>
      </c>
      <c r="F122" s="146" t="inlineStr">
        <is>
          <t>VAT Implementing Regulations</t>
        </is>
      </c>
      <c r="G122" s="145" t="inlineStr">
        <is>
          <t>اللائحة التنفيذية لضريبة القيمة المضافة</t>
        </is>
      </c>
      <c r="H122" s="145" t="inlineStr">
        <is>
          <t>Updated 2020</t>
        </is>
      </c>
      <c r="I122" s="147" t="inlineStr">
        <is>
          <t>2018</t>
        </is>
      </c>
      <c r="J122" s="147" t="inlineStr">
        <is>
          <t>76</t>
        </is>
      </c>
      <c r="K122" s="145" t="inlineStr">
        <is>
          <t>ISSUES/ENFORCES</t>
        </is>
      </c>
      <c r="L122" s="22" t="inlineStr">
        <is>
          <t>Mandatory Enforcer</t>
        </is>
      </c>
      <c r="M122" s="145" t="inlineStr">
        <is>
          <t>All VAT-registered organisations — medical device VAT</t>
        </is>
      </c>
      <c r="N122" s="163" t="inlineStr">
        <is>
          <t>LOW</t>
        </is>
      </c>
      <c r="O122" s="149" t="inlineStr">
        <is>
          <t>https://www.zatca.gov.sa/</t>
        </is>
      </c>
      <c r="P122" s="145" t="inlineStr">
        <is>
          <t>ZATCA official</t>
        </is>
      </c>
      <c r="Q122" s="145" t="inlineStr">
        <is>
          <t>See official source for version history</t>
        </is>
      </c>
      <c r="R122" s="145" t="inlineStr">
        <is>
          <t>Framework issued by the relevant authority. Version details available on the official website referenced in the source URL column. The framework has been updated periodically since first issuance.</t>
        </is>
      </c>
      <c r="S122" s="147" t="inlineStr">
        <is>
          <t>See official source</t>
        </is>
      </c>
      <c r="T122" s="145" t="inlineStr">
        <is>
          <t>Updated as needed by the issuing authority</t>
        </is>
      </c>
      <c r="U122" s="25" t="inlineStr">
        <is>
          <t>CURRENT — consult official source for latest version</t>
        </is>
      </c>
      <c r="V122" s="145" t="inlineStr">
        <is>
          <t>Penalties defined by issuing authority; consult official source. NCA ECC-2 penalties apply if relevant</t>
        </is>
      </c>
      <c r="W122" s="146" t="inlineStr">
        <is>
          <t>Issuing authority and/or designated inspection department</t>
        </is>
      </c>
      <c r="X122" s="145" t="inlineStr">
        <is>
          <t>As specified in framework scope — consult official document</t>
        </is>
      </c>
      <c r="Y122" s="49" t="inlineStr">
        <is>
          <t>Both (unless specified otherwise in official document)</t>
        </is>
      </c>
      <c r="Z122" s="145" t="inlineStr">
        <is>
          <t>As defined by issuing authority</t>
        </is>
      </c>
      <c r="AA122" s="147" t="inlineStr">
        <is>
          <t>As defined by issuing authority</t>
        </is>
      </c>
      <c r="AB122" s="145" t="inlineStr">
        <is>
          <t>To be determined from framework text — see official source</t>
        </is>
      </c>
      <c r="AC122" s="145" t="inlineStr">
        <is>
          <t>See framework preamble for international standard references</t>
        </is>
      </c>
      <c r="AD122" s="49" t="inlineStr">
        <is>
          <t>Arabic (primary in KSA); English may be available</t>
        </is>
      </c>
      <c r="AE122" s="58" t="inlineStr">
        <is>
          <t>Mapped to relevant GH-ICGA layer — requires manual assessment</t>
        </is>
      </c>
      <c r="AF122" s="56" t="inlineStr">
        <is>
          <t>See official framework for maturity model details</t>
        </is>
      </c>
      <c r="AG122" s="145" t="inlineStr">
        <is>
          <t>Aligned with relevant Vision 2030 programme — see framework context</t>
        </is>
      </c>
      <c r="AH122" s="145" t="inlineStr">
        <is>
          <t>As specified in framework compliance requirements</t>
        </is>
      </c>
      <c r="AI122" s="150" t="inlineStr">
        <is>
          <t>Institutional theory and regulatory governance theory underpin all KSA regulatory frameworks. Specific theoretical basis varies by framework — consult academic literature via Google Scholar using framework name as search term.</t>
        </is>
      </c>
      <c r="AJ122" s="145" t="inlineStr">
        <is>
          <t>Academic debate varies by framework maturity and international adoption. For KSA-specific debate, consult: Almohammad &amp; Wills (2021) J Cybersecurity; Al-Khater et al. (2020) IEEE Access; Baker McKenzie KSA regulatory updates.</t>
        </is>
      </c>
      <c r="AK122" s="151" t="inlineStr">
        <is>
          <t>Known criticisms include: implementation gap between standards and practice; resource constraints for smaller healthcare entities; rapid technology evolution outpacing regulation. Consult framework evaluation literature for specifics.</t>
        </is>
      </c>
      <c r="AL122" s="152" t="inlineStr">
        <is>
          <t>Framework comparison requires contextual analysis. Key comparators: NIST CSF 2.0 (international benchmark), ISO 27001 (certifiable standard), ECC-2 (KSA mandatory baseline). See main database for cross-framework mapping.</t>
        </is>
      </c>
      <c r="AM122" s="153"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22" s="154" t="inlineStr">
        <is>
          <t>Official: Consult the official source URL in the database for the primary document. Training: ISACA, ISC2, RAPS, IAPP, and HIMSS offer professional development covering most regulatory domains. Estimated hours vary by framework complexity.</t>
        </is>
      </c>
      <c r="AO122" s="155" t="inlineStr">
        <is>
          <t>Relevance to GH-ICGA framework varies by layer — see GH-ICGA Layer Mapping column. All KSA mandatory frameworks are compliance inputs to GH-ICGA Layer 4. Frameworks with IoMT-specific provisions directly inform Layers 2 and 3.</t>
        </is>
      </c>
      <c r="AP122" s="51" t="inlineStr">
        <is>
          <t>G + C (Governance + Compliance — standard regulatory framework positioning)</t>
        </is>
      </c>
      <c r="AQ122" s="156" t="inlineStr">
        <is>
          <t>Senior management: accountability for framework compliance. Designated compliance officer: monitor requirements. All staff: awareness of applicable obligations</t>
        </is>
      </c>
      <c r="AR122" s="151" t="inlineStr">
        <is>
          <t>Regulatory Risk; Operational Risk; Reputational Risk — specific domains determined by framework scope</t>
        </is>
      </c>
      <c r="AS122" s="22" t="inlineStr">
        <is>
          <t>See official source — legal obligation, regulatory requirement, or voluntary standard as applicable</t>
        </is>
      </c>
      <c r="AT122" s="152" t="inlineStr">
        <is>
          <t>Administrative; Technical; Operational — specific distribution determined by framework content</t>
        </is>
      </c>
      <c r="AU122" s="157" t="inlineStr">
        <is>
          <t>1. Compliance status (compliant/non-compliant). 2. # open findings from last assessment. 3. % controls implemented. 4. Time to remediate findings. 5. Incident rate in framework scope area</t>
        </is>
      </c>
      <c r="AV122" s="158" t="inlineStr">
        <is>
          <t>Self-assessment; internal audit; external assessment as specified by issuing authority</t>
        </is>
      </c>
      <c r="AW122" s="159" t="inlineStr">
        <is>
          <t>ServiceNow GRC; IBM OpenPages; RSA Archer; MetricStream — all major GRC platforms support custom framework import. Contact vendor for framework-specific module</t>
        </is>
      </c>
      <c r="AX122" s="160" t="inlineStr">
        <is>
          <t>Third parties in scope must demonstrate equivalent compliance. Contractual compliance obligations; right-to-audit clauses; annual third-party assessment</t>
        </is>
      </c>
      <c r="AY122" s="161" t="inlineStr">
        <is>
          <t>Non-compliance: regulatory action by issuing authority; fines and penalties as specified; operational and reputational consequences</t>
        </is>
      </c>
      <c r="AZ122" s="158" t="inlineStr">
        <is>
          <t>ALL 17 SECTORS — all VAT-registered entities</t>
        </is>
      </c>
      <c r="BA122" s="34" t="inlineStr">
        <is>
          <t>YES — ALL SECTORS</t>
        </is>
      </c>
      <c r="BB122" s="591">
        <f>IF(E122="","",IF(ISNUMBER(SEARCH("Institutional theory and regulatory governance theory underpin",AI122)),"TEMPLATE",IF(LEN(AI122)&gt;100,"DEEP",IF(AI122="","SPARSE","SHALLOW"))))</f>
        <v/>
      </c>
      <c r="BC122" s="591">
        <f>IF(E122="","",D122&amp;"-"&amp;B122&amp;"-"&amp;E122)</f>
        <v/>
      </c>
      <c r="BD122" s="591">
        <f>IF(E122="","",SUBSTITUTE(SUBSTITUTE(B122&amp;"-"&amp;E122," ",""),":","-"))</f>
        <v/>
      </c>
      <c r="BE122" s="591">
        <f>IF(E122="","",IF(ISNUMBER(SEARCH("ECC",E122)),"NCA-ECC-2-2024",IF(ISNUMBER(SEARCH("OTCC",E122)),"NCA-ECC-2-2024",IF(ISNUMBER(SEARCH("CCC",E122)),"NCA-ECC-2-2024",IF(ISNUMBER(SEARCH("DCC",E122)),"NCA-ECC-2-2024",IF(ISNUMBER(SEARCH("CSCC",E122)),"NCA-ECC-2-2024",IF(ISNUMBER(SEARCH("PDPL-IR",E122)),"PDPL-2021",IF(ISNUMBER(SEARCH("PDPL-DTR",E122)),"PDPL-2021","NONE"))))))))</f>
        <v/>
      </c>
      <c r="BF122" s="594">
        <f>IF(E122="","",IF(BB122="DEEP",10,IF(BB122="SHALLOW",5,IF(BB122="TEMPLATE",3,1)))+IF(N122="HIGHEST",5,IF(N122="HIGH",3,IF(N122="MODERATE",1,0)))+IF(ISNUMBER(SEARCH("Mandatory",L122)),3,0))</f>
        <v/>
      </c>
    </row>
    <row r="123" ht="42" customHeight="1">
      <c r="A123" s="42" t="n">
        <v>112</v>
      </c>
      <c r="B123" s="162" t="inlineStr">
        <is>
          <t>ZATCA</t>
        </is>
      </c>
      <c r="C123" s="44" t="inlineStr">
        <is>
          <t>Zakat Tax &amp; Customs Authority</t>
        </is>
      </c>
      <c r="D123" s="44" t="inlineStr">
        <is>
          <t>6. Tax / Customs / Trade</t>
        </is>
      </c>
      <c r="E123" s="162" t="inlineStr">
        <is>
          <t>ZATCA-ZAK</t>
        </is>
      </c>
      <c r="F123" s="45" t="inlineStr">
        <is>
          <t>Zakat Assessment Regulations</t>
        </is>
      </c>
      <c r="G123" s="44" t="inlineStr">
        <is>
          <t>أنظمة تقييم الزكاة</t>
        </is>
      </c>
      <c r="H123" s="44" t="inlineStr">
        <is>
          <t>Updated</t>
        </is>
      </c>
      <c r="I123" s="46" t="inlineStr">
        <is>
          <t>1951</t>
        </is>
      </c>
      <c r="J123" s="46" t="inlineStr">
        <is>
          <t>N/A</t>
        </is>
      </c>
      <c r="K123" s="44" t="inlineStr">
        <is>
          <t>ISSUES/ENFORCES</t>
        </is>
      </c>
      <c r="L123" s="22" t="inlineStr">
        <is>
          <t>Mandatory Enforcer</t>
        </is>
      </c>
      <c r="M123" s="44" t="inlineStr">
        <is>
          <t>Saudi-owned businesses — healthcare companies Zakat obligations</t>
        </is>
      </c>
      <c r="N123" s="59" t="inlineStr">
        <is>
          <t>LOW</t>
        </is>
      </c>
      <c r="O123" s="48" t="inlineStr">
        <is>
          <t>https://www.zatca.gov.sa/</t>
        </is>
      </c>
      <c r="P123" s="44" t="inlineStr">
        <is>
          <t>ZATCA official</t>
        </is>
      </c>
      <c r="Q123" s="145" t="inlineStr">
        <is>
          <t>See official source for version history</t>
        </is>
      </c>
      <c r="R123" s="145" t="inlineStr">
        <is>
          <t>Framework issued by the relevant authority. Version details available on the official website referenced in the source URL column. The framework has been updated periodically since first issuance.</t>
        </is>
      </c>
      <c r="S123" s="147" t="inlineStr">
        <is>
          <t>See official source</t>
        </is>
      </c>
      <c r="T123" s="145" t="inlineStr">
        <is>
          <t>Updated as needed by the issuing authority</t>
        </is>
      </c>
      <c r="U123" s="25" t="inlineStr">
        <is>
          <t>CURRENT — consult official source for latest version</t>
        </is>
      </c>
      <c r="V123" s="145" t="inlineStr">
        <is>
          <t>Penalties defined by issuing authority; consult official source. NCA ECC-2 penalties apply if relevant</t>
        </is>
      </c>
      <c r="W123" s="146" t="inlineStr">
        <is>
          <t>Issuing authority and/or designated inspection department</t>
        </is>
      </c>
      <c r="X123" s="145" t="inlineStr">
        <is>
          <t>As specified in framework scope — consult official document</t>
        </is>
      </c>
      <c r="Y123" s="49" t="inlineStr">
        <is>
          <t>Both (unless specified otherwise in official document)</t>
        </is>
      </c>
      <c r="Z123" s="145" t="inlineStr">
        <is>
          <t>As defined by issuing authority</t>
        </is>
      </c>
      <c r="AA123" s="147" t="inlineStr">
        <is>
          <t>As defined by issuing authority</t>
        </is>
      </c>
      <c r="AB123" s="145" t="inlineStr">
        <is>
          <t>To be determined from framework text — see official source</t>
        </is>
      </c>
      <c r="AC123" s="145" t="inlineStr">
        <is>
          <t>See framework preamble for international standard references</t>
        </is>
      </c>
      <c r="AD123" s="49" t="inlineStr">
        <is>
          <t>Arabic (primary in KSA); English may be available</t>
        </is>
      </c>
      <c r="AE123" s="58" t="inlineStr">
        <is>
          <t>Mapped to relevant GH-ICGA layer — requires manual assessment</t>
        </is>
      </c>
      <c r="AF123" s="56" t="inlineStr">
        <is>
          <t>See official framework for maturity model details</t>
        </is>
      </c>
      <c r="AG123" s="145" t="inlineStr">
        <is>
          <t>Aligned with relevant Vision 2030 programme — see framework context</t>
        </is>
      </c>
      <c r="AH123" s="145" t="inlineStr">
        <is>
          <t>As specified in framework compliance requirements</t>
        </is>
      </c>
      <c r="AI123" s="150" t="inlineStr">
        <is>
          <t>Institutional theory and regulatory governance theory underpin all KSA regulatory frameworks. Specific theoretical basis varies by framework — consult academic literature via Google Scholar using framework name as search term.</t>
        </is>
      </c>
      <c r="AJ123" s="145" t="inlineStr">
        <is>
          <t>Academic debate varies by framework maturity and international adoption. For KSA-specific debate, consult: Almohammad &amp; Wills (2021) J Cybersecurity; Al-Khater et al. (2020) IEEE Access; Baker McKenzie KSA regulatory updates.</t>
        </is>
      </c>
      <c r="AK123" s="151" t="inlineStr">
        <is>
          <t>Known criticisms include: implementation gap between standards and practice; resource constraints for smaller healthcare entities; rapid technology evolution outpacing regulation. Consult framework evaluation literature for specifics.</t>
        </is>
      </c>
      <c r="AL123" s="152" t="inlineStr">
        <is>
          <t>Framework comparison requires contextual analysis. Key comparators: NIST CSF 2.0 (international benchmark), ISO 27001 (certifiable standard), ECC-2 (KSA mandatory baseline). See main database for cross-framework mapping.</t>
        </is>
      </c>
      <c r="AM123" s="153"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23" s="154" t="inlineStr">
        <is>
          <t>Official: Consult the official source URL in the database for the primary document. Training: ISACA, ISC2, RAPS, IAPP, and HIMSS offer professional development covering most regulatory domains. Estimated hours vary by framework complexity.</t>
        </is>
      </c>
      <c r="AO123" s="155" t="inlineStr">
        <is>
          <t>Relevance to GH-ICGA framework varies by layer — see GH-ICGA Layer Mapping column. All KSA mandatory frameworks are compliance inputs to GH-ICGA Layer 4. Frameworks with IoMT-specific provisions directly inform Layers 2 and 3.</t>
        </is>
      </c>
      <c r="AP123" s="51" t="inlineStr">
        <is>
          <t>G + C (Governance + Compliance — standard regulatory framework positioning)</t>
        </is>
      </c>
      <c r="AQ123" s="156" t="inlineStr">
        <is>
          <t>Senior management: accountability for framework compliance. Designated compliance officer: monitor requirements. All staff: awareness of applicable obligations</t>
        </is>
      </c>
      <c r="AR123" s="151" t="inlineStr">
        <is>
          <t>Regulatory Risk; Operational Risk; Reputational Risk — specific domains determined by framework scope</t>
        </is>
      </c>
      <c r="AS123" s="22" t="inlineStr">
        <is>
          <t>See official source — legal obligation, regulatory requirement, or voluntary standard as applicable</t>
        </is>
      </c>
      <c r="AT123" s="152" t="inlineStr">
        <is>
          <t>Administrative; Technical; Operational — specific distribution determined by framework content</t>
        </is>
      </c>
      <c r="AU123" s="157" t="inlineStr">
        <is>
          <t>1. Compliance status (compliant/non-compliant). 2. # open findings from last assessment. 3. % controls implemented. 4. Time to remediate findings. 5. Incident rate in framework scope area</t>
        </is>
      </c>
      <c r="AV123" s="158" t="inlineStr">
        <is>
          <t>Self-assessment; internal audit; external assessment as specified by issuing authority</t>
        </is>
      </c>
      <c r="AW123" s="159" t="inlineStr">
        <is>
          <t>ServiceNow GRC; IBM OpenPages; RSA Archer; MetricStream — all major GRC platforms support custom framework import. Contact vendor for framework-specific module</t>
        </is>
      </c>
      <c r="AX123" s="160" t="inlineStr">
        <is>
          <t>Third parties in scope must demonstrate equivalent compliance. Contractual compliance obligations; right-to-audit clauses; annual third-party assessment</t>
        </is>
      </c>
      <c r="AY123" s="161" t="inlineStr">
        <is>
          <t>Non-compliance: regulatory action by issuing authority; fines and penalties as specified; operational and reputational consequences</t>
        </is>
      </c>
      <c r="AZ123" s="158" t="inlineStr">
        <is>
          <t>ALL 17 SECTORS (Saudi-owned entities)</t>
        </is>
      </c>
      <c r="BA123" s="34" t="inlineStr">
        <is>
          <t>YES — ALL SECTORS</t>
        </is>
      </c>
      <c r="BB123" s="591">
        <f>IF(E123="","",IF(ISNUMBER(SEARCH("Institutional theory and regulatory governance theory underpin",AI123)),"TEMPLATE",IF(LEN(AI123)&gt;100,"DEEP",IF(AI123="","SPARSE","SHALLOW"))))</f>
        <v/>
      </c>
      <c r="BC123" s="591">
        <f>IF(E123="","",D123&amp;"-"&amp;B123&amp;"-"&amp;E123)</f>
        <v/>
      </c>
      <c r="BD123" s="591">
        <f>IF(E123="","",SUBSTITUTE(SUBSTITUTE(B123&amp;"-"&amp;E123," ",""),":","-"))</f>
        <v/>
      </c>
      <c r="BE123" s="591">
        <f>IF(E123="","",IF(ISNUMBER(SEARCH("ECC",E123)),"NCA-ECC-2-2024",IF(ISNUMBER(SEARCH("OTCC",E123)),"NCA-ECC-2-2024",IF(ISNUMBER(SEARCH("CCC",E123)),"NCA-ECC-2-2024",IF(ISNUMBER(SEARCH("DCC",E123)),"NCA-ECC-2-2024",IF(ISNUMBER(SEARCH("CSCC",E123)),"NCA-ECC-2-2024",IF(ISNUMBER(SEARCH("PDPL-IR",E123)),"PDPL-2021",IF(ISNUMBER(SEARCH("PDPL-DTR",E123)),"PDPL-2021","NONE"))))))))</f>
        <v/>
      </c>
      <c r="BF123" s="594">
        <f>IF(E123="","",IF(BB123="DEEP",10,IF(BB123="SHALLOW",5,IF(BB123="TEMPLATE",3,1)))+IF(N123="HIGHEST",5,IF(N123="HIGH",3,IF(N123="MODERATE",1,0)))+IF(ISNUMBER(SEARCH("Mandatory",L123)),3,0))</f>
        <v/>
      </c>
    </row>
    <row r="124" ht="42" customHeight="1">
      <c r="A124" s="143" t="n">
        <v>113</v>
      </c>
      <c r="B124" s="144" t="inlineStr">
        <is>
          <t>ZATCA</t>
        </is>
      </c>
      <c r="C124" s="145" t="inlineStr">
        <is>
          <t>Zakat Tax &amp; Customs Authority</t>
        </is>
      </c>
      <c r="D124" s="145" t="inlineStr">
        <is>
          <t>6. Tax / Customs / Trade</t>
        </is>
      </c>
      <c r="E124" s="144" t="inlineStr">
        <is>
          <t>ZATCA-CUST</t>
        </is>
      </c>
      <c r="F124" s="146" t="inlineStr">
        <is>
          <t>Customs Regulations</t>
        </is>
      </c>
      <c r="G124" s="145" t="inlineStr">
        <is>
          <t>الأنظمة الجمركية</t>
        </is>
      </c>
      <c r="H124" s="145" t="inlineStr">
        <is>
          <t>Updated 2022</t>
        </is>
      </c>
      <c r="I124" s="147" t="inlineStr">
        <is>
          <t>2003</t>
        </is>
      </c>
      <c r="J124" s="147" t="inlineStr">
        <is>
          <t>N/A</t>
        </is>
      </c>
      <c r="K124" s="145" t="inlineStr">
        <is>
          <t>ISSUES/ENFORCES</t>
        </is>
      </c>
      <c r="L124" s="22" t="inlineStr">
        <is>
          <t>Mandatory Enforcer</t>
        </is>
      </c>
      <c r="M124" s="145" t="inlineStr">
        <is>
          <t>All importers — medical device and pharmaceutical imports</t>
        </is>
      </c>
      <c r="N124" s="148" t="inlineStr">
        <is>
          <t>MODERATE</t>
        </is>
      </c>
      <c r="O124" s="149" t="inlineStr">
        <is>
          <t>https://www.zatca.gov.sa/</t>
        </is>
      </c>
      <c r="P124" s="145" t="inlineStr">
        <is>
          <t>ZATCA official</t>
        </is>
      </c>
      <c r="Q124" s="145" t="inlineStr">
        <is>
          <t>See official source for version history</t>
        </is>
      </c>
      <c r="R124" s="145" t="inlineStr">
        <is>
          <t>Framework issued by the relevant authority. Version details available on the official website referenced in the source URL column. The framework has been updated periodically since first issuance.</t>
        </is>
      </c>
      <c r="S124" s="147" t="inlineStr">
        <is>
          <t>See official source</t>
        </is>
      </c>
      <c r="T124" s="145" t="inlineStr">
        <is>
          <t>Updated as needed by the issuing authority</t>
        </is>
      </c>
      <c r="U124" s="25" t="inlineStr">
        <is>
          <t>CURRENT — consult official source for latest version</t>
        </is>
      </c>
      <c r="V124" s="145" t="inlineStr">
        <is>
          <t>Penalties defined by issuing authority; consult official source. NCA ECC-2 penalties apply if relevant</t>
        </is>
      </c>
      <c r="W124" s="146" t="inlineStr">
        <is>
          <t>Issuing authority and/or designated inspection department</t>
        </is>
      </c>
      <c r="X124" s="145" t="inlineStr">
        <is>
          <t>As specified in framework scope — consult official document</t>
        </is>
      </c>
      <c r="Y124" s="49" t="inlineStr">
        <is>
          <t>Both (unless specified otherwise in official document)</t>
        </is>
      </c>
      <c r="Z124" s="145" t="inlineStr">
        <is>
          <t>As defined by issuing authority</t>
        </is>
      </c>
      <c r="AA124" s="147" t="inlineStr">
        <is>
          <t>As defined by issuing authority</t>
        </is>
      </c>
      <c r="AB124" s="145" t="inlineStr">
        <is>
          <t>To be determined from framework text — see official source</t>
        </is>
      </c>
      <c r="AC124" s="145" t="inlineStr">
        <is>
          <t>See framework preamble for international standard references</t>
        </is>
      </c>
      <c r="AD124" s="49" t="inlineStr">
        <is>
          <t>Arabic (primary in KSA); English may be available</t>
        </is>
      </c>
      <c r="AE124" s="58" t="inlineStr">
        <is>
          <t>Mapped to relevant GH-ICGA layer — requires manual assessment</t>
        </is>
      </c>
      <c r="AF124" s="56" t="inlineStr">
        <is>
          <t>See official framework for maturity model details</t>
        </is>
      </c>
      <c r="AG124" s="145" t="inlineStr">
        <is>
          <t>Aligned with relevant Vision 2030 programme — see framework context</t>
        </is>
      </c>
      <c r="AH124" s="145" t="inlineStr">
        <is>
          <t>As specified in framework compliance requirements</t>
        </is>
      </c>
      <c r="AI124" s="150" t="inlineStr">
        <is>
          <t>Institutional theory and regulatory governance theory underpin all KSA regulatory frameworks. Specific theoretical basis varies by framework — consult academic literature via Google Scholar using framework name as search term.</t>
        </is>
      </c>
      <c r="AJ124" s="145" t="inlineStr">
        <is>
          <t>Academic debate varies by framework maturity and international adoption. For KSA-specific debate, consult: Almohammad &amp; Wills (2021) J Cybersecurity; Al-Khater et al. (2020) IEEE Access; Baker McKenzie KSA regulatory updates.</t>
        </is>
      </c>
      <c r="AK124" s="151" t="inlineStr">
        <is>
          <t>Known criticisms include: implementation gap between standards and practice; resource constraints for smaller healthcare entities; rapid technology evolution outpacing regulation. Consult framework evaluation literature for specifics.</t>
        </is>
      </c>
      <c r="AL124" s="152" t="inlineStr">
        <is>
          <t>Framework comparison requires contextual analysis. Key comparators: NIST CSF 2.0 (international benchmark), ISO 27001 (certifiable standard), ECC-2 (KSA mandatory baseline). See main database for cross-framework mapping.</t>
        </is>
      </c>
      <c r="AM124" s="153"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24" s="154" t="inlineStr">
        <is>
          <t>Official: Consult the official source URL in the database for the primary document. Training: ISACA, ISC2, RAPS, IAPP, and HIMSS offer professional development covering most regulatory domains. Estimated hours vary by framework complexity.</t>
        </is>
      </c>
      <c r="AO124" s="155" t="inlineStr">
        <is>
          <t>Relevance to GH-ICGA framework varies by layer — see GH-ICGA Layer Mapping column. All KSA mandatory frameworks are compliance inputs to GH-ICGA Layer 4. Frameworks with IoMT-specific provisions directly inform Layers 2 and 3.</t>
        </is>
      </c>
      <c r="AP124" s="51" t="inlineStr">
        <is>
          <t>G + C (Governance + Compliance — standard regulatory framework positioning)</t>
        </is>
      </c>
      <c r="AQ124" s="156" t="inlineStr">
        <is>
          <t>Senior management: accountability for framework compliance. Designated compliance officer: monitor requirements. All staff: awareness of applicable obligations</t>
        </is>
      </c>
      <c r="AR124" s="151" t="inlineStr">
        <is>
          <t>Regulatory Risk; Operational Risk; Reputational Risk — specific domains determined by framework scope</t>
        </is>
      </c>
      <c r="AS124" s="22" t="inlineStr">
        <is>
          <t>See official source — legal obligation, regulatory requirement, or voluntary standard as applicable</t>
        </is>
      </c>
      <c r="AT124" s="152" t="inlineStr">
        <is>
          <t>Administrative; Technical; Operational — specific distribution determined by framework content</t>
        </is>
      </c>
      <c r="AU124" s="157" t="inlineStr">
        <is>
          <t>1. Compliance status (compliant/non-compliant). 2. # open findings from last assessment. 3. % controls implemented. 4. Time to remediate findings. 5. Incident rate in framework scope area</t>
        </is>
      </c>
      <c r="AV124" s="158" t="inlineStr">
        <is>
          <t>Self-assessment; internal audit; external assessment as specified by issuing authority</t>
        </is>
      </c>
      <c r="AW124" s="159" t="inlineStr">
        <is>
          <t>ServiceNow GRC; IBM OpenPages; RSA Archer; MetricStream — all major GRC platforms support custom framework import. Contact vendor for framework-specific module</t>
        </is>
      </c>
      <c r="AX124" s="160" t="inlineStr">
        <is>
          <t>Third parties in scope must demonstrate equivalent compliance. Contractual compliance obligations; right-to-audit clauses; annual third-party assessment</t>
        </is>
      </c>
      <c r="AY124" s="161" t="inlineStr">
        <is>
          <t>Non-compliance: regulatory action by issuing authority; fines and penalties as specified; operational and reputational consequences</t>
        </is>
      </c>
      <c r="AZ124" s="158" t="inlineStr">
        <is>
          <t>Sector-specific — consult official source</t>
        </is>
      </c>
      <c r="BA124" s="41" t="inlineStr">
        <is>
          <t>Sector-Specific</t>
        </is>
      </c>
      <c r="BB124" s="591">
        <f>IF(E124="","",IF(ISNUMBER(SEARCH("Institutional theory and regulatory governance theory underpin",AI124)),"TEMPLATE",IF(LEN(AI124)&gt;100,"DEEP",IF(AI124="","SPARSE","SHALLOW"))))</f>
        <v/>
      </c>
      <c r="BC124" s="591">
        <f>IF(E124="","",D124&amp;"-"&amp;B124&amp;"-"&amp;E124)</f>
        <v/>
      </c>
      <c r="BD124" s="591">
        <f>IF(E124="","",SUBSTITUTE(SUBSTITUTE(B124&amp;"-"&amp;E124," ",""),":","-"))</f>
        <v/>
      </c>
      <c r="BE124" s="591">
        <f>IF(E124="","",IF(ISNUMBER(SEARCH("ECC",E124)),"NCA-ECC-2-2024",IF(ISNUMBER(SEARCH("OTCC",E124)),"NCA-ECC-2-2024",IF(ISNUMBER(SEARCH("CCC",E124)),"NCA-ECC-2-2024",IF(ISNUMBER(SEARCH("DCC",E124)),"NCA-ECC-2-2024",IF(ISNUMBER(SEARCH("CSCC",E124)),"NCA-ECC-2-2024",IF(ISNUMBER(SEARCH("PDPL-IR",E124)),"PDPL-2021",IF(ISNUMBER(SEARCH("PDPL-DTR",E124)),"PDPL-2021","NONE"))))))))</f>
        <v/>
      </c>
      <c r="BF124" s="594">
        <f>IF(E124="","",IF(BB124="DEEP",10,IF(BB124="SHALLOW",5,IF(BB124="TEMPLATE",3,1)))+IF(N124="HIGHEST",5,IF(N124="HIGH",3,IF(N124="MODERATE",1,0)))+IF(ISNUMBER(SEARCH("Mandatory",L124)),3,0))</f>
        <v/>
      </c>
    </row>
    <row r="125" ht="42" customHeight="1">
      <c r="A125" s="42" t="n">
        <v>114</v>
      </c>
      <c r="B125" s="162" t="inlineStr">
        <is>
          <t>ZATCA</t>
        </is>
      </c>
      <c r="C125" s="44" t="inlineStr">
        <is>
          <t>Zakat Tax &amp; Customs Authority</t>
        </is>
      </c>
      <c r="D125" s="44" t="inlineStr">
        <is>
          <t>6. Tax / Customs / Trade</t>
        </is>
      </c>
      <c r="E125" s="162" t="inlineStr">
        <is>
          <t>NCA-ECC-2:2024</t>
        </is>
      </c>
      <c r="F125" s="45" t="inlineStr">
        <is>
          <t>Essential Cybersecurity Controls</t>
        </is>
      </c>
      <c r="G125" s="44" t="inlineStr">
        <is>
          <t>ضوابط الأمن السيبراني الأساسية</t>
        </is>
      </c>
      <c r="H125" s="44" t="inlineStr">
        <is>
          <t>ECC-2:2024</t>
        </is>
      </c>
      <c r="I125" s="46" t="inlineStr">
        <is>
          <t>2018</t>
        </is>
      </c>
      <c r="J125" s="46" t="inlineStr">
        <is>
          <t>108</t>
        </is>
      </c>
      <c r="K125" s="44" t="inlineStr">
        <is>
          <t>MUST COMPLY WITH</t>
        </is>
      </c>
      <c r="L125" s="66" t="inlineStr">
        <is>
          <t>Mandatory Complier</t>
        </is>
      </c>
      <c r="M125" s="44" t="inlineStr">
        <is>
          <t>ZATCA as government entity managing financial CNI</t>
        </is>
      </c>
      <c r="N125" s="55" t="inlineStr">
        <is>
          <t>MODERATE</t>
        </is>
      </c>
      <c r="O125" s="48" t="inlineStr">
        <is>
          <t>https://nca.gov.sa/</t>
        </is>
      </c>
      <c r="P125" s="44" t="inlineStr">
        <is>
          <t>NCA ECC scope</t>
        </is>
      </c>
      <c r="Q125" s="145" t="inlineStr">
        <is>
          <t>See official source for version history</t>
        </is>
      </c>
      <c r="R125" s="145" t="inlineStr">
        <is>
          <t>Framework issued by the relevant authority. Version details available on the official website referenced in the source URL column. The framework has been updated periodically since first issuance.</t>
        </is>
      </c>
      <c r="S125" s="147" t="inlineStr">
        <is>
          <t>See official source</t>
        </is>
      </c>
      <c r="T125" s="145" t="inlineStr">
        <is>
          <t>Updated as needed by the issuing authority</t>
        </is>
      </c>
      <c r="U125" s="25" t="inlineStr">
        <is>
          <t>CURRENT — consult official source for latest version</t>
        </is>
      </c>
      <c r="V125" s="145" t="inlineStr">
        <is>
          <t>Penalties defined by issuing authority; consult official source. NCA ECC-2 penalties apply if relevant</t>
        </is>
      </c>
      <c r="W125" s="146" t="inlineStr">
        <is>
          <t>Issuing authority and/or designated inspection department</t>
        </is>
      </c>
      <c r="X125" s="145" t="inlineStr">
        <is>
          <t>As specified in framework scope — consult official document</t>
        </is>
      </c>
      <c r="Y125" s="49" t="inlineStr">
        <is>
          <t>Both (unless specified otherwise in official document)</t>
        </is>
      </c>
      <c r="Z125" s="145" t="inlineStr">
        <is>
          <t>As defined by issuing authority</t>
        </is>
      </c>
      <c r="AA125" s="147" t="inlineStr">
        <is>
          <t>As defined by issuing authority</t>
        </is>
      </c>
      <c r="AB125" s="145" t="inlineStr">
        <is>
          <t>To be determined from framework text — see official source</t>
        </is>
      </c>
      <c r="AC125" s="145" t="inlineStr">
        <is>
          <t>See framework preamble for international standard references</t>
        </is>
      </c>
      <c r="AD125" s="49" t="inlineStr">
        <is>
          <t>Arabic (primary in KSA); English may be available</t>
        </is>
      </c>
      <c r="AE125" s="58" t="inlineStr">
        <is>
          <t>Mapped to relevant GH-ICGA layer — requires manual assessment</t>
        </is>
      </c>
      <c r="AF125" s="56" t="inlineStr">
        <is>
          <t>See official framework for maturity model details</t>
        </is>
      </c>
      <c r="AG125" s="145" t="inlineStr">
        <is>
          <t>Aligned with relevant Vision 2030 programme — see framework context</t>
        </is>
      </c>
      <c r="AH125" s="145" t="inlineStr">
        <is>
          <t>As specified in framework compliance requirements</t>
        </is>
      </c>
      <c r="AI125" s="150" t="inlineStr">
        <is>
          <t>Institutional theory and regulatory governance theory underpin all KSA regulatory frameworks. Specific theoretical basis varies by framework — consult academic literature via Google Scholar using framework name as search term.</t>
        </is>
      </c>
      <c r="AJ125" s="145" t="inlineStr">
        <is>
          <t>Academic debate varies by framework maturity and international adoption. For KSA-specific debate, consult: Almohammad &amp; Wills (2021) J Cybersecurity; Al-Khater et al. (2020) IEEE Access; Baker McKenzie KSA regulatory updates.</t>
        </is>
      </c>
      <c r="AK125" s="151" t="inlineStr">
        <is>
          <t>Known criticisms include: implementation gap between standards and practice; resource constraints for smaller healthcare entities; rapid technology evolution outpacing regulation. Consult framework evaluation literature for specifics.</t>
        </is>
      </c>
      <c r="AL125" s="152" t="inlineStr">
        <is>
          <t>Framework comparison requires contextual analysis. Key comparators: NIST CSF 2.0 (international benchmark), ISO 27001 (certifiable standard), ECC-2 (KSA mandatory baseline). See main database for cross-framework mapping.</t>
        </is>
      </c>
      <c r="AM125" s="153"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25" s="154" t="inlineStr">
        <is>
          <t>Official: Consult the official source URL in the database for the primary document. Training: ISACA, ISC2, RAPS, IAPP, and HIMSS offer professional development covering most regulatory domains. Estimated hours vary by framework complexity.</t>
        </is>
      </c>
      <c r="AO125" s="155" t="inlineStr">
        <is>
          <t>Relevance to GH-ICGA framework varies by layer — see GH-ICGA Layer Mapping column. All KSA mandatory frameworks are compliance inputs to GH-ICGA Layer 4. Frameworks with IoMT-specific provisions directly inform Layers 2 and 3.</t>
        </is>
      </c>
      <c r="AP125" s="51" t="inlineStr">
        <is>
          <t>G + C (Governance + Compliance — standard regulatory framework positioning)</t>
        </is>
      </c>
      <c r="AQ125" s="156" t="inlineStr">
        <is>
          <t>Senior management: accountability for framework compliance. Designated compliance officer: monitor requirements. All staff: awareness of applicable obligations</t>
        </is>
      </c>
      <c r="AR125" s="151" t="inlineStr">
        <is>
          <t>Regulatory Risk; Operational Risk; Reputational Risk — specific domains determined by framework scope</t>
        </is>
      </c>
      <c r="AS125" s="22" t="inlineStr">
        <is>
          <t>See official source — legal obligation, regulatory requirement, or voluntary standard as applicable</t>
        </is>
      </c>
      <c r="AT125" s="152" t="inlineStr">
        <is>
          <t>Administrative; Technical; Operational — specific distribution determined by framework content</t>
        </is>
      </c>
      <c r="AU125" s="157" t="inlineStr">
        <is>
          <t>1. Compliance status (compliant/non-compliant). 2. # open findings from last assessment. 3. % controls implemented. 4. Time to remediate findings. 5. Incident rate in framework scope area</t>
        </is>
      </c>
      <c r="AV125" s="158" t="inlineStr">
        <is>
          <t>Self-assessment; internal audit; external assessment as specified by issuing authority</t>
        </is>
      </c>
      <c r="AW125" s="159" t="inlineStr">
        <is>
          <t>ServiceNow GRC; IBM OpenPages; RSA Archer; MetricStream — all major GRC platforms support custom framework import. Contact vendor for framework-specific module</t>
        </is>
      </c>
      <c r="AX125" s="160" t="inlineStr">
        <is>
          <t>Third parties in scope must demonstrate equivalent compliance. Contractual compliance obligations; right-to-audit clauses; annual third-party assessment</t>
        </is>
      </c>
      <c r="AY125" s="161" t="inlineStr">
        <is>
          <t>Non-compliance: regulatory action by issuing authority; fines and penalties as specified; operational and reputational consequences</t>
        </is>
      </c>
      <c r="AZ125" s="158" t="inlineStr">
        <is>
          <t>ALL 17 SECTORS</t>
        </is>
      </c>
      <c r="BA125" s="34" t="inlineStr">
        <is>
          <t>YES — ALL SECTORS</t>
        </is>
      </c>
      <c r="BB125" s="591">
        <f>IF(E125="","",IF(ISNUMBER(SEARCH("Institutional theory and regulatory governance theory underpin",AI125)),"TEMPLATE",IF(LEN(AI125)&gt;100,"DEEP",IF(AI125="","SPARSE","SHALLOW"))))</f>
        <v/>
      </c>
      <c r="BC125" s="591">
        <f>IF(E125="","",D125&amp;"-"&amp;B125&amp;"-"&amp;E125)</f>
        <v/>
      </c>
      <c r="BD125" s="591">
        <f>IF(E125="","",SUBSTITUTE(SUBSTITUTE(B125&amp;"-"&amp;E125," ",""),":","-"))</f>
        <v/>
      </c>
      <c r="BE125" s="591">
        <f>IF(E125="","",IF(ISNUMBER(SEARCH("ECC",E125)),"NCA-ECC-2-2024",IF(ISNUMBER(SEARCH("OTCC",E125)),"NCA-ECC-2-2024",IF(ISNUMBER(SEARCH("CCC",E125)),"NCA-ECC-2-2024",IF(ISNUMBER(SEARCH("DCC",E125)),"NCA-ECC-2-2024",IF(ISNUMBER(SEARCH("CSCC",E125)),"NCA-ECC-2-2024",IF(ISNUMBER(SEARCH("PDPL-IR",E125)),"PDPL-2021",IF(ISNUMBER(SEARCH("PDPL-DTR",E125)),"PDPL-2021","NONE"))))))))</f>
        <v/>
      </c>
      <c r="BF125" s="594">
        <f>IF(E125="","",IF(BB125="DEEP",10,IF(BB125="SHALLOW",5,IF(BB125="TEMPLATE",3,1)))+IF(N125="HIGHEST",5,IF(N125="HIGH",3,IF(N125="MODERATE",1,0)))+IF(ISNUMBER(SEARCH("Mandatory",L125)),3,0))</f>
        <v/>
      </c>
    </row>
    <row r="126">
      <c r="BB126" s="591">
        <f>IF(E126="","",IF(ISNUMBER(SEARCH("Institutional theory and regulatory governance theory underpin",AI126)),"TEMPLATE",IF(LEN(AI126)&gt;100,"DEEP",IF(AI126="","SPARSE","SHALLOW"))))</f>
        <v/>
      </c>
      <c r="BC126" s="591">
        <f>IF(E126="","",D126&amp;"-"&amp;B126&amp;"-"&amp;E126)</f>
        <v/>
      </c>
      <c r="BD126" s="591">
        <f>IF(E126="","",SUBSTITUTE(SUBSTITUTE(B126&amp;"-"&amp;E126," ",""),":","-"))</f>
        <v/>
      </c>
      <c r="BE126" s="591">
        <f>IF(E126="","",IF(ISNUMBER(SEARCH("ECC",E126)),"NCA-ECC-2-2024",IF(ISNUMBER(SEARCH("OTCC",E126)),"NCA-ECC-2-2024",IF(ISNUMBER(SEARCH("CCC",E126)),"NCA-ECC-2-2024",IF(ISNUMBER(SEARCH("DCC",E126)),"NCA-ECC-2-2024",IF(ISNUMBER(SEARCH("CSCC",E126)),"NCA-ECC-2-2024",IF(ISNUMBER(SEARCH("PDPL-IR",E126)),"PDPL-2021",IF(ISNUMBER(SEARCH("PDPL-DTR",E126)),"PDPL-2021","NONE"))))))))</f>
        <v/>
      </c>
      <c r="BF126" s="594">
        <f>IF(E126="","",IF(BB126="DEEP",10,IF(BB126="SHALLOW",5,IF(BB126="TEMPLATE",3,1)))+IF(N126="HIGHEST",5,IF(N126="HIGH",3,IF(N126="MODERATE",1,0)))+IF(ISNUMBER(SEARCH("Mandatory",L126)),3,0))</f>
        <v/>
      </c>
    </row>
    <row r="127" ht="19.5" customHeight="1">
      <c r="A127" s="164" t="n"/>
      <c r="B127" s="165" t="inlineStr">
        <is>
          <t xml:space="preserve">  ── 7. Standards &amp; Quality ──</t>
        </is>
      </c>
      <c r="C127" s="164" t="n"/>
      <c r="D127" s="164" t="n"/>
      <c r="E127" s="164" t="n"/>
      <c r="F127" s="164" t="n"/>
      <c r="G127" s="164" t="n"/>
      <c r="H127" s="164" t="n"/>
      <c r="I127" s="164" t="n"/>
      <c r="J127" s="164" t="n"/>
      <c r="K127" s="164" t="n"/>
      <c r="L127" s="164" t="n"/>
      <c r="M127" s="164" t="n"/>
      <c r="N127" s="164" t="n"/>
      <c r="O127" s="164" t="n"/>
      <c r="P127" s="164" t="n"/>
      <c r="BB127" s="591">
        <f>IF(E127="","",IF(ISNUMBER(SEARCH("Institutional theory and regulatory governance theory underpin",AI127)),"TEMPLATE",IF(LEN(AI127)&gt;100,"DEEP",IF(AI127="","SPARSE","SHALLOW"))))</f>
        <v/>
      </c>
      <c r="BC127" s="591">
        <f>IF(E127="","",D127&amp;"-"&amp;B127&amp;"-"&amp;E127)</f>
        <v/>
      </c>
      <c r="BD127" s="591">
        <f>IF(E127="","",SUBSTITUTE(SUBSTITUTE(B127&amp;"-"&amp;E127," ",""),":","-"))</f>
        <v/>
      </c>
      <c r="BE127" s="591">
        <f>IF(E127="","",IF(ISNUMBER(SEARCH("ECC",E127)),"NCA-ECC-2-2024",IF(ISNUMBER(SEARCH("OTCC",E127)),"NCA-ECC-2-2024",IF(ISNUMBER(SEARCH("CCC",E127)),"NCA-ECC-2-2024",IF(ISNUMBER(SEARCH("DCC",E127)),"NCA-ECC-2-2024",IF(ISNUMBER(SEARCH("CSCC",E127)),"NCA-ECC-2-2024",IF(ISNUMBER(SEARCH("PDPL-IR",E127)),"PDPL-2021",IF(ISNUMBER(SEARCH("PDPL-DTR",E127)),"PDPL-2021","NONE"))))))))</f>
        <v/>
      </c>
      <c r="BF127" s="594">
        <f>IF(E127="","",IF(BB127="DEEP",10,IF(BB127="SHALLOW",5,IF(BB127="TEMPLATE",3,1)))+IF(N127="HIGHEST",5,IF(N127="HIGH",3,IF(N127="MODERATE",1,0)))+IF(ISNUMBER(SEARCH("Mandatory",L127)),3,0))</f>
        <v/>
      </c>
    </row>
    <row r="128" ht="42" customHeight="1">
      <c r="A128" s="166" t="n">
        <v>115</v>
      </c>
      <c r="B128" s="167" t="inlineStr">
        <is>
          <t>SASO</t>
        </is>
      </c>
      <c r="C128" s="168" t="inlineStr">
        <is>
          <t>Saudi Standards Metrology &amp; Quality Org.</t>
        </is>
      </c>
      <c r="D128" s="168" t="inlineStr">
        <is>
          <t>7. Standards &amp; Quality</t>
        </is>
      </c>
      <c r="E128" s="167" t="inlineStr">
        <is>
          <t>SASO-PS</t>
        </is>
      </c>
      <c r="F128" s="169" t="inlineStr">
        <is>
          <t>Product Safety &amp; Technical Regulations</t>
        </is>
      </c>
      <c r="G128" s="168" t="inlineStr">
        <is>
          <t>اللوائح الفنية لسلامة المنتجات</t>
        </is>
      </c>
      <c r="H128" s="168" t="inlineStr">
        <is>
          <t>Updated 2024-2025</t>
        </is>
      </c>
      <c r="I128" s="170" t="inlineStr">
        <is>
          <t>1972</t>
        </is>
      </c>
      <c r="J128" s="170" t="inlineStr">
        <is>
          <t>467</t>
        </is>
      </c>
      <c r="K128" s="168" t="inlineStr">
        <is>
          <t>ISSUES/ENFORCES</t>
        </is>
      </c>
      <c r="L128" s="22" t="inlineStr">
        <is>
          <t>Mandatory Enforcer</t>
        </is>
      </c>
      <c r="M128" s="168" t="inlineStr">
        <is>
          <t>Manufacturers/importers — medical devices, IoT devices, electrical equipment</t>
        </is>
      </c>
      <c r="N128" s="171" t="inlineStr">
        <is>
          <t>HIGH</t>
        </is>
      </c>
      <c r="O128" s="172" t="inlineStr">
        <is>
          <t>https://www.saso.gov.sa/en</t>
        </is>
      </c>
      <c r="P128" s="168" t="inlineStr">
        <is>
          <t>SASO official; UL Solutions 2023; ICBS Jan 2026</t>
        </is>
      </c>
      <c r="Q128" s="168" t="inlineStr">
        <is>
          <t>SASO established 1972 → SABER platform 2019 → ongoing Technical Regulation updates</t>
        </is>
      </c>
      <c r="R128" s="168" t="inlineStr">
        <is>
          <t>Technical regulations cover 467+ product categories. Medical devices: must comply with SFDA-MDR AND SASO safety standards for electrical safety (IEC 60601 series). IoT devices for healthcare: SASO requires safety and EMC testing. SABER platform (2019): mandatory pre-clearance for regulated product imports. Ongoing updates align with GCC Standardization Organization (GSO) and international standards (IEC, ISO)</t>
        </is>
      </c>
      <c r="S128" s="170" t="inlineStr">
        <is>
          <t>Established: 1972. SABER: 2019. Ongoing technical regulation updates</t>
        </is>
      </c>
      <c r="T128" s="168" t="inlineStr">
        <is>
          <t>Continuous; aligned with GCC GSO updates</t>
        </is>
      </c>
      <c r="U128" s="25" t="inlineStr">
        <is>
          <t>CURRENT — ongoing updates</t>
        </is>
      </c>
      <c r="V128" s="168" t="inlineStr">
        <is>
          <t>Product recall; import detention; SAR fine; SABER system blacklisting; facility licence suspension</t>
        </is>
      </c>
      <c r="W128" s="169" t="inlineStr">
        <is>
          <t>SASO — Technical Regulations Department; SABER platform automated enforcement; customs coordination (ZATCA port inspection)</t>
        </is>
      </c>
      <c r="X128" s="168" t="inlineStr">
        <is>
          <t>Medical Device Manufacturer (electrical safety — IEC 60601); Health IT Vendor (IoT hardware); Medical Equipment Importer</t>
        </is>
      </c>
      <c r="Y128" s="22" t="inlineStr">
        <is>
          <t>Both</t>
        </is>
      </c>
      <c r="Z128" s="168" t="inlineStr">
        <is>
          <t>Pre-market: SABER conformity certification (mandatory before import); market surveillance audits; consumer complaint investigation</t>
        </is>
      </c>
      <c r="AA128" s="170" t="inlineStr">
        <is>
          <t>Pre-market: each product/model. Market surveillance: continuous</t>
        </is>
      </c>
      <c r="AB128" s="168" t="inlineStr">
        <is>
          <t>12 (IoT/IoMT device safety: electrical safety IEC 60601 series for medical electrical equipment; EMC testing; wireless safety; labelling requirements for connected devices; mandatory firmware update disclosure)</t>
        </is>
      </c>
      <c r="AC128" s="168" t="inlineStr">
        <is>
          <t>IEC 60601 series (medical electrical equipment); IEC 60068 (environmental testing); ETSI EN 303 645 (IoT security); GCC/GSO harmonised standards</t>
        </is>
      </c>
      <c r="AD128" s="49" t="inlineStr">
        <is>
          <t>Arabic + English (SABER platform bilingual)</t>
        </is>
      </c>
      <c r="AE128" s="37" t="inlineStr">
        <is>
          <t>Layer 3: Technical Controls; Layer 4: Compliance</t>
        </is>
      </c>
      <c r="AF128" s="60" t="inlineStr">
        <is>
          <t>No maturity model; pass/fail conformity assessment</t>
        </is>
      </c>
      <c r="AG128" s="168" t="inlineStr">
        <is>
          <t>Quality products for Vision 2030; National Quality Infrastructure Programme; local manufacturing initiative</t>
        </is>
      </c>
      <c r="AH128" s="168" t="inlineStr">
        <is>
          <t>SABER conformity certificate; test report (IEC 60601/ETSI EN 303 645); importer registration; product technical file; shipment clearance records</t>
        </is>
      </c>
      <c r="AI128" s="173" t="inlineStr">
        <is>
          <t>Institutional theory and regulatory governance theory underpin all KSA regulatory frameworks. Specific theoretical basis varies by framework — consult academic literature via Google Scholar using framework name as search term.</t>
        </is>
      </c>
      <c r="AJ128" s="168" t="inlineStr">
        <is>
          <t>Academic debate varies by framework maturity and international adoption. For KSA-specific debate, consult: Almohammad &amp; Wills (2021) J Cybersecurity; Al-Khater et al. (2020) IEEE Access; Baker McKenzie KSA regulatory updates.</t>
        </is>
      </c>
      <c r="AK128" s="174" t="inlineStr">
        <is>
          <t>Known criticisms include: implementation gap between standards and practice; resource constraints for smaller healthcare entities; rapid technology evolution outpacing regulation. Consult framework evaluation literature for specifics.</t>
        </is>
      </c>
      <c r="AL128" s="175" t="inlineStr">
        <is>
          <t>Framework comparison requires contextual analysis. Key comparators: NIST CSF 2.0 (international benchmark), ISO 27001 (certifiable standard), ECC-2 (KSA mandatory baseline). See main database for cross-framework mapping.</t>
        </is>
      </c>
      <c r="AM128" s="1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28" s="177" t="inlineStr">
        <is>
          <t>Official: Consult the official source URL in the database for the primary document. Training: ISACA, ISC2, RAPS, IAPP, and HIMSS offer professional development covering most regulatory domains. Estimated hours vary by framework complexity.</t>
        </is>
      </c>
      <c r="AO128" s="178" t="inlineStr">
        <is>
          <t>Relevance to GH-ICGA framework varies by layer — see GH-ICGA Layer Mapping column. All KSA mandatory frameworks are compliance inputs to GH-ICGA Layer 4. Frameworks with IoMT-specific provisions directly inform Layers 2 and 3.</t>
        </is>
      </c>
      <c r="AP128" s="51" t="inlineStr">
        <is>
          <t>G + C (Governance + Compliance — standard regulatory framework positioning)</t>
        </is>
      </c>
      <c r="AQ128" s="179" t="inlineStr">
        <is>
          <t>Senior management: accountability for framework compliance. Designated compliance officer: monitor requirements. All staff: awareness of applicable obligations</t>
        </is>
      </c>
      <c r="AR128" s="174" t="inlineStr">
        <is>
          <t>Regulatory Risk; Operational Risk; Reputational Risk — specific domains determined by framework scope</t>
        </is>
      </c>
      <c r="AS128" s="22" t="inlineStr">
        <is>
          <t>See official source — legal obligation, regulatory requirement, or voluntary standard as applicable</t>
        </is>
      </c>
      <c r="AT128" s="175" t="inlineStr">
        <is>
          <t>Administrative; Technical; Operational — specific distribution determined by framework content</t>
        </is>
      </c>
      <c r="AU128" s="180" t="inlineStr">
        <is>
          <t>1. Compliance status (compliant/non-compliant). 2. # open findings from last assessment. 3. % controls implemented. 4. Time to remediate findings. 5. Incident rate in framework scope area</t>
        </is>
      </c>
      <c r="AV128" s="181" t="inlineStr">
        <is>
          <t>Self-assessment; internal audit; external assessment as specified by issuing authority</t>
        </is>
      </c>
      <c r="AW128" s="182" t="inlineStr">
        <is>
          <t>ServiceNow GRC; IBM OpenPages; RSA Archer; MetricStream — all major GRC platforms support custom framework import. Contact vendor for framework-specific module</t>
        </is>
      </c>
      <c r="AX128" s="183" t="inlineStr">
        <is>
          <t>Third parties in scope must demonstrate equivalent compliance. Contractual compliance obligations; right-to-audit clauses; annual third-party assessment</t>
        </is>
      </c>
      <c r="AY128" s="184" t="inlineStr">
        <is>
          <t>Non-compliance: regulatory action by issuing authority; fines and penalties as specified; operational and reputational consequences</t>
        </is>
      </c>
      <c r="AZ128" s="181" t="inlineStr">
        <is>
          <t>ALL SECTORS manufacturing/importing regulated products</t>
        </is>
      </c>
      <c r="BA128" s="34" t="inlineStr">
        <is>
          <t>YES — ALL SECTORS</t>
        </is>
      </c>
      <c r="BB128" s="591">
        <f>IF(E128="","",IF(ISNUMBER(SEARCH("Institutional theory and regulatory governance theory underpin",AI128)),"TEMPLATE",IF(LEN(AI128)&gt;100,"DEEP",IF(AI128="","SPARSE","SHALLOW"))))</f>
        <v/>
      </c>
      <c r="BC128" s="591">
        <f>IF(E128="","",D128&amp;"-"&amp;B128&amp;"-"&amp;E128)</f>
        <v/>
      </c>
      <c r="BD128" s="591">
        <f>IF(E128="","",SUBSTITUTE(SUBSTITUTE(B128&amp;"-"&amp;E128," ",""),":","-"))</f>
        <v/>
      </c>
      <c r="BE128" s="591">
        <f>IF(E128="","",IF(ISNUMBER(SEARCH("ECC",E128)),"NCA-ECC-2-2024",IF(ISNUMBER(SEARCH("OTCC",E128)),"NCA-ECC-2-2024",IF(ISNUMBER(SEARCH("CCC",E128)),"NCA-ECC-2-2024",IF(ISNUMBER(SEARCH("DCC",E128)),"NCA-ECC-2-2024",IF(ISNUMBER(SEARCH("CSCC",E128)),"NCA-ECC-2-2024",IF(ISNUMBER(SEARCH("PDPL-IR",E128)),"PDPL-2021",IF(ISNUMBER(SEARCH("PDPL-DTR",E128)),"PDPL-2021","NONE"))))))))</f>
        <v/>
      </c>
      <c r="BF128" s="594">
        <f>IF(E128="","",IF(BB128="DEEP",10,IF(BB128="SHALLOW",5,IF(BB128="TEMPLATE",3,1)))+IF(N128="HIGHEST",5,IF(N128="HIGH",3,IF(N128="MODERATE",1,0)))+IF(ISNUMBER(SEARCH("Mandatory",L128)),3,0))</f>
        <v/>
      </c>
    </row>
    <row r="129" ht="42" customHeight="1">
      <c r="A129" s="42" t="n">
        <v>116</v>
      </c>
      <c r="B129" s="185" t="inlineStr">
        <is>
          <t>SASO</t>
        </is>
      </c>
      <c r="C129" s="44" t="inlineStr">
        <is>
          <t>Saudi Standards Metrology &amp; Quality Org.</t>
        </is>
      </c>
      <c r="D129" s="44" t="inlineStr">
        <is>
          <t>7. Standards &amp; Quality</t>
        </is>
      </c>
      <c r="E129" s="185" t="inlineStr">
        <is>
          <t>SASO-SABER</t>
        </is>
      </c>
      <c r="F129" s="45" t="inlineStr">
        <is>
          <t>SABER Product Conformity Platform</t>
        </is>
      </c>
      <c r="G129" s="44" t="inlineStr">
        <is>
          <t>منصة سابر</t>
        </is>
      </c>
      <c r="H129" s="44" t="inlineStr">
        <is>
          <t>Operational 2019</t>
        </is>
      </c>
      <c r="I129" s="46" t="inlineStr">
        <is>
          <t>2019</t>
        </is>
      </c>
      <c r="J129" s="46" t="inlineStr">
        <is>
          <t>N/A</t>
        </is>
      </c>
      <c r="K129" s="44" t="inlineStr">
        <is>
          <t>ISSUES/ENFORCES</t>
        </is>
      </c>
      <c r="L129" s="22" t="inlineStr">
        <is>
          <t>Mandatory Enforcer</t>
        </is>
      </c>
      <c r="M129" s="44" t="inlineStr">
        <is>
          <t>All importers — medical device importers must register on SABER</t>
        </is>
      </c>
      <c r="N129" s="54" t="inlineStr">
        <is>
          <t>HIGH</t>
        </is>
      </c>
      <c r="O129" s="48" t="inlineStr">
        <is>
          <t>https://saber.org.sa/</t>
        </is>
      </c>
      <c r="P129" s="44" t="inlineStr">
        <is>
          <t>SASO official; ICBS Jan 2026</t>
        </is>
      </c>
      <c r="Q129" s="168" t="inlineStr">
        <is>
          <t>See official source for version history</t>
        </is>
      </c>
      <c r="R129" s="168" t="inlineStr">
        <is>
          <t>Framework issued by the relevant authority. Version details available on the official website referenced in the source URL column. The framework has been updated periodically since first issuance.</t>
        </is>
      </c>
      <c r="S129" s="170" t="inlineStr">
        <is>
          <t>See official source</t>
        </is>
      </c>
      <c r="T129" s="168" t="inlineStr">
        <is>
          <t>Updated as needed by the issuing authority</t>
        </is>
      </c>
      <c r="U129" s="25" t="inlineStr">
        <is>
          <t>CURRENT — consult official source for latest version</t>
        </is>
      </c>
      <c r="V129" s="168" t="inlineStr">
        <is>
          <t>Penalties defined by issuing authority; consult official source. NCA ECC-2 penalties apply if relevant</t>
        </is>
      </c>
      <c r="W129" s="169" t="inlineStr">
        <is>
          <t>Issuing authority and/or designated inspection department</t>
        </is>
      </c>
      <c r="X129" s="168" t="inlineStr">
        <is>
          <t>As specified in framework scope — consult official document</t>
        </is>
      </c>
      <c r="Y129" s="49" t="inlineStr">
        <is>
          <t>Both (unless specified otherwise in official document)</t>
        </is>
      </c>
      <c r="Z129" s="168" t="inlineStr">
        <is>
          <t>As defined by issuing authority</t>
        </is>
      </c>
      <c r="AA129" s="170" t="inlineStr">
        <is>
          <t>As defined by issuing authority</t>
        </is>
      </c>
      <c r="AB129" s="168" t="inlineStr">
        <is>
          <t>To be determined from framework text — see official source</t>
        </is>
      </c>
      <c r="AC129" s="168" t="inlineStr">
        <is>
          <t>See framework preamble for international standard references</t>
        </is>
      </c>
      <c r="AD129" s="49" t="inlineStr">
        <is>
          <t>Arabic (primary in KSA); English may be available</t>
        </is>
      </c>
      <c r="AE129" s="58" t="inlineStr">
        <is>
          <t>Mapped to relevant GH-ICGA layer — requires manual assessment</t>
        </is>
      </c>
      <c r="AF129" s="56" t="inlineStr">
        <is>
          <t>See official framework for maturity model details</t>
        </is>
      </c>
      <c r="AG129" s="168" t="inlineStr">
        <is>
          <t>Aligned with relevant Vision 2030 programme — see framework context</t>
        </is>
      </c>
      <c r="AH129" s="168" t="inlineStr">
        <is>
          <t>As specified in framework compliance requirements</t>
        </is>
      </c>
      <c r="AI129" s="173" t="inlineStr">
        <is>
          <t>Institutional theory and regulatory governance theory underpin all KSA regulatory frameworks. Specific theoretical basis varies by framework — consult academic literature via Google Scholar using framework name as search term.</t>
        </is>
      </c>
      <c r="AJ129" s="168" t="inlineStr">
        <is>
          <t>Academic debate varies by framework maturity and international adoption. For KSA-specific debate, consult: Almohammad &amp; Wills (2021) J Cybersecurity; Al-Khater et al. (2020) IEEE Access; Baker McKenzie KSA regulatory updates.</t>
        </is>
      </c>
      <c r="AK129" s="174" t="inlineStr">
        <is>
          <t>Known criticisms include: implementation gap between standards and practice; resource constraints for smaller healthcare entities; rapid technology evolution outpacing regulation. Consult framework evaluation literature for specifics.</t>
        </is>
      </c>
      <c r="AL129" s="175" t="inlineStr">
        <is>
          <t>Framework comparison requires contextual analysis. Key comparators: NIST CSF 2.0 (international benchmark), ISO 27001 (certifiable standard), ECC-2 (KSA mandatory baseline). See main database for cross-framework mapping.</t>
        </is>
      </c>
      <c r="AM129" s="1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29" s="177" t="inlineStr">
        <is>
          <t>Official: Consult the official source URL in the database for the primary document. Training: ISACA, ISC2, RAPS, IAPP, and HIMSS offer professional development covering most regulatory domains. Estimated hours vary by framework complexity.</t>
        </is>
      </c>
      <c r="AO129" s="178" t="inlineStr">
        <is>
          <t>Relevance to GH-ICGA framework varies by layer — see GH-ICGA Layer Mapping column. All KSA mandatory frameworks are compliance inputs to GH-ICGA Layer 4. Frameworks with IoMT-specific provisions directly inform Layers 2 and 3.</t>
        </is>
      </c>
      <c r="AP129" s="51" t="inlineStr">
        <is>
          <t>G + C (Governance + Compliance — standard regulatory framework positioning)</t>
        </is>
      </c>
      <c r="AQ129" s="179" t="inlineStr">
        <is>
          <t>Senior management: accountability for framework compliance. Designated compliance officer: monitor requirements. All staff: awareness of applicable obligations</t>
        </is>
      </c>
      <c r="AR129" s="174" t="inlineStr">
        <is>
          <t>Regulatory Risk; Operational Risk; Reputational Risk — specific domains determined by framework scope</t>
        </is>
      </c>
      <c r="AS129" s="22" t="inlineStr">
        <is>
          <t>See official source — legal obligation, regulatory requirement, or voluntary standard as applicable</t>
        </is>
      </c>
      <c r="AT129" s="175" t="inlineStr">
        <is>
          <t>Administrative; Technical; Operational — specific distribution determined by framework content</t>
        </is>
      </c>
      <c r="AU129" s="180" t="inlineStr">
        <is>
          <t>1. Compliance status (compliant/non-compliant). 2. # open findings from last assessment. 3. % controls implemented. 4. Time to remediate findings. 5. Incident rate in framework scope area</t>
        </is>
      </c>
      <c r="AV129" s="181" t="inlineStr">
        <is>
          <t>Self-assessment; internal audit; external assessment as specified by issuing authority</t>
        </is>
      </c>
      <c r="AW129" s="182" t="inlineStr">
        <is>
          <t>ServiceNow GRC; IBM OpenPages; RSA Archer; MetricStream — all major GRC platforms support custom framework import. Contact vendor for framework-specific module</t>
        </is>
      </c>
      <c r="AX129" s="183" t="inlineStr">
        <is>
          <t>Third parties in scope must demonstrate equivalent compliance. Contractual compliance obligations; right-to-audit clauses; annual third-party assessment</t>
        </is>
      </c>
      <c r="AY129" s="184" t="inlineStr">
        <is>
          <t>Non-compliance: regulatory action by issuing authority; fines and penalties as specified; operational and reputational consequences</t>
        </is>
      </c>
      <c r="AZ129" s="181" t="inlineStr">
        <is>
          <t>ALL SECTORS (importers of regulated products)</t>
        </is>
      </c>
      <c r="BA129" s="34" t="inlineStr">
        <is>
          <t>YES — ALL SECTORS</t>
        </is>
      </c>
      <c r="BB129" s="591">
        <f>IF(E129="","",IF(ISNUMBER(SEARCH("Institutional theory and regulatory governance theory underpin",AI129)),"TEMPLATE",IF(LEN(AI129)&gt;100,"DEEP",IF(AI129="","SPARSE","SHALLOW"))))</f>
        <v/>
      </c>
      <c r="BC129" s="591">
        <f>IF(E129="","",D129&amp;"-"&amp;B129&amp;"-"&amp;E129)</f>
        <v/>
      </c>
      <c r="BD129" s="591">
        <f>IF(E129="","",SUBSTITUTE(SUBSTITUTE(B129&amp;"-"&amp;E129," ",""),":","-"))</f>
        <v/>
      </c>
      <c r="BE129" s="591">
        <f>IF(E129="","",IF(ISNUMBER(SEARCH("ECC",E129)),"NCA-ECC-2-2024",IF(ISNUMBER(SEARCH("OTCC",E129)),"NCA-ECC-2-2024",IF(ISNUMBER(SEARCH("CCC",E129)),"NCA-ECC-2-2024",IF(ISNUMBER(SEARCH("DCC",E129)),"NCA-ECC-2-2024",IF(ISNUMBER(SEARCH("CSCC",E129)),"NCA-ECC-2-2024",IF(ISNUMBER(SEARCH("PDPL-IR",E129)),"PDPL-2021",IF(ISNUMBER(SEARCH("PDPL-DTR",E129)),"PDPL-2021","NONE"))))))))</f>
        <v/>
      </c>
      <c r="BF129" s="594">
        <f>IF(E129="","",IF(BB129="DEEP",10,IF(BB129="SHALLOW",5,IF(BB129="TEMPLATE",3,1)))+IF(N129="HIGHEST",5,IF(N129="HIGH",3,IF(N129="MODERATE",1,0)))+IF(ISNUMBER(SEARCH("Mandatory",L129)),3,0))</f>
        <v/>
      </c>
    </row>
    <row r="130" ht="42" customHeight="1">
      <c r="A130" s="166" t="n">
        <v>117</v>
      </c>
      <c r="B130" s="167" t="inlineStr">
        <is>
          <t>SASO</t>
        </is>
      </c>
      <c r="C130" s="168" t="inlineStr">
        <is>
          <t>Saudi Standards Metrology &amp; Quality Org.</t>
        </is>
      </c>
      <c r="D130" s="168" t="inlineStr">
        <is>
          <t>7. Standards &amp; Quality</t>
        </is>
      </c>
      <c r="E130" s="167" t="inlineStr">
        <is>
          <t>SASO-METRO</t>
        </is>
      </c>
      <c r="F130" s="169" t="inlineStr">
        <is>
          <t>Metrology Regulations</t>
        </is>
      </c>
      <c r="G130" s="168" t="inlineStr">
        <is>
          <t>أنظمة المقاييس والمعايرة</t>
        </is>
      </c>
      <c r="H130" s="168" t="inlineStr">
        <is>
          <t>Active</t>
        </is>
      </c>
      <c r="I130" s="170" t="inlineStr">
        <is>
          <t>1972</t>
        </is>
      </c>
      <c r="J130" s="170" t="inlineStr">
        <is>
          <t>N/A</t>
        </is>
      </c>
      <c r="K130" s="168" t="inlineStr">
        <is>
          <t>ISSUES/ENFORCES</t>
        </is>
      </c>
      <c r="L130" s="22" t="inlineStr">
        <is>
          <t>Mandatory Enforcer</t>
        </is>
      </c>
      <c r="M130" s="168" t="inlineStr">
        <is>
          <t>Measurement device manufacturers — medical weighing and monitoring</t>
        </is>
      </c>
      <c r="N130" s="186" t="inlineStr">
        <is>
          <t>MODERATE</t>
        </is>
      </c>
      <c r="O130" s="172" t="inlineStr">
        <is>
          <t>https://www.saso.gov.sa/en</t>
        </is>
      </c>
      <c r="P130" s="168" t="inlineStr">
        <is>
          <t>SASO official</t>
        </is>
      </c>
      <c r="Q130" s="168" t="inlineStr">
        <is>
          <t>See official source for version history</t>
        </is>
      </c>
      <c r="R130" s="168" t="inlineStr">
        <is>
          <t>Framework issued by the relevant authority. Version details available on the official website referenced in the source URL column. The framework has been updated periodically since first issuance.</t>
        </is>
      </c>
      <c r="S130" s="170" t="inlineStr">
        <is>
          <t>See official source</t>
        </is>
      </c>
      <c r="T130" s="168" t="inlineStr">
        <is>
          <t>Updated as needed by the issuing authority</t>
        </is>
      </c>
      <c r="U130" s="25" t="inlineStr">
        <is>
          <t>CURRENT — consult official source for latest version</t>
        </is>
      </c>
      <c r="V130" s="168" t="inlineStr">
        <is>
          <t>Penalties defined by issuing authority; consult official source. NCA ECC-2 penalties apply if relevant</t>
        </is>
      </c>
      <c r="W130" s="169" t="inlineStr">
        <is>
          <t>Issuing authority and/or designated inspection department</t>
        </is>
      </c>
      <c r="X130" s="168" t="inlineStr">
        <is>
          <t>As specified in framework scope — consult official document</t>
        </is>
      </c>
      <c r="Y130" s="49" t="inlineStr">
        <is>
          <t>Both (unless specified otherwise in official document)</t>
        </is>
      </c>
      <c r="Z130" s="168" t="inlineStr">
        <is>
          <t>As defined by issuing authority</t>
        </is>
      </c>
      <c r="AA130" s="170" t="inlineStr">
        <is>
          <t>As defined by issuing authority</t>
        </is>
      </c>
      <c r="AB130" s="168" t="inlineStr">
        <is>
          <t>To be determined from framework text — see official source</t>
        </is>
      </c>
      <c r="AC130" s="168" t="inlineStr">
        <is>
          <t>See framework preamble for international standard references</t>
        </is>
      </c>
      <c r="AD130" s="49" t="inlineStr">
        <is>
          <t>Arabic (primary in KSA); English may be available</t>
        </is>
      </c>
      <c r="AE130" s="58" t="inlineStr">
        <is>
          <t>Mapped to relevant GH-ICGA layer — requires manual assessment</t>
        </is>
      </c>
      <c r="AF130" s="56" t="inlineStr">
        <is>
          <t>See official framework for maturity model details</t>
        </is>
      </c>
      <c r="AG130" s="168" t="inlineStr">
        <is>
          <t>Aligned with relevant Vision 2030 programme — see framework context</t>
        </is>
      </c>
      <c r="AH130" s="168" t="inlineStr">
        <is>
          <t>As specified in framework compliance requirements</t>
        </is>
      </c>
      <c r="AI130" s="173" t="inlineStr">
        <is>
          <t>Institutional theory and regulatory governance theory underpin all KSA regulatory frameworks. Specific theoretical basis varies by framework — consult academic literature via Google Scholar using framework name as search term.</t>
        </is>
      </c>
      <c r="AJ130" s="168" t="inlineStr">
        <is>
          <t>Academic debate varies by framework maturity and international adoption. For KSA-specific debate, consult: Almohammad &amp; Wills (2021) J Cybersecurity; Al-Khater et al. (2020) IEEE Access; Baker McKenzie KSA regulatory updates.</t>
        </is>
      </c>
      <c r="AK130" s="174" t="inlineStr">
        <is>
          <t>Known criticisms include: implementation gap between standards and practice; resource constraints for smaller healthcare entities; rapid technology evolution outpacing regulation. Consult framework evaluation literature for specifics.</t>
        </is>
      </c>
      <c r="AL130" s="175" t="inlineStr">
        <is>
          <t>Framework comparison requires contextual analysis. Key comparators: NIST CSF 2.0 (international benchmark), ISO 27001 (certifiable standard), ECC-2 (KSA mandatory baseline). See main database for cross-framework mapping.</t>
        </is>
      </c>
      <c r="AM130" s="1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30" s="177" t="inlineStr">
        <is>
          <t>Official: Consult the official source URL in the database for the primary document. Training: ISACA, ISC2, RAPS, IAPP, and HIMSS offer professional development covering most regulatory domains. Estimated hours vary by framework complexity.</t>
        </is>
      </c>
      <c r="AO130" s="178" t="inlineStr">
        <is>
          <t>Relevance to GH-ICGA framework varies by layer — see GH-ICGA Layer Mapping column. All KSA mandatory frameworks are compliance inputs to GH-ICGA Layer 4. Frameworks with IoMT-specific provisions directly inform Layers 2 and 3.</t>
        </is>
      </c>
      <c r="AP130" s="51" t="inlineStr">
        <is>
          <t>G + C (Governance + Compliance — standard regulatory framework positioning)</t>
        </is>
      </c>
      <c r="AQ130" s="179" t="inlineStr">
        <is>
          <t>Senior management: accountability for framework compliance. Designated compliance officer: monitor requirements. All staff: awareness of applicable obligations</t>
        </is>
      </c>
      <c r="AR130" s="174" t="inlineStr">
        <is>
          <t>Regulatory Risk; Operational Risk; Reputational Risk — specific domains determined by framework scope</t>
        </is>
      </c>
      <c r="AS130" s="22" t="inlineStr">
        <is>
          <t>See official source — legal obligation, regulatory requirement, or voluntary standard as applicable</t>
        </is>
      </c>
      <c r="AT130" s="175" t="inlineStr">
        <is>
          <t>Administrative; Technical; Operational — specific distribution determined by framework content</t>
        </is>
      </c>
      <c r="AU130" s="180" t="inlineStr">
        <is>
          <t>1. Compliance status (compliant/non-compliant). 2. # open findings from last assessment. 3. % controls implemented. 4. Time to remediate findings. 5. Incident rate in framework scope area</t>
        </is>
      </c>
      <c r="AV130" s="181" t="inlineStr">
        <is>
          <t>Self-assessment; internal audit; external assessment as specified by issuing authority</t>
        </is>
      </c>
      <c r="AW130" s="182" t="inlineStr">
        <is>
          <t>ServiceNow GRC; IBM OpenPages; RSA Archer; MetricStream — all major GRC platforms support custom framework import. Contact vendor for framework-specific module</t>
        </is>
      </c>
      <c r="AX130" s="183" t="inlineStr">
        <is>
          <t>Third parties in scope must demonstrate equivalent compliance. Contractual compliance obligations; right-to-audit clauses; annual third-party assessment</t>
        </is>
      </c>
      <c r="AY130" s="184" t="inlineStr">
        <is>
          <t>Non-compliance: regulatory action by issuing authority; fines and penalties as specified; operational and reputational consequences</t>
        </is>
      </c>
      <c r="AZ130" s="181" t="inlineStr">
        <is>
          <t>ALL SECTORS (measurement devices)</t>
        </is>
      </c>
      <c r="BA130" s="34" t="inlineStr">
        <is>
          <t>YES — ALL SECTORS</t>
        </is>
      </c>
      <c r="BB130" s="591">
        <f>IF(E130="","",IF(ISNUMBER(SEARCH("Institutional theory and regulatory governance theory underpin",AI130)),"TEMPLATE",IF(LEN(AI130)&gt;100,"DEEP",IF(AI130="","SPARSE","SHALLOW"))))</f>
        <v/>
      </c>
      <c r="BC130" s="591">
        <f>IF(E130="","",D130&amp;"-"&amp;B130&amp;"-"&amp;E130)</f>
        <v/>
      </c>
      <c r="BD130" s="591">
        <f>IF(E130="","",SUBSTITUTE(SUBSTITUTE(B130&amp;"-"&amp;E130," ",""),":","-"))</f>
        <v/>
      </c>
      <c r="BE130" s="591">
        <f>IF(E130="","",IF(ISNUMBER(SEARCH("ECC",E130)),"NCA-ECC-2-2024",IF(ISNUMBER(SEARCH("OTCC",E130)),"NCA-ECC-2-2024",IF(ISNUMBER(SEARCH("CCC",E130)),"NCA-ECC-2-2024",IF(ISNUMBER(SEARCH("DCC",E130)),"NCA-ECC-2-2024",IF(ISNUMBER(SEARCH("CSCC",E130)),"NCA-ECC-2-2024",IF(ISNUMBER(SEARCH("PDPL-IR",E130)),"PDPL-2021",IF(ISNUMBER(SEARCH("PDPL-DTR",E130)),"PDPL-2021","NONE"))))))))</f>
        <v/>
      </c>
      <c r="BF130" s="594">
        <f>IF(E130="","",IF(BB130="DEEP",10,IF(BB130="SHALLOW",5,IF(BB130="TEMPLATE",3,1)))+IF(N130="HIGHEST",5,IF(N130="HIGH",3,IF(N130="MODERATE",1,0)))+IF(ISNUMBER(SEARCH("Mandatory",L130)),3,0))</f>
        <v/>
      </c>
    </row>
    <row r="131" ht="42" customHeight="1">
      <c r="A131" s="42" t="n">
        <v>118</v>
      </c>
      <c r="B131" s="185" t="inlineStr">
        <is>
          <t>SASO</t>
        </is>
      </c>
      <c r="C131" s="44" t="inlineStr">
        <is>
          <t>Saudi Standards Metrology &amp; Quality Org.</t>
        </is>
      </c>
      <c r="D131" s="44" t="inlineStr">
        <is>
          <t>7. Standards &amp; Quality</t>
        </is>
      </c>
      <c r="E131" s="185" t="inlineStr">
        <is>
          <t>SASO-HALAL</t>
        </is>
      </c>
      <c r="F131" s="45" t="inlineStr">
        <is>
          <t>Halal Standards (in coordination with SFDA)</t>
        </is>
      </c>
      <c r="G131" s="44" t="inlineStr">
        <is>
          <t>معايير الحلال</t>
        </is>
      </c>
      <c r="H131" s="44" t="inlineStr">
        <is>
          <t>Updated 2020</t>
        </is>
      </c>
      <c r="I131" s="46" t="inlineStr">
        <is>
          <t>2005</t>
        </is>
      </c>
      <c r="J131" s="46" t="inlineStr">
        <is>
          <t>N/A</t>
        </is>
      </c>
      <c r="K131" s="44" t="inlineStr">
        <is>
          <t>ISSUES/ENFORCES</t>
        </is>
      </c>
      <c r="L131" s="22" t="inlineStr">
        <is>
          <t>Mandatory Enforcer</t>
        </is>
      </c>
      <c r="M131" s="44" t="inlineStr">
        <is>
          <t>Food and pharmaceutical manufacturers — halal pharma products</t>
        </is>
      </c>
      <c r="N131" s="59" t="inlineStr">
        <is>
          <t>LOW</t>
        </is>
      </c>
      <c r="O131" s="48" t="inlineStr">
        <is>
          <t>https://www.saso.gov.sa/en</t>
        </is>
      </c>
      <c r="P131" s="44" t="inlineStr">
        <is>
          <t>SASO official; SFDA coordination</t>
        </is>
      </c>
      <c r="Q131" s="168" t="inlineStr">
        <is>
          <t>See official source for version history</t>
        </is>
      </c>
      <c r="R131" s="168" t="inlineStr">
        <is>
          <t>Framework issued by the relevant authority. Version details available on the official website referenced in the source URL column. The framework has been updated periodically since first issuance.</t>
        </is>
      </c>
      <c r="S131" s="170" t="inlineStr">
        <is>
          <t>See official source</t>
        </is>
      </c>
      <c r="T131" s="168" t="inlineStr">
        <is>
          <t>Updated as needed by the issuing authority</t>
        </is>
      </c>
      <c r="U131" s="25" t="inlineStr">
        <is>
          <t>CURRENT — consult official source for latest version</t>
        </is>
      </c>
      <c r="V131" s="168" t="inlineStr">
        <is>
          <t>Penalties defined by issuing authority; consult official source. NCA ECC-2 penalties apply if relevant</t>
        </is>
      </c>
      <c r="W131" s="169" t="inlineStr">
        <is>
          <t>Issuing authority and/or designated inspection department</t>
        </is>
      </c>
      <c r="X131" s="168" t="inlineStr">
        <is>
          <t>As specified in framework scope — consult official document</t>
        </is>
      </c>
      <c r="Y131" s="49" t="inlineStr">
        <is>
          <t>Both (unless specified otherwise in official document)</t>
        </is>
      </c>
      <c r="Z131" s="168" t="inlineStr">
        <is>
          <t>As defined by issuing authority</t>
        </is>
      </c>
      <c r="AA131" s="170" t="inlineStr">
        <is>
          <t>As defined by issuing authority</t>
        </is>
      </c>
      <c r="AB131" s="168" t="inlineStr">
        <is>
          <t>To be determined from framework text — see official source</t>
        </is>
      </c>
      <c r="AC131" s="168" t="inlineStr">
        <is>
          <t>See framework preamble for international standard references</t>
        </is>
      </c>
      <c r="AD131" s="49" t="inlineStr">
        <is>
          <t>Arabic (primary in KSA); English may be available</t>
        </is>
      </c>
      <c r="AE131" s="58" t="inlineStr">
        <is>
          <t>Mapped to relevant GH-ICGA layer — requires manual assessment</t>
        </is>
      </c>
      <c r="AF131" s="56" t="inlineStr">
        <is>
          <t>See official framework for maturity model details</t>
        </is>
      </c>
      <c r="AG131" s="168" t="inlineStr">
        <is>
          <t>Aligned with relevant Vision 2030 programme — see framework context</t>
        </is>
      </c>
      <c r="AH131" s="168" t="inlineStr">
        <is>
          <t>As specified in framework compliance requirements</t>
        </is>
      </c>
      <c r="AI131" s="173" t="inlineStr">
        <is>
          <t>Institutional theory and regulatory governance theory underpin all KSA regulatory frameworks. Specific theoretical basis varies by framework — consult academic literature via Google Scholar using framework name as search term.</t>
        </is>
      </c>
      <c r="AJ131" s="168" t="inlineStr">
        <is>
          <t>Academic debate varies by framework maturity and international adoption. For KSA-specific debate, consult: Almohammad &amp; Wills (2021) J Cybersecurity; Al-Khater et al. (2020) IEEE Access; Baker McKenzie KSA regulatory updates.</t>
        </is>
      </c>
      <c r="AK131" s="174" t="inlineStr">
        <is>
          <t>Known criticisms include: implementation gap between standards and practice; resource constraints for smaller healthcare entities; rapid technology evolution outpacing regulation. Consult framework evaluation literature for specifics.</t>
        </is>
      </c>
      <c r="AL131" s="175" t="inlineStr">
        <is>
          <t>Framework comparison requires contextual analysis. Key comparators: NIST CSF 2.0 (international benchmark), ISO 27001 (certifiable standard), ECC-2 (KSA mandatory baseline). See main database for cross-framework mapping.</t>
        </is>
      </c>
      <c r="AM131" s="1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31" s="177" t="inlineStr">
        <is>
          <t>Official: Consult the official source URL in the database for the primary document. Training: ISACA, ISC2, RAPS, IAPP, and HIMSS offer professional development covering most regulatory domains. Estimated hours vary by framework complexity.</t>
        </is>
      </c>
      <c r="AO131" s="178" t="inlineStr">
        <is>
          <t>Relevance to GH-ICGA framework varies by layer — see GH-ICGA Layer Mapping column. All KSA mandatory frameworks are compliance inputs to GH-ICGA Layer 4. Frameworks with IoMT-specific provisions directly inform Layers 2 and 3.</t>
        </is>
      </c>
      <c r="AP131" s="51" t="inlineStr">
        <is>
          <t>G + C (Governance + Compliance — standard regulatory framework positioning)</t>
        </is>
      </c>
      <c r="AQ131" s="179" t="inlineStr">
        <is>
          <t>Senior management: accountability for framework compliance. Designated compliance officer: monitor requirements. All staff: awareness of applicable obligations</t>
        </is>
      </c>
      <c r="AR131" s="174" t="inlineStr">
        <is>
          <t>Regulatory Risk; Operational Risk; Reputational Risk — specific domains determined by framework scope</t>
        </is>
      </c>
      <c r="AS131" s="22" t="inlineStr">
        <is>
          <t>See official source — legal obligation, regulatory requirement, or voluntary standard as applicable</t>
        </is>
      </c>
      <c r="AT131" s="175" t="inlineStr">
        <is>
          <t>Administrative; Technical; Operational — specific distribution determined by framework content</t>
        </is>
      </c>
      <c r="AU131" s="180" t="inlineStr">
        <is>
          <t>1. Compliance status (compliant/non-compliant). 2. # open findings from last assessment. 3. % controls implemented. 4. Time to remediate findings. 5. Incident rate in framework scope area</t>
        </is>
      </c>
      <c r="AV131" s="181" t="inlineStr">
        <is>
          <t>Self-assessment; internal audit; external assessment as specified by issuing authority</t>
        </is>
      </c>
      <c r="AW131" s="182" t="inlineStr">
        <is>
          <t>ServiceNow GRC; IBM OpenPages; RSA Archer; MetricStream — all major GRC platforms support custom framework import. Contact vendor for framework-specific module</t>
        </is>
      </c>
      <c r="AX131" s="183" t="inlineStr">
        <is>
          <t>Third parties in scope must demonstrate equivalent compliance. Contractual compliance obligations; right-to-audit clauses; annual third-party assessment</t>
        </is>
      </c>
      <c r="AY131" s="184" t="inlineStr">
        <is>
          <t>Non-compliance: regulatory action by issuing authority; fines and penalties as specified; operational and reputational consequences</t>
        </is>
      </c>
      <c r="AZ131" s="181" t="inlineStr">
        <is>
          <t>Sector-specific — consult official source</t>
        </is>
      </c>
      <c r="BA131" s="41" t="inlineStr">
        <is>
          <t>Sector-Specific</t>
        </is>
      </c>
      <c r="BB131" s="591">
        <f>IF(E131="","",IF(ISNUMBER(SEARCH("Institutional theory and regulatory governance theory underpin",AI131)),"TEMPLATE",IF(LEN(AI131)&gt;100,"DEEP",IF(AI131="","SPARSE","SHALLOW"))))</f>
        <v/>
      </c>
      <c r="BC131" s="591">
        <f>IF(E131="","",D131&amp;"-"&amp;B131&amp;"-"&amp;E131)</f>
        <v/>
      </c>
      <c r="BD131" s="591">
        <f>IF(E131="","",SUBSTITUTE(SUBSTITUTE(B131&amp;"-"&amp;E131," ",""),":","-"))</f>
        <v/>
      </c>
      <c r="BE131" s="591">
        <f>IF(E131="","",IF(ISNUMBER(SEARCH("ECC",E131)),"NCA-ECC-2-2024",IF(ISNUMBER(SEARCH("OTCC",E131)),"NCA-ECC-2-2024",IF(ISNUMBER(SEARCH("CCC",E131)),"NCA-ECC-2-2024",IF(ISNUMBER(SEARCH("DCC",E131)),"NCA-ECC-2-2024",IF(ISNUMBER(SEARCH("CSCC",E131)),"NCA-ECC-2-2024",IF(ISNUMBER(SEARCH("PDPL-IR",E131)),"PDPL-2021",IF(ISNUMBER(SEARCH("PDPL-DTR",E131)),"PDPL-2021","NONE"))))))))</f>
        <v/>
      </c>
      <c r="BF131" s="594">
        <f>IF(E131="","",IF(BB131="DEEP",10,IF(BB131="SHALLOW",5,IF(BB131="TEMPLATE",3,1)))+IF(N131="HIGHEST",5,IF(N131="HIGH",3,IF(N131="MODERATE",1,0)))+IF(ISNUMBER(SEARCH("Mandatory",L131)),3,0))</f>
        <v/>
      </c>
    </row>
    <row r="132" ht="42" customHeight="1">
      <c r="A132" s="166" t="n">
        <v>119</v>
      </c>
      <c r="B132" s="167" t="inlineStr">
        <is>
          <t>SASO</t>
        </is>
      </c>
      <c r="C132" s="168" t="inlineStr">
        <is>
          <t>Saudi Standards Metrology &amp; Quality Org.</t>
        </is>
      </c>
      <c r="D132" s="168" t="inlineStr">
        <is>
          <t>7. Standards &amp; Quality</t>
        </is>
      </c>
      <c r="E132" s="167" t="inlineStr">
        <is>
          <t>NCA-ECC-2:2024</t>
        </is>
      </c>
      <c r="F132" s="169" t="inlineStr">
        <is>
          <t>Essential Cybersecurity Controls</t>
        </is>
      </c>
      <c r="G132" s="168" t="inlineStr">
        <is>
          <t>ضوابط الأمن السيبراني الأساسية</t>
        </is>
      </c>
      <c r="H132" s="168" t="inlineStr">
        <is>
          <t>ECC-2:2024</t>
        </is>
      </c>
      <c r="I132" s="170" t="inlineStr">
        <is>
          <t>2018</t>
        </is>
      </c>
      <c r="J132" s="170" t="inlineStr">
        <is>
          <t>108</t>
        </is>
      </c>
      <c r="K132" s="168" t="inlineStr">
        <is>
          <t>MUST COMPLY WITH</t>
        </is>
      </c>
      <c r="L132" s="66" t="inlineStr">
        <is>
          <t>Mandatory Complier</t>
        </is>
      </c>
      <c r="M132" s="168" t="inlineStr">
        <is>
          <t>SASO as government entity</t>
        </is>
      </c>
      <c r="N132" s="171" t="inlineStr">
        <is>
          <t>HIGH</t>
        </is>
      </c>
      <c r="O132" s="172" t="inlineStr">
        <is>
          <t>https://nca.gov.sa/</t>
        </is>
      </c>
      <c r="P132" s="168" t="inlineStr">
        <is>
          <t>NCA ECC scope</t>
        </is>
      </c>
      <c r="Q132" s="168" t="inlineStr">
        <is>
          <t>See official source for version history</t>
        </is>
      </c>
      <c r="R132" s="168" t="inlineStr">
        <is>
          <t>Framework issued by the relevant authority. Version details available on the official website referenced in the source URL column. The framework has been updated periodically since first issuance.</t>
        </is>
      </c>
      <c r="S132" s="170" t="inlineStr">
        <is>
          <t>See official source</t>
        </is>
      </c>
      <c r="T132" s="168" t="inlineStr">
        <is>
          <t>Updated as needed by the issuing authority</t>
        </is>
      </c>
      <c r="U132" s="25" t="inlineStr">
        <is>
          <t>CURRENT — consult official source for latest version</t>
        </is>
      </c>
      <c r="V132" s="168" t="inlineStr">
        <is>
          <t>Penalties defined by issuing authority; consult official source. NCA ECC-2 penalties apply if relevant</t>
        </is>
      </c>
      <c r="W132" s="169" t="inlineStr">
        <is>
          <t>Issuing authority and/or designated inspection department</t>
        </is>
      </c>
      <c r="X132" s="168" t="inlineStr">
        <is>
          <t>As specified in framework scope — consult official document</t>
        </is>
      </c>
      <c r="Y132" s="49" t="inlineStr">
        <is>
          <t>Both (unless specified otherwise in official document)</t>
        </is>
      </c>
      <c r="Z132" s="168" t="inlineStr">
        <is>
          <t>As defined by issuing authority</t>
        </is>
      </c>
      <c r="AA132" s="170" t="inlineStr">
        <is>
          <t>As defined by issuing authority</t>
        </is>
      </c>
      <c r="AB132" s="168" t="inlineStr">
        <is>
          <t>To be determined from framework text — see official source</t>
        </is>
      </c>
      <c r="AC132" s="168" t="inlineStr">
        <is>
          <t>See framework preamble for international standard references</t>
        </is>
      </c>
      <c r="AD132" s="49" t="inlineStr">
        <is>
          <t>Arabic (primary in KSA); English may be available</t>
        </is>
      </c>
      <c r="AE132" s="58" t="inlineStr">
        <is>
          <t>Mapped to relevant GH-ICGA layer — requires manual assessment</t>
        </is>
      </c>
      <c r="AF132" s="56" t="inlineStr">
        <is>
          <t>See official framework for maturity model details</t>
        </is>
      </c>
      <c r="AG132" s="168" t="inlineStr">
        <is>
          <t>Aligned with relevant Vision 2030 programme — see framework context</t>
        </is>
      </c>
      <c r="AH132" s="168" t="inlineStr">
        <is>
          <t>As specified in framework compliance requirements</t>
        </is>
      </c>
      <c r="AI132" s="173" t="inlineStr">
        <is>
          <t>Institutional theory and regulatory governance theory underpin all KSA regulatory frameworks. Specific theoretical basis varies by framework — consult academic literature via Google Scholar using framework name as search term.</t>
        </is>
      </c>
      <c r="AJ132" s="168" t="inlineStr">
        <is>
          <t>Academic debate varies by framework maturity and international adoption. For KSA-specific debate, consult: Almohammad &amp; Wills (2021) J Cybersecurity; Al-Khater et al. (2020) IEEE Access; Baker McKenzie KSA regulatory updates.</t>
        </is>
      </c>
      <c r="AK132" s="174" t="inlineStr">
        <is>
          <t>Known criticisms include: implementation gap between standards and practice; resource constraints for smaller healthcare entities; rapid technology evolution outpacing regulation. Consult framework evaluation literature for specifics.</t>
        </is>
      </c>
      <c r="AL132" s="175" t="inlineStr">
        <is>
          <t>Framework comparison requires contextual analysis. Key comparators: NIST CSF 2.0 (international benchmark), ISO 27001 (certifiable standard), ECC-2 (KSA mandatory baseline). See main database for cross-framework mapping.</t>
        </is>
      </c>
      <c r="AM132" s="1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32" s="177" t="inlineStr">
        <is>
          <t>Official: Consult the official source URL in the database for the primary document. Training: ISACA, ISC2, RAPS, IAPP, and HIMSS offer professional development covering most regulatory domains. Estimated hours vary by framework complexity.</t>
        </is>
      </c>
      <c r="AO132" s="178" t="inlineStr">
        <is>
          <t>Relevance to GH-ICGA framework varies by layer — see GH-ICGA Layer Mapping column. All KSA mandatory frameworks are compliance inputs to GH-ICGA Layer 4. Frameworks with IoMT-specific provisions directly inform Layers 2 and 3.</t>
        </is>
      </c>
      <c r="AP132" s="51" t="inlineStr">
        <is>
          <t>G + C (Governance + Compliance — standard regulatory framework positioning)</t>
        </is>
      </c>
      <c r="AQ132" s="179" t="inlineStr">
        <is>
          <t>Senior management: accountability for framework compliance. Designated compliance officer: monitor requirements. All staff: awareness of applicable obligations</t>
        </is>
      </c>
      <c r="AR132" s="174" t="inlineStr">
        <is>
          <t>Regulatory Risk; Operational Risk; Reputational Risk — specific domains determined by framework scope</t>
        </is>
      </c>
      <c r="AS132" s="22" t="inlineStr">
        <is>
          <t>See official source — legal obligation, regulatory requirement, or voluntary standard as applicable</t>
        </is>
      </c>
      <c r="AT132" s="175" t="inlineStr">
        <is>
          <t>Administrative; Technical; Operational — specific distribution determined by framework content</t>
        </is>
      </c>
      <c r="AU132" s="180" t="inlineStr">
        <is>
          <t>1. Compliance status (compliant/non-compliant). 2. # open findings from last assessment. 3. % controls implemented. 4. Time to remediate findings. 5. Incident rate in framework scope area</t>
        </is>
      </c>
      <c r="AV132" s="181" t="inlineStr">
        <is>
          <t>Self-assessment; internal audit; external assessment as specified by issuing authority</t>
        </is>
      </c>
      <c r="AW132" s="182" t="inlineStr">
        <is>
          <t>ServiceNow GRC; IBM OpenPages; RSA Archer; MetricStream — all major GRC platforms support custom framework import. Contact vendor for framework-specific module</t>
        </is>
      </c>
      <c r="AX132" s="183" t="inlineStr">
        <is>
          <t>Third parties in scope must demonstrate equivalent compliance. Contractual compliance obligations; right-to-audit clauses; annual third-party assessment</t>
        </is>
      </c>
      <c r="AY132" s="184" t="inlineStr">
        <is>
          <t>Non-compliance: regulatory action by issuing authority; fines and penalties as specified; operational and reputational consequences</t>
        </is>
      </c>
      <c r="AZ132" s="181" t="inlineStr">
        <is>
          <t>ALL 17 SECTORS</t>
        </is>
      </c>
      <c r="BA132" s="34" t="inlineStr">
        <is>
          <t>YES — ALL SECTORS</t>
        </is>
      </c>
      <c r="BB132" s="591">
        <f>IF(E132="","",IF(ISNUMBER(SEARCH("Institutional theory and regulatory governance theory underpin",AI132)),"TEMPLATE",IF(LEN(AI132)&gt;100,"DEEP",IF(AI132="","SPARSE","SHALLOW"))))</f>
        <v/>
      </c>
      <c r="BC132" s="591">
        <f>IF(E132="","",D132&amp;"-"&amp;B132&amp;"-"&amp;E132)</f>
        <v/>
      </c>
      <c r="BD132" s="591">
        <f>IF(E132="","",SUBSTITUTE(SUBSTITUTE(B132&amp;"-"&amp;E132," ",""),":","-"))</f>
        <v/>
      </c>
      <c r="BE132" s="591">
        <f>IF(E132="","",IF(ISNUMBER(SEARCH("ECC",E132)),"NCA-ECC-2-2024",IF(ISNUMBER(SEARCH("OTCC",E132)),"NCA-ECC-2-2024",IF(ISNUMBER(SEARCH("CCC",E132)),"NCA-ECC-2-2024",IF(ISNUMBER(SEARCH("DCC",E132)),"NCA-ECC-2-2024",IF(ISNUMBER(SEARCH("CSCC",E132)),"NCA-ECC-2-2024",IF(ISNUMBER(SEARCH("PDPL-IR",E132)),"PDPL-2021",IF(ISNUMBER(SEARCH("PDPL-DTR",E132)),"PDPL-2021","NONE"))))))))</f>
        <v/>
      </c>
      <c r="BF132" s="594">
        <f>IF(E132="","",IF(BB132="DEEP",10,IF(BB132="SHALLOW",5,IF(BB132="TEMPLATE",3,1)))+IF(N132="HIGHEST",5,IF(N132="HIGH",3,IF(N132="MODERATE",1,0)))+IF(ISNUMBER(SEARCH("Mandatory",L132)),3,0))</f>
        <v/>
      </c>
    </row>
    <row r="133">
      <c r="BB133" s="591">
        <f>IF(E133="","",IF(ISNUMBER(SEARCH("Institutional theory and regulatory governance theory underpin",AI133)),"TEMPLATE",IF(LEN(AI133)&gt;100,"DEEP",IF(AI133="","SPARSE","SHALLOW"))))</f>
        <v/>
      </c>
      <c r="BC133" s="591">
        <f>IF(E133="","",D133&amp;"-"&amp;B133&amp;"-"&amp;E133)</f>
        <v/>
      </c>
      <c r="BD133" s="591">
        <f>IF(E133="","",SUBSTITUTE(SUBSTITUTE(B133&amp;"-"&amp;E133," ",""),":","-"))</f>
        <v/>
      </c>
      <c r="BE133" s="591">
        <f>IF(E133="","",IF(ISNUMBER(SEARCH("ECC",E133)),"NCA-ECC-2-2024",IF(ISNUMBER(SEARCH("OTCC",E133)),"NCA-ECC-2-2024",IF(ISNUMBER(SEARCH("CCC",E133)),"NCA-ECC-2-2024",IF(ISNUMBER(SEARCH("DCC",E133)),"NCA-ECC-2-2024",IF(ISNUMBER(SEARCH("CSCC",E133)),"NCA-ECC-2-2024",IF(ISNUMBER(SEARCH("PDPL-IR",E133)),"PDPL-2021",IF(ISNUMBER(SEARCH("PDPL-DTR",E133)),"PDPL-2021","NONE"))))))))</f>
        <v/>
      </c>
      <c r="BF133" s="594">
        <f>IF(E133="","",IF(BB133="DEEP",10,IF(BB133="SHALLOW",5,IF(BB133="TEMPLATE",3,1)))+IF(N133="HIGHEST",5,IF(N133="HIGH",3,IF(N133="MODERATE",1,0)))+IF(ISNUMBER(SEARCH("Mandatory",L133)),3,0))</f>
        <v/>
      </c>
    </row>
    <row r="134" ht="19.5" customHeight="1">
      <c r="A134" s="187" t="n"/>
      <c r="B134" s="188" t="inlineStr">
        <is>
          <t xml:space="preserve">  ── 1. Ministries ──</t>
        </is>
      </c>
      <c r="C134" s="187" t="n"/>
      <c r="D134" s="187" t="n"/>
      <c r="E134" s="187" t="n"/>
      <c r="F134" s="187" t="n"/>
      <c r="G134" s="187" t="n"/>
      <c r="H134" s="187" t="n"/>
      <c r="I134" s="187" t="n"/>
      <c r="J134" s="187" t="n"/>
      <c r="K134" s="187" t="n"/>
      <c r="L134" s="187" t="n"/>
      <c r="M134" s="187" t="n"/>
      <c r="N134" s="187" t="n"/>
      <c r="O134" s="187" t="n"/>
      <c r="P134" s="187" t="n"/>
      <c r="BB134" s="591">
        <f>IF(E134="","",IF(ISNUMBER(SEARCH("Institutional theory and regulatory governance theory underpin",AI134)),"TEMPLATE",IF(LEN(AI134)&gt;100,"DEEP",IF(AI134="","SPARSE","SHALLOW"))))</f>
        <v/>
      </c>
      <c r="BC134" s="591">
        <f>IF(E134="","",D134&amp;"-"&amp;B134&amp;"-"&amp;E134)</f>
        <v/>
      </c>
      <c r="BD134" s="591">
        <f>IF(E134="","",SUBSTITUTE(SUBSTITUTE(B134&amp;"-"&amp;E134," ",""),":","-"))</f>
        <v/>
      </c>
      <c r="BE134" s="591">
        <f>IF(E134="","",IF(ISNUMBER(SEARCH("ECC",E134)),"NCA-ECC-2-2024",IF(ISNUMBER(SEARCH("OTCC",E134)),"NCA-ECC-2-2024",IF(ISNUMBER(SEARCH("CCC",E134)),"NCA-ECC-2-2024",IF(ISNUMBER(SEARCH("DCC",E134)),"NCA-ECC-2-2024",IF(ISNUMBER(SEARCH("CSCC",E134)),"NCA-ECC-2-2024",IF(ISNUMBER(SEARCH("PDPL-IR",E134)),"PDPL-2021",IF(ISNUMBER(SEARCH("PDPL-DTR",E134)),"PDPL-2021","NONE"))))))))</f>
        <v/>
      </c>
      <c r="BF134" s="594">
        <f>IF(E134="","",IF(BB134="DEEP",10,IF(BB134="SHALLOW",5,IF(BB134="TEMPLATE",3,1)))+IF(N134="HIGHEST",5,IF(N134="HIGH",3,IF(N134="MODERATE",1,0)))+IF(ISNUMBER(SEARCH("Mandatory",L134)),3,0))</f>
        <v/>
      </c>
    </row>
    <row r="135" ht="42" customHeight="1">
      <c r="A135" s="42" t="n">
        <v>120</v>
      </c>
      <c r="B135" s="189" t="inlineStr">
        <is>
          <t>MHRSD</t>
        </is>
      </c>
      <c r="C135" s="44" t="inlineStr">
        <is>
          <t>Ministry Human Resources &amp; Social Dev.</t>
        </is>
      </c>
      <c r="D135" s="44" t="inlineStr">
        <is>
          <t>1. Ministries</t>
        </is>
      </c>
      <c r="E135" s="189" t="inlineStr">
        <is>
          <t>MHRSD-LL</t>
        </is>
      </c>
      <c r="F135" s="45" t="inlineStr">
        <is>
          <t>Labour Law &amp; Implementing Regulations</t>
        </is>
      </c>
      <c r="G135" s="44" t="inlineStr">
        <is>
          <t>نظام العمل</t>
        </is>
      </c>
      <c r="H135" s="44" t="inlineStr">
        <is>
          <t>Updated 2024</t>
        </is>
      </c>
      <c r="I135" s="46" t="inlineStr">
        <is>
          <t>2005</t>
        </is>
      </c>
      <c r="J135" s="46" t="inlineStr">
        <is>
          <t>245</t>
        </is>
      </c>
      <c r="K135" s="44" t="inlineStr">
        <is>
          <t>ISSUES/ENFORCES</t>
        </is>
      </c>
      <c r="L135" s="22" t="inlineStr">
        <is>
          <t>Mandatory Enforcer</t>
        </is>
      </c>
      <c r="M135" s="44" t="inlineStr">
        <is>
          <t>All employers — hospitals, clinics, health IT companies</t>
        </is>
      </c>
      <c r="N135" s="55" t="inlineStr">
        <is>
          <t>MODERATE</t>
        </is>
      </c>
      <c r="O135" s="48" t="inlineStr">
        <is>
          <t>https://www.hrsd.gov.sa/en</t>
        </is>
      </c>
      <c r="P135" s="44" t="inlineStr">
        <is>
          <t>MHRSD official</t>
        </is>
      </c>
      <c r="Q135" s="190" t="inlineStr">
        <is>
          <t>Royal Decree M/51 2005 → updates 2021 → 2024</t>
        </is>
      </c>
      <c r="R135" s="190" t="inlineStr">
        <is>
          <t>2005 (original): basic employment law. 2021 major update: remote work provisions added; flexible work contracts; parental leave expanded. 2024 update: enhanced parental leave (including paternity); anti-harassment provisions; Saudisation penalties strengthened; healthcare sector-specific provisions for 24/7 shift workers; clarified overtime for healthcare workers during emergencies</t>
        </is>
      </c>
      <c r="S135" s="191" t="inlineStr">
        <is>
          <t>Original: 2005 (RD M/51). Updated: 2021, 2024</t>
        </is>
      </c>
      <c r="T135" s="190" t="inlineStr">
        <is>
          <t>Biennial review; sector-specific guidance periodic</t>
        </is>
      </c>
      <c r="U135" s="25" t="inlineStr">
        <is>
          <t>CURRENT — 2024 version</t>
        </is>
      </c>
      <c r="V135" s="190" t="inlineStr">
        <is>
          <t>Penalties defined by issuing authority; consult official source. NCA ECC-2 penalties apply if relevant</t>
        </is>
      </c>
      <c r="W135" s="192" t="inlineStr">
        <is>
          <t>Issuing authority and/or designated inspection department</t>
        </is>
      </c>
      <c r="X135" s="190" t="inlineStr">
        <is>
          <t>As specified in framework scope — consult official document</t>
        </is>
      </c>
      <c r="Y135" s="49" t="inlineStr">
        <is>
          <t>Both (unless specified otherwise in official document)</t>
        </is>
      </c>
      <c r="Z135" s="190" t="inlineStr">
        <is>
          <t>As defined by issuing authority</t>
        </is>
      </c>
      <c r="AA135" s="191" t="inlineStr">
        <is>
          <t>As defined by issuing authority</t>
        </is>
      </c>
      <c r="AB135" s="190" t="inlineStr">
        <is>
          <t>To be determined from framework text — see official source</t>
        </is>
      </c>
      <c r="AC135" s="190" t="inlineStr">
        <is>
          <t>See framework preamble for international standard references</t>
        </is>
      </c>
      <c r="AD135" s="49" t="inlineStr">
        <is>
          <t>Arabic (primary in KSA); English may be available</t>
        </is>
      </c>
      <c r="AE135" s="58" t="inlineStr">
        <is>
          <t>Mapped to relevant GH-ICGA layer — requires manual assessment</t>
        </is>
      </c>
      <c r="AF135" s="56" t="inlineStr">
        <is>
          <t>See official framework for maturity model details</t>
        </is>
      </c>
      <c r="AG135" s="190" t="inlineStr">
        <is>
          <t>Aligned with relevant Vision 2030 programme — see framework context</t>
        </is>
      </c>
      <c r="AH135" s="190" t="inlineStr">
        <is>
          <t>As specified in framework compliance requirements</t>
        </is>
      </c>
      <c r="AI135" s="193" t="inlineStr">
        <is>
          <t>Institutional theory and regulatory governance theory underpin all KSA regulatory frameworks. Specific theoretical basis varies by framework — consult academic literature via Google Scholar using framework name as search term.</t>
        </is>
      </c>
      <c r="AJ135" s="190" t="inlineStr">
        <is>
          <t>Academic debate varies by framework maturity and international adoption. For KSA-specific debate, consult: Almohammad &amp; Wills (2021) J Cybersecurity; Al-Khater et al. (2020) IEEE Access; Baker McKenzie KSA regulatory updates.</t>
        </is>
      </c>
      <c r="AK135" s="194" t="inlineStr">
        <is>
          <t>Known criticisms include: implementation gap between standards and practice; resource constraints for smaller healthcare entities; rapid technology evolution outpacing regulation. Consult framework evaluation literature for specifics.</t>
        </is>
      </c>
      <c r="AL135" s="195" t="inlineStr">
        <is>
          <t>Framework comparison requires contextual analysis. Key comparators: NIST CSF 2.0 (international benchmark), ISO 27001 (certifiable standard), ECC-2 (KSA mandatory baseline). See main database for cross-framework mapping.</t>
        </is>
      </c>
      <c r="AM135" s="19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35" s="197" t="inlineStr">
        <is>
          <t>Official: Consult the official source URL in the database for the primary document. Training: ISACA, ISC2, RAPS, IAPP, and HIMSS offer professional development covering most regulatory domains. Estimated hours vary by framework complexity.</t>
        </is>
      </c>
      <c r="AO135" s="198" t="inlineStr">
        <is>
          <t>Relevance to GH-ICGA framework varies by layer — see GH-ICGA Layer Mapping column. All KSA mandatory frameworks are compliance inputs to GH-ICGA Layer 4. Frameworks with IoMT-specific provisions directly inform Layers 2 and 3.</t>
        </is>
      </c>
      <c r="AP135" s="51" t="inlineStr">
        <is>
          <t>G + C (Governance + Compliance — standard regulatory framework positioning)</t>
        </is>
      </c>
      <c r="AQ135" s="26" t="inlineStr">
        <is>
          <t>Senior management: accountability for framework compliance. Designated compliance officer: monitor requirements. All staff: awareness of applicable obligations</t>
        </is>
      </c>
      <c r="AR135" s="194" t="inlineStr">
        <is>
          <t>Regulatory Risk; Operational Risk; Reputational Risk — specific domains determined by framework scope</t>
        </is>
      </c>
      <c r="AS135" s="22" t="inlineStr">
        <is>
          <t>See official source — legal obligation, regulatory requirement, or voluntary standard as applicable</t>
        </is>
      </c>
      <c r="AT135" s="195" t="inlineStr">
        <is>
          <t>Administrative; Technical; Operational — specific distribution determined by framework content</t>
        </is>
      </c>
      <c r="AU135" s="199" t="inlineStr">
        <is>
          <t>1. Compliance status (compliant/non-compliant). 2. # open findings from last assessment. 3. % controls implemented. 4. Time to remediate findings. 5. Incident rate in framework scope area</t>
        </is>
      </c>
      <c r="AV135" s="200" t="inlineStr">
        <is>
          <t>Self-assessment; internal audit; external assessment as specified by issuing authority</t>
        </is>
      </c>
      <c r="AW135" s="201" t="inlineStr">
        <is>
          <t>ServiceNow GRC; IBM OpenPages; RSA Archer; MetricStream — all major GRC platforms support custom framework import. Contact vendor for framework-specific module</t>
        </is>
      </c>
      <c r="AX135" s="202" t="inlineStr">
        <is>
          <t>Third parties in scope must demonstrate equivalent compliance. Contractual compliance obligations; right-to-audit clauses; annual third-party assessment</t>
        </is>
      </c>
      <c r="AY135" s="203" t="inlineStr">
        <is>
          <t>Non-compliance: regulatory action by issuing authority; fines and penalties as specified; operational and reputational consequences</t>
        </is>
      </c>
      <c r="AZ135" s="200" t="inlineStr">
        <is>
          <t>ALL 17 SECTORS — all employers</t>
        </is>
      </c>
      <c r="BA135" s="34" t="inlineStr">
        <is>
          <t>YES — ALL SECTORS</t>
        </is>
      </c>
      <c r="BB135" s="591">
        <f>IF(E135="","",IF(ISNUMBER(SEARCH("Institutional theory and regulatory governance theory underpin",AI135)),"TEMPLATE",IF(LEN(AI135)&gt;100,"DEEP",IF(AI135="","SPARSE","SHALLOW"))))</f>
        <v/>
      </c>
      <c r="BC135" s="591">
        <f>IF(E135="","",D135&amp;"-"&amp;B135&amp;"-"&amp;E135)</f>
        <v/>
      </c>
      <c r="BD135" s="591">
        <f>IF(E135="","",SUBSTITUTE(SUBSTITUTE(B135&amp;"-"&amp;E135," ",""),":","-"))</f>
        <v/>
      </c>
      <c r="BE135" s="591">
        <f>IF(E135="","",IF(ISNUMBER(SEARCH("ECC",E135)),"NCA-ECC-2-2024",IF(ISNUMBER(SEARCH("OTCC",E135)),"NCA-ECC-2-2024",IF(ISNUMBER(SEARCH("CCC",E135)),"NCA-ECC-2-2024",IF(ISNUMBER(SEARCH("DCC",E135)),"NCA-ECC-2-2024",IF(ISNUMBER(SEARCH("CSCC",E135)),"NCA-ECC-2-2024",IF(ISNUMBER(SEARCH("PDPL-IR",E135)),"PDPL-2021",IF(ISNUMBER(SEARCH("PDPL-DTR",E135)),"PDPL-2021","NONE"))))))))</f>
        <v/>
      </c>
      <c r="BF135" s="594">
        <f>IF(E135="","",IF(BB135="DEEP",10,IF(BB135="SHALLOW",5,IF(BB135="TEMPLATE",3,1)))+IF(N135="HIGHEST",5,IF(N135="HIGH",3,IF(N135="MODERATE",1,0)))+IF(ISNUMBER(SEARCH("Mandatory",L135)),3,0))</f>
        <v/>
      </c>
    </row>
    <row r="136" ht="42" customHeight="1">
      <c r="A136" s="204" t="n">
        <v>121</v>
      </c>
      <c r="B136" s="205" t="inlineStr">
        <is>
          <t>MHRSD</t>
        </is>
      </c>
      <c r="C136" s="190" t="inlineStr">
        <is>
          <t>Ministry Human Resources &amp; Social Dev.</t>
        </is>
      </c>
      <c r="D136" s="190" t="inlineStr">
        <is>
          <t>1. Ministries</t>
        </is>
      </c>
      <c r="E136" s="205" t="inlineStr">
        <is>
          <t>MHRSD-NITAQAT</t>
        </is>
      </c>
      <c r="F136" s="192" t="inlineStr">
        <is>
          <t>Saudisation / Nitaqat System</t>
        </is>
      </c>
      <c r="G136" s="190" t="inlineStr">
        <is>
          <t>نطاقات</t>
        </is>
      </c>
      <c r="H136" s="190" t="inlineStr">
        <is>
          <t>Annual update</t>
        </is>
      </c>
      <c r="I136" s="191" t="inlineStr">
        <is>
          <t>2011</t>
        </is>
      </c>
      <c r="J136" s="191" t="inlineStr">
        <is>
          <t>N/A</t>
        </is>
      </c>
      <c r="K136" s="190" t="inlineStr">
        <is>
          <t>ISSUES/ENFORCES</t>
        </is>
      </c>
      <c r="L136" s="22" t="inlineStr">
        <is>
          <t>Mandatory Enforcer</t>
        </is>
      </c>
      <c r="M136" s="190" t="inlineStr">
        <is>
          <t>All private sector employers — cyber roles must be Saudi (NCA ECC-2)</t>
        </is>
      </c>
      <c r="N136" s="206" t="inlineStr">
        <is>
          <t>HIGH</t>
        </is>
      </c>
      <c r="O136" s="207" t="inlineStr">
        <is>
          <t>https://www.hrsd.gov.sa/en</t>
        </is>
      </c>
      <c r="P136" s="190" t="inlineStr">
        <is>
          <t>MHRSD official; Clyde &amp; Co Jan 2025</t>
        </is>
      </c>
      <c r="Q136" s="190" t="inlineStr">
        <is>
          <t>Launched 2011 → multiple updates; ECC-2 cybersecurity Saudisation 2024</t>
        </is>
      </c>
      <c r="R136" s="190" t="inlineStr">
        <is>
          <t>Nitaqat (Saudisation): quota system by company size and sector. Healthcare sector: tiered quotas for physicians, nurses, pharmacists, admin staff. 2024 critical update — NCA ECC-2 mandates ALL cybersecurity positions in ECC-scope entities (including hospitals) must be filled by Saudi nationals. Colours: Platinum (&gt;&gt;=quota) / Green (meets) / Yellow (below) / Red (significantly below). Non-compliant companies face: work visa bans, government service restrictions</t>
        </is>
      </c>
      <c r="S136" s="191" t="inlineStr">
        <is>
          <t>Launched: 2011. Annual sector-specific updates. ECC-2 cyber Saudisation: Oct 2024</t>
        </is>
      </c>
      <c r="T136" s="190" t="inlineStr">
        <is>
          <t>Annual quota updates; cybersecurity Saudisation deadline: Oct 2025</t>
        </is>
      </c>
      <c r="U136" s="25" t="inlineStr">
        <is>
          <t>CURRENT — 2024 version with cyber Saudisation mandate</t>
        </is>
      </c>
      <c r="V136" s="190" t="inlineStr">
        <is>
          <t>Red zone: work visa ban; government services suspension; business licence at risk; SAR fines per violation; forced nationalisation order</t>
        </is>
      </c>
      <c r="W136" s="192" t="inlineStr">
        <is>
          <t>MHRSD — Labour Inspection Department; Qiwa platform automated monitoring; NCA enforces cyber Saudisation via NCA-REG-2024</t>
        </is>
      </c>
      <c r="X136" s="190" t="inlineStr">
        <is>
          <t>Hospital; Clinic; Health IT Vendor; Medical Device Manufacturer; Health Insurer; Pharmacy (private sector employers)</t>
        </is>
      </c>
      <c r="Y136" s="49" t="inlineStr">
        <is>
          <t>Private sector only (Saudisation does not formally apply to government)</t>
        </is>
      </c>
      <c r="Z136" s="190" t="inlineStr">
        <is>
          <t>Qiwa platform continuous monitoring; MHRSD labour inspection; NCA cyber workforce compliance audit</t>
        </is>
      </c>
      <c r="AA136" s="191" t="inlineStr">
        <is>
          <t>Continuous (Qiwa real-time); quarterly colour rating update</t>
        </is>
      </c>
      <c r="AB136" s="190" t="inlineStr">
        <is>
          <t>3 (cybersecurity roles for IoMT system administrators; biomedical engineer Saudisation; clinical informatics staff)</t>
        </is>
      </c>
      <c r="AC136" s="190" t="inlineStr">
        <is>
          <t>ILO standards (employment); regional Saudisation comparators (Emiratisation UAE, Omanisation)</t>
        </is>
      </c>
      <c r="AD136" s="49" t="inlineStr">
        <is>
          <t>Arabic (primary); English guidance on Qiwa portal</t>
        </is>
      </c>
      <c r="AE136" s="26" t="inlineStr">
        <is>
          <t>Layer 1: Governance</t>
        </is>
      </c>
      <c r="AF136" s="56" t="inlineStr">
        <is>
          <t>Colour-coded zone system: Platinum / Green / Yellow / Red — updated quarterly</t>
        </is>
      </c>
      <c r="AG136" s="190" t="inlineStr">
        <is>
          <t>Vision 2030 Saudisation targets; National Labour Market Strategy; NCA SCyWF cybersecurity workforce development</t>
        </is>
      </c>
      <c r="AH136" s="190" t="inlineStr">
        <is>
          <t>GOSI registration records; Qiwa Nitaqat colour certificate; Saudi employee contracts; NCA ECC-2 cybersecurity role audit; SCFHS licence for Saudi clinical professionals</t>
        </is>
      </c>
      <c r="AI136" s="193" t="inlineStr">
        <is>
          <t>Institutional theory and regulatory governance theory underpin all KSA regulatory frameworks. Specific theoretical basis varies by framework — consult academic literature via Google Scholar using framework name as search term.</t>
        </is>
      </c>
      <c r="AJ136" s="190" t="inlineStr">
        <is>
          <t>Academic debate varies by framework maturity and international adoption. For KSA-specific debate, consult: Almohammad &amp; Wills (2021) J Cybersecurity; Al-Khater et al. (2020) IEEE Access; Baker McKenzie KSA regulatory updates.</t>
        </is>
      </c>
      <c r="AK136" s="194" t="inlineStr">
        <is>
          <t>Known criticisms include: implementation gap between standards and practice; resource constraints for smaller healthcare entities; rapid technology evolution outpacing regulation. Consult framework evaluation literature for specifics.</t>
        </is>
      </c>
      <c r="AL136" s="195" t="inlineStr">
        <is>
          <t>Framework comparison requires contextual analysis. Key comparators: NIST CSF 2.0 (international benchmark), ISO 27001 (certifiable standard), ECC-2 (KSA mandatory baseline). See main database for cross-framework mapping.</t>
        </is>
      </c>
      <c r="AM136" s="19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36" s="197" t="inlineStr">
        <is>
          <t>Official: Consult the official source URL in the database for the primary document. Training: ISACA, ISC2, RAPS, IAPP, and HIMSS offer professional development covering most regulatory domains. Estimated hours vary by framework complexity.</t>
        </is>
      </c>
      <c r="AO136" s="198" t="inlineStr">
        <is>
          <t>Relevance to GH-ICGA framework varies by layer — see GH-ICGA Layer Mapping column. All KSA mandatory frameworks are compliance inputs to GH-ICGA Layer 4. Frameworks with IoMT-specific provisions directly inform Layers 2 and 3.</t>
        </is>
      </c>
      <c r="AP136" s="51" t="inlineStr">
        <is>
          <t>G + C (workforce governance + regulatory compliance)</t>
        </is>
      </c>
      <c r="AQ136" s="26" t="inlineStr">
        <is>
          <t>CEO: organisation's Nitaqat colour rating — executive accountability. HR Director: Saudisation strategy and execution. CISO: ensure cybersecurity roles are Saudi nationals per NCA ECC-2. Department Heads: headcount planning within Saudisation quotas</t>
        </is>
      </c>
      <c r="AR136" s="194" t="inlineStr">
        <is>
          <t>Regulatory Risk; Operational Risk (recruitment constraints); Strategic Risk (Saudisation in skilled roles); Reputational Risk (Red zone = public knowledge)</t>
        </is>
      </c>
      <c r="AS136" s="22" t="inlineStr">
        <is>
          <t>LEGAL — Labour Law (RD M/51 2005 as amended). Enforced via Qiwa platform automated monitoring. Red zone: visa ban = operational inability to hire expats</t>
        </is>
      </c>
      <c r="AT136" s="195" t="inlineStr">
        <is>
          <t>Administrative (A): workforce planning; GOSI registration; Qiwa compliance; training programmes. Operational (O): recruitment pipeline for Saudi nationals; transfer of knowledge programmes</t>
        </is>
      </c>
      <c r="AU136" s="199" t="inlineStr">
        <is>
          <t>1. Nitaqat colour rating (target: Green or Platinum). 2. Saudisation percentage vs sector quota. 3. % cybersecurity roles filled by Saudi nationals (target 100% per NCA ECC-2). 4. Saudi employee retention rate (target &gt;85%). 5. Time-to-fill Saudi national vacancies (target &lt;60 days)</t>
        </is>
      </c>
      <c r="AV136" s="200" t="inlineStr">
        <is>
          <t>Qiwa platform continuous automated monitoring; GOSI contribution verification; MHRSD labour inspection (random); NCA audit (cybersecurity role Saudisation)</t>
        </is>
      </c>
      <c r="AW136" s="201" t="inlineStr">
        <is>
          <t>Qiwa portal (mandatory — MHRSD); GOSI self-service portal; SAP SuccessFactors (Saudisation tracking module); Oracle HCM; Workday HR (Saudisation reporting); HRDF Hadaf portal</t>
        </is>
      </c>
      <c r="AX136" s="202" t="inlineStr">
        <is>
          <t>Contractors: must meet Saudisation requirements independently; staffing agencies: Green zone minimum required; cybersecurity service providers: must employ Saudi nationals in roles working for client (NCA ECC-2 mandate)</t>
        </is>
      </c>
      <c r="AY136" s="203" t="inlineStr">
        <is>
          <t>Red zone: work visa ban (cannot hire expats) = operational impact on healthcare services heavily reliant on expat clinical staff; government service suspension; reputational damage (MHRSD public Nitaqat ratings); CCHI contract implications for private insurers</t>
        </is>
      </c>
      <c r="AZ136" s="200" t="inlineStr">
        <is>
          <t>ALL 17 SECTORS (private sector) — all private employers</t>
        </is>
      </c>
      <c r="BA136" s="34" t="inlineStr">
        <is>
          <t>YES — ALL SECTORS</t>
        </is>
      </c>
      <c r="BB136" s="591">
        <f>IF(E136="","",IF(ISNUMBER(SEARCH("Institutional theory and regulatory governance theory underpin",AI136)),"TEMPLATE",IF(LEN(AI136)&gt;100,"DEEP",IF(AI136="","SPARSE","SHALLOW"))))</f>
        <v/>
      </c>
      <c r="BC136" s="591">
        <f>IF(E136="","",D136&amp;"-"&amp;B136&amp;"-"&amp;E136)</f>
        <v/>
      </c>
      <c r="BD136" s="591">
        <f>IF(E136="","",SUBSTITUTE(SUBSTITUTE(B136&amp;"-"&amp;E136," ",""),":","-"))</f>
        <v/>
      </c>
      <c r="BE136" s="591">
        <f>IF(E136="","",IF(ISNUMBER(SEARCH("ECC",E136)),"NCA-ECC-2-2024",IF(ISNUMBER(SEARCH("OTCC",E136)),"NCA-ECC-2-2024",IF(ISNUMBER(SEARCH("CCC",E136)),"NCA-ECC-2-2024",IF(ISNUMBER(SEARCH("DCC",E136)),"NCA-ECC-2-2024",IF(ISNUMBER(SEARCH("CSCC",E136)),"NCA-ECC-2-2024",IF(ISNUMBER(SEARCH("PDPL-IR",E136)),"PDPL-2021",IF(ISNUMBER(SEARCH("PDPL-DTR",E136)),"PDPL-2021","NONE"))))))))</f>
        <v/>
      </c>
      <c r="BF136" s="594">
        <f>IF(E136="","",IF(BB136="DEEP",10,IF(BB136="SHALLOW",5,IF(BB136="TEMPLATE",3,1)))+IF(N136="HIGHEST",5,IF(N136="HIGH",3,IF(N136="MODERATE",1,0)))+IF(ISNUMBER(SEARCH("Mandatory",L136)),3,0))</f>
        <v/>
      </c>
    </row>
    <row r="137" ht="42" customHeight="1">
      <c r="A137" s="42" t="n">
        <v>122</v>
      </c>
      <c r="B137" s="189" t="inlineStr">
        <is>
          <t>MHRSD</t>
        </is>
      </c>
      <c r="C137" s="44" t="inlineStr">
        <is>
          <t>Ministry Human Resources &amp; Social Dev.</t>
        </is>
      </c>
      <c r="D137" s="44" t="inlineStr">
        <is>
          <t>1. Ministries</t>
        </is>
      </c>
      <c r="E137" s="189" t="inlineStr">
        <is>
          <t>OSH-REGS</t>
        </is>
      </c>
      <c r="F137" s="45" t="inlineStr">
        <is>
          <t>Occupational Safety &amp; Health Regulations</t>
        </is>
      </c>
      <c r="G137" s="44" t="inlineStr">
        <is>
          <t>لوائح السلامة والصحة المهنية</t>
        </is>
      </c>
      <c r="H137" s="44" t="inlineStr">
        <is>
          <t>Updated 2020</t>
        </is>
      </c>
      <c r="I137" s="46" t="inlineStr">
        <is>
          <t>2005</t>
        </is>
      </c>
      <c r="J137" s="46" t="inlineStr">
        <is>
          <t>80</t>
        </is>
      </c>
      <c r="K137" s="44" t="inlineStr">
        <is>
          <t>ISSUES/ENFORCES</t>
        </is>
      </c>
      <c r="L137" s="22" t="inlineStr">
        <is>
          <t>Mandatory Enforcer</t>
        </is>
      </c>
      <c r="M137" s="44" t="inlineStr">
        <is>
          <t>All employers — hospital OSH committees; clinical staff safety</t>
        </is>
      </c>
      <c r="N137" s="54" t="inlineStr">
        <is>
          <t>HIGH</t>
        </is>
      </c>
      <c r="O137" s="48" t="inlineStr">
        <is>
          <t>https://www.hrsd.gov.sa/en</t>
        </is>
      </c>
      <c r="P137" s="44" t="inlineStr">
        <is>
          <t>MHRSD official</t>
        </is>
      </c>
      <c r="Q137" s="190" t="inlineStr">
        <is>
          <t>First ~2005 → comprehensive update 2020; sector-specific guides issued</t>
        </is>
      </c>
      <c r="R137" s="190" t="inlineStr">
        <is>
          <t>2005 (first): basic occupational hazard controls. 2020 comprehensive update: aligned with ILO-OSH 2001 and ISO 45001:2018; risk assessment mandatory; OSH committee required (&gt;100 employees); incident reporting system (GOSI coordination); sector-specific guides for healthcare (sharps injury prevention, radiation safety, MRI safety, laser safety). Healthcare OSH committee must include infection control officer and clinical engineer</t>
        </is>
      </c>
      <c r="S137" s="191" t="inlineStr">
        <is>
          <t>First: ~2005. Major update: 2020</t>
        </is>
      </c>
      <c r="T137" s="190" t="inlineStr">
        <is>
          <t>Next major review 2024-2025</t>
        </is>
      </c>
      <c r="U137" s="25" t="inlineStr">
        <is>
          <t>CURRENT — 2020 comprehensive version</t>
        </is>
      </c>
      <c r="V137" s="190" t="inlineStr">
        <is>
          <t>Penalties defined by issuing authority; consult official source. NCA ECC-2 penalties apply if relevant</t>
        </is>
      </c>
      <c r="W137" s="192" t="inlineStr">
        <is>
          <t>Issuing authority and/or designated inspection department</t>
        </is>
      </c>
      <c r="X137" s="190" t="inlineStr">
        <is>
          <t>As specified in framework scope — consult official document</t>
        </is>
      </c>
      <c r="Y137" s="49" t="inlineStr">
        <is>
          <t>Both (unless specified otherwise in official document)</t>
        </is>
      </c>
      <c r="Z137" s="190" t="inlineStr">
        <is>
          <t>As defined by issuing authority</t>
        </is>
      </c>
      <c r="AA137" s="191" t="inlineStr">
        <is>
          <t>As defined by issuing authority</t>
        </is>
      </c>
      <c r="AB137" s="190" t="inlineStr">
        <is>
          <t>To be determined from framework text — see official source</t>
        </is>
      </c>
      <c r="AC137" s="190" t="inlineStr">
        <is>
          <t>See framework preamble for international standard references</t>
        </is>
      </c>
      <c r="AD137" s="49" t="inlineStr">
        <is>
          <t>Arabic (primary in KSA); English may be available</t>
        </is>
      </c>
      <c r="AE137" s="58" t="inlineStr">
        <is>
          <t>Mapped to relevant GH-ICGA layer — requires manual assessment</t>
        </is>
      </c>
      <c r="AF137" s="56" t="inlineStr">
        <is>
          <t>See official framework for maturity model details</t>
        </is>
      </c>
      <c r="AG137" s="190" t="inlineStr">
        <is>
          <t>Aligned with relevant Vision 2030 programme — see framework context</t>
        </is>
      </c>
      <c r="AH137" s="190" t="inlineStr">
        <is>
          <t>As specified in framework compliance requirements</t>
        </is>
      </c>
      <c r="AI137" s="193" t="inlineStr">
        <is>
          <t>Institutional theory and regulatory governance theory underpin all KSA regulatory frameworks. Specific theoretical basis varies by framework — consult academic literature via Google Scholar using framework name as search term.</t>
        </is>
      </c>
      <c r="AJ137" s="190" t="inlineStr">
        <is>
          <t>Academic debate varies by framework maturity and international adoption. For KSA-specific debate, consult: Almohammad &amp; Wills (2021) J Cybersecurity; Al-Khater et al. (2020) IEEE Access; Baker McKenzie KSA regulatory updates.</t>
        </is>
      </c>
      <c r="AK137" s="194" t="inlineStr">
        <is>
          <t>Known criticisms include: implementation gap between standards and practice; resource constraints for smaller healthcare entities; rapid technology evolution outpacing regulation. Consult framework evaluation literature for specifics.</t>
        </is>
      </c>
      <c r="AL137" s="195" t="inlineStr">
        <is>
          <t>Framework comparison requires contextual analysis. Key comparators: NIST CSF 2.0 (international benchmark), ISO 27001 (certifiable standard), ECC-2 (KSA mandatory baseline). See main database for cross-framework mapping.</t>
        </is>
      </c>
      <c r="AM137" s="19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37" s="197" t="inlineStr">
        <is>
          <t>Official: Consult the official source URL in the database for the primary document. Training: ISACA, ISC2, RAPS, IAPP, and HIMSS offer professional development covering most regulatory domains. Estimated hours vary by framework complexity.</t>
        </is>
      </c>
      <c r="AO137" s="198" t="inlineStr">
        <is>
          <t>Relevance to GH-ICGA framework varies by layer — see GH-ICGA Layer Mapping column. All KSA mandatory frameworks are compliance inputs to GH-ICGA Layer 4. Frameworks with IoMT-specific provisions directly inform Layers 2 and 3.</t>
        </is>
      </c>
      <c r="AP137" s="51" t="inlineStr">
        <is>
          <t>G + C (Governance + Compliance — standard regulatory framework positioning)</t>
        </is>
      </c>
      <c r="AQ137" s="26" t="inlineStr">
        <is>
          <t>Senior management: accountability for framework compliance. Designated compliance officer: monitor requirements. All staff: awareness of applicable obligations</t>
        </is>
      </c>
      <c r="AR137" s="194" t="inlineStr">
        <is>
          <t>Regulatory Risk; Operational Risk; Reputational Risk — specific domains determined by framework scope</t>
        </is>
      </c>
      <c r="AS137" s="22" t="inlineStr">
        <is>
          <t>See official source — legal obligation, regulatory requirement, or voluntary standard as applicable</t>
        </is>
      </c>
      <c r="AT137" s="195" t="inlineStr">
        <is>
          <t>Administrative; Technical; Operational — specific distribution determined by framework content</t>
        </is>
      </c>
      <c r="AU137" s="199" t="inlineStr">
        <is>
          <t>1. Compliance status (compliant/non-compliant). 2. # open findings from last assessment. 3. % controls implemented. 4. Time to remediate findings. 5. Incident rate in framework scope area</t>
        </is>
      </c>
      <c r="AV137" s="200" t="inlineStr">
        <is>
          <t>Self-assessment; internal audit; external assessment as specified by issuing authority</t>
        </is>
      </c>
      <c r="AW137" s="201" t="inlineStr">
        <is>
          <t>ServiceNow GRC; IBM OpenPages; RSA Archer; MetricStream — all major GRC platforms support custom framework import. Contact vendor for framework-specific module</t>
        </is>
      </c>
      <c r="AX137" s="202" t="inlineStr">
        <is>
          <t>Third parties in scope must demonstrate equivalent compliance. Contractual compliance obligations; right-to-audit clauses; annual third-party assessment</t>
        </is>
      </c>
      <c r="AY137" s="203" t="inlineStr">
        <is>
          <t>Non-compliance: regulatory action by issuing authority; fines and penalties as specified; operational and reputational consequences</t>
        </is>
      </c>
      <c r="AZ137" s="200" t="inlineStr">
        <is>
          <t>ALL 17 SECTORS — all employers (&gt;100 employees: OSH committee)</t>
        </is>
      </c>
      <c r="BA137" s="34" t="inlineStr">
        <is>
          <t>YES — ALL SECTORS</t>
        </is>
      </c>
      <c r="BB137" s="591">
        <f>IF(E137="","",IF(ISNUMBER(SEARCH("Institutional theory and regulatory governance theory underpin",AI137)),"TEMPLATE",IF(LEN(AI137)&gt;100,"DEEP",IF(AI137="","SPARSE","SHALLOW"))))</f>
        <v/>
      </c>
      <c r="BC137" s="591">
        <f>IF(E137="","",D137&amp;"-"&amp;B137&amp;"-"&amp;E137)</f>
        <v/>
      </c>
      <c r="BD137" s="591">
        <f>IF(E137="","",SUBSTITUTE(SUBSTITUTE(B137&amp;"-"&amp;E137," ",""),":","-"))</f>
        <v/>
      </c>
      <c r="BE137" s="591">
        <f>IF(E137="","",IF(ISNUMBER(SEARCH("ECC",E137)),"NCA-ECC-2-2024",IF(ISNUMBER(SEARCH("OTCC",E137)),"NCA-ECC-2-2024",IF(ISNUMBER(SEARCH("CCC",E137)),"NCA-ECC-2-2024",IF(ISNUMBER(SEARCH("DCC",E137)),"NCA-ECC-2-2024",IF(ISNUMBER(SEARCH("CSCC",E137)),"NCA-ECC-2-2024",IF(ISNUMBER(SEARCH("PDPL-IR",E137)),"PDPL-2021",IF(ISNUMBER(SEARCH("PDPL-DTR",E137)),"PDPL-2021","NONE"))))))))</f>
        <v/>
      </c>
      <c r="BF137" s="594">
        <f>IF(E137="","",IF(BB137="DEEP",10,IF(BB137="SHALLOW",5,IF(BB137="TEMPLATE",3,1)))+IF(N137="HIGHEST",5,IF(N137="HIGH",3,IF(N137="MODERATE",1,0)))+IF(ISNUMBER(SEARCH("Mandatory",L137)),3,0))</f>
        <v/>
      </c>
    </row>
    <row r="138" ht="42" customHeight="1">
      <c r="A138" s="204" t="n">
        <v>123</v>
      </c>
      <c r="B138" s="205" t="inlineStr">
        <is>
          <t>MHRSD</t>
        </is>
      </c>
      <c r="C138" s="190" t="inlineStr">
        <is>
          <t>Ministry Human Resources &amp; Social Dev.</t>
        </is>
      </c>
      <c r="D138" s="190" t="inlineStr">
        <is>
          <t>1. Ministries</t>
        </is>
      </c>
      <c r="E138" s="205" t="inlineStr">
        <is>
          <t>MHRSD-WEL</t>
        </is>
      </c>
      <c r="F138" s="192" t="inlineStr">
        <is>
          <t>Welfare &amp; Social Protection Regulations</t>
        </is>
      </c>
      <c r="G138" s="190" t="inlineStr">
        <is>
          <t>لوائح الرعاية الاجتماعية</t>
        </is>
      </c>
      <c r="H138" s="190" t="inlineStr">
        <is>
          <t>Updated</t>
        </is>
      </c>
      <c r="I138" s="191" t="inlineStr">
        <is>
          <t>2015</t>
        </is>
      </c>
      <c r="J138" s="191" t="inlineStr">
        <is>
          <t>N/A</t>
        </is>
      </c>
      <c r="K138" s="190" t="inlineStr">
        <is>
          <t>ISSUES/ENFORCES</t>
        </is>
      </c>
      <c r="L138" s="22" t="inlineStr">
        <is>
          <t>Mandatory Enforcer</t>
        </is>
      </c>
      <c r="M138" s="190" t="inlineStr">
        <is>
          <t>Social welfare recipients — disability access in health facilities</t>
        </is>
      </c>
      <c r="N138" s="208" t="inlineStr">
        <is>
          <t>MODERATE</t>
        </is>
      </c>
      <c r="O138" s="207" t="inlineStr">
        <is>
          <t>https://www.hrsd.gov.sa/en</t>
        </is>
      </c>
      <c r="P138" s="190" t="inlineStr">
        <is>
          <t>MHRSD official</t>
        </is>
      </c>
      <c r="Q138" s="190" t="inlineStr">
        <is>
          <t>See official source for version history</t>
        </is>
      </c>
      <c r="R138" s="190" t="inlineStr">
        <is>
          <t>Framework issued by the relevant authority. Version details available on the official website referenced in the source URL column. The framework has been updated periodically since first issuance.</t>
        </is>
      </c>
      <c r="S138" s="191" t="inlineStr">
        <is>
          <t>See official source</t>
        </is>
      </c>
      <c r="T138" s="190" t="inlineStr">
        <is>
          <t>Updated as needed by the issuing authority</t>
        </is>
      </c>
      <c r="U138" s="25" t="inlineStr">
        <is>
          <t>CURRENT — consult official source for latest version</t>
        </is>
      </c>
      <c r="V138" s="190" t="inlineStr">
        <is>
          <t>Penalties defined by issuing authority; consult official source. NCA ECC-2 penalties apply if relevant</t>
        </is>
      </c>
      <c r="W138" s="192" t="inlineStr">
        <is>
          <t>Issuing authority and/or designated inspection department</t>
        </is>
      </c>
      <c r="X138" s="190" t="inlineStr">
        <is>
          <t>As specified in framework scope — consult official document</t>
        </is>
      </c>
      <c r="Y138" s="49" t="inlineStr">
        <is>
          <t>Both (unless specified otherwise in official document)</t>
        </is>
      </c>
      <c r="Z138" s="190" t="inlineStr">
        <is>
          <t>As defined by issuing authority</t>
        </is>
      </c>
      <c r="AA138" s="191" t="inlineStr">
        <is>
          <t>As defined by issuing authority</t>
        </is>
      </c>
      <c r="AB138" s="190" t="inlineStr">
        <is>
          <t>To be determined from framework text — see official source</t>
        </is>
      </c>
      <c r="AC138" s="190" t="inlineStr">
        <is>
          <t>See framework preamble for international standard references</t>
        </is>
      </c>
      <c r="AD138" s="49" t="inlineStr">
        <is>
          <t>Arabic (primary in KSA); English may be available</t>
        </is>
      </c>
      <c r="AE138" s="58" t="inlineStr">
        <is>
          <t>Mapped to relevant GH-ICGA layer — requires manual assessment</t>
        </is>
      </c>
      <c r="AF138" s="56" t="inlineStr">
        <is>
          <t>See official framework for maturity model details</t>
        </is>
      </c>
      <c r="AG138" s="190" t="inlineStr">
        <is>
          <t>Aligned with relevant Vision 2030 programme — see framework context</t>
        </is>
      </c>
      <c r="AH138" s="190" t="inlineStr">
        <is>
          <t>As specified in framework compliance requirements</t>
        </is>
      </c>
      <c r="AI138" s="193" t="inlineStr">
        <is>
          <t>Institutional theory and regulatory governance theory underpin all KSA regulatory frameworks. Specific theoretical basis varies by framework — consult academic literature via Google Scholar using framework name as search term.</t>
        </is>
      </c>
      <c r="AJ138" s="190" t="inlineStr">
        <is>
          <t>Academic debate varies by framework maturity and international adoption. For KSA-specific debate, consult: Almohammad &amp; Wills (2021) J Cybersecurity; Al-Khater et al. (2020) IEEE Access; Baker McKenzie KSA regulatory updates.</t>
        </is>
      </c>
      <c r="AK138" s="194" t="inlineStr">
        <is>
          <t>Known criticisms include: implementation gap between standards and practice; resource constraints for smaller healthcare entities; rapid technology evolution outpacing regulation. Consult framework evaluation literature for specifics.</t>
        </is>
      </c>
      <c r="AL138" s="195" t="inlineStr">
        <is>
          <t>Framework comparison requires contextual analysis. Key comparators: NIST CSF 2.0 (international benchmark), ISO 27001 (certifiable standard), ECC-2 (KSA mandatory baseline). See main database for cross-framework mapping.</t>
        </is>
      </c>
      <c r="AM138" s="19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38" s="197" t="inlineStr">
        <is>
          <t>Official: Consult the official source URL in the database for the primary document. Training: ISACA, ISC2, RAPS, IAPP, and HIMSS offer professional development covering most regulatory domains. Estimated hours vary by framework complexity.</t>
        </is>
      </c>
      <c r="AO138" s="198" t="inlineStr">
        <is>
          <t>Relevance to GH-ICGA framework varies by layer — see GH-ICGA Layer Mapping column. All KSA mandatory frameworks are compliance inputs to GH-ICGA Layer 4. Frameworks with IoMT-specific provisions directly inform Layers 2 and 3.</t>
        </is>
      </c>
      <c r="AP138" s="51" t="inlineStr">
        <is>
          <t>G + C (Governance + Compliance — standard regulatory framework positioning)</t>
        </is>
      </c>
      <c r="AQ138" s="26" t="inlineStr">
        <is>
          <t>Senior management: accountability for framework compliance. Designated compliance officer: monitor requirements. All staff: awareness of applicable obligations</t>
        </is>
      </c>
      <c r="AR138" s="194" t="inlineStr">
        <is>
          <t>Regulatory Risk; Operational Risk; Reputational Risk — specific domains determined by framework scope</t>
        </is>
      </c>
      <c r="AS138" s="22" t="inlineStr">
        <is>
          <t>See official source — legal obligation, regulatory requirement, or voluntary standard as applicable</t>
        </is>
      </c>
      <c r="AT138" s="195" t="inlineStr">
        <is>
          <t>Administrative; Technical; Operational — specific distribution determined by framework content</t>
        </is>
      </c>
      <c r="AU138" s="199" t="inlineStr">
        <is>
          <t>1. Compliance status (compliant/non-compliant). 2. # open findings from last assessment. 3. % controls implemented. 4. Time to remediate findings. 5. Incident rate in framework scope area</t>
        </is>
      </c>
      <c r="AV138" s="200" t="inlineStr">
        <is>
          <t>Self-assessment; internal audit; external assessment as specified by issuing authority</t>
        </is>
      </c>
      <c r="AW138" s="201" t="inlineStr">
        <is>
          <t>ServiceNow GRC; IBM OpenPages; RSA Archer; MetricStream — all major GRC platforms support custom framework import. Contact vendor for framework-specific module</t>
        </is>
      </c>
      <c r="AX138" s="202" t="inlineStr">
        <is>
          <t>Third parties in scope must demonstrate equivalent compliance. Contractual compliance obligations; right-to-audit clauses; annual third-party assessment</t>
        </is>
      </c>
      <c r="AY138" s="203" t="inlineStr">
        <is>
          <t>Non-compliance: regulatory action by issuing authority; fines and penalties as specified; operational and reputational consequences</t>
        </is>
      </c>
      <c r="AZ138" s="200" t="inlineStr">
        <is>
          <t>Sector-specific — consult official source</t>
        </is>
      </c>
      <c r="BA138" s="41" t="inlineStr">
        <is>
          <t>Sector-Specific</t>
        </is>
      </c>
      <c r="BB138" s="591">
        <f>IF(E138="","",IF(ISNUMBER(SEARCH("Institutional theory and regulatory governance theory underpin",AI138)),"TEMPLATE",IF(LEN(AI138)&gt;100,"DEEP",IF(AI138="","SPARSE","SHALLOW"))))</f>
        <v/>
      </c>
      <c r="BC138" s="591">
        <f>IF(E138="","",D138&amp;"-"&amp;B138&amp;"-"&amp;E138)</f>
        <v/>
      </c>
      <c r="BD138" s="591">
        <f>IF(E138="","",SUBSTITUTE(SUBSTITUTE(B138&amp;"-"&amp;E138," ",""),":","-"))</f>
        <v/>
      </c>
      <c r="BE138" s="591">
        <f>IF(E138="","",IF(ISNUMBER(SEARCH("ECC",E138)),"NCA-ECC-2-2024",IF(ISNUMBER(SEARCH("OTCC",E138)),"NCA-ECC-2-2024",IF(ISNUMBER(SEARCH("CCC",E138)),"NCA-ECC-2-2024",IF(ISNUMBER(SEARCH("DCC",E138)),"NCA-ECC-2-2024",IF(ISNUMBER(SEARCH("CSCC",E138)),"NCA-ECC-2-2024",IF(ISNUMBER(SEARCH("PDPL-IR",E138)),"PDPL-2021",IF(ISNUMBER(SEARCH("PDPL-DTR",E138)),"PDPL-2021","NONE"))))))))</f>
        <v/>
      </c>
      <c r="BF138" s="594">
        <f>IF(E138="","",IF(BB138="DEEP",10,IF(BB138="SHALLOW",5,IF(BB138="TEMPLATE",3,1)))+IF(N138="HIGHEST",5,IF(N138="HIGH",3,IF(N138="MODERATE",1,0)))+IF(ISNUMBER(SEARCH("Mandatory",L138)),3,0))</f>
        <v/>
      </c>
    </row>
    <row r="139" ht="42" customHeight="1">
      <c r="A139" s="42" t="n">
        <v>124</v>
      </c>
      <c r="B139" s="189" t="inlineStr">
        <is>
          <t>MHRSD</t>
        </is>
      </c>
      <c r="C139" s="44" t="inlineStr">
        <is>
          <t>Ministry Human Resources &amp; Social Dev.</t>
        </is>
      </c>
      <c r="D139" s="44" t="inlineStr">
        <is>
          <t>1. Ministries</t>
        </is>
      </c>
      <c r="E139" s="189" t="inlineStr">
        <is>
          <t>NCA-ECC-2:2024</t>
        </is>
      </c>
      <c r="F139" s="45" t="inlineStr">
        <is>
          <t>Essential Cybersecurity Controls</t>
        </is>
      </c>
      <c r="G139" s="44" t="inlineStr">
        <is>
          <t>ضوابط الأمن السيبراني الأساسية</t>
        </is>
      </c>
      <c r="H139" s="44" t="inlineStr">
        <is>
          <t>ECC-2:2024</t>
        </is>
      </c>
      <c r="I139" s="46" t="inlineStr">
        <is>
          <t>2018</t>
        </is>
      </c>
      <c r="J139" s="46" t="inlineStr">
        <is>
          <t>108</t>
        </is>
      </c>
      <c r="K139" s="44" t="inlineStr">
        <is>
          <t>MUST COMPLY WITH</t>
        </is>
      </c>
      <c r="L139" s="66" t="inlineStr">
        <is>
          <t>Mandatory Complier</t>
        </is>
      </c>
      <c r="M139" s="44" t="inlineStr">
        <is>
          <t>MHRSD as government entity</t>
        </is>
      </c>
      <c r="N139" s="59" t="inlineStr">
        <is>
          <t>LOW</t>
        </is>
      </c>
      <c r="O139" s="48" t="inlineStr">
        <is>
          <t>https://nca.gov.sa/</t>
        </is>
      </c>
      <c r="P139" s="44" t="inlineStr">
        <is>
          <t>NCA ECC scope</t>
        </is>
      </c>
      <c r="Q139" s="190" t="inlineStr">
        <is>
          <t>See official source for version history</t>
        </is>
      </c>
      <c r="R139" s="190" t="inlineStr">
        <is>
          <t>Framework issued by the relevant authority. Version details available on the official website referenced in the source URL column. The framework has been updated periodically since first issuance.</t>
        </is>
      </c>
      <c r="S139" s="191" t="inlineStr">
        <is>
          <t>See official source</t>
        </is>
      </c>
      <c r="T139" s="190" t="inlineStr">
        <is>
          <t>Updated as needed by the issuing authority</t>
        </is>
      </c>
      <c r="U139" s="25" t="inlineStr">
        <is>
          <t>CURRENT — consult official source for latest version</t>
        </is>
      </c>
      <c r="V139" s="190" t="inlineStr">
        <is>
          <t>Penalties defined by issuing authority; consult official source. NCA ECC-2 penalties apply if relevant</t>
        </is>
      </c>
      <c r="W139" s="192" t="inlineStr">
        <is>
          <t>Issuing authority and/or designated inspection department</t>
        </is>
      </c>
      <c r="X139" s="190" t="inlineStr">
        <is>
          <t>As specified in framework scope — consult official document</t>
        </is>
      </c>
      <c r="Y139" s="49" t="inlineStr">
        <is>
          <t>Both (unless specified otherwise in official document)</t>
        </is>
      </c>
      <c r="Z139" s="190" t="inlineStr">
        <is>
          <t>As defined by issuing authority</t>
        </is>
      </c>
      <c r="AA139" s="191" t="inlineStr">
        <is>
          <t>As defined by issuing authority</t>
        </is>
      </c>
      <c r="AB139" s="190" t="inlineStr">
        <is>
          <t>To be determined from framework text — see official source</t>
        </is>
      </c>
      <c r="AC139" s="190" t="inlineStr">
        <is>
          <t>See framework preamble for international standard references</t>
        </is>
      </c>
      <c r="AD139" s="49" t="inlineStr">
        <is>
          <t>Arabic (primary in KSA); English may be available</t>
        </is>
      </c>
      <c r="AE139" s="58" t="inlineStr">
        <is>
          <t>Mapped to relevant GH-ICGA layer — requires manual assessment</t>
        </is>
      </c>
      <c r="AF139" s="56" t="inlineStr">
        <is>
          <t>See official framework for maturity model details</t>
        </is>
      </c>
      <c r="AG139" s="190" t="inlineStr">
        <is>
          <t>Aligned with relevant Vision 2030 programme — see framework context</t>
        </is>
      </c>
      <c r="AH139" s="190" t="inlineStr">
        <is>
          <t>As specified in framework compliance requirements</t>
        </is>
      </c>
      <c r="AI139" s="193" t="inlineStr">
        <is>
          <t>Institutional theory and regulatory governance theory underpin all KSA regulatory frameworks. Specific theoretical basis varies by framework — consult academic literature via Google Scholar using framework name as search term.</t>
        </is>
      </c>
      <c r="AJ139" s="190" t="inlineStr">
        <is>
          <t>Academic debate varies by framework maturity and international adoption. For KSA-specific debate, consult: Almohammad &amp; Wills (2021) J Cybersecurity; Al-Khater et al. (2020) IEEE Access; Baker McKenzie KSA regulatory updates.</t>
        </is>
      </c>
      <c r="AK139" s="194" t="inlineStr">
        <is>
          <t>Known criticisms include: implementation gap between standards and practice; resource constraints for smaller healthcare entities; rapid technology evolution outpacing regulation. Consult framework evaluation literature for specifics.</t>
        </is>
      </c>
      <c r="AL139" s="195" t="inlineStr">
        <is>
          <t>Framework comparison requires contextual analysis. Key comparators: NIST CSF 2.0 (international benchmark), ISO 27001 (certifiable standard), ECC-2 (KSA mandatory baseline). See main database for cross-framework mapping.</t>
        </is>
      </c>
      <c r="AM139" s="19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39" s="197" t="inlineStr">
        <is>
          <t>Official: Consult the official source URL in the database for the primary document. Training: ISACA, ISC2, RAPS, IAPP, and HIMSS offer professional development covering most regulatory domains. Estimated hours vary by framework complexity.</t>
        </is>
      </c>
      <c r="AO139" s="198" t="inlineStr">
        <is>
          <t>Relevance to GH-ICGA framework varies by layer — see GH-ICGA Layer Mapping column. All KSA mandatory frameworks are compliance inputs to GH-ICGA Layer 4. Frameworks with IoMT-specific provisions directly inform Layers 2 and 3.</t>
        </is>
      </c>
      <c r="AP139" s="51" t="inlineStr">
        <is>
          <t>G + C (Governance + Compliance — standard regulatory framework positioning)</t>
        </is>
      </c>
      <c r="AQ139" s="26" t="inlineStr">
        <is>
          <t>Senior management: accountability for framework compliance. Designated compliance officer: monitor requirements. All staff: awareness of applicable obligations</t>
        </is>
      </c>
      <c r="AR139" s="194" t="inlineStr">
        <is>
          <t>Regulatory Risk; Operational Risk; Reputational Risk — specific domains determined by framework scope</t>
        </is>
      </c>
      <c r="AS139" s="22" t="inlineStr">
        <is>
          <t>See official source — legal obligation, regulatory requirement, or voluntary standard as applicable</t>
        </is>
      </c>
      <c r="AT139" s="195" t="inlineStr">
        <is>
          <t>Administrative; Technical; Operational — specific distribution determined by framework content</t>
        </is>
      </c>
      <c r="AU139" s="199" t="inlineStr">
        <is>
          <t>1. Compliance status (compliant/non-compliant). 2. # open findings from last assessment. 3. % controls implemented. 4. Time to remediate findings. 5. Incident rate in framework scope area</t>
        </is>
      </c>
      <c r="AV139" s="200" t="inlineStr">
        <is>
          <t>Self-assessment; internal audit; external assessment as specified by issuing authority</t>
        </is>
      </c>
      <c r="AW139" s="201" t="inlineStr">
        <is>
          <t>ServiceNow GRC; IBM OpenPages; RSA Archer; MetricStream — all major GRC platforms support custom framework import. Contact vendor for framework-specific module</t>
        </is>
      </c>
      <c r="AX139" s="202" t="inlineStr">
        <is>
          <t>Third parties in scope must demonstrate equivalent compliance. Contractual compliance obligations; right-to-audit clauses; annual third-party assessment</t>
        </is>
      </c>
      <c r="AY139" s="203" t="inlineStr">
        <is>
          <t>Non-compliance: regulatory action by issuing authority; fines and penalties as specified; operational and reputational consequences</t>
        </is>
      </c>
      <c r="AZ139" s="200" t="inlineStr">
        <is>
          <t>ALL 17 SECTORS</t>
        </is>
      </c>
      <c r="BA139" s="34" t="inlineStr">
        <is>
          <t>YES — ALL SECTORS</t>
        </is>
      </c>
      <c r="BB139" s="591">
        <f>IF(E139="","",IF(ISNUMBER(SEARCH("Institutional theory and regulatory governance theory underpin",AI139)),"TEMPLATE",IF(LEN(AI139)&gt;100,"DEEP",IF(AI139="","SPARSE","SHALLOW"))))</f>
        <v/>
      </c>
      <c r="BC139" s="591">
        <f>IF(E139="","",D139&amp;"-"&amp;B139&amp;"-"&amp;E139)</f>
        <v/>
      </c>
      <c r="BD139" s="591">
        <f>IF(E139="","",SUBSTITUTE(SUBSTITUTE(B139&amp;"-"&amp;E139," ",""),":","-"))</f>
        <v/>
      </c>
      <c r="BE139" s="591">
        <f>IF(E139="","",IF(ISNUMBER(SEARCH("ECC",E139)),"NCA-ECC-2-2024",IF(ISNUMBER(SEARCH("OTCC",E139)),"NCA-ECC-2-2024",IF(ISNUMBER(SEARCH("CCC",E139)),"NCA-ECC-2-2024",IF(ISNUMBER(SEARCH("DCC",E139)),"NCA-ECC-2-2024",IF(ISNUMBER(SEARCH("CSCC",E139)),"NCA-ECC-2-2024",IF(ISNUMBER(SEARCH("PDPL-IR",E139)),"PDPL-2021",IF(ISNUMBER(SEARCH("PDPL-DTR",E139)),"PDPL-2021","NONE"))))))))</f>
        <v/>
      </c>
      <c r="BF139" s="594">
        <f>IF(E139="","",IF(BB139="DEEP",10,IF(BB139="SHALLOW",5,IF(BB139="TEMPLATE",3,1)))+IF(N139="HIGHEST",5,IF(N139="HIGH",3,IF(N139="MODERATE",1,0)))+IF(ISNUMBER(SEARCH("Mandatory",L139)),3,0))</f>
        <v/>
      </c>
    </row>
    <row r="140" ht="42" customHeight="1">
      <c r="A140" s="204" t="n">
        <v>125</v>
      </c>
      <c r="B140" s="205" t="inlineStr">
        <is>
          <t>MOI</t>
        </is>
      </c>
      <c r="C140" s="190" t="inlineStr">
        <is>
          <t>Ministry of Interior</t>
        </is>
      </c>
      <c r="D140" s="190" t="inlineStr">
        <is>
          <t>1. Ministries</t>
        </is>
      </c>
      <c r="E140" s="205" t="inlineStr">
        <is>
          <t>MOI-ACTL</t>
        </is>
      </c>
      <c r="F140" s="192" t="inlineStr">
        <is>
          <t>Anti-Cybercrime Law</t>
        </is>
      </c>
      <c r="G140" s="190" t="inlineStr">
        <is>
          <t>نظام مكافحة الجرائم المعلوماتية</t>
        </is>
      </c>
      <c r="H140" s="190" t="inlineStr">
        <is>
          <t>RD M/17 2007 (revised 2015)</t>
        </is>
      </c>
      <c r="I140" s="191" t="inlineStr">
        <is>
          <t>2007</t>
        </is>
      </c>
      <c r="J140" s="191" t="inlineStr">
        <is>
          <t>N/A</t>
        </is>
      </c>
      <c r="K140" s="190" t="inlineStr">
        <is>
          <t>ENFORCES</t>
        </is>
      </c>
      <c r="L140" s="22" t="inlineStr">
        <is>
          <t>Mandatory Enforcer</t>
        </is>
      </c>
      <c r="M140" s="190" t="inlineStr">
        <is>
          <t>All persons and entities in KSA — data breach criminal penalties</t>
        </is>
      </c>
      <c r="N140" s="208" t="inlineStr">
        <is>
          <t>MODERATE</t>
        </is>
      </c>
      <c r="O140" s="207" t="inlineStr">
        <is>
          <t>https://www.moi.gov.sa/</t>
        </is>
      </c>
      <c r="P140" s="190" t="inlineStr">
        <is>
          <t>Library of Congress Feb 2024; AlGhazzawi &amp; Partners 2025</t>
        </is>
      </c>
      <c r="Q140" s="190" t="inlineStr">
        <is>
          <t>See official source for version history</t>
        </is>
      </c>
      <c r="R140" s="190" t="inlineStr">
        <is>
          <t>Framework issued by the relevant authority. Version details available on the official website referenced in the source URL column. The framework has been updated periodically since first issuance.</t>
        </is>
      </c>
      <c r="S140" s="191" t="inlineStr">
        <is>
          <t>See official source</t>
        </is>
      </c>
      <c r="T140" s="190" t="inlineStr">
        <is>
          <t>Updated as needed by the issuing authority</t>
        </is>
      </c>
      <c r="U140" s="25" t="inlineStr">
        <is>
          <t>CURRENT — consult official source for latest version</t>
        </is>
      </c>
      <c r="V140" s="190" t="inlineStr">
        <is>
          <t>Penalties defined by issuing authority; consult official source. NCA ECC-2 penalties apply if relevant</t>
        </is>
      </c>
      <c r="W140" s="192" t="inlineStr">
        <is>
          <t>Issuing authority and/or designated inspection department</t>
        </is>
      </c>
      <c r="X140" s="190" t="inlineStr">
        <is>
          <t>As specified in framework scope — consult official document</t>
        </is>
      </c>
      <c r="Y140" s="49" t="inlineStr">
        <is>
          <t>Both (unless specified otherwise in official document)</t>
        </is>
      </c>
      <c r="Z140" s="190" t="inlineStr">
        <is>
          <t>As defined by issuing authority</t>
        </is>
      </c>
      <c r="AA140" s="191" t="inlineStr">
        <is>
          <t>As defined by issuing authority</t>
        </is>
      </c>
      <c r="AB140" s="190" t="inlineStr">
        <is>
          <t>To be determined from framework text — see official source</t>
        </is>
      </c>
      <c r="AC140" s="190" t="inlineStr">
        <is>
          <t>See framework preamble for international standard references</t>
        </is>
      </c>
      <c r="AD140" s="49" t="inlineStr">
        <is>
          <t>Arabic (primary in KSA); English may be available</t>
        </is>
      </c>
      <c r="AE140" s="58" t="inlineStr">
        <is>
          <t>Mapped to relevant GH-ICGA layer — requires manual assessment</t>
        </is>
      </c>
      <c r="AF140" s="56" t="inlineStr">
        <is>
          <t>See official framework for maturity model details</t>
        </is>
      </c>
      <c r="AG140" s="190" t="inlineStr">
        <is>
          <t>Aligned with relevant Vision 2030 programme — see framework context</t>
        </is>
      </c>
      <c r="AH140" s="190" t="inlineStr">
        <is>
          <t>As specified in framework compliance requirements</t>
        </is>
      </c>
      <c r="AI140" s="193" t="inlineStr">
        <is>
          <t>Institutional theory and regulatory governance theory underpin all KSA regulatory frameworks. Specific theoretical basis varies by framework — consult academic literature via Google Scholar using framework name as search term.</t>
        </is>
      </c>
      <c r="AJ140" s="190" t="inlineStr">
        <is>
          <t>Academic debate varies by framework maturity and international adoption. For KSA-specific debate, consult: Almohammad &amp; Wills (2021) J Cybersecurity; Al-Khater et al. (2020) IEEE Access; Baker McKenzie KSA regulatory updates.</t>
        </is>
      </c>
      <c r="AK140" s="194" t="inlineStr">
        <is>
          <t>Known criticisms include: implementation gap between standards and practice; resource constraints for smaller healthcare entities; rapid technology evolution outpacing regulation. Consult framework evaluation literature for specifics.</t>
        </is>
      </c>
      <c r="AL140" s="195" t="inlineStr">
        <is>
          <t>Framework comparison requires contextual analysis. Key comparators: NIST CSF 2.0 (international benchmark), ISO 27001 (certifiable standard), ECC-2 (KSA mandatory baseline). See main database for cross-framework mapping.</t>
        </is>
      </c>
      <c r="AM140" s="19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40" s="197" t="inlineStr">
        <is>
          <t>Official: Consult the official source URL in the database for the primary document. Training: ISACA, ISC2, RAPS, IAPP, and HIMSS offer professional development covering most regulatory domains. Estimated hours vary by framework complexity.</t>
        </is>
      </c>
      <c r="AO140" s="198" t="inlineStr">
        <is>
          <t>Relevance to GH-ICGA framework varies by layer — see GH-ICGA Layer Mapping column. All KSA mandatory frameworks are compliance inputs to GH-ICGA Layer 4. Frameworks with IoMT-specific provisions directly inform Layers 2 and 3.</t>
        </is>
      </c>
      <c r="AP140" s="51" t="inlineStr">
        <is>
          <t>G + C (Governance + Compliance — standard regulatory framework positioning)</t>
        </is>
      </c>
      <c r="AQ140" s="26" t="inlineStr">
        <is>
          <t>Senior management: accountability for framework compliance. Designated compliance officer: monitor requirements. All staff: awareness of applicable obligations</t>
        </is>
      </c>
      <c r="AR140" s="194" t="inlineStr">
        <is>
          <t>Regulatory Risk; Operational Risk; Reputational Risk — specific domains determined by framework scope</t>
        </is>
      </c>
      <c r="AS140" s="22" t="inlineStr">
        <is>
          <t>See official source — legal obligation, regulatory requirement, or voluntary standard as applicable</t>
        </is>
      </c>
      <c r="AT140" s="195" t="inlineStr">
        <is>
          <t>Administrative; Technical; Operational — specific distribution determined by framework content</t>
        </is>
      </c>
      <c r="AU140" s="199" t="inlineStr">
        <is>
          <t>1. Compliance status (compliant/non-compliant). 2. # open findings from last assessment. 3. % controls implemented. 4. Time to remediate findings. 5. Incident rate in framework scope area</t>
        </is>
      </c>
      <c r="AV140" s="200" t="inlineStr">
        <is>
          <t>Self-assessment; internal audit; external assessment as specified by issuing authority</t>
        </is>
      </c>
      <c r="AW140" s="201" t="inlineStr">
        <is>
          <t>ServiceNow GRC; IBM OpenPages; RSA Archer; MetricStream — all major GRC platforms support custom framework import. Contact vendor for framework-specific module</t>
        </is>
      </c>
      <c r="AX140" s="202" t="inlineStr">
        <is>
          <t>Third parties in scope must demonstrate equivalent compliance. Contractual compliance obligations; right-to-audit clauses; annual third-party assessment</t>
        </is>
      </c>
      <c r="AY140" s="203" t="inlineStr">
        <is>
          <t>Non-compliance: regulatory action by issuing authority; fines and penalties as specified; operational and reputational consequences</t>
        </is>
      </c>
      <c r="AZ140" s="200" t="inlineStr">
        <is>
          <t>ALL 17 SECTORS — criminal law</t>
        </is>
      </c>
      <c r="BA140" s="34" t="inlineStr">
        <is>
          <t>YES — ALL SECTORS</t>
        </is>
      </c>
      <c r="BB140" s="591">
        <f>IF(E140="","",IF(ISNUMBER(SEARCH("Institutional theory and regulatory governance theory underpin",AI140)),"TEMPLATE",IF(LEN(AI140)&gt;100,"DEEP",IF(AI140="","SPARSE","SHALLOW"))))</f>
        <v/>
      </c>
      <c r="BC140" s="591">
        <f>IF(E140="","",D140&amp;"-"&amp;B140&amp;"-"&amp;E140)</f>
        <v/>
      </c>
      <c r="BD140" s="591">
        <f>IF(E140="","",SUBSTITUTE(SUBSTITUTE(B140&amp;"-"&amp;E140," ",""),":","-"))</f>
        <v/>
      </c>
      <c r="BE140" s="591">
        <f>IF(E140="","",IF(ISNUMBER(SEARCH("ECC",E140)),"NCA-ECC-2-2024",IF(ISNUMBER(SEARCH("OTCC",E140)),"NCA-ECC-2-2024",IF(ISNUMBER(SEARCH("CCC",E140)),"NCA-ECC-2-2024",IF(ISNUMBER(SEARCH("DCC",E140)),"NCA-ECC-2-2024",IF(ISNUMBER(SEARCH("CSCC",E140)),"NCA-ECC-2-2024",IF(ISNUMBER(SEARCH("PDPL-IR",E140)),"PDPL-2021",IF(ISNUMBER(SEARCH("PDPL-DTR",E140)),"PDPL-2021","NONE"))))))))</f>
        <v/>
      </c>
      <c r="BF140" s="594">
        <f>IF(E140="","",IF(BB140="DEEP",10,IF(BB140="SHALLOW",5,IF(BB140="TEMPLATE",3,1)))+IF(N140="HIGHEST",5,IF(N140="HIGH",3,IF(N140="MODERATE",1,0)))+IF(ISNUMBER(SEARCH("Mandatory",L140)),3,0))</f>
        <v/>
      </c>
    </row>
    <row r="141" ht="42" customHeight="1">
      <c r="A141" s="42" t="n">
        <v>126</v>
      </c>
      <c r="B141" s="189" t="inlineStr">
        <is>
          <t>MOI</t>
        </is>
      </c>
      <c r="C141" s="44" t="inlineStr">
        <is>
          <t>Ministry of Interior</t>
        </is>
      </c>
      <c r="D141" s="44" t="inlineStr">
        <is>
          <t>1. Ministries</t>
        </is>
      </c>
      <c r="E141" s="189" t="inlineStr">
        <is>
          <t>MOI-NID</t>
        </is>
      </c>
      <c r="F141" s="45" t="inlineStr">
        <is>
          <t>National ID / Absher Platform Standards</t>
        </is>
      </c>
      <c r="G141" s="44" t="inlineStr">
        <is>
          <t>معايير الهوية الوطنية</t>
        </is>
      </c>
      <c r="H141" s="44" t="inlineStr">
        <is>
          <t>Continuously updated</t>
        </is>
      </c>
      <c r="I141" s="46" t="inlineStr">
        <is>
          <t>2014</t>
        </is>
      </c>
      <c r="J141" s="46" t="inlineStr">
        <is>
          <t>N/A</t>
        </is>
      </c>
      <c r="K141" s="44" t="inlineStr">
        <is>
          <t>ISSUES/ENFORCES</t>
        </is>
      </c>
      <c r="L141" s="22" t="inlineStr">
        <is>
          <t>Mandatory Enforcer</t>
        </is>
      </c>
      <c r="M141" s="44" t="inlineStr">
        <is>
          <t>All government services — patient ID verification in health systems</t>
        </is>
      </c>
      <c r="N141" s="55" t="inlineStr">
        <is>
          <t>MODERATE</t>
        </is>
      </c>
      <c r="O141" s="48" t="inlineStr">
        <is>
          <t>https://www.moi.gov.sa/</t>
        </is>
      </c>
      <c r="P141" s="44" t="inlineStr">
        <is>
          <t>MOI official; my.gov.sa</t>
        </is>
      </c>
      <c r="Q141" s="190" t="inlineStr">
        <is>
          <t>See official source for version history</t>
        </is>
      </c>
      <c r="R141" s="190" t="inlineStr">
        <is>
          <t>Framework issued by the relevant authority. Version details available on the official website referenced in the source URL column. The framework has been updated periodically since first issuance.</t>
        </is>
      </c>
      <c r="S141" s="191" t="inlineStr">
        <is>
          <t>See official source</t>
        </is>
      </c>
      <c r="T141" s="190" t="inlineStr">
        <is>
          <t>Updated as needed by the issuing authority</t>
        </is>
      </c>
      <c r="U141" s="25" t="inlineStr">
        <is>
          <t>CURRENT — consult official source for latest version</t>
        </is>
      </c>
      <c r="V141" s="190" t="inlineStr">
        <is>
          <t>Penalties defined by issuing authority; consult official source. NCA ECC-2 penalties apply if relevant</t>
        </is>
      </c>
      <c r="W141" s="192" t="inlineStr">
        <is>
          <t>Issuing authority and/or designated inspection department</t>
        </is>
      </c>
      <c r="X141" s="190" t="inlineStr">
        <is>
          <t>As specified in framework scope — consult official document</t>
        </is>
      </c>
      <c r="Y141" s="49" t="inlineStr">
        <is>
          <t>Both (unless specified otherwise in official document)</t>
        </is>
      </c>
      <c r="Z141" s="190" t="inlineStr">
        <is>
          <t>As defined by issuing authority</t>
        </is>
      </c>
      <c r="AA141" s="191" t="inlineStr">
        <is>
          <t>As defined by issuing authority</t>
        </is>
      </c>
      <c r="AB141" s="190" t="inlineStr">
        <is>
          <t>To be determined from framework text — see official source</t>
        </is>
      </c>
      <c r="AC141" s="190" t="inlineStr">
        <is>
          <t>See framework preamble for international standard references</t>
        </is>
      </c>
      <c r="AD141" s="49" t="inlineStr">
        <is>
          <t>Arabic (primary in KSA); English may be available</t>
        </is>
      </c>
      <c r="AE141" s="58" t="inlineStr">
        <is>
          <t>Mapped to relevant GH-ICGA layer — requires manual assessment</t>
        </is>
      </c>
      <c r="AF141" s="56" t="inlineStr">
        <is>
          <t>See official framework for maturity model details</t>
        </is>
      </c>
      <c r="AG141" s="190" t="inlineStr">
        <is>
          <t>Aligned with relevant Vision 2030 programme — see framework context</t>
        </is>
      </c>
      <c r="AH141" s="190" t="inlineStr">
        <is>
          <t>As specified in framework compliance requirements</t>
        </is>
      </c>
      <c r="AI141" s="193" t="inlineStr">
        <is>
          <t>Institutional theory and regulatory governance theory underpin all KSA regulatory frameworks. Specific theoretical basis varies by framework — consult academic literature via Google Scholar using framework name as search term.</t>
        </is>
      </c>
      <c r="AJ141" s="190" t="inlineStr">
        <is>
          <t>Academic debate varies by framework maturity and international adoption. For KSA-specific debate, consult: Almohammad &amp; Wills (2021) J Cybersecurity; Al-Khater et al. (2020) IEEE Access; Baker McKenzie KSA regulatory updates.</t>
        </is>
      </c>
      <c r="AK141" s="194" t="inlineStr">
        <is>
          <t>Known criticisms include: implementation gap between standards and practice; resource constraints for smaller healthcare entities; rapid technology evolution outpacing regulation. Consult framework evaluation literature for specifics.</t>
        </is>
      </c>
      <c r="AL141" s="195" t="inlineStr">
        <is>
          <t>Framework comparison requires contextual analysis. Key comparators: NIST CSF 2.0 (international benchmark), ISO 27001 (certifiable standard), ECC-2 (KSA mandatory baseline). See main database for cross-framework mapping.</t>
        </is>
      </c>
      <c r="AM141" s="19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41" s="197" t="inlineStr">
        <is>
          <t>Official: Consult the official source URL in the database for the primary document. Training: ISACA, ISC2, RAPS, IAPP, and HIMSS offer professional development covering most regulatory domains. Estimated hours vary by framework complexity.</t>
        </is>
      </c>
      <c r="AO141" s="198" t="inlineStr">
        <is>
          <t>Relevance to GH-ICGA framework varies by layer — see GH-ICGA Layer Mapping column. All KSA mandatory frameworks are compliance inputs to GH-ICGA Layer 4. Frameworks with IoMT-specific provisions directly inform Layers 2 and 3.</t>
        </is>
      </c>
      <c r="AP141" s="51" t="inlineStr">
        <is>
          <t>G + C (Governance + Compliance — standard regulatory framework positioning)</t>
        </is>
      </c>
      <c r="AQ141" s="26" t="inlineStr">
        <is>
          <t>Senior management: accountability for framework compliance. Designated compliance officer: monitor requirements. All staff: awareness of applicable obligations</t>
        </is>
      </c>
      <c r="AR141" s="194" t="inlineStr">
        <is>
          <t>Regulatory Risk; Operational Risk; Reputational Risk — specific domains determined by framework scope</t>
        </is>
      </c>
      <c r="AS141" s="22" t="inlineStr">
        <is>
          <t>See official source — legal obligation, regulatory requirement, or voluntary standard as applicable</t>
        </is>
      </c>
      <c r="AT141" s="195" t="inlineStr">
        <is>
          <t>Administrative; Technical; Operational — specific distribution determined by framework content</t>
        </is>
      </c>
      <c r="AU141" s="199" t="inlineStr">
        <is>
          <t>1. Compliance status (compliant/non-compliant). 2. # open findings from last assessment. 3. % controls implemented. 4. Time to remediate findings. 5. Incident rate in framework scope area</t>
        </is>
      </c>
      <c r="AV141" s="200" t="inlineStr">
        <is>
          <t>Self-assessment; internal audit; external assessment as specified by issuing authority</t>
        </is>
      </c>
      <c r="AW141" s="201" t="inlineStr">
        <is>
          <t>ServiceNow GRC; IBM OpenPages; RSA Archer; MetricStream — all major GRC platforms support custom framework import. Contact vendor for framework-specific module</t>
        </is>
      </c>
      <c r="AX141" s="202" t="inlineStr">
        <is>
          <t>Third parties in scope must demonstrate equivalent compliance. Contractual compliance obligations; right-to-audit clauses; annual third-party assessment</t>
        </is>
      </c>
      <c r="AY141" s="203" t="inlineStr">
        <is>
          <t>Non-compliance: regulatory action by issuing authority; fines and penalties as specified; operational and reputational consequences</t>
        </is>
      </c>
      <c r="AZ141" s="200" t="inlineStr">
        <is>
          <t>ALL 17 SECTORS — identity verification</t>
        </is>
      </c>
      <c r="BA141" s="34" t="inlineStr">
        <is>
          <t>YES — ALL SECTORS</t>
        </is>
      </c>
      <c r="BB141" s="591">
        <f>IF(E141="","",IF(ISNUMBER(SEARCH("Institutional theory and regulatory governance theory underpin",AI141)),"TEMPLATE",IF(LEN(AI141)&gt;100,"DEEP",IF(AI141="","SPARSE","SHALLOW"))))</f>
        <v/>
      </c>
      <c r="BC141" s="591">
        <f>IF(E141="","",D141&amp;"-"&amp;B141&amp;"-"&amp;E141)</f>
        <v/>
      </c>
      <c r="BD141" s="591">
        <f>IF(E141="","",SUBSTITUTE(SUBSTITUTE(B141&amp;"-"&amp;E141," ",""),":","-"))</f>
        <v/>
      </c>
      <c r="BE141" s="591">
        <f>IF(E141="","",IF(ISNUMBER(SEARCH("ECC",E141)),"NCA-ECC-2-2024",IF(ISNUMBER(SEARCH("OTCC",E141)),"NCA-ECC-2-2024",IF(ISNUMBER(SEARCH("CCC",E141)),"NCA-ECC-2-2024",IF(ISNUMBER(SEARCH("DCC",E141)),"NCA-ECC-2-2024",IF(ISNUMBER(SEARCH("CSCC",E141)),"NCA-ECC-2-2024",IF(ISNUMBER(SEARCH("PDPL-IR",E141)),"PDPL-2021",IF(ISNUMBER(SEARCH("PDPL-DTR",E141)),"PDPL-2021","NONE"))))))))</f>
        <v/>
      </c>
      <c r="BF141" s="594">
        <f>IF(E141="","",IF(BB141="DEEP",10,IF(BB141="SHALLOW",5,IF(BB141="TEMPLATE",3,1)))+IF(N141="HIGHEST",5,IF(N141="HIGH",3,IF(N141="MODERATE",1,0)))+IF(ISNUMBER(SEARCH("Mandatory",L141)),3,0))</f>
        <v/>
      </c>
    </row>
    <row r="142" ht="42" customHeight="1">
      <c r="A142" s="204" t="n">
        <v>127</v>
      </c>
      <c r="B142" s="205" t="inlineStr">
        <is>
          <t>MOI</t>
        </is>
      </c>
      <c r="C142" s="190" t="inlineStr">
        <is>
          <t>Ministry of Interior</t>
        </is>
      </c>
      <c r="D142" s="190" t="inlineStr">
        <is>
          <t>1. Ministries</t>
        </is>
      </c>
      <c r="E142" s="205" t="inlineStr">
        <is>
          <t>MOI-ATL</t>
        </is>
      </c>
      <c r="F142" s="192" t="inlineStr">
        <is>
          <t>Anti-Terrorism Law</t>
        </is>
      </c>
      <c r="G142" s="190" t="inlineStr">
        <is>
          <t>نظام مكافحة الإرهاب</t>
        </is>
      </c>
      <c r="H142" s="190" t="inlineStr">
        <is>
          <t>Updated 2017</t>
        </is>
      </c>
      <c r="I142" s="191" t="inlineStr">
        <is>
          <t>2014</t>
        </is>
      </c>
      <c r="J142" s="191" t="inlineStr">
        <is>
          <t>N/A</t>
        </is>
      </c>
      <c r="K142" s="190" t="inlineStr">
        <is>
          <t>ENFORCES</t>
        </is>
      </c>
      <c r="L142" s="22" t="inlineStr">
        <is>
          <t>Mandatory Enforcer</t>
        </is>
      </c>
      <c r="M142" s="190" t="inlineStr">
        <is>
          <t>All persons — background check for healthcare professional registration</t>
        </is>
      </c>
      <c r="N142" s="209" t="inlineStr">
        <is>
          <t>LOW</t>
        </is>
      </c>
      <c r="O142" s="207" t="inlineStr">
        <is>
          <t>https://www.moi.gov.sa/</t>
        </is>
      </c>
      <c r="P142" s="190" t="inlineStr">
        <is>
          <t>MOI official; Library of Congress</t>
        </is>
      </c>
      <c r="Q142" s="190" t="inlineStr">
        <is>
          <t>See official source for version history</t>
        </is>
      </c>
      <c r="R142" s="190" t="inlineStr">
        <is>
          <t>Framework issued by the relevant authority. Version details available on the official website referenced in the source URL column. The framework has been updated periodically since first issuance.</t>
        </is>
      </c>
      <c r="S142" s="191" t="inlineStr">
        <is>
          <t>See official source</t>
        </is>
      </c>
      <c r="T142" s="190" t="inlineStr">
        <is>
          <t>Updated as needed by the issuing authority</t>
        </is>
      </c>
      <c r="U142" s="25" t="inlineStr">
        <is>
          <t>CURRENT — consult official source for latest version</t>
        </is>
      </c>
      <c r="V142" s="190" t="inlineStr">
        <is>
          <t>Penalties defined by issuing authority; consult official source. NCA ECC-2 penalties apply if relevant</t>
        </is>
      </c>
      <c r="W142" s="192" t="inlineStr">
        <is>
          <t>Issuing authority and/or designated inspection department</t>
        </is>
      </c>
      <c r="X142" s="190" t="inlineStr">
        <is>
          <t>As specified in framework scope — consult official document</t>
        </is>
      </c>
      <c r="Y142" s="49" t="inlineStr">
        <is>
          <t>Both (unless specified otherwise in official document)</t>
        </is>
      </c>
      <c r="Z142" s="190" t="inlineStr">
        <is>
          <t>As defined by issuing authority</t>
        </is>
      </c>
      <c r="AA142" s="191" t="inlineStr">
        <is>
          <t>As defined by issuing authority</t>
        </is>
      </c>
      <c r="AB142" s="190" t="inlineStr">
        <is>
          <t>To be determined from framework text — see official source</t>
        </is>
      </c>
      <c r="AC142" s="190" t="inlineStr">
        <is>
          <t>See framework preamble for international standard references</t>
        </is>
      </c>
      <c r="AD142" s="49" t="inlineStr">
        <is>
          <t>Arabic (primary in KSA); English may be available</t>
        </is>
      </c>
      <c r="AE142" s="58" t="inlineStr">
        <is>
          <t>Mapped to relevant GH-ICGA layer — requires manual assessment</t>
        </is>
      </c>
      <c r="AF142" s="56" t="inlineStr">
        <is>
          <t>See official framework for maturity model details</t>
        </is>
      </c>
      <c r="AG142" s="190" t="inlineStr">
        <is>
          <t>Aligned with relevant Vision 2030 programme — see framework context</t>
        </is>
      </c>
      <c r="AH142" s="190" t="inlineStr">
        <is>
          <t>As specified in framework compliance requirements</t>
        </is>
      </c>
      <c r="AI142" s="193" t="inlineStr">
        <is>
          <t>Institutional theory and regulatory governance theory underpin all KSA regulatory frameworks. Specific theoretical basis varies by framework — consult academic literature via Google Scholar using framework name as search term.</t>
        </is>
      </c>
      <c r="AJ142" s="190" t="inlineStr">
        <is>
          <t>Academic debate varies by framework maturity and international adoption. For KSA-specific debate, consult: Almohammad &amp; Wills (2021) J Cybersecurity; Al-Khater et al. (2020) IEEE Access; Baker McKenzie KSA regulatory updates.</t>
        </is>
      </c>
      <c r="AK142" s="194" t="inlineStr">
        <is>
          <t>Known criticisms include: implementation gap between standards and practice; resource constraints for smaller healthcare entities; rapid technology evolution outpacing regulation. Consult framework evaluation literature for specifics.</t>
        </is>
      </c>
      <c r="AL142" s="195" t="inlineStr">
        <is>
          <t>Framework comparison requires contextual analysis. Key comparators: NIST CSF 2.0 (international benchmark), ISO 27001 (certifiable standard), ECC-2 (KSA mandatory baseline). See main database for cross-framework mapping.</t>
        </is>
      </c>
      <c r="AM142" s="19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42" s="197" t="inlineStr">
        <is>
          <t>Official: Consult the official source URL in the database for the primary document. Training: ISACA, ISC2, RAPS, IAPP, and HIMSS offer professional development covering most regulatory domains. Estimated hours vary by framework complexity.</t>
        </is>
      </c>
      <c r="AO142" s="198" t="inlineStr">
        <is>
          <t>Relevance to GH-ICGA framework varies by layer — see GH-ICGA Layer Mapping column. All KSA mandatory frameworks are compliance inputs to GH-ICGA Layer 4. Frameworks with IoMT-specific provisions directly inform Layers 2 and 3.</t>
        </is>
      </c>
      <c r="AP142" s="51" t="inlineStr">
        <is>
          <t>G + C (Governance + Compliance — standard regulatory framework positioning)</t>
        </is>
      </c>
      <c r="AQ142" s="26" t="inlineStr">
        <is>
          <t>Senior management: accountability for framework compliance. Designated compliance officer: monitor requirements. All staff: awareness of applicable obligations</t>
        </is>
      </c>
      <c r="AR142" s="194" t="inlineStr">
        <is>
          <t>Regulatory Risk; Operational Risk; Reputational Risk — specific domains determined by framework scope</t>
        </is>
      </c>
      <c r="AS142" s="22" t="inlineStr">
        <is>
          <t>See official source — legal obligation, regulatory requirement, or voluntary standard as applicable</t>
        </is>
      </c>
      <c r="AT142" s="195" t="inlineStr">
        <is>
          <t>Administrative; Technical; Operational — specific distribution determined by framework content</t>
        </is>
      </c>
      <c r="AU142" s="199" t="inlineStr">
        <is>
          <t>1. Compliance status (compliant/non-compliant). 2. # open findings from last assessment. 3. % controls implemented. 4. Time to remediate findings. 5. Incident rate in framework scope area</t>
        </is>
      </c>
      <c r="AV142" s="200" t="inlineStr">
        <is>
          <t>Self-assessment; internal audit; external assessment as specified by issuing authority</t>
        </is>
      </c>
      <c r="AW142" s="201" t="inlineStr">
        <is>
          <t>ServiceNow GRC; IBM OpenPages; RSA Archer; MetricStream — all major GRC platforms support custom framework import. Contact vendor for framework-specific module</t>
        </is>
      </c>
      <c r="AX142" s="202" t="inlineStr">
        <is>
          <t>Third parties in scope must demonstrate equivalent compliance. Contractual compliance obligations; right-to-audit clauses; annual third-party assessment</t>
        </is>
      </c>
      <c r="AY142" s="203" t="inlineStr">
        <is>
          <t>Non-compliance: regulatory action by issuing authority; fines and penalties as specified; operational and reputational consequences</t>
        </is>
      </c>
      <c r="AZ142" s="200" t="inlineStr">
        <is>
          <t>Sector-specific — consult official source</t>
        </is>
      </c>
      <c r="BA142" s="41" t="inlineStr">
        <is>
          <t>Sector-Specific</t>
        </is>
      </c>
      <c r="BB142" s="591">
        <f>IF(E142="","",IF(ISNUMBER(SEARCH("Institutional theory and regulatory governance theory underpin",AI142)),"TEMPLATE",IF(LEN(AI142)&gt;100,"DEEP",IF(AI142="","SPARSE","SHALLOW"))))</f>
        <v/>
      </c>
      <c r="BC142" s="591">
        <f>IF(E142="","",D142&amp;"-"&amp;B142&amp;"-"&amp;E142)</f>
        <v/>
      </c>
      <c r="BD142" s="591">
        <f>IF(E142="","",SUBSTITUTE(SUBSTITUTE(B142&amp;"-"&amp;E142," ",""),":","-"))</f>
        <v/>
      </c>
      <c r="BE142" s="591">
        <f>IF(E142="","",IF(ISNUMBER(SEARCH("ECC",E142)),"NCA-ECC-2-2024",IF(ISNUMBER(SEARCH("OTCC",E142)),"NCA-ECC-2-2024",IF(ISNUMBER(SEARCH("CCC",E142)),"NCA-ECC-2-2024",IF(ISNUMBER(SEARCH("DCC",E142)),"NCA-ECC-2-2024",IF(ISNUMBER(SEARCH("CSCC",E142)),"NCA-ECC-2-2024",IF(ISNUMBER(SEARCH("PDPL-IR",E142)),"PDPL-2021",IF(ISNUMBER(SEARCH("PDPL-DTR",E142)),"PDPL-2021","NONE"))))))))</f>
        <v/>
      </c>
      <c r="BF142" s="594">
        <f>IF(E142="","",IF(BB142="DEEP",10,IF(BB142="SHALLOW",5,IF(BB142="TEMPLATE",3,1)))+IF(N142="HIGHEST",5,IF(N142="HIGH",3,IF(N142="MODERATE",1,0)))+IF(ISNUMBER(SEARCH("Mandatory",L142)),3,0))</f>
        <v/>
      </c>
    </row>
    <row r="143" ht="42" customHeight="1">
      <c r="A143" s="42" t="n">
        <v>128</v>
      </c>
      <c r="B143" s="189" t="inlineStr">
        <is>
          <t>MOI</t>
        </is>
      </c>
      <c r="C143" s="44" t="inlineStr">
        <is>
          <t>Ministry of Interior</t>
        </is>
      </c>
      <c r="D143" s="44" t="inlineStr">
        <is>
          <t>1. Ministries</t>
        </is>
      </c>
      <c r="E143" s="189" t="inlineStr">
        <is>
          <t>NCA-ECC-2:2024</t>
        </is>
      </c>
      <c r="F143" s="45" t="inlineStr">
        <is>
          <t>Essential Cybersecurity Controls</t>
        </is>
      </c>
      <c r="G143" s="44" t="inlineStr">
        <is>
          <t>ضوابط الأمن السيبراني الأساسية</t>
        </is>
      </c>
      <c r="H143" s="44" t="inlineStr">
        <is>
          <t>ECC-2:2024</t>
        </is>
      </c>
      <c r="I143" s="46" t="inlineStr">
        <is>
          <t>2018</t>
        </is>
      </c>
      <c r="J143" s="46" t="inlineStr">
        <is>
          <t>108</t>
        </is>
      </c>
      <c r="K143" s="44" t="inlineStr">
        <is>
          <t>MUST COMPLY WITH</t>
        </is>
      </c>
      <c r="L143" s="66" t="inlineStr">
        <is>
          <t>Mandatory Complier</t>
        </is>
      </c>
      <c r="M143" s="44" t="inlineStr">
        <is>
          <t>MOI as government entity — highest security classification</t>
        </is>
      </c>
      <c r="N143" s="55" t="inlineStr">
        <is>
          <t>MODERATE</t>
        </is>
      </c>
      <c r="O143" s="48" t="inlineStr">
        <is>
          <t>https://nca.gov.sa/</t>
        </is>
      </c>
      <c r="P143" s="44" t="inlineStr">
        <is>
          <t>NCA ECC scope</t>
        </is>
      </c>
      <c r="Q143" s="190" t="inlineStr">
        <is>
          <t>See official source for version history</t>
        </is>
      </c>
      <c r="R143" s="190" t="inlineStr">
        <is>
          <t>Framework issued by the relevant authority. Version details available on the official website referenced in the source URL column. The framework has been updated periodically since first issuance.</t>
        </is>
      </c>
      <c r="S143" s="191" t="inlineStr">
        <is>
          <t>See official source</t>
        </is>
      </c>
      <c r="T143" s="190" t="inlineStr">
        <is>
          <t>Updated as needed by the issuing authority</t>
        </is>
      </c>
      <c r="U143" s="25" t="inlineStr">
        <is>
          <t>CURRENT — consult official source for latest version</t>
        </is>
      </c>
      <c r="V143" s="190" t="inlineStr">
        <is>
          <t>Penalties defined by issuing authority; consult official source. NCA ECC-2 penalties apply if relevant</t>
        </is>
      </c>
      <c r="W143" s="192" t="inlineStr">
        <is>
          <t>Issuing authority and/or designated inspection department</t>
        </is>
      </c>
      <c r="X143" s="190" t="inlineStr">
        <is>
          <t>As specified in framework scope — consult official document</t>
        </is>
      </c>
      <c r="Y143" s="49" t="inlineStr">
        <is>
          <t>Both (unless specified otherwise in official document)</t>
        </is>
      </c>
      <c r="Z143" s="190" t="inlineStr">
        <is>
          <t>As defined by issuing authority</t>
        </is>
      </c>
      <c r="AA143" s="191" t="inlineStr">
        <is>
          <t>As defined by issuing authority</t>
        </is>
      </c>
      <c r="AB143" s="190" t="inlineStr">
        <is>
          <t>To be determined from framework text — see official source</t>
        </is>
      </c>
      <c r="AC143" s="190" t="inlineStr">
        <is>
          <t>See framework preamble for international standard references</t>
        </is>
      </c>
      <c r="AD143" s="49" t="inlineStr">
        <is>
          <t>Arabic (primary in KSA); English may be available</t>
        </is>
      </c>
      <c r="AE143" s="58" t="inlineStr">
        <is>
          <t>Mapped to relevant GH-ICGA layer — requires manual assessment</t>
        </is>
      </c>
      <c r="AF143" s="56" t="inlineStr">
        <is>
          <t>See official framework for maturity model details</t>
        </is>
      </c>
      <c r="AG143" s="190" t="inlineStr">
        <is>
          <t>Aligned with relevant Vision 2030 programme — see framework context</t>
        </is>
      </c>
      <c r="AH143" s="190" t="inlineStr">
        <is>
          <t>As specified in framework compliance requirements</t>
        </is>
      </c>
      <c r="AI143" s="193" t="inlineStr">
        <is>
          <t>Institutional theory and regulatory governance theory underpin all KSA regulatory frameworks. Specific theoretical basis varies by framework — consult academic literature via Google Scholar using framework name as search term.</t>
        </is>
      </c>
      <c r="AJ143" s="190" t="inlineStr">
        <is>
          <t>Academic debate varies by framework maturity and international adoption. For KSA-specific debate, consult: Almohammad &amp; Wills (2021) J Cybersecurity; Al-Khater et al. (2020) IEEE Access; Baker McKenzie KSA regulatory updates.</t>
        </is>
      </c>
      <c r="AK143" s="194" t="inlineStr">
        <is>
          <t>Known criticisms include: implementation gap between standards and practice; resource constraints for smaller healthcare entities; rapid technology evolution outpacing regulation. Consult framework evaluation literature for specifics.</t>
        </is>
      </c>
      <c r="AL143" s="195" t="inlineStr">
        <is>
          <t>Framework comparison requires contextual analysis. Key comparators: NIST CSF 2.0 (international benchmark), ISO 27001 (certifiable standard), ECC-2 (KSA mandatory baseline). See main database for cross-framework mapping.</t>
        </is>
      </c>
      <c r="AM143" s="19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43" s="197" t="inlineStr">
        <is>
          <t>Official: Consult the official source URL in the database for the primary document. Training: ISACA, ISC2, RAPS, IAPP, and HIMSS offer professional development covering most regulatory domains. Estimated hours vary by framework complexity.</t>
        </is>
      </c>
      <c r="AO143" s="198" t="inlineStr">
        <is>
          <t>Relevance to GH-ICGA framework varies by layer — see GH-ICGA Layer Mapping column. All KSA mandatory frameworks are compliance inputs to GH-ICGA Layer 4. Frameworks with IoMT-specific provisions directly inform Layers 2 and 3.</t>
        </is>
      </c>
      <c r="AP143" s="51" t="inlineStr">
        <is>
          <t>G + C (Governance + Compliance — standard regulatory framework positioning)</t>
        </is>
      </c>
      <c r="AQ143" s="26" t="inlineStr">
        <is>
          <t>Senior management: accountability for framework compliance. Designated compliance officer: monitor requirements. All staff: awareness of applicable obligations</t>
        </is>
      </c>
      <c r="AR143" s="194" t="inlineStr">
        <is>
          <t>Regulatory Risk; Operational Risk; Reputational Risk — specific domains determined by framework scope</t>
        </is>
      </c>
      <c r="AS143" s="22" t="inlineStr">
        <is>
          <t>See official source — legal obligation, regulatory requirement, or voluntary standard as applicable</t>
        </is>
      </c>
      <c r="AT143" s="195" t="inlineStr">
        <is>
          <t>Administrative; Technical; Operational — specific distribution determined by framework content</t>
        </is>
      </c>
      <c r="AU143" s="199" t="inlineStr">
        <is>
          <t>1. Compliance status (compliant/non-compliant). 2. # open findings from last assessment. 3. % controls implemented. 4. Time to remediate findings. 5. Incident rate in framework scope area</t>
        </is>
      </c>
      <c r="AV143" s="200" t="inlineStr">
        <is>
          <t>Self-assessment; internal audit; external assessment as specified by issuing authority</t>
        </is>
      </c>
      <c r="AW143" s="201" t="inlineStr">
        <is>
          <t>ServiceNow GRC; IBM OpenPages; RSA Archer; MetricStream — all major GRC platforms support custom framework import. Contact vendor for framework-specific module</t>
        </is>
      </c>
      <c r="AX143" s="202" t="inlineStr">
        <is>
          <t>Third parties in scope must demonstrate equivalent compliance. Contractual compliance obligations; right-to-audit clauses; annual third-party assessment</t>
        </is>
      </c>
      <c r="AY143" s="203" t="inlineStr">
        <is>
          <t>Non-compliance: regulatory action by issuing authority; fines and penalties as specified; operational and reputational consequences</t>
        </is>
      </c>
      <c r="AZ143" s="200" t="inlineStr">
        <is>
          <t>ALL 17 SECTORS</t>
        </is>
      </c>
      <c r="BA143" s="34" t="inlineStr">
        <is>
          <t>YES — ALL SECTORS</t>
        </is>
      </c>
      <c r="BB143" s="591">
        <f>IF(E143="","",IF(ISNUMBER(SEARCH("Institutional theory and regulatory governance theory underpin",AI143)),"TEMPLATE",IF(LEN(AI143)&gt;100,"DEEP",IF(AI143="","SPARSE","SHALLOW"))))</f>
        <v/>
      </c>
      <c r="BC143" s="591">
        <f>IF(E143="","",D143&amp;"-"&amp;B143&amp;"-"&amp;E143)</f>
        <v/>
      </c>
      <c r="BD143" s="591">
        <f>IF(E143="","",SUBSTITUTE(SUBSTITUTE(B143&amp;"-"&amp;E143," ",""),":","-"))</f>
        <v/>
      </c>
      <c r="BE143" s="591">
        <f>IF(E143="","",IF(ISNUMBER(SEARCH("ECC",E143)),"NCA-ECC-2-2024",IF(ISNUMBER(SEARCH("OTCC",E143)),"NCA-ECC-2-2024",IF(ISNUMBER(SEARCH("CCC",E143)),"NCA-ECC-2-2024",IF(ISNUMBER(SEARCH("DCC",E143)),"NCA-ECC-2-2024",IF(ISNUMBER(SEARCH("CSCC",E143)),"NCA-ECC-2-2024",IF(ISNUMBER(SEARCH("PDPL-IR",E143)),"PDPL-2021",IF(ISNUMBER(SEARCH("PDPL-DTR",E143)),"PDPL-2021","NONE"))))))))</f>
        <v/>
      </c>
      <c r="BF143" s="594">
        <f>IF(E143="","",IF(BB143="DEEP",10,IF(BB143="SHALLOW",5,IF(BB143="TEMPLATE",3,1)))+IF(N143="HIGHEST",5,IF(N143="HIGH",3,IF(N143="MODERATE",1,0)))+IF(ISNUMBER(SEARCH("Mandatory",L143)),3,0))</f>
        <v/>
      </c>
    </row>
    <row r="144" ht="42" customHeight="1">
      <c r="A144" s="204" t="n">
        <v>129</v>
      </c>
      <c r="B144" s="205" t="inlineStr">
        <is>
          <t>MCIT</t>
        </is>
      </c>
      <c r="C144" s="190" t="inlineStr">
        <is>
          <t>Ministry of Communications &amp; IT</t>
        </is>
      </c>
      <c r="D144" s="190" t="inlineStr">
        <is>
          <t>1. Ministries</t>
        </is>
      </c>
      <c r="E144" s="205" t="inlineStr">
        <is>
          <t>MCIT-DEP</t>
        </is>
      </c>
      <c r="F144" s="192" t="inlineStr">
        <is>
          <t>Digital Economy Policy</t>
        </is>
      </c>
      <c r="G144" s="190" t="inlineStr">
        <is>
          <t>سياسة الاقتصاد الرقمي</t>
        </is>
      </c>
      <c r="H144" s="190" t="inlineStr">
        <is>
          <t>CoM Resolution 267/2021</t>
        </is>
      </c>
      <c r="I144" s="191" t="inlineStr">
        <is>
          <t>2021</t>
        </is>
      </c>
      <c r="J144" s="191" t="inlineStr">
        <is>
          <t>N/A</t>
        </is>
      </c>
      <c r="K144" s="190" t="inlineStr">
        <is>
          <t>ISSUES/ENFORCES</t>
        </is>
      </c>
      <c r="L144" s="64" t="inlineStr">
        <is>
          <t>Policy Setter</t>
        </is>
      </c>
      <c r="M144" s="190" t="inlineStr">
        <is>
          <t>All government and private sector — digital health economy</t>
        </is>
      </c>
      <c r="N144" s="208" t="inlineStr">
        <is>
          <t>MODERATE</t>
        </is>
      </c>
      <c r="O144" s="207" t="inlineStr">
        <is>
          <t>https://www.mcit.gov.sa/en/acts-and-regulations</t>
        </is>
      </c>
      <c r="P144" s="190" t="inlineStr">
        <is>
          <t>MCIT official; Saudipedia</t>
        </is>
      </c>
      <c r="Q144" s="190" t="inlineStr">
        <is>
          <t>See official source for version history</t>
        </is>
      </c>
      <c r="R144" s="190" t="inlineStr">
        <is>
          <t>Framework issued by the relevant authority. Version details available on the official website referenced in the source URL column. The framework has been updated periodically since first issuance.</t>
        </is>
      </c>
      <c r="S144" s="191" t="inlineStr">
        <is>
          <t>See official source</t>
        </is>
      </c>
      <c r="T144" s="190" t="inlineStr">
        <is>
          <t>Updated as needed by the issuing authority</t>
        </is>
      </c>
      <c r="U144" s="25" t="inlineStr">
        <is>
          <t>CURRENT — consult official source for latest version</t>
        </is>
      </c>
      <c r="V144" s="190" t="inlineStr">
        <is>
          <t>Penalties defined by issuing authority; consult official source. NCA ECC-2 penalties apply if relevant</t>
        </is>
      </c>
      <c r="W144" s="192" t="inlineStr">
        <is>
          <t>Issuing authority and/or designated inspection department</t>
        </is>
      </c>
      <c r="X144" s="190" t="inlineStr">
        <is>
          <t>As specified in framework scope — consult official document</t>
        </is>
      </c>
      <c r="Y144" s="49" t="inlineStr">
        <is>
          <t>Both (unless specified otherwise in official document)</t>
        </is>
      </c>
      <c r="Z144" s="190" t="inlineStr">
        <is>
          <t>As defined by issuing authority</t>
        </is>
      </c>
      <c r="AA144" s="191" t="inlineStr">
        <is>
          <t>As defined by issuing authority</t>
        </is>
      </c>
      <c r="AB144" s="190" t="inlineStr">
        <is>
          <t>To be determined from framework text — see official source</t>
        </is>
      </c>
      <c r="AC144" s="190" t="inlineStr">
        <is>
          <t>See framework preamble for international standard references</t>
        </is>
      </c>
      <c r="AD144" s="49" t="inlineStr">
        <is>
          <t>Arabic (primary in KSA); English may be available</t>
        </is>
      </c>
      <c r="AE144" s="58" t="inlineStr">
        <is>
          <t>Mapped to relevant GH-ICGA layer — requires manual assessment</t>
        </is>
      </c>
      <c r="AF144" s="56" t="inlineStr">
        <is>
          <t>See official framework for maturity model details</t>
        </is>
      </c>
      <c r="AG144" s="190" t="inlineStr">
        <is>
          <t>Aligned with relevant Vision 2030 programme — see framework context</t>
        </is>
      </c>
      <c r="AH144" s="190" t="inlineStr">
        <is>
          <t>As specified in framework compliance requirements</t>
        </is>
      </c>
      <c r="AI144" s="193" t="inlineStr">
        <is>
          <t>Institutional theory and regulatory governance theory underpin all KSA regulatory frameworks. Specific theoretical basis varies by framework — consult academic literature via Google Scholar using framework name as search term.</t>
        </is>
      </c>
      <c r="AJ144" s="190" t="inlineStr">
        <is>
          <t>Academic debate varies by framework maturity and international adoption. For KSA-specific debate, consult: Almohammad &amp; Wills (2021) J Cybersecurity; Al-Khater et al. (2020) IEEE Access; Baker McKenzie KSA regulatory updates.</t>
        </is>
      </c>
      <c r="AK144" s="194" t="inlineStr">
        <is>
          <t>Known criticisms include: implementation gap between standards and practice; resource constraints for smaller healthcare entities; rapid technology evolution outpacing regulation. Consult framework evaluation literature for specifics.</t>
        </is>
      </c>
      <c r="AL144" s="195" t="inlineStr">
        <is>
          <t>Framework comparison requires contextual analysis. Key comparators: NIST CSF 2.0 (international benchmark), ISO 27001 (certifiable standard), ECC-2 (KSA mandatory baseline). See main database for cross-framework mapping.</t>
        </is>
      </c>
      <c r="AM144" s="19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44" s="197" t="inlineStr">
        <is>
          <t>Official: Consult the official source URL in the database for the primary document. Training: ISACA, ISC2, RAPS, IAPP, and HIMSS offer professional development covering most regulatory domains. Estimated hours vary by framework complexity.</t>
        </is>
      </c>
      <c r="AO144" s="198" t="inlineStr">
        <is>
          <t>Relevance to GH-ICGA framework varies by layer — see GH-ICGA Layer Mapping column. All KSA mandatory frameworks are compliance inputs to GH-ICGA Layer 4. Frameworks with IoMT-specific provisions directly inform Layers 2 and 3.</t>
        </is>
      </c>
      <c r="AP144" s="51" t="inlineStr">
        <is>
          <t>G + C (Governance + Compliance — standard regulatory framework positioning)</t>
        </is>
      </c>
      <c r="AQ144" s="26" t="inlineStr">
        <is>
          <t>Senior management: accountability for framework compliance. Designated compliance officer: monitor requirements. All staff: awareness of applicable obligations</t>
        </is>
      </c>
      <c r="AR144" s="194" t="inlineStr">
        <is>
          <t>Regulatory Risk; Operational Risk; Reputational Risk — specific domains determined by framework scope</t>
        </is>
      </c>
      <c r="AS144" s="22" t="inlineStr">
        <is>
          <t>See official source — legal obligation, regulatory requirement, or voluntary standard as applicable</t>
        </is>
      </c>
      <c r="AT144" s="195" t="inlineStr">
        <is>
          <t>Administrative; Technical; Operational — specific distribution determined by framework content</t>
        </is>
      </c>
      <c r="AU144" s="199" t="inlineStr">
        <is>
          <t>1. Compliance status (compliant/non-compliant). 2. # open findings from last assessment. 3. % controls implemented. 4. Time to remediate findings. 5. Incident rate in framework scope area</t>
        </is>
      </c>
      <c r="AV144" s="200" t="inlineStr">
        <is>
          <t>Self-assessment; internal audit; external assessment as specified by issuing authority</t>
        </is>
      </c>
      <c r="AW144" s="201" t="inlineStr">
        <is>
          <t>ServiceNow GRC; IBM OpenPages; RSA Archer; MetricStream — all major GRC platforms support custom framework import. Contact vendor for framework-specific module</t>
        </is>
      </c>
      <c r="AX144" s="202" t="inlineStr">
        <is>
          <t>Third parties in scope must demonstrate equivalent compliance. Contractual compliance obligations; right-to-audit clauses; annual third-party assessment</t>
        </is>
      </c>
      <c r="AY144" s="203" t="inlineStr">
        <is>
          <t>Non-compliance: regulatory action by issuing authority; fines and penalties as specified; operational and reputational consequences</t>
        </is>
      </c>
      <c r="AZ144" s="200" t="inlineStr">
        <is>
          <t>ICT / Digital / Telecom; ALL SECTORS</t>
        </is>
      </c>
      <c r="BA144" s="34" t="inlineStr">
        <is>
          <t>YES — ALL SECTORS</t>
        </is>
      </c>
      <c r="BB144" s="591">
        <f>IF(E144="","",IF(ISNUMBER(SEARCH("Institutional theory and regulatory governance theory underpin",AI144)),"TEMPLATE",IF(LEN(AI144)&gt;100,"DEEP",IF(AI144="","SPARSE","SHALLOW"))))</f>
        <v/>
      </c>
      <c r="BC144" s="591">
        <f>IF(E144="","",D144&amp;"-"&amp;B144&amp;"-"&amp;E144)</f>
        <v/>
      </c>
      <c r="BD144" s="591">
        <f>IF(E144="","",SUBSTITUTE(SUBSTITUTE(B144&amp;"-"&amp;E144," ",""),":","-"))</f>
        <v/>
      </c>
      <c r="BE144" s="591">
        <f>IF(E144="","",IF(ISNUMBER(SEARCH("ECC",E144)),"NCA-ECC-2-2024",IF(ISNUMBER(SEARCH("OTCC",E144)),"NCA-ECC-2-2024",IF(ISNUMBER(SEARCH("CCC",E144)),"NCA-ECC-2-2024",IF(ISNUMBER(SEARCH("DCC",E144)),"NCA-ECC-2-2024",IF(ISNUMBER(SEARCH("CSCC",E144)),"NCA-ECC-2-2024",IF(ISNUMBER(SEARCH("PDPL-IR",E144)),"PDPL-2021",IF(ISNUMBER(SEARCH("PDPL-DTR",E144)),"PDPL-2021","NONE"))))))))</f>
        <v/>
      </c>
      <c r="BF144" s="594">
        <f>IF(E144="","",IF(BB144="DEEP",10,IF(BB144="SHALLOW",5,IF(BB144="TEMPLATE",3,1)))+IF(N144="HIGHEST",5,IF(N144="HIGH",3,IF(N144="MODERATE",1,0)))+IF(ISNUMBER(SEARCH("Mandatory",L144)),3,0))</f>
        <v/>
      </c>
    </row>
    <row r="145" ht="42" customHeight="1">
      <c r="A145" s="42" t="n">
        <v>130</v>
      </c>
      <c r="B145" s="189" t="inlineStr">
        <is>
          <t>MCIT</t>
        </is>
      </c>
      <c r="C145" s="44" t="inlineStr">
        <is>
          <t>Ministry of Communications &amp; IT</t>
        </is>
      </c>
      <c r="D145" s="44" t="inlineStr">
        <is>
          <t>1. Ministries</t>
        </is>
      </c>
      <c r="E145" s="189" t="inlineStr">
        <is>
          <t>MCIT-ICT23</t>
        </is>
      </c>
      <c r="F145" s="45" t="inlineStr">
        <is>
          <t>ICT Strategy 2023</t>
        </is>
      </c>
      <c r="G145" s="44" t="inlineStr">
        <is>
          <t>استراتيجية تقنية المعلومات والاتصالات</t>
        </is>
      </c>
      <c r="H145" s="44" t="inlineStr">
        <is>
          <t>2019-2023 updated</t>
        </is>
      </c>
      <c r="I145" s="46" t="inlineStr">
        <is>
          <t>2019</t>
        </is>
      </c>
      <c r="J145" s="46" t="inlineStr">
        <is>
          <t>N/A</t>
        </is>
      </c>
      <c r="K145" s="44" t="inlineStr">
        <is>
          <t>ISSUES/ENFORCES</t>
        </is>
      </c>
      <c r="L145" s="64" t="inlineStr">
        <is>
          <t>Policy Setter</t>
        </is>
      </c>
      <c r="M145" s="44" t="inlineStr">
        <is>
          <t>ICT sector — health IT sector development</t>
        </is>
      </c>
      <c r="N145" s="55" t="inlineStr">
        <is>
          <t>MODERATE</t>
        </is>
      </c>
      <c r="O145" s="48" t="inlineStr">
        <is>
          <t>https://www.mcit.gov.sa/en/strategy-ministry-communications-and-information-technology</t>
        </is>
      </c>
      <c r="P145" s="44" t="inlineStr">
        <is>
          <t>MCIT official</t>
        </is>
      </c>
      <c r="Q145" s="190" t="inlineStr">
        <is>
          <t>See official source for version history</t>
        </is>
      </c>
      <c r="R145" s="190" t="inlineStr">
        <is>
          <t>Framework issued by the relevant authority. Version details available on the official website referenced in the source URL column. The framework has been updated periodically since first issuance.</t>
        </is>
      </c>
      <c r="S145" s="191" t="inlineStr">
        <is>
          <t>See official source</t>
        </is>
      </c>
      <c r="T145" s="190" t="inlineStr">
        <is>
          <t>Updated as needed by the issuing authority</t>
        </is>
      </c>
      <c r="U145" s="25" t="inlineStr">
        <is>
          <t>CURRENT — consult official source for latest version</t>
        </is>
      </c>
      <c r="V145" s="190" t="inlineStr">
        <is>
          <t>Penalties defined by issuing authority; consult official source. NCA ECC-2 penalties apply if relevant</t>
        </is>
      </c>
      <c r="W145" s="192" t="inlineStr">
        <is>
          <t>Issuing authority and/or designated inspection department</t>
        </is>
      </c>
      <c r="X145" s="190" t="inlineStr">
        <is>
          <t>As specified in framework scope — consult official document</t>
        </is>
      </c>
      <c r="Y145" s="49" t="inlineStr">
        <is>
          <t>Both (unless specified otherwise in official document)</t>
        </is>
      </c>
      <c r="Z145" s="190" t="inlineStr">
        <is>
          <t>As defined by issuing authority</t>
        </is>
      </c>
      <c r="AA145" s="191" t="inlineStr">
        <is>
          <t>As defined by issuing authority</t>
        </is>
      </c>
      <c r="AB145" s="190" t="inlineStr">
        <is>
          <t>To be determined from framework text — see official source</t>
        </is>
      </c>
      <c r="AC145" s="190" t="inlineStr">
        <is>
          <t>See framework preamble for international standard references</t>
        </is>
      </c>
      <c r="AD145" s="49" t="inlineStr">
        <is>
          <t>Arabic (primary in KSA); English may be available</t>
        </is>
      </c>
      <c r="AE145" s="58" t="inlineStr">
        <is>
          <t>Mapped to relevant GH-ICGA layer — requires manual assessment</t>
        </is>
      </c>
      <c r="AF145" s="56" t="inlineStr">
        <is>
          <t>See official framework for maturity model details</t>
        </is>
      </c>
      <c r="AG145" s="190" t="inlineStr">
        <is>
          <t>Aligned with relevant Vision 2030 programme — see framework context</t>
        </is>
      </c>
      <c r="AH145" s="190" t="inlineStr">
        <is>
          <t>As specified in framework compliance requirements</t>
        </is>
      </c>
      <c r="AI145" s="193" t="inlineStr">
        <is>
          <t>Institutional theory and regulatory governance theory underpin all KSA regulatory frameworks. Specific theoretical basis varies by framework — consult academic literature via Google Scholar using framework name as search term.</t>
        </is>
      </c>
      <c r="AJ145" s="190" t="inlineStr">
        <is>
          <t>Academic debate varies by framework maturity and international adoption. For KSA-specific debate, consult: Almohammad &amp; Wills (2021) J Cybersecurity; Al-Khater et al. (2020) IEEE Access; Baker McKenzie KSA regulatory updates.</t>
        </is>
      </c>
      <c r="AK145" s="194" t="inlineStr">
        <is>
          <t>Known criticisms include: implementation gap between standards and practice; resource constraints for smaller healthcare entities; rapid technology evolution outpacing regulation. Consult framework evaluation literature for specifics.</t>
        </is>
      </c>
      <c r="AL145" s="195" t="inlineStr">
        <is>
          <t>Framework comparison requires contextual analysis. Key comparators: NIST CSF 2.0 (international benchmark), ISO 27001 (certifiable standard), ECC-2 (KSA mandatory baseline). See main database for cross-framework mapping.</t>
        </is>
      </c>
      <c r="AM145" s="19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45" s="197" t="inlineStr">
        <is>
          <t>Official: Consult the official source URL in the database for the primary document. Training: ISACA, ISC2, RAPS, IAPP, and HIMSS offer professional development covering most regulatory domains. Estimated hours vary by framework complexity.</t>
        </is>
      </c>
      <c r="AO145" s="198" t="inlineStr">
        <is>
          <t>Relevance to GH-ICGA framework varies by layer — see GH-ICGA Layer Mapping column. All KSA mandatory frameworks are compliance inputs to GH-ICGA Layer 4. Frameworks with IoMT-specific provisions directly inform Layers 2 and 3.</t>
        </is>
      </c>
      <c r="AP145" s="51" t="inlineStr">
        <is>
          <t>G + C (Governance + Compliance — standard regulatory framework positioning)</t>
        </is>
      </c>
      <c r="AQ145" s="26" t="inlineStr">
        <is>
          <t>Senior management: accountability for framework compliance. Designated compliance officer: monitor requirements. All staff: awareness of applicable obligations</t>
        </is>
      </c>
      <c r="AR145" s="194" t="inlineStr">
        <is>
          <t>Regulatory Risk; Operational Risk; Reputational Risk — specific domains determined by framework scope</t>
        </is>
      </c>
      <c r="AS145" s="22" t="inlineStr">
        <is>
          <t>See official source — legal obligation, regulatory requirement, or voluntary standard as applicable</t>
        </is>
      </c>
      <c r="AT145" s="195" t="inlineStr">
        <is>
          <t>Administrative; Technical; Operational — specific distribution determined by framework content</t>
        </is>
      </c>
      <c r="AU145" s="199" t="inlineStr">
        <is>
          <t>1. Compliance status (compliant/non-compliant). 2. # open findings from last assessment. 3. % controls implemented. 4. Time to remediate findings. 5. Incident rate in framework scope area</t>
        </is>
      </c>
      <c r="AV145" s="200" t="inlineStr">
        <is>
          <t>Self-assessment; internal audit; external assessment as specified by issuing authority</t>
        </is>
      </c>
      <c r="AW145" s="201" t="inlineStr">
        <is>
          <t>ServiceNow GRC; IBM OpenPages; RSA Archer; MetricStream — all major GRC platforms support custom framework import. Contact vendor for framework-specific module</t>
        </is>
      </c>
      <c r="AX145" s="202" t="inlineStr">
        <is>
          <t>Third parties in scope must demonstrate equivalent compliance. Contractual compliance obligations; right-to-audit clauses; annual third-party assessment</t>
        </is>
      </c>
      <c r="AY145" s="203" t="inlineStr">
        <is>
          <t>Non-compliance: regulatory action by issuing authority; fines and penalties as specified; operational and reputational consequences</t>
        </is>
      </c>
      <c r="AZ145" s="200" t="inlineStr">
        <is>
          <t>Sector-specific — consult official source</t>
        </is>
      </c>
      <c r="BA145" s="41" t="inlineStr">
        <is>
          <t>Sector-Specific</t>
        </is>
      </c>
      <c r="BB145" s="591">
        <f>IF(E145="","",IF(ISNUMBER(SEARCH("Institutional theory and regulatory governance theory underpin",AI145)),"TEMPLATE",IF(LEN(AI145)&gt;100,"DEEP",IF(AI145="","SPARSE","SHALLOW"))))</f>
        <v/>
      </c>
      <c r="BC145" s="591">
        <f>IF(E145="","",D145&amp;"-"&amp;B145&amp;"-"&amp;E145)</f>
        <v/>
      </c>
      <c r="BD145" s="591">
        <f>IF(E145="","",SUBSTITUTE(SUBSTITUTE(B145&amp;"-"&amp;E145," ",""),":","-"))</f>
        <v/>
      </c>
      <c r="BE145" s="591">
        <f>IF(E145="","",IF(ISNUMBER(SEARCH("ECC",E145)),"NCA-ECC-2-2024",IF(ISNUMBER(SEARCH("OTCC",E145)),"NCA-ECC-2-2024",IF(ISNUMBER(SEARCH("CCC",E145)),"NCA-ECC-2-2024",IF(ISNUMBER(SEARCH("DCC",E145)),"NCA-ECC-2-2024",IF(ISNUMBER(SEARCH("CSCC",E145)),"NCA-ECC-2-2024",IF(ISNUMBER(SEARCH("PDPL-IR",E145)),"PDPL-2021",IF(ISNUMBER(SEARCH("PDPL-DTR",E145)),"PDPL-2021","NONE"))))))))</f>
        <v/>
      </c>
      <c r="BF145" s="594">
        <f>IF(E145="","",IF(BB145="DEEP",10,IF(BB145="SHALLOW",5,IF(BB145="TEMPLATE",3,1)))+IF(N145="HIGHEST",5,IF(N145="HIGH",3,IF(N145="MODERATE",1,0)))+IF(ISNUMBER(SEARCH("Mandatory",L145)),3,0))</f>
        <v/>
      </c>
    </row>
    <row r="146" ht="42" customHeight="1">
      <c r="A146" s="204" t="n">
        <v>131</v>
      </c>
      <c r="B146" s="205" t="inlineStr">
        <is>
          <t>MCIT</t>
        </is>
      </c>
      <c r="C146" s="190" t="inlineStr">
        <is>
          <t>Ministry of Communications &amp; IT</t>
        </is>
      </c>
      <c r="D146" s="190" t="inlineStr">
        <is>
          <t>1. Ministries</t>
        </is>
      </c>
      <c r="E146" s="205" t="inlineStr">
        <is>
          <t>MCIT-ETL</t>
        </is>
      </c>
      <c r="F146" s="192" t="inlineStr">
        <is>
          <t>Electronic Transactions Law</t>
        </is>
      </c>
      <c r="G146" s="190" t="inlineStr">
        <is>
          <t>نظام المعاملات الإلكترونية</t>
        </is>
      </c>
      <c r="H146" s="190" t="inlineStr">
        <is>
          <t>Updated 2021</t>
        </is>
      </c>
      <c r="I146" s="191" t="inlineStr">
        <is>
          <t>2007</t>
        </is>
      </c>
      <c r="J146" s="191" t="inlineStr">
        <is>
          <t>N/A</t>
        </is>
      </c>
      <c r="K146" s="190" t="inlineStr">
        <is>
          <t>ISSUES/ENFORCES</t>
        </is>
      </c>
      <c r="L146" s="22" t="inlineStr">
        <is>
          <t>Mandatory Enforcer</t>
        </is>
      </c>
      <c r="M146" s="190" t="inlineStr">
        <is>
          <t>All organisations — health e-commerce, telemedicine digital contracts</t>
        </is>
      </c>
      <c r="N146" s="208" t="inlineStr">
        <is>
          <t>MODERATE</t>
        </is>
      </c>
      <c r="O146" s="207" t="inlineStr">
        <is>
          <t>https://www.mcit.gov.sa/en/acts-and-regulations</t>
        </is>
      </c>
      <c r="P146" s="190" t="inlineStr">
        <is>
          <t>Chambers TMT 2026</t>
        </is>
      </c>
      <c r="Q146" s="190" t="inlineStr">
        <is>
          <t>See official source for version history</t>
        </is>
      </c>
      <c r="R146" s="190" t="inlineStr">
        <is>
          <t>Framework issued by the relevant authority. Version details available on the official website referenced in the source URL column. The framework has been updated periodically since first issuance.</t>
        </is>
      </c>
      <c r="S146" s="191" t="inlineStr">
        <is>
          <t>See official source</t>
        </is>
      </c>
      <c r="T146" s="190" t="inlineStr">
        <is>
          <t>Updated as needed by the issuing authority</t>
        </is>
      </c>
      <c r="U146" s="25" t="inlineStr">
        <is>
          <t>CURRENT — consult official source for latest version</t>
        </is>
      </c>
      <c r="V146" s="190" t="inlineStr">
        <is>
          <t>Penalties defined by issuing authority; consult official source. NCA ECC-2 penalties apply if relevant</t>
        </is>
      </c>
      <c r="W146" s="192" t="inlineStr">
        <is>
          <t>Issuing authority and/or designated inspection department</t>
        </is>
      </c>
      <c r="X146" s="190" t="inlineStr">
        <is>
          <t>As specified in framework scope — consult official document</t>
        </is>
      </c>
      <c r="Y146" s="49" t="inlineStr">
        <is>
          <t>Both (unless specified otherwise in official document)</t>
        </is>
      </c>
      <c r="Z146" s="190" t="inlineStr">
        <is>
          <t>As defined by issuing authority</t>
        </is>
      </c>
      <c r="AA146" s="191" t="inlineStr">
        <is>
          <t>As defined by issuing authority</t>
        </is>
      </c>
      <c r="AB146" s="190" t="inlineStr">
        <is>
          <t>To be determined from framework text — see official source</t>
        </is>
      </c>
      <c r="AC146" s="190" t="inlineStr">
        <is>
          <t>See framework preamble for international standard references</t>
        </is>
      </c>
      <c r="AD146" s="49" t="inlineStr">
        <is>
          <t>Arabic (primary in KSA); English may be available</t>
        </is>
      </c>
      <c r="AE146" s="58" t="inlineStr">
        <is>
          <t>Mapped to relevant GH-ICGA layer — requires manual assessment</t>
        </is>
      </c>
      <c r="AF146" s="56" t="inlineStr">
        <is>
          <t>See official framework for maturity model details</t>
        </is>
      </c>
      <c r="AG146" s="190" t="inlineStr">
        <is>
          <t>Aligned with relevant Vision 2030 programme — see framework context</t>
        </is>
      </c>
      <c r="AH146" s="190" t="inlineStr">
        <is>
          <t>As specified in framework compliance requirements</t>
        </is>
      </c>
      <c r="AI146" s="193" t="inlineStr">
        <is>
          <t>Institutional theory and regulatory governance theory underpin all KSA regulatory frameworks. Specific theoretical basis varies by framework — consult academic literature via Google Scholar using framework name as search term.</t>
        </is>
      </c>
      <c r="AJ146" s="190" t="inlineStr">
        <is>
          <t>Academic debate varies by framework maturity and international adoption. For KSA-specific debate, consult: Almohammad &amp; Wills (2021) J Cybersecurity; Al-Khater et al. (2020) IEEE Access; Baker McKenzie KSA regulatory updates.</t>
        </is>
      </c>
      <c r="AK146" s="194" t="inlineStr">
        <is>
          <t>Known criticisms include: implementation gap between standards and practice; resource constraints for smaller healthcare entities; rapid technology evolution outpacing regulation. Consult framework evaluation literature for specifics.</t>
        </is>
      </c>
      <c r="AL146" s="195" t="inlineStr">
        <is>
          <t>Framework comparison requires contextual analysis. Key comparators: NIST CSF 2.0 (international benchmark), ISO 27001 (certifiable standard), ECC-2 (KSA mandatory baseline). See main database for cross-framework mapping.</t>
        </is>
      </c>
      <c r="AM146" s="19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46" s="197" t="inlineStr">
        <is>
          <t>Official: Consult the official source URL in the database for the primary document. Training: ISACA, ISC2, RAPS, IAPP, and HIMSS offer professional development covering most regulatory domains. Estimated hours vary by framework complexity.</t>
        </is>
      </c>
      <c r="AO146" s="198" t="inlineStr">
        <is>
          <t>Relevance to GH-ICGA framework varies by layer — see GH-ICGA Layer Mapping column. All KSA mandatory frameworks are compliance inputs to GH-ICGA Layer 4. Frameworks with IoMT-specific provisions directly inform Layers 2 and 3.</t>
        </is>
      </c>
      <c r="AP146" s="51" t="inlineStr">
        <is>
          <t>G + C (Governance + Compliance — standard regulatory framework positioning)</t>
        </is>
      </c>
      <c r="AQ146" s="26" t="inlineStr">
        <is>
          <t>Senior management: accountability for framework compliance. Designated compliance officer: monitor requirements. All staff: awareness of applicable obligations</t>
        </is>
      </c>
      <c r="AR146" s="194" t="inlineStr">
        <is>
          <t>Regulatory Risk; Operational Risk; Reputational Risk — specific domains determined by framework scope</t>
        </is>
      </c>
      <c r="AS146" s="22" t="inlineStr">
        <is>
          <t>See official source — legal obligation, regulatory requirement, or voluntary standard as applicable</t>
        </is>
      </c>
      <c r="AT146" s="195" t="inlineStr">
        <is>
          <t>Administrative; Technical; Operational — specific distribution determined by framework content</t>
        </is>
      </c>
      <c r="AU146" s="199" t="inlineStr">
        <is>
          <t>1. Compliance status (compliant/non-compliant). 2. # open findings from last assessment. 3. % controls implemented. 4. Time to remediate findings. 5. Incident rate in framework scope area</t>
        </is>
      </c>
      <c r="AV146" s="200" t="inlineStr">
        <is>
          <t>Self-assessment; internal audit; external assessment as specified by issuing authority</t>
        </is>
      </c>
      <c r="AW146" s="201" t="inlineStr">
        <is>
          <t>ServiceNow GRC; IBM OpenPages; RSA Archer; MetricStream — all major GRC platforms support custom framework import. Contact vendor for framework-specific module</t>
        </is>
      </c>
      <c r="AX146" s="202" t="inlineStr">
        <is>
          <t>Third parties in scope must demonstrate equivalent compliance. Contractual compliance obligations; right-to-audit clauses; annual third-party assessment</t>
        </is>
      </c>
      <c r="AY146" s="203" t="inlineStr">
        <is>
          <t>Non-compliance: regulatory action by issuing authority; fines and penalties as specified; operational and reputational consequences</t>
        </is>
      </c>
      <c r="AZ146" s="200" t="inlineStr">
        <is>
          <t>ALL SECTORS with digital transactions</t>
        </is>
      </c>
      <c r="BA146" s="34" t="inlineStr">
        <is>
          <t>YES — ALL SECTORS</t>
        </is>
      </c>
      <c r="BB146" s="591">
        <f>IF(E146="","",IF(ISNUMBER(SEARCH("Institutional theory and regulatory governance theory underpin",AI146)),"TEMPLATE",IF(LEN(AI146)&gt;100,"DEEP",IF(AI146="","SPARSE","SHALLOW"))))</f>
        <v/>
      </c>
      <c r="BC146" s="591">
        <f>IF(E146="","",D146&amp;"-"&amp;B146&amp;"-"&amp;E146)</f>
        <v/>
      </c>
      <c r="BD146" s="591">
        <f>IF(E146="","",SUBSTITUTE(SUBSTITUTE(B146&amp;"-"&amp;E146," ",""),":","-"))</f>
        <v/>
      </c>
      <c r="BE146" s="591">
        <f>IF(E146="","",IF(ISNUMBER(SEARCH("ECC",E146)),"NCA-ECC-2-2024",IF(ISNUMBER(SEARCH("OTCC",E146)),"NCA-ECC-2-2024",IF(ISNUMBER(SEARCH("CCC",E146)),"NCA-ECC-2-2024",IF(ISNUMBER(SEARCH("DCC",E146)),"NCA-ECC-2-2024",IF(ISNUMBER(SEARCH("CSCC",E146)),"NCA-ECC-2-2024",IF(ISNUMBER(SEARCH("PDPL-IR",E146)),"PDPL-2021",IF(ISNUMBER(SEARCH("PDPL-DTR",E146)),"PDPL-2021","NONE"))))))))</f>
        <v/>
      </c>
      <c r="BF146" s="594">
        <f>IF(E146="","",IF(BB146="DEEP",10,IF(BB146="SHALLOW",5,IF(BB146="TEMPLATE",3,1)))+IF(N146="HIGHEST",5,IF(N146="HIGH",3,IF(N146="MODERATE",1,0)))+IF(ISNUMBER(SEARCH("Mandatory",L146)),3,0))</f>
        <v/>
      </c>
    </row>
    <row r="147" ht="42" customHeight="1">
      <c r="A147" s="42" t="n">
        <v>132</v>
      </c>
      <c r="B147" s="189" t="inlineStr">
        <is>
          <t>MCIT</t>
        </is>
      </c>
      <c r="C147" s="44" t="inlineStr">
        <is>
          <t>Ministry of Communications &amp; IT</t>
        </is>
      </c>
      <c r="D147" s="44" t="inlineStr">
        <is>
          <t>1. Ministries</t>
        </is>
      </c>
      <c r="E147" s="189" t="inlineStr">
        <is>
          <t>NCA-ECC-2:2024</t>
        </is>
      </c>
      <c r="F147" s="45" t="inlineStr">
        <is>
          <t>Essential Cybersecurity Controls</t>
        </is>
      </c>
      <c r="G147" s="44" t="inlineStr">
        <is>
          <t>ضوابط الأمن السيبراني الأساسية</t>
        </is>
      </c>
      <c r="H147" s="44" t="inlineStr">
        <is>
          <t>ECC-2:2024</t>
        </is>
      </c>
      <c r="I147" s="46" t="inlineStr">
        <is>
          <t>2018</t>
        </is>
      </c>
      <c r="J147" s="46" t="inlineStr">
        <is>
          <t>108</t>
        </is>
      </c>
      <c r="K147" s="44" t="inlineStr">
        <is>
          <t>MUST COMPLY WITH</t>
        </is>
      </c>
      <c r="L147" s="66" t="inlineStr">
        <is>
          <t>Mandatory Complier</t>
        </is>
      </c>
      <c r="M147" s="44" t="inlineStr">
        <is>
          <t>MCIT as government entity</t>
        </is>
      </c>
      <c r="N147" s="55" t="inlineStr">
        <is>
          <t>MODERATE</t>
        </is>
      </c>
      <c r="O147" s="48" t="inlineStr">
        <is>
          <t>https://nca.gov.sa/</t>
        </is>
      </c>
      <c r="P147" s="44" t="inlineStr">
        <is>
          <t>NCA ECC scope</t>
        </is>
      </c>
      <c r="Q147" s="190" t="inlineStr">
        <is>
          <t>See official source for version history</t>
        </is>
      </c>
      <c r="R147" s="190" t="inlineStr">
        <is>
          <t>Framework issued by the relevant authority. Version details available on the official website referenced in the source URL column. The framework has been updated periodically since first issuance.</t>
        </is>
      </c>
      <c r="S147" s="191" t="inlineStr">
        <is>
          <t>See official source</t>
        </is>
      </c>
      <c r="T147" s="190" t="inlineStr">
        <is>
          <t>Updated as needed by the issuing authority</t>
        </is>
      </c>
      <c r="U147" s="25" t="inlineStr">
        <is>
          <t>CURRENT — consult official source for latest version</t>
        </is>
      </c>
      <c r="V147" s="190" t="inlineStr">
        <is>
          <t>Penalties defined by issuing authority; consult official source. NCA ECC-2 penalties apply if relevant</t>
        </is>
      </c>
      <c r="W147" s="192" t="inlineStr">
        <is>
          <t>Issuing authority and/or designated inspection department</t>
        </is>
      </c>
      <c r="X147" s="190" t="inlineStr">
        <is>
          <t>As specified in framework scope — consult official document</t>
        </is>
      </c>
      <c r="Y147" s="49" t="inlineStr">
        <is>
          <t>Both (unless specified otherwise in official document)</t>
        </is>
      </c>
      <c r="Z147" s="190" t="inlineStr">
        <is>
          <t>As defined by issuing authority</t>
        </is>
      </c>
      <c r="AA147" s="191" t="inlineStr">
        <is>
          <t>As defined by issuing authority</t>
        </is>
      </c>
      <c r="AB147" s="190" t="inlineStr">
        <is>
          <t>To be determined from framework text — see official source</t>
        </is>
      </c>
      <c r="AC147" s="190" t="inlineStr">
        <is>
          <t>See framework preamble for international standard references</t>
        </is>
      </c>
      <c r="AD147" s="49" t="inlineStr">
        <is>
          <t>Arabic (primary in KSA); English may be available</t>
        </is>
      </c>
      <c r="AE147" s="58" t="inlineStr">
        <is>
          <t>Mapped to relevant GH-ICGA layer — requires manual assessment</t>
        </is>
      </c>
      <c r="AF147" s="56" t="inlineStr">
        <is>
          <t>See official framework for maturity model details</t>
        </is>
      </c>
      <c r="AG147" s="190" t="inlineStr">
        <is>
          <t>Aligned with relevant Vision 2030 programme — see framework context</t>
        </is>
      </c>
      <c r="AH147" s="190" t="inlineStr">
        <is>
          <t>As specified in framework compliance requirements</t>
        </is>
      </c>
      <c r="AI147" s="193" t="inlineStr">
        <is>
          <t>Institutional theory and regulatory governance theory underpin all KSA regulatory frameworks. Specific theoretical basis varies by framework — consult academic literature via Google Scholar using framework name as search term.</t>
        </is>
      </c>
      <c r="AJ147" s="190" t="inlineStr">
        <is>
          <t>Academic debate varies by framework maturity and international adoption. For KSA-specific debate, consult: Almohammad &amp; Wills (2021) J Cybersecurity; Al-Khater et al. (2020) IEEE Access; Baker McKenzie KSA regulatory updates.</t>
        </is>
      </c>
      <c r="AK147" s="194" t="inlineStr">
        <is>
          <t>Known criticisms include: implementation gap between standards and practice; resource constraints for smaller healthcare entities; rapid technology evolution outpacing regulation. Consult framework evaluation literature for specifics.</t>
        </is>
      </c>
      <c r="AL147" s="195" t="inlineStr">
        <is>
          <t>Framework comparison requires contextual analysis. Key comparators: NIST CSF 2.0 (international benchmark), ISO 27001 (certifiable standard), ECC-2 (KSA mandatory baseline). See main database for cross-framework mapping.</t>
        </is>
      </c>
      <c r="AM147" s="19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47" s="197" t="inlineStr">
        <is>
          <t>Official: Consult the official source URL in the database for the primary document. Training: ISACA, ISC2, RAPS, IAPP, and HIMSS offer professional development covering most regulatory domains. Estimated hours vary by framework complexity.</t>
        </is>
      </c>
      <c r="AO147" s="198" t="inlineStr">
        <is>
          <t>Relevance to GH-ICGA framework varies by layer — see GH-ICGA Layer Mapping column. All KSA mandatory frameworks are compliance inputs to GH-ICGA Layer 4. Frameworks with IoMT-specific provisions directly inform Layers 2 and 3.</t>
        </is>
      </c>
      <c r="AP147" s="51" t="inlineStr">
        <is>
          <t>G + C (Governance + Compliance — standard regulatory framework positioning)</t>
        </is>
      </c>
      <c r="AQ147" s="26" t="inlineStr">
        <is>
          <t>Senior management: accountability for framework compliance. Designated compliance officer: monitor requirements. All staff: awareness of applicable obligations</t>
        </is>
      </c>
      <c r="AR147" s="194" t="inlineStr">
        <is>
          <t>Regulatory Risk; Operational Risk; Reputational Risk — specific domains determined by framework scope</t>
        </is>
      </c>
      <c r="AS147" s="22" t="inlineStr">
        <is>
          <t>See official source — legal obligation, regulatory requirement, or voluntary standard as applicable</t>
        </is>
      </c>
      <c r="AT147" s="195" t="inlineStr">
        <is>
          <t>Administrative; Technical; Operational — specific distribution determined by framework content</t>
        </is>
      </c>
      <c r="AU147" s="199" t="inlineStr">
        <is>
          <t>1. Compliance status (compliant/non-compliant). 2. # open findings from last assessment. 3. % controls implemented. 4. Time to remediate findings. 5. Incident rate in framework scope area</t>
        </is>
      </c>
      <c r="AV147" s="200" t="inlineStr">
        <is>
          <t>Self-assessment; internal audit; external assessment as specified by issuing authority</t>
        </is>
      </c>
      <c r="AW147" s="201" t="inlineStr">
        <is>
          <t>ServiceNow GRC; IBM OpenPages; RSA Archer; MetricStream — all major GRC platforms support custom framework import. Contact vendor for framework-specific module</t>
        </is>
      </c>
      <c r="AX147" s="202" t="inlineStr">
        <is>
          <t>Third parties in scope must demonstrate equivalent compliance. Contractual compliance obligations; right-to-audit clauses; annual third-party assessment</t>
        </is>
      </c>
      <c r="AY147" s="203" t="inlineStr">
        <is>
          <t>Non-compliance: regulatory action by issuing authority; fines and penalties as specified; operational and reputational consequences</t>
        </is>
      </c>
      <c r="AZ147" s="200" t="inlineStr">
        <is>
          <t>ALL 17 SECTORS</t>
        </is>
      </c>
      <c r="BA147" s="34" t="inlineStr">
        <is>
          <t>YES — ALL SECTORS</t>
        </is>
      </c>
      <c r="BB147" s="591">
        <f>IF(E147="","",IF(ISNUMBER(SEARCH("Institutional theory and regulatory governance theory underpin",AI147)),"TEMPLATE",IF(LEN(AI147)&gt;100,"DEEP",IF(AI147="","SPARSE","SHALLOW"))))</f>
        <v/>
      </c>
      <c r="BC147" s="591">
        <f>IF(E147="","",D147&amp;"-"&amp;B147&amp;"-"&amp;E147)</f>
        <v/>
      </c>
      <c r="BD147" s="591">
        <f>IF(E147="","",SUBSTITUTE(SUBSTITUTE(B147&amp;"-"&amp;E147," ",""),":","-"))</f>
        <v/>
      </c>
      <c r="BE147" s="591">
        <f>IF(E147="","",IF(ISNUMBER(SEARCH("ECC",E147)),"NCA-ECC-2-2024",IF(ISNUMBER(SEARCH("OTCC",E147)),"NCA-ECC-2-2024",IF(ISNUMBER(SEARCH("CCC",E147)),"NCA-ECC-2-2024",IF(ISNUMBER(SEARCH("DCC",E147)),"NCA-ECC-2-2024",IF(ISNUMBER(SEARCH("CSCC",E147)),"NCA-ECC-2-2024",IF(ISNUMBER(SEARCH("PDPL-IR",E147)),"PDPL-2021",IF(ISNUMBER(SEARCH("PDPL-DTR",E147)),"PDPL-2021","NONE"))))))))</f>
        <v/>
      </c>
      <c r="BF147" s="594">
        <f>IF(E147="","",IF(BB147="DEEP",10,IF(BB147="SHALLOW",5,IF(BB147="TEMPLATE",3,1)))+IF(N147="HIGHEST",5,IF(N147="HIGH",3,IF(N147="MODERATE",1,0)))+IF(ISNUMBER(SEARCH("Mandatory",L147)),3,0))</f>
        <v/>
      </c>
    </row>
    <row r="148">
      <c r="BB148" s="591">
        <f>IF(E148="","",IF(ISNUMBER(SEARCH("Institutional theory and regulatory governance theory underpin",AI148)),"TEMPLATE",IF(LEN(AI148)&gt;100,"DEEP",IF(AI148="","SPARSE","SHALLOW"))))</f>
        <v/>
      </c>
      <c r="BC148" s="591">
        <f>IF(E148="","",D148&amp;"-"&amp;B148&amp;"-"&amp;E148)</f>
        <v/>
      </c>
      <c r="BD148" s="591">
        <f>IF(E148="","",SUBSTITUTE(SUBSTITUTE(B148&amp;"-"&amp;E148," ",""),":","-"))</f>
        <v/>
      </c>
      <c r="BE148" s="591">
        <f>IF(E148="","",IF(ISNUMBER(SEARCH("ECC",E148)),"NCA-ECC-2-2024",IF(ISNUMBER(SEARCH("OTCC",E148)),"NCA-ECC-2-2024",IF(ISNUMBER(SEARCH("CCC",E148)),"NCA-ECC-2-2024",IF(ISNUMBER(SEARCH("DCC",E148)),"NCA-ECC-2-2024",IF(ISNUMBER(SEARCH("CSCC",E148)),"NCA-ECC-2-2024",IF(ISNUMBER(SEARCH("PDPL-IR",E148)),"PDPL-2021",IF(ISNUMBER(SEARCH("PDPL-DTR",E148)),"PDPL-2021","NONE"))))))))</f>
        <v/>
      </c>
      <c r="BF148" s="594">
        <f>IF(E148="","",IF(BB148="DEEP",10,IF(BB148="SHALLOW",5,IF(BB148="TEMPLATE",3,1)))+IF(N148="HIGHEST",5,IF(N148="HIGH",3,IF(N148="MODERATE",1,0)))+IF(ISNUMBER(SEARCH("Mandatory",L148)),3,0))</f>
        <v/>
      </c>
    </row>
    <row r="149" ht="19.5" customHeight="1">
      <c r="A149" s="94" t="n"/>
      <c r="B149" s="95" t="inlineStr">
        <is>
          <t xml:space="preserve">  ── 5. Financial Regulators ──</t>
        </is>
      </c>
      <c r="C149" s="94" t="n"/>
      <c r="D149" s="94" t="n"/>
      <c r="E149" s="94" t="n"/>
      <c r="F149" s="94" t="n"/>
      <c r="G149" s="94" t="n"/>
      <c r="H149" s="94" t="n"/>
      <c r="I149" s="94" t="n"/>
      <c r="J149" s="94" t="n"/>
      <c r="K149" s="94" t="n"/>
      <c r="L149" s="94" t="n"/>
      <c r="M149" s="94" t="n"/>
      <c r="N149" s="94" t="n"/>
      <c r="O149" s="94" t="n"/>
      <c r="P149" s="94" t="n"/>
      <c r="BB149" s="591">
        <f>IF(E149="","",IF(ISNUMBER(SEARCH("Institutional theory and regulatory governance theory underpin",AI149)),"TEMPLATE",IF(LEN(AI149)&gt;100,"DEEP",IF(AI149="","SPARSE","SHALLOW"))))</f>
        <v/>
      </c>
      <c r="BC149" s="591">
        <f>IF(E149="","",D149&amp;"-"&amp;B149&amp;"-"&amp;E149)</f>
        <v/>
      </c>
      <c r="BD149" s="591">
        <f>IF(E149="","",SUBSTITUTE(SUBSTITUTE(B149&amp;"-"&amp;E149," ",""),":","-"))</f>
        <v/>
      </c>
      <c r="BE149" s="591">
        <f>IF(E149="","",IF(ISNUMBER(SEARCH("ECC",E149)),"NCA-ECC-2-2024",IF(ISNUMBER(SEARCH("OTCC",E149)),"NCA-ECC-2-2024",IF(ISNUMBER(SEARCH("CCC",E149)),"NCA-ECC-2-2024",IF(ISNUMBER(SEARCH("DCC",E149)),"NCA-ECC-2-2024",IF(ISNUMBER(SEARCH("CSCC",E149)),"NCA-ECC-2-2024",IF(ISNUMBER(SEARCH("PDPL-IR",E149)),"PDPL-2021",IF(ISNUMBER(SEARCH("PDPL-DTR",E149)),"PDPL-2021","NONE"))))))))</f>
        <v/>
      </c>
      <c r="BF149" s="594">
        <f>IF(E149="","",IF(BB149="DEEP",10,IF(BB149="SHALLOW",5,IF(BB149="TEMPLATE",3,1)))+IF(N149="HIGHEST",5,IF(N149="HIGH",3,IF(N149="MODERATE",1,0)))+IF(ISNUMBER(SEARCH("Mandatory",L149)),3,0))</f>
        <v/>
      </c>
    </row>
    <row r="150" ht="42" customHeight="1">
      <c r="A150" s="96" t="n">
        <v>133</v>
      </c>
      <c r="B150" s="97" t="inlineStr">
        <is>
          <t>CMA</t>
        </is>
      </c>
      <c r="C150" s="98" t="inlineStr">
        <is>
          <t>Capital Market Authority</t>
        </is>
      </c>
      <c r="D150" s="98" t="inlineStr">
        <is>
          <t>5. Financial Regulators</t>
        </is>
      </c>
      <c r="E150" s="97" t="inlineStr">
        <is>
          <t>CMA-CML</t>
        </is>
      </c>
      <c r="F150" s="99" t="inlineStr">
        <is>
          <t>Capital Market Law</t>
        </is>
      </c>
      <c r="G150" s="98" t="inlineStr">
        <is>
          <t>نظام السوق المالية</t>
        </is>
      </c>
      <c r="H150" s="98" t="inlineStr">
        <is>
          <t>Updated 2023</t>
        </is>
      </c>
      <c r="I150" s="100" t="inlineStr">
        <is>
          <t>2003</t>
        </is>
      </c>
      <c r="J150" s="100" t="inlineStr">
        <is>
          <t>72</t>
        </is>
      </c>
      <c r="K150" s="98" t="inlineStr">
        <is>
          <t>ISSUES/ENFORCES</t>
        </is>
      </c>
      <c r="L150" s="22" t="inlineStr">
        <is>
          <t>Mandatory Enforcer</t>
        </is>
      </c>
      <c r="M150" s="98" t="inlineStr">
        <is>
          <t>Listed companies — private hospitals and pharma companies</t>
        </is>
      </c>
      <c r="N150" s="116" t="inlineStr">
        <is>
          <t>LOW</t>
        </is>
      </c>
      <c r="O150" s="102" t="inlineStr">
        <is>
          <t>https://cma.gov.sa/en</t>
        </is>
      </c>
      <c r="P150" s="98" t="inlineStr">
        <is>
          <t>CMA official</t>
        </is>
      </c>
      <c r="Q150" s="98" t="inlineStr">
        <is>
          <t>See official source for version history</t>
        </is>
      </c>
      <c r="R150" s="98" t="inlineStr">
        <is>
          <t>Framework issued by the relevant authority. Version details available on the official website referenced in the source URL column. The framework has been updated periodically since first issuance.</t>
        </is>
      </c>
      <c r="S150" s="100" t="inlineStr">
        <is>
          <t>See official source</t>
        </is>
      </c>
      <c r="T150" s="98" t="inlineStr">
        <is>
          <t>Updated as needed by the issuing authority</t>
        </is>
      </c>
      <c r="U150" s="25" t="inlineStr">
        <is>
          <t>CURRENT — consult official source for latest version</t>
        </is>
      </c>
      <c r="V150" s="98" t="inlineStr">
        <is>
          <t>Penalties defined by issuing authority; consult official source. NCA ECC-2 penalties apply if relevant</t>
        </is>
      </c>
      <c r="W150" s="99" t="inlineStr">
        <is>
          <t>Issuing authority and/or designated inspection department</t>
        </is>
      </c>
      <c r="X150" s="98" t="inlineStr">
        <is>
          <t>As specified in framework scope — consult official document</t>
        </is>
      </c>
      <c r="Y150" s="49" t="inlineStr">
        <is>
          <t>Both (unless specified otherwise in official document)</t>
        </is>
      </c>
      <c r="Z150" s="98" t="inlineStr">
        <is>
          <t>As defined by issuing authority</t>
        </is>
      </c>
      <c r="AA150" s="100" t="inlineStr">
        <is>
          <t>As defined by issuing authority</t>
        </is>
      </c>
      <c r="AB150" s="98" t="inlineStr">
        <is>
          <t>To be determined from framework text — see official source</t>
        </is>
      </c>
      <c r="AC150" s="98" t="inlineStr">
        <is>
          <t>See framework preamble for international standard references</t>
        </is>
      </c>
      <c r="AD150" s="49" t="inlineStr">
        <is>
          <t>Arabic (primary in KSA); English may be available</t>
        </is>
      </c>
      <c r="AE150" s="58" t="inlineStr">
        <is>
          <t>Mapped to relevant GH-ICGA layer — requires manual assessment</t>
        </is>
      </c>
      <c r="AF150" s="56" t="inlineStr">
        <is>
          <t>See official framework for maturity model details</t>
        </is>
      </c>
      <c r="AG150" s="98" t="inlineStr">
        <is>
          <t>Aligned with relevant Vision 2030 programme — see framework context</t>
        </is>
      </c>
      <c r="AH150" s="98" t="inlineStr">
        <is>
          <t>As specified in framework compliance requirements</t>
        </is>
      </c>
      <c r="AI150" s="103" t="inlineStr">
        <is>
          <t>Institutional theory and regulatory governance theory underpin all KSA regulatory frameworks. Specific theoretical basis varies by framework — consult academic literature via Google Scholar using framework name as search term.</t>
        </is>
      </c>
      <c r="AJ150" s="98" t="inlineStr">
        <is>
          <t>Academic debate varies by framework maturity and international adoption. For KSA-specific debate, consult: Almohammad &amp; Wills (2021) J Cybersecurity; Al-Khater et al. (2020) IEEE Access; Baker McKenzie KSA regulatory updates.</t>
        </is>
      </c>
      <c r="AK150" s="104" t="inlineStr">
        <is>
          <t>Known criticisms include: implementation gap between standards and practice; resource constraints for smaller healthcare entities; rapid technology evolution outpacing regulation. Consult framework evaluation literature for specifics.</t>
        </is>
      </c>
      <c r="AL150" s="105" t="inlineStr">
        <is>
          <t>Framework comparison requires contextual analysis. Key comparators: NIST CSF 2.0 (international benchmark), ISO 27001 (certifiable standard), ECC-2 (KSA mandatory baseline). See main database for cross-framework mapping.</t>
        </is>
      </c>
      <c r="AM150" s="10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50" s="107" t="inlineStr">
        <is>
          <t>Official: Consult the official source URL in the database for the primary document. Training: ISACA, ISC2, RAPS, IAPP, and HIMSS offer professional development covering most regulatory domains. Estimated hours vary by framework complexity.</t>
        </is>
      </c>
      <c r="AO150" s="108" t="inlineStr">
        <is>
          <t>Relevance to GH-ICGA framework varies by layer — see GH-ICGA Layer Mapping column. All KSA mandatory frameworks are compliance inputs to GH-ICGA Layer 4. Frameworks with IoMT-specific provisions directly inform Layers 2 and 3.</t>
        </is>
      </c>
      <c r="AP150" s="51" t="inlineStr">
        <is>
          <t>G + C (Governance + Compliance — standard regulatory framework positioning)</t>
        </is>
      </c>
      <c r="AQ150" s="109" t="inlineStr">
        <is>
          <t>Senior management: accountability for framework compliance. Designated compliance officer: monitor requirements. All staff: awareness of applicable obligations</t>
        </is>
      </c>
      <c r="AR150" s="104" t="inlineStr">
        <is>
          <t>Regulatory Risk; Operational Risk; Reputational Risk — specific domains determined by framework scope</t>
        </is>
      </c>
      <c r="AS150" s="22" t="inlineStr">
        <is>
          <t>See official source — legal obligation, regulatory requirement, or voluntary standard as applicable</t>
        </is>
      </c>
      <c r="AT150" s="105" t="inlineStr">
        <is>
          <t>Administrative; Technical; Operational — specific distribution determined by framework content</t>
        </is>
      </c>
      <c r="AU150" s="110" t="inlineStr">
        <is>
          <t>1. Compliance status (compliant/non-compliant). 2. # open findings from last assessment. 3. % controls implemented. 4. Time to remediate findings. 5. Incident rate in framework scope area</t>
        </is>
      </c>
      <c r="AV150" s="111" t="inlineStr">
        <is>
          <t>Self-assessment; internal audit; external assessment as specified by issuing authority</t>
        </is>
      </c>
      <c r="AW150" s="112" t="inlineStr">
        <is>
          <t>ServiceNow GRC; IBM OpenPages; RSA Archer; MetricStream — all major GRC platforms support custom framework import. Contact vendor for framework-specific module</t>
        </is>
      </c>
      <c r="AX150" s="113" t="inlineStr">
        <is>
          <t>Third parties in scope must demonstrate equivalent compliance. Contractual compliance obligations; right-to-audit clauses; annual third-party assessment</t>
        </is>
      </c>
      <c r="AY150" s="114" t="inlineStr">
        <is>
          <t>Non-compliance: regulatory action by issuing authority; fines and penalties as specified; operational and reputational consequences</t>
        </is>
      </c>
      <c r="AZ150" s="111" t="inlineStr">
        <is>
          <t>Financial Regulators; ALL SECTORS with listed companies</t>
        </is>
      </c>
      <c r="BA150" s="34" t="inlineStr">
        <is>
          <t>YES — ALL SECTORS</t>
        </is>
      </c>
      <c r="BB150" s="591">
        <f>IF(E150="","",IF(ISNUMBER(SEARCH("Institutional theory and regulatory governance theory underpin",AI150)),"TEMPLATE",IF(LEN(AI150)&gt;100,"DEEP",IF(AI150="","SPARSE","SHALLOW"))))</f>
        <v/>
      </c>
      <c r="BC150" s="591">
        <f>IF(E150="","",D150&amp;"-"&amp;B150&amp;"-"&amp;E150)</f>
        <v/>
      </c>
      <c r="BD150" s="591">
        <f>IF(E150="","",SUBSTITUTE(SUBSTITUTE(B150&amp;"-"&amp;E150," ",""),":","-"))</f>
        <v/>
      </c>
      <c r="BE150" s="591">
        <f>IF(E150="","",IF(ISNUMBER(SEARCH("ECC",E150)),"NCA-ECC-2-2024",IF(ISNUMBER(SEARCH("OTCC",E150)),"NCA-ECC-2-2024",IF(ISNUMBER(SEARCH("CCC",E150)),"NCA-ECC-2-2024",IF(ISNUMBER(SEARCH("DCC",E150)),"NCA-ECC-2-2024",IF(ISNUMBER(SEARCH("CSCC",E150)),"NCA-ECC-2-2024",IF(ISNUMBER(SEARCH("PDPL-IR",E150)),"PDPL-2021",IF(ISNUMBER(SEARCH("PDPL-DTR",E150)),"PDPL-2021","NONE"))))))))</f>
        <v/>
      </c>
      <c r="BF150" s="594">
        <f>IF(E150="","",IF(BB150="DEEP",10,IF(BB150="SHALLOW",5,IF(BB150="TEMPLATE",3,1)))+IF(N150="HIGHEST",5,IF(N150="HIGH",3,IF(N150="MODERATE",1,0)))+IF(ISNUMBER(SEARCH("Mandatory",L150)),3,0))</f>
        <v/>
      </c>
    </row>
    <row r="151" ht="42" customHeight="1">
      <c r="A151" s="42" t="n">
        <v>134</v>
      </c>
      <c r="B151" s="115" t="inlineStr">
        <is>
          <t>CMA</t>
        </is>
      </c>
      <c r="C151" s="44" t="inlineStr">
        <is>
          <t>Capital Market Authority</t>
        </is>
      </c>
      <c r="D151" s="44" t="inlineStr">
        <is>
          <t>5. Financial Regulators</t>
        </is>
      </c>
      <c r="E151" s="115" t="inlineStr">
        <is>
          <t>CMA-CGR</t>
        </is>
      </c>
      <c r="F151" s="45" t="inlineStr">
        <is>
          <t>Corporate Governance Regulations</t>
        </is>
      </c>
      <c r="G151" s="44" t="inlineStr">
        <is>
          <t>لائحة حوكمة الشركات</t>
        </is>
      </c>
      <c r="H151" s="44" t="inlineStr">
        <is>
          <t>Updated 2023</t>
        </is>
      </c>
      <c r="I151" s="46" t="inlineStr">
        <is>
          <t>2006</t>
        </is>
      </c>
      <c r="J151" s="46" t="inlineStr">
        <is>
          <t>94</t>
        </is>
      </c>
      <c r="K151" s="44" t="inlineStr">
        <is>
          <t>ISSUES/ENFORCES</t>
        </is>
      </c>
      <c r="L151" s="22" t="inlineStr">
        <is>
          <t>Mandatory Enforcer</t>
        </is>
      </c>
      <c r="M151" s="44" t="inlineStr">
        <is>
          <t>Listed companies — listed private hospital governance</t>
        </is>
      </c>
      <c r="N151" s="59" t="inlineStr">
        <is>
          <t>LOW</t>
        </is>
      </c>
      <c r="O151" s="48" t="inlineStr">
        <is>
          <t>https://cma.gov.sa/en</t>
        </is>
      </c>
      <c r="P151" s="44" t="inlineStr">
        <is>
          <t>CMA official</t>
        </is>
      </c>
      <c r="Q151" s="98" t="inlineStr">
        <is>
          <t>First 2006 → revised 2017 → updated 2023</t>
        </is>
      </c>
      <c r="R151" s="98" t="inlineStr">
        <is>
          <t>2006 (first). 2017 (revised): board independence requirements; audit committee mandatory; related party transaction rules. 2023 update: ESG reporting requirements; cybersecurity risk disclosure required in annual report; AI governance disclosure for listed tech companies; health sector: hospital holding companies must disclose cyber incidents material to operations; board-level cybersecurity oversight required</t>
        </is>
      </c>
      <c r="S151" s="100" t="inlineStr">
        <is>
          <t>First: 2006. Revised: 2017. Updated: 2023</t>
        </is>
      </c>
      <c r="T151" s="98" t="inlineStr">
        <is>
          <t>Review 2025</t>
        </is>
      </c>
      <c r="U151" s="25" t="inlineStr">
        <is>
          <t>CURRENT — 2023 version</t>
        </is>
      </c>
      <c r="V151" s="98" t="inlineStr">
        <is>
          <t>Penalties defined by issuing authority; consult official source. NCA ECC-2 penalties apply if relevant</t>
        </is>
      </c>
      <c r="W151" s="99" t="inlineStr">
        <is>
          <t>Issuing authority and/or designated inspection department</t>
        </is>
      </c>
      <c r="X151" s="98" t="inlineStr">
        <is>
          <t>As specified in framework scope — consult official document</t>
        </is>
      </c>
      <c r="Y151" s="49" t="inlineStr">
        <is>
          <t>Both (unless specified otherwise in official document)</t>
        </is>
      </c>
      <c r="Z151" s="98" t="inlineStr">
        <is>
          <t>As defined by issuing authority</t>
        </is>
      </c>
      <c r="AA151" s="100" t="inlineStr">
        <is>
          <t>As defined by issuing authority</t>
        </is>
      </c>
      <c r="AB151" s="98" t="inlineStr">
        <is>
          <t>To be determined from framework text — see official source</t>
        </is>
      </c>
      <c r="AC151" s="98" t="inlineStr">
        <is>
          <t>See framework preamble for international standard references</t>
        </is>
      </c>
      <c r="AD151" s="49" t="inlineStr">
        <is>
          <t>Arabic (primary in KSA); English may be available</t>
        </is>
      </c>
      <c r="AE151" s="58" t="inlineStr">
        <is>
          <t>Mapped to relevant GH-ICGA layer — requires manual assessment</t>
        </is>
      </c>
      <c r="AF151" s="56" t="inlineStr">
        <is>
          <t>See official framework for maturity model details</t>
        </is>
      </c>
      <c r="AG151" s="98" t="inlineStr">
        <is>
          <t>Aligned with relevant Vision 2030 programme — see framework context</t>
        </is>
      </c>
      <c r="AH151" s="98" t="inlineStr">
        <is>
          <t>As specified in framework compliance requirements</t>
        </is>
      </c>
      <c r="AI151" s="103" t="inlineStr">
        <is>
          <t>Institutional theory and regulatory governance theory underpin all KSA regulatory frameworks. Specific theoretical basis varies by framework — consult academic literature via Google Scholar using framework name as search term.</t>
        </is>
      </c>
      <c r="AJ151" s="98" t="inlineStr">
        <is>
          <t>Academic debate varies by framework maturity and international adoption. For KSA-specific debate, consult: Almohammad &amp; Wills (2021) J Cybersecurity; Al-Khater et al. (2020) IEEE Access; Baker McKenzie KSA regulatory updates.</t>
        </is>
      </c>
      <c r="AK151" s="104" t="inlineStr">
        <is>
          <t>Known criticisms include: implementation gap between standards and practice; resource constraints for smaller healthcare entities; rapid technology evolution outpacing regulation. Consult framework evaluation literature for specifics.</t>
        </is>
      </c>
      <c r="AL151" s="105" t="inlineStr">
        <is>
          <t>Framework comparison requires contextual analysis. Key comparators: NIST CSF 2.0 (international benchmark), ISO 27001 (certifiable standard), ECC-2 (KSA mandatory baseline). See main database for cross-framework mapping.</t>
        </is>
      </c>
      <c r="AM151" s="10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51" s="107" t="inlineStr">
        <is>
          <t>Official: Consult the official source URL in the database for the primary document. Training: ISACA, ISC2, RAPS, IAPP, and HIMSS offer professional development covering most regulatory domains. Estimated hours vary by framework complexity.</t>
        </is>
      </c>
      <c r="AO151" s="108" t="inlineStr">
        <is>
          <t>Relevance to GH-ICGA framework varies by layer — see GH-ICGA Layer Mapping column. All KSA mandatory frameworks are compliance inputs to GH-ICGA Layer 4. Frameworks with IoMT-specific provisions directly inform Layers 2 and 3.</t>
        </is>
      </c>
      <c r="AP151" s="51" t="inlineStr">
        <is>
          <t>G + C (Governance + Compliance — standard regulatory framework positioning)</t>
        </is>
      </c>
      <c r="AQ151" s="109" t="inlineStr">
        <is>
          <t>Senior management: accountability for framework compliance. Designated compliance officer: monitor requirements. All staff: awareness of applicable obligations</t>
        </is>
      </c>
      <c r="AR151" s="104" t="inlineStr">
        <is>
          <t>Regulatory Risk; Operational Risk; Reputational Risk — specific domains determined by framework scope</t>
        </is>
      </c>
      <c r="AS151" s="22" t="inlineStr">
        <is>
          <t>See official source — legal obligation, regulatory requirement, or voluntary standard as applicable</t>
        </is>
      </c>
      <c r="AT151" s="105" t="inlineStr">
        <is>
          <t>Administrative; Technical; Operational — specific distribution determined by framework content</t>
        </is>
      </c>
      <c r="AU151" s="110" t="inlineStr">
        <is>
          <t>1. Compliance status (compliant/non-compliant). 2. # open findings from last assessment. 3. % controls implemented. 4. Time to remediate findings. 5. Incident rate in framework scope area</t>
        </is>
      </c>
      <c r="AV151" s="111" t="inlineStr">
        <is>
          <t>Self-assessment; internal audit; external assessment as specified by issuing authority</t>
        </is>
      </c>
      <c r="AW151" s="112" t="inlineStr">
        <is>
          <t>ServiceNow GRC; IBM OpenPages; RSA Archer; MetricStream — all major GRC platforms support custom framework import. Contact vendor for framework-specific module</t>
        </is>
      </c>
      <c r="AX151" s="113" t="inlineStr">
        <is>
          <t>Third parties in scope must demonstrate equivalent compliance. Contractual compliance obligations; right-to-audit clauses; annual third-party assessment</t>
        </is>
      </c>
      <c r="AY151" s="114" t="inlineStr">
        <is>
          <t>Non-compliance: regulatory action by issuing authority; fines and penalties as specified; operational and reputational consequences</t>
        </is>
      </c>
      <c r="AZ151" s="111" t="inlineStr">
        <is>
          <t>Financial Regulators; ALL SECTORS with listed companies</t>
        </is>
      </c>
      <c r="BA151" s="34" t="inlineStr">
        <is>
          <t>YES — ALL SECTORS</t>
        </is>
      </c>
      <c r="BB151" s="591">
        <f>IF(E151="","",IF(ISNUMBER(SEARCH("Institutional theory and regulatory governance theory underpin",AI151)),"TEMPLATE",IF(LEN(AI151)&gt;100,"DEEP",IF(AI151="","SPARSE","SHALLOW"))))</f>
        <v/>
      </c>
      <c r="BC151" s="591">
        <f>IF(E151="","",D151&amp;"-"&amp;B151&amp;"-"&amp;E151)</f>
        <v/>
      </c>
      <c r="BD151" s="591">
        <f>IF(E151="","",SUBSTITUTE(SUBSTITUTE(B151&amp;"-"&amp;E151," ",""),":","-"))</f>
        <v/>
      </c>
      <c r="BE151" s="591">
        <f>IF(E151="","",IF(ISNUMBER(SEARCH("ECC",E151)),"NCA-ECC-2-2024",IF(ISNUMBER(SEARCH("OTCC",E151)),"NCA-ECC-2-2024",IF(ISNUMBER(SEARCH("CCC",E151)),"NCA-ECC-2-2024",IF(ISNUMBER(SEARCH("DCC",E151)),"NCA-ECC-2-2024",IF(ISNUMBER(SEARCH("CSCC",E151)),"NCA-ECC-2-2024",IF(ISNUMBER(SEARCH("PDPL-IR",E151)),"PDPL-2021",IF(ISNUMBER(SEARCH("PDPL-DTR",E151)),"PDPL-2021","NONE"))))))))</f>
        <v/>
      </c>
      <c r="BF151" s="594">
        <f>IF(E151="","",IF(BB151="DEEP",10,IF(BB151="SHALLOW",5,IF(BB151="TEMPLATE",3,1)))+IF(N151="HIGHEST",5,IF(N151="HIGH",3,IF(N151="MODERATE",1,0)))+IF(ISNUMBER(SEARCH("Mandatory",L151)),3,0))</f>
        <v/>
      </c>
    </row>
    <row r="152" ht="42" customHeight="1">
      <c r="A152" s="96" t="n">
        <v>135</v>
      </c>
      <c r="B152" s="97" t="inlineStr">
        <is>
          <t>CMA</t>
        </is>
      </c>
      <c r="C152" s="98" t="inlineStr">
        <is>
          <t>Capital Market Authority</t>
        </is>
      </c>
      <c r="D152" s="98" t="inlineStr">
        <is>
          <t>5. Financial Regulators</t>
        </is>
      </c>
      <c r="E152" s="97" t="inlineStr">
        <is>
          <t>CMA-LR</t>
        </is>
      </c>
      <c r="F152" s="99" t="inlineStr">
        <is>
          <t>Listing Rules</t>
        </is>
      </c>
      <c r="G152" s="98" t="inlineStr">
        <is>
          <t>قواعد الإدراج</t>
        </is>
      </c>
      <c r="H152" s="98" t="inlineStr">
        <is>
          <t>Updated 2023</t>
        </is>
      </c>
      <c r="I152" s="100" t="inlineStr">
        <is>
          <t>2004</t>
        </is>
      </c>
      <c r="J152" s="100" t="inlineStr">
        <is>
          <t>128</t>
        </is>
      </c>
      <c r="K152" s="98" t="inlineStr">
        <is>
          <t>ISSUES/ENFORCES</t>
        </is>
      </c>
      <c r="L152" s="22" t="inlineStr">
        <is>
          <t>Mandatory Enforcer</t>
        </is>
      </c>
      <c r="M152" s="98" t="inlineStr">
        <is>
          <t>IPO applicants — private hospital IPOs</t>
        </is>
      </c>
      <c r="N152" s="116" t="inlineStr">
        <is>
          <t>LOW</t>
        </is>
      </c>
      <c r="O152" s="102" t="inlineStr">
        <is>
          <t>https://cma.gov.sa/en</t>
        </is>
      </c>
      <c r="P152" s="98" t="inlineStr">
        <is>
          <t>CMA official</t>
        </is>
      </c>
      <c r="Q152" s="98" t="inlineStr">
        <is>
          <t>See official source for version history</t>
        </is>
      </c>
      <c r="R152" s="98" t="inlineStr">
        <is>
          <t>Framework issued by the relevant authority. Version details available on the official website referenced in the source URL column. The framework has been updated periodically since first issuance.</t>
        </is>
      </c>
      <c r="S152" s="100" t="inlineStr">
        <is>
          <t>See official source</t>
        </is>
      </c>
      <c r="T152" s="98" t="inlineStr">
        <is>
          <t>Updated as needed by the issuing authority</t>
        </is>
      </c>
      <c r="U152" s="25" t="inlineStr">
        <is>
          <t>CURRENT — consult official source for latest version</t>
        </is>
      </c>
      <c r="V152" s="98" t="inlineStr">
        <is>
          <t>Penalties defined by issuing authority; consult official source. NCA ECC-2 penalties apply if relevant</t>
        </is>
      </c>
      <c r="W152" s="99" t="inlineStr">
        <is>
          <t>Issuing authority and/or designated inspection department</t>
        </is>
      </c>
      <c r="X152" s="98" t="inlineStr">
        <is>
          <t>As specified in framework scope — consult official document</t>
        </is>
      </c>
      <c r="Y152" s="49" t="inlineStr">
        <is>
          <t>Both (unless specified otherwise in official document)</t>
        </is>
      </c>
      <c r="Z152" s="98" t="inlineStr">
        <is>
          <t>As defined by issuing authority</t>
        </is>
      </c>
      <c r="AA152" s="100" t="inlineStr">
        <is>
          <t>As defined by issuing authority</t>
        </is>
      </c>
      <c r="AB152" s="98" t="inlineStr">
        <is>
          <t>To be determined from framework text — see official source</t>
        </is>
      </c>
      <c r="AC152" s="98" t="inlineStr">
        <is>
          <t>See framework preamble for international standard references</t>
        </is>
      </c>
      <c r="AD152" s="49" t="inlineStr">
        <is>
          <t>Arabic (primary in KSA); English may be available</t>
        </is>
      </c>
      <c r="AE152" s="58" t="inlineStr">
        <is>
          <t>Mapped to relevant GH-ICGA layer — requires manual assessment</t>
        </is>
      </c>
      <c r="AF152" s="56" t="inlineStr">
        <is>
          <t>See official framework for maturity model details</t>
        </is>
      </c>
      <c r="AG152" s="98" t="inlineStr">
        <is>
          <t>Aligned with relevant Vision 2030 programme — see framework context</t>
        </is>
      </c>
      <c r="AH152" s="98" t="inlineStr">
        <is>
          <t>As specified in framework compliance requirements</t>
        </is>
      </c>
      <c r="AI152" s="103" t="inlineStr">
        <is>
          <t>Institutional theory and regulatory governance theory underpin all KSA regulatory frameworks. Specific theoretical basis varies by framework — consult academic literature via Google Scholar using framework name as search term.</t>
        </is>
      </c>
      <c r="AJ152" s="98" t="inlineStr">
        <is>
          <t>Academic debate varies by framework maturity and international adoption. For KSA-specific debate, consult: Almohammad &amp; Wills (2021) J Cybersecurity; Al-Khater et al. (2020) IEEE Access; Baker McKenzie KSA regulatory updates.</t>
        </is>
      </c>
      <c r="AK152" s="104" t="inlineStr">
        <is>
          <t>Known criticisms include: implementation gap between standards and practice; resource constraints for smaller healthcare entities; rapid technology evolution outpacing regulation. Consult framework evaluation literature for specifics.</t>
        </is>
      </c>
      <c r="AL152" s="105" t="inlineStr">
        <is>
          <t>Framework comparison requires contextual analysis. Key comparators: NIST CSF 2.0 (international benchmark), ISO 27001 (certifiable standard), ECC-2 (KSA mandatory baseline). See main database for cross-framework mapping.</t>
        </is>
      </c>
      <c r="AM152" s="10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52" s="107" t="inlineStr">
        <is>
          <t>Official: Consult the official source URL in the database for the primary document. Training: ISACA, ISC2, RAPS, IAPP, and HIMSS offer professional development covering most regulatory domains. Estimated hours vary by framework complexity.</t>
        </is>
      </c>
      <c r="AO152" s="108" t="inlineStr">
        <is>
          <t>Relevance to GH-ICGA framework varies by layer — see GH-ICGA Layer Mapping column. All KSA mandatory frameworks are compliance inputs to GH-ICGA Layer 4. Frameworks with IoMT-specific provisions directly inform Layers 2 and 3.</t>
        </is>
      </c>
      <c r="AP152" s="51" t="inlineStr">
        <is>
          <t>G + C (Governance + Compliance — standard regulatory framework positioning)</t>
        </is>
      </c>
      <c r="AQ152" s="109" t="inlineStr">
        <is>
          <t>Senior management: accountability for framework compliance. Designated compliance officer: monitor requirements. All staff: awareness of applicable obligations</t>
        </is>
      </c>
      <c r="AR152" s="104" t="inlineStr">
        <is>
          <t>Regulatory Risk; Operational Risk; Reputational Risk — specific domains determined by framework scope</t>
        </is>
      </c>
      <c r="AS152" s="22" t="inlineStr">
        <is>
          <t>See official source — legal obligation, regulatory requirement, or voluntary standard as applicable</t>
        </is>
      </c>
      <c r="AT152" s="105" t="inlineStr">
        <is>
          <t>Administrative; Technical; Operational — specific distribution determined by framework content</t>
        </is>
      </c>
      <c r="AU152" s="110" t="inlineStr">
        <is>
          <t>1. Compliance status (compliant/non-compliant). 2. # open findings from last assessment. 3. % controls implemented. 4. Time to remediate findings. 5. Incident rate in framework scope area</t>
        </is>
      </c>
      <c r="AV152" s="111" t="inlineStr">
        <is>
          <t>Self-assessment; internal audit; external assessment as specified by issuing authority</t>
        </is>
      </c>
      <c r="AW152" s="112" t="inlineStr">
        <is>
          <t>ServiceNow GRC; IBM OpenPages; RSA Archer; MetricStream — all major GRC platforms support custom framework import. Contact vendor for framework-specific module</t>
        </is>
      </c>
      <c r="AX152" s="113" t="inlineStr">
        <is>
          <t>Third parties in scope must demonstrate equivalent compliance. Contractual compliance obligations; right-to-audit clauses; annual third-party assessment</t>
        </is>
      </c>
      <c r="AY152" s="114" t="inlineStr">
        <is>
          <t>Non-compliance: regulatory action by issuing authority; fines and penalties as specified; operational and reputational consequences</t>
        </is>
      </c>
      <c r="AZ152" s="111" t="inlineStr">
        <is>
          <t>Financial Regulators; ALL SECTORS with listed companies</t>
        </is>
      </c>
      <c r="BA152" s="34" t="inlineStr">
        <is>
          <t>YES — ALL SECTORS</t>
        </is>
      </c>
      <c r="BB152" s="591">
        <f>IF(E152="","",IF(ISNUMBER(SEARCH("Institutional theory and regulatory governance theory underpin",AI152)),"TEMPLATE",IF(LEN(AI152)&gt;100,"DEEP",IF(AI152="","SPARSE","SHALLOW"))))</f>
        <v/>
      </c>
      <c r="BC152" s="591">
        <f>IF(E152="","",D152&amp;"-"&amp;B152&amp;"-"&amp;E152)</f>
        <v/>
      </c>
      <c r="BD152" s="591">
        <f>IF(E152="","",SUBSTITUTE(SUBSTITUTE(B152&amp;"-"&amp;E152," ",""),":","-"))</f>
        <v/>
      </c>
      <c r="BE152" s="591">
        <f>IF(E152="","",IF(ISNUMBER(SEARCH("ECC",E152)),"NCA-ECC-2-2024",IF(ISNUMBER(SEARCH("OTCC",E152)),"NCA-ECC-2-2024",IF(ISNUMBER(SEARCH("CCC",E152)),"NCA-ECC-2-2024",IF(ISNUMBER(SEARCH("DCC",E152)),"NCA-ECC-2-2024",IF(ISNUMBER(SEARCH("CSCC",E152)),"NCA-ECC-2-2024",IF(ISNUMBER(SEARCH("PDPL-IR",E152)),"PDPL-2021",IF(ISNUMBER(SEARCH("PDPL-DTR",E152)),"PDPL-2021","NONE"))))))))</f>
        <v/>
      </c>
      <c r="BF152" s="594">
        <f>IF(E152="","",IF(BB152="DEEP",10,IF(BB152="SHALLOW",5,IF(BB152="TEMPLATE",3,1)))+IF(N152="HIGHEST",5,IF(N152="HIGH",3,IF(N152="MODERATE",1,0)))+IF(ISNUMBER(SEARCH("Mandatory",L152)),3,0))</f>
        <v/>
      </c>
    </row>
    <row r="153" ht="42" customHeight="1">
      <c r="A153" s="42" t="n">
        <v>136</v>
      </c>
      <c r="B153" s="115" t="inlineStr">
        <is>
          <t>CMA</t>
        </is>
      </c>
      <c r="C153" s="44" t="inlineStr">
        <is>
          <t>Capital Market Authority</t>
        </is>
      </c>
      <c r="D153" s="44" t="inlineStr">
        <is>
          <t>5. Financial Regulators</t>
        </is>
      </c>
      <c r="E153" s="115" t="inlineStr">
        <is>
          <t>CMA-IFR</t>
        </is>
      </c>
      <c r="F153" s="45" t="inlineStr">
        <is>
          <t>Investment Fund Regulations</t>
        </is>
      </c>
      <c r="G153" s="44" t="inlineStr">
        <is>
          <t>لوائح صناديق الاستثمار</t>
        </is>
      </c>
      <c r="H153" s="44" t="inlineStr">
        <is>
          <t>Updated 2023</t>
        </is>
      </c>
      <c r="I153" s="46" t="inlineStr">
        <is>
          <t>2006</t>
        </is>
      </c>
      <c r="J153" s="46" t="inlineStr">
        <is>
          <t>85</t>
        </is>
      </c>
      <c r="K153" s="44" t="inlineStr">
        <is>
          <t>ISSUES/ENFORCES</t>
        </is>
      </c>
      <c r="L153" s="22" t="inlineStr">
        <is>
          <t>Mandatory Enforcer</t>
        </is>
      </c>
      <c r="M153" s="44" t="inlineStr">
        <is>
          <t>Investment fund managers — healthcare funds</t>
        </is>
      </c>
      <c r="N153" s="59" t="inlineStr">
        <is>
          <t>LOW</t>
        </is>
      </c>
      <c r="O153" s="48" t="inlineStr">
        <is>
          <t>https://cma.gov.sa/en</t>
        </is>
      </c>
      <c r="P153" s="44" t="inlineStr">
        <is>
          <t>CMA official; ICBS Jan 2026</t>
        </is>
      </c>
      <c r="Q153" s="98" t="inlineStr">
        <is>
          <t>See official source for version history</t>
        </is>
      </c>
      <c r="R153" s="98" t="inlineStr">
        <is>
          <t>Framework issued by the relevant authority. Version details available on the official website referenced in the source URL column. The framework has been updated periodically since first issuance.</t>
        </is>
      </c>
      <c r="S153" s="100" t="inlineStr">
        <is>
          <t>See official source</t>
        </is>
      </c>
      <c r="T153" s="98" t="inlineStr">
        <is>
          <t>Updated as needed by the issuing authority</t>
        </is>
      </c>
      <c r="U153" s="25" t="inlineStr">
        <is>
          <t>CURRENT — consult official source for latest version</t>
        </is>
      </c>
      <c r="V153" s="98" t="inlineStr">
        <is>
          <t>Penalties defined by issuing authority; consult official source. NCA ECC-2 penalties apply if relevant</t>
        </is>
      </c>
      <c r="W153" s="99" t="inlineStr">
        <is>
          <t>Issuing authority and/or designated inspection department</t>
        </is>
      </c>
      <c r="X153" s="98" t="inlineStr">
        <is>
          <t>As specified in framework scope — consult official document</t>
        </is>
      </c>
      <c r="Y153" s="49" t="inlineStr">
        <is>
          <t>Both (unless specified otherwise in official document)</t>
        </is>
      </c>
      <c r="Z153" s="98" t="inlineStr">
        <is>
          <t>As defined by issuing authority</t>
        </is>
      </c>
      <c r="AA153" s="100" t="inlineStr">
        <is>
          <t>As defined by issuing authority</t>
        </is>
      </c>
      <c r="AB153" s="98" t="inlineStr">
        <is>
          <t>To be determined from framework text — see official source</t>
        </is>
      </c>
      <c r="AC153" s="98" t="inlineStr">
        <is>
          <t>See framework preamble for international standard references</t>
        </is>
      </c>
      <c r="AD153" s="49" t="inlineStr">
        <is>
          <t>Arabic (primary in KSA); English may be available</t>
        </is>
      </c>
      <c r="AE153" s="58" t="inlineStr">
        <is>
          <t>Mapped to relevant GH-ICGA layer — requires manual assessment</t>
        </is>
      </c>
      <c r="AF153" s="56" t="inlineStr">
        <is>
          <t>See official framework for maturity model details</t>
        </is>
      </c>
      <c r="AG153" s="98" t="inlineStr">
        <is>
          <t>Aligned with relevant Vision 2030 programme — see framework context</t>
        </is>
      </c>
      <c r="AH153" s="98" t="inlineStr">
        <is>
          <t>As specified in framework compliance requirements</t>
        </is>
      </c>
      <c r="AI153" s="103" t="inlineStr">
        <is>
          <t>Institutional theory and regulatory governance theory underpin all KSA regulatory frameworks. Specific theoretical basis varies by framework — consult academic literature via Google Scholar using framework name as search term.</t>
        </is>
      </c>
      <c r="AJ153" s="98" t="inlineStr">
        <is>
          <t>Academic debate varies by framework maturity and international adoption. For KSA-specific debate, consult: Almohammad &amp; Wills (2021) J Cybersecurity; Al-Khater et al. (2020) IEEE Access; Baker McKenzie KSA regulatory updates.</t>
        </is>
      </c>
      <c r="AK153" s="104" t="inlineStr">
        <is>
          <t>Known criticisms include: implementation gap between standards and practice; resource constraints for smaller healthcare entities; rapid technology evolution outpacing regulation. Consult framework evaluation literature for specifics.</t>
        </is>
      </c>
      <c r="AL153" s="105" t="inlineStr">
        <is>
          <t>Framework comparison requires contextual analysis. Key comparators: NIST CSF 2.0 (international benchmark), ISO 27001 (certifiable standard), ECC-2 (KSA mandatory baseline). See main database for cross-framework mapping.</t>
        </is>
      </c>
      <c r="AM153" s="10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53" s="107" t="inlineStr">
        <is>
          <t>Official: Consult the official source URL in the database for the primary document. Training: ISACA, ISC2, RAPS, IAPP, and HIMSS offer professional development covering most regulatory domains. Estimated hours vary by framework complexity.</t>
        </is>
      </c>
      <c r="AO153" s="108" t="inlineStr">
        <is>
          <t>Relevance to GH-ICGA framework varies by layer — see GH-ICGA Layer Mapping column. All KSA mandatory frameworks are compliance inputs to GH-ICGA Layer 4. Frameworks with IoMT-specific provisions directly inform Layers 2 and 3.</t>
        </is>
      </c>
      <c r="AP153" s="51" t="inlineStr">
        <is>
          <t>G + C (Governance + Compliance — standard regulatory framework positioning)</t>
        </is>
      </c>
      <c r="AQ153" s="109" t="inlineStr">
        <is>
          <t>Senior management: accountability for framework compliance. Designated compliance officer: monitor requirements. All staff: awareness of applicable obligations</t>
        </is>
      </c>
      <c r="AR153" s="104" t="inlineStr">
        <is>
          <t>Regulatory Risk; Operational Risk; Reputational Risk — specific domains determined by framework scope</t>
        </is>
      </c>
      <c r="AS153" s="22" t="inlineStr">
        <is>
          <t>See official source — legal obligation, regulatory requirement, or voluntary standard as applicable</t>
        </is>
      </c>
      <c r="AT153" s="105" t="inlineStr">
        <is>
          <t>Administrative; Technical; Operational — specific distribution determined by framework content</t>
        </is>
      </c>
      <c r="AU153" s="110" t="inlineStr">
        <is>
          <t>1. Compliance status (compliant/non-compliant). 2. # open findings from last assessment. 3. % controls implemented. 4. Time to remediate findings. 5. Incident rate in framework scope area</t>
        </is>
      </c>
      <c r="AV153" s="111" t="inlineStr">
        <is>
          <t>Self-assessment; internal audit; external assessment as specified by issuing authority</t>
        </is>
      </c>
      <c r="AW153" s="112" t="inlineStr">
        <is>
          <t>ServiceNow GRC; IBM OpenPages; RSA Archer; MetricStream — all major GRC platforms support custom framework import. Contact vendor for framework-specific module</t>
        </is>
      </c>
      <c r="AX153" s="113" t="inlineStr">
        <is>
          <t>Third parties in scope must demonstrate equivalent compliance. Contractual compliance obligations; right-to-audit clauses; annual third-party assessment</t>
        </is>
      </c>
      <c r="AY153" s="114" t="inlineStr">
        <is>
          <t>Non-compliance: regulatory action by issuing authority; fines and penalties as specified; operational and reputational consequences</t>
        </is>
      </c>
      <c r="AZ153" s="111" t="inlineStr">
        <is>
          <t>Sector-specific — consult official source</t>
        </is>
      </c>
      <c r="BA153" s="41" t="inlineStr">
        <is>
          <t>Sector-Specific</t>
        </is>
      </c>
      <c r="BB153" s="591">
        <f>IF(E153="","",IF(ISNUMBER(SEARCH("Institutional theory and regulatory governance theory underpin",AI153)),"TEMPLATE",IF(LEN(AI153)&gt;100,"DEEP",IF(AI153="","SPARSE","SHALLOW"))))</f>
        <v/>
      </c>
      <c r="BC153" s="591">
        <f>IF(E153="","",D153&amp;"-"&amp;B153&amp;"-"&amp;E153)</f>
        <v/>
      </c>
      <c r="BD153" s="591">
        <f>IF(E153="","",SUBSTITUTE(SUBSTITUTE(B153&amp;"-"&amp;E153," ",""),":","-"))</f>
        <v/>
      </c>
      <c r="BE153" s="591">
        <f>IF(E153="","",IF(ISNUMBER(SEARCH("ECC",E153)),"NCA-ECC-2-2024",IF(ISNUMBER(SEARCH("OTCC",E153)),"NCA-ECC-2-2024",IF(ISNUMBER(SEARCH("CCC",E153)),"NCA-ECC-2-2024",IF(ISNUMBER(SEARCH("DCC",E153)),"NCA-ECC-2-2024",IF(ISNUMBER(SEARCH("CSCC",E153)),"NCA-ECC-2-2024",IF(ISNUMBER(SEARCH("PDPL-IR",E153)),"PDPL-2021",IF(ISNUMBER(SEARCH("PDPL-DTR",E153)),"PDPL-2021","NONE"))))))))</f>
        <v/>
      </c>
      <c r="BF153" s="594">
        <f>IF(E153="","",IF(BB153="DEEP",10,IF(BB153="SHALLOW",5,IF(BB153="TEMPLATE",3,1)))+IF(N153="HIGHEST",5,IF(N153="HIGH",3,IF(N153="MODERATE",1,0)))+IF(ISNUMBER(SEARCH("Mandatory",L153)),3,0))</f>
        <v/>
      </c>
    </row>
    <row r="154" ht="42" customHeight="1">
      <c r="A154" s="96" t="n">
        <v>137</v>
      </c>
      <c r="B154" s="97" t="inlineStr">
        <is>
          <t>CMA</t>
        </is>
      </c>
      <c r="C154" s="98" t="inlineStr">
        <is>
          <t>Capital Market Authority</t>
        </is>
      </c>
      <c r="D154" s="98" t="inlineStr">
        <is>
          <t>5. Financial Regulators</t>
        </is>
      </c>
      <c r="E154" s="97" t="inlineStr">
        <is>
          <t>NCA-ECC-2:2024</t>
        </is>
      </c>
      <c r="F154" s="99" t="inlineStr">
        <is>
          <t>Essential Cybersecurity Controls</t>
        </is>
      </c>
      <c r="G154" s="98" t="inlineStr">
        <is>
          <t>ضوابط الأمن السيبراني الأساسية</t>
        </is>
      </c>
      <c r="H154" s="98" t="inlineStr">
        <is>
          <t>ECC-2:2024</t>
        </is>
      </c>
      <c r="I154" s="100" t="inlineStr">
        <is>
          <t>2018</t>
        </is>
      </c>
      <c r="J154" s="100" t="inlineStr">
        <is>
          <t>108</t>
        </is>
      </c>
      <c r="K154" s="98" t="inlineStr">
        <is>
          <t>MUST COMPLY WITH</t>
        </is>
      </c>
      <c r="L154" s="66" t="inlineStr">
        <is>
          <t>Mandatory Complier</t>
        </is>
      </c>
      <c r="M154" s="98" t="inlineStr">
        <is>
          <t>CMA as government entity</t>
        </is>
      </c>
      <c r="N154" s="116" t="inlineStr">
        <is>
          <t>LOW</t>
        </is>
      </c>
      <c r="O154" s="102" t="inlineStr">
        <is>
          <t>https://nca.gov.sa/</t>
        </is>
      </c>
      <c r="P154" s="98" t="inlineStr">
        <is>
          <t>NCA ECC scope</t>
        </is>
      </c>
      <c r="Q154" s="98" t="inlineStr">
        <is>
          <t>See official source for version history</t>
        </is>
      </c>
      <c r="R154" s="98" t="inlineStr">
        <is>
          <t>Framework issued by the relevant authority. Version details available on the official website referenced in the source URL column. The framework has been updated periodically since first issuance.</t>
        </is>
      </c>
      <c r="S154" s="100" t="inlineStr">
        <is>
          <t>See official source</t>
        </is>
      </c>
      <c r="T154" s="98" t="inlineStr">
        <is>
          <t>Updated as needed by the issuing authority</t>
        </is>
      </c>
      <c r="U154" s="25" t="inlineStr">
        <is>
          <t>CURRENT — consult official source for latest version</t>
        </is>
      </c>
      <c r="V154" s="98" t="inlineStr">
        <is>
          <t>Penalties defined by issuing authority; consult official source. NCA ECC-2 penalties apply if relevant</t>
        </is>
      </c>
      <c r="W154" s="99" t="inlineStr">
        <is>
          <t>Issuing authority and/or designated inspection department</t>
        </is>
      </c>
      <c r="X154" s="98" t="inlineStr">
        <is>
          <t>As specified in framework scope — consult official document</t>
        </is>
      </c>
      <c r="Y154" s="49" t="inlineStr">
        <is>
          <t>Both (unless specified otherwise in official document)</t>
        </is>
      </c>
      <c r="Z154" s="98" t="inlineStr">
        <is>
          <t>As defined by issuing authority</t>
        </is>
      </c>
      <c r="AA154" s="100" t="inlineStr">
        <is>
          <t>As defined by issuing authority</t>
        </is>
      </c>
      <c r="AB154" s="98" t="inlineStr">
        <is>
          <t>To be determined from framework text — see official source</t>
        </is>
      </c>
      <c r="AC154" s="98" t="inlineStr">
        <is>
          <t>See framework preamble for international standard references</t>
        </is>
      </c>
      <c r="AD154" s="49" t="inlineStr">
        <is>
          <t>Arabic (primary in KSA); English may be available</t>
        </is>
      </c>
      <c r="AE154" s="58" t="inlineStr">
        <is>
          <t>Mapped to relevant GH-ICGA layer — requires manual assessment</t>
        </is>
      </c>
      <c r="AF154" s="56" t="inlineStr">
        <is>
          <t>See official framework for maturity model details</t>
        </is>
      </c>
      <c r="AG154" s="98" t="inlineStr">
        <is>
          <t>Aligned with relevant Vision 2030 programme — see framework context</t>
        </is>
      </c>
      <c r="AH154" s="98" t="inlineStr">
        <is>
          <t>As specified in framework compliance requirements</t>
        </is>
      </c>
      <c r="AI154" s="103" t="inlineStr">
        <is>
          <t>Institutional theory and regulatory governance theory underpin all KSA regulatory frameworks. Specific theoretical basis varies by framework — consult academic literature via Google Scholar using framework name as search term.</t>
        </is>
      </c>
      <c r="AJ154" s="98" t="inlineStr">
        <is>
          <t>Academic debate varies by framework maturity and international adoption. For KSA-specific debate, consult: Almohammad &amp; Wills (2021) J Cybersecurity; Al-Khater et al. (2020) IEEE Access; Baker McKenzie KSA regulatory updates.</t>
        </is>
      </c>
      <c r="AK154" s="104" t="inlineStr">
        <is>
          <t>Known criticisms include: implementation gap between standards and practice; resource constraints for smaller healthcare entities; rapid technology evolution outpacing regulation. Consult framework evaluation literature for specifics.</t>
        </is>
      </c>
      <c r="AL154" s="105" t="inlineStr">
        <is>
          <t>Framework comparison requires contextual analysis. Key comparators: NIST CSF 2.0 (international benchmark), ISO 27001 (certifiable standard), ECC-2 (KSA mandatory baseline). See main database for cross-framework mapping.</t>
        </is>
      </c>
      <c r="AM154" s="10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54" s="107" t="inlineStr">
        <is>
          <t>Official: Consult the official source URL in the database for the primary document. Training: ISACA, ISC2, RAPS, IAPP, and HIMSS offer professional development covering most regulatory domains. Estimated hours vary by framework complexity.</t>
        </is>
      </c>
      <c r="AO154" s="108" t="inlineStr">
        <is>
          <t>Relevance to GH-ICGA framework varies by layer — see GH-ICGA Layer Mapping column. All KSA mandatory frameworks are compliance inputs to GH-ICGA Layer 4. Frameworks with IoMT-specific provisions directly inform Layers 2 and 3.</t>
        </is>
      </c>
      <c r="AP154" s="51" t="inlineStr">
        <is>
          <t>G + C (Governance + Compliance — standard regulatory framework positioning)</t>
        </is>
      </c>
      <c r="AQ154" s="109" t="inlineStr">
        <is>
          <t>Senior management: accountability for framework compliance. Designated compliance officer: monitor requirements. All staff: awareness of applicable obligations</t>
        </is>
      </c>
      <c r="AR154" s="104" t="inlineStr">
        <is>
          <t>Regulatory Risk; Operational Risk; Reputational Risk — specific domains determined by framework scope</t>
        </is>
      </c>
      <c r="AS154" s="22" t="inlineStr">
        <is>
          <t>See official source — legal obligation, regulatory requirement, or voluntary standard as applicable</t>
        </is>
      </c>
      <c r="AT154" s="105" t="inlineStr">
        <is>
          <t>Administrative; Technical; Operational — specific distribution determined by framework content</t>
        </is>
      </c>
      <c r="AU154" s="110" t="inlineStr">
        <is>
          <t>1. Compliance status (compliant/non-compliant). 2. # open findings from last assessment. 3. % controls implemented. 4. Time to remediate findings. 5. Incident rate in framework scope area</t>
        </is>
      </c>
      <c r="AV154" s="111" t="inlineStr">
        <is>
          <t>Self-assessment; internal audit; external assessment as specified by issuing authority</t>
        </is>
      </c>
      <c r="AW154" s="112" t="inlineStr">
        <is>
          <t>ServiceNow GRC; IBM OpenPages; RSA Archer; MetricStream — all major GRC platforms support custom framework import. Contact vendor for framework-specific module</t>
        </is>
      </c>
      <c r="AX154" s="113" t="inlineStr">
        <is>
          <t>Third parties in scope must demonstrate equivalent compliance. Contractual compliance obligations; right-to-audit clauses; annual third-party assessment</t>
        </is>
      </c>
      <c r="AY154" s="114" t="inlineStr">
        <is>
          <t>Non-compliance: regulatory action by issuing authority; fines and penalties as specified; operational and reputational consequences</t>
        </is>
      </c>
      <c r="AZ154" s="111" t="inlineStr">
        <is>
          <t>ALL 17 SECTORS</t>
        </is>
      </c>
      <c r="BA154" s="34" t="inlineStr">
        <is>
          <t>YES — ALL SECTORS</t>
        </is>
      </c>
      <c r="BB154" s="591">
        <f>IF(E154="","",IF(ISNUMBER(SEARCH("Institutional theory and regulatory governance theory underpin",AI154)),"TEMPLATE",IF(LEN(AI154)&gt;100,"DEEP",IF(AI154="","SPARSE","SHALLOW"))))</f>
        <v/>
      </c>
      <c r="BC154" s="591">
        <f>IF(E154="","",D154&amp;"-"&amp;B154&amp;"-"&amp;E154)</f>
        <v/>
      </c>
      <c r="BD154" s="591">
        <f>IF(E154="","",SUBSTITUTE(SUBSTITUTE(B154&amp;"-"&amp;E154," ",""),":","-"))</f>
        <v/>
      </c>
      <c r="BE154" s="591">
        <f>IF(E154="","",IF(ISNUMBER(SEARCH("ECC",E154)),"NCA-ECC-2-2024",IF(ISNUMBER(SEARCH("OTCC",E154)),"NCA-ECC-2-2024",IF(ISNUMBER(SEARCH("CCC",E154)),"NCA-ECC-2-2024",IF(ISNUMBER(SEARCH("DCC",E154)),"NCA-ECC-2-2024",IF(ISNUMBER(SEARCH("CSCC",E154)),"NCA-ECC-2-2024",IF(ISNUMBER(SEARCH("PDPL-IR",E154)),"PDPL-2021",IF(ISNUMBER(SEARCH("PDPL-DTR",E154)),"PDPL-2021","NONE"))))))))</f>
        <v/>
      </c>
      <c r="BF154" s="594">
        <f>IF(E154="","",IF(BB154="DEEP",10,IF(BB154="SHALLOW",5,IF(BB154="TEMPLATE",3,1)))+IF(N154="HIGHEST",5,IF(N154="HIGH",3,IF(N154="MODERATE",1,0)))+IF(ISNUMBER(SEARCH("Mandatory",L154)),3,0))</f>
        <v/>
      </c>
    </row>
    <row r="155" ht="42" customHeight="1">
      <c r="A155" s="42" t="n">
        <v>138</v>
      </c>
      <c r="B155" s="115" t="inlineStr">
        <is>
          <t>IAIC</t>
        </is>
      </c>
      <c r="C155" s="44" t="inlineStr">
        <is>
          <t>Insurance Authority</t>
        </is>
      </c>
      <c r="D155" s="44" t="inlineStr">
        <is>
          <t>5. Financial Regulators</t>
        </is>
      </c>
      <c r="E155" s="115" t="inlineStr">
        <is>
          <t>IAIC-COILAW</t>
        </is>
      </c>
      <c r="F155" s="45" t="inlineStr">
        <is>
          <t>Cooperative Insurance Companies Control Law</t>
        </is>
      </c>
      <c r="G155" s="44" t="inlineStr">
        <is>
          <t>نظام الرقابة على شركات التأمين التعاوني</t>
        </is>
      </c>
      <c r="H155" s="44" t="inlineStr">
        <is>
          <t>Updated 2021</t>
        </is>
      </c>
      <c r="I155" s="46" t="inlineStr">
        <is>
          <t>2003</t>
        </is>
      </c>
      <c r="J155" s="46" t="inlineStr">
        <is>
          <t>N/A</t>
        </is>
      </c>
      <c r="K155" s="44" t="inlineStr">
        <is>
          <t>ISSUES/ENFORCES</t>
        </is>
      </c>
      <c r="L155" s="22" t="inlineStr">
        <is>
          <t>Mandatory Enforcer</t>
        </is>
      </c>
      <c r="M155" s="44" t="inlineStr">
        <is>
          <t>All insurance companies including health insurers</t>
        </is>
      </c>
      <c r="N155" s="55" t="inlineStr">
        <is>
          <t>MODERATE</t>
        </is>
      </c>
      <c r="O155" s="48" t="inlineStr">
        <is>
          <t>https://ia.gov.sa/</t>
        </is>
      </c>
      <c r="P155" s="44" t="inlineStr">
        <is>
          <t>Insurance Authority official</t>
        </is>
      </c>
      <c r="Q155" s="98" t="inlineStr">
        <is>
          <t>See official source for version history</t>
        </is>
      </c>
      <c r="R155" s="98" t="inlineStr">
        <is>
          <t>Framework issued by the relevant authority. Version details available on the official website referenced in the source URL column. The framework has been updated periodically since first issuance.</t>
        </is>
      </c>
      <c r="S155" s="100" t="inlineStr">
        <is>
          <t>See official source</t>
        </is>
      </c>
      <c r="T155" s="98" t="inlineStr">
        <is>
          <t>Updated as needed by the issuing authority</t>
        </is>
      </c>
      <c r="U155" s="25" t="inlineStr">
        <is>
          <t>CURRENT — consult official source for latest version</t>
        </is>
      </c>
      <c r="V155" s="98" t="inlineStr">
        <is>
          <t>Penalties defined by issuing authority; consult official source. NCA ECC-2 penalties apply if relevant</t>
        </is>
      </c>
      <c r="W155" s="99" t="inlineStr">
        <is>
          <t>Issuing authority and/or designated inspection department</t>
        </is>
      </c>
      <c r="X155" s="98" t="inlineStr">
        <is>
          <t>As specified in framework scope — consult official document</t>
        </is>
      </c>
      <c r="Y155" s="49" t="inlineStr">
        <is>
          <t>Both (unless specified otherwise in official document)</t>
        </is>
      </c>
      <c r="Z155" s="98" t="inlineStr">
        <is>
          <t>As defined by issuing authority</t>
        </is>
      </c>
      <c r="AA155" s="100" t="inlineStr">
        <is>
          <t>As defined by issuing authority</t>
        </is>
      </c>
      <c r="AB155" s="98" t="inlineStr">
        <is>
          <t>To be determined from framework text — see official source</t>
        </is>
      </c>
      <c r="AC155" s="98" t="inlineStr">
        <is>
          <t>See framework preamble for international standard references</t>
        </is>
      </c>
      <c r="AD155" s="49" t="inlineStr">
        <is>
          <t>Arabic (primary in KSA); English may be available</t>
        </is>
      </c>
      <c r="AE155" s="58" t="inlineStr">
        <is>
          <t>Mapped to relevant GH-ICGA layer — requires manual assessment</t>
        </is>
      </c>
      <c r="AF155" s="56" t="inlineStr">
        <is>
          <t>See official framework for maturity model details</t>
        </is>
      </c>
      <c r="AG155" s="98" t="inlineStr">
        <is>
          <t>Aligned with relevant Vision 2030 programme — see framework context</t>
        </is>
      </c>
      <c r="AH155" s="98" t="inlineStr">
        <is>
          <t>As specified in framework compliance requirements</t>
        </is>
      </c>
      <c r="AI155" s="103" t="inlineStr">
        <is>
          <t>Institutional theory and regulatory governance theory underpin all KSA regulatory frameworks. Specific theoretical basis varies by framework — consult academic literature via Google Scholar using framework name as search term.</t>
        </is>
      </c>
      <c r="AJ155" s="98" t="inlineStr">
        <is>
          <t>Academic debate varies by framework maturity and international adoption. For KSA-specific debate, consult: Almohammad &amp; Wills (2021) J Cybersecurity; Al-Khater et al. (2020) IEEE Access; Baker McKenzie KSA regulatory updates.</t>
        </is>
      </c>
      <c r="AK155" s="104" t="inlineStr">
        <is>
          <t>Known criticisms include: implementation gap between standards and practice; resource constraints for smaller healthcare entities; rapid technology evolution outpacing regulation. Consult framework evaluation literature for specifics.</t>
        </is>
      </c>
      <c r="AL155" s="105" t="inlineStr">
        <is>
          <t>Framework comparison requires contextual analysis. Key comparators: NIST CSF 2.0 (international benchmark), ISO 27001 (certifiable standard), ECC-2 (KSA mandatory baseline). See main database for cross-framework mapping.</t>
        </is>
      </c>
      <c r="AM155" s="10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55" s="107" t="inlineStr">
        <is>
          <t>Official: Consult the official source URL in the database for the primary document. Training: ISACA, ISC2, RAPS, IAPP, and HIMSS offer professional development covering most regulatory domains. Estimated hours vary by framework complexity.</t>
        </is>
      </c>
      <c r="AO155" s="108" t="inlineStr">
        <is>
          <t>Relevance to GH-ICGA framework varies by layer — see GH-ICGA Layer Mapping column. All KSA mandatory frameworks are compliance inputs to GH-ICGA Layer 4. Frameworks with IoMT-specific provisions directly inform Layers 2 and 3.</t>
        </is>
      </c>
      <c r="AP155" s="51" t="inlineStr">
        <is>
          <t>G + C (Governance + Compliance — standard regulatory framework positioning)</t>
        </is>
      </c>
      <c r="AQ155" s="109" t="inlineStr">
        <is>
          <t>Senior management: accountability for framework compliance. Designated compliance officer: monitor requirements. All staff: awareness of applicable obligations</t>
        </is>
      </c>
      <c r="AR155" s="104" t="inlineStr">
        <is>
          <t>Regulatory Risk; Operational Risk; Reputational Risk — specific domains determined by framework scope</t>
        </is>
      </c>
      <c r="AS155" s="22" t="inlineStr">
        <is>
          <t>See official source — legal obligation, regulatory requirement, or voluntary standard as applicable</t>
        </is>
      </c>
      <c r="AT155" s="105" t="inlineStr">
        <is>
          <t>Administrative; Technical; Operational — specific distribution determined by framework content</t>
        </is>
      </c>
      <c r="AU155" s="110" t="inlineStr">
        <is>
          <t>1. Compliance status (compliant/non-compliant). 2. # open findings from last assessment. 3. % controls implemented. 4. Time to remediate findings. 5. Incident rate in framework scope area</t>
        </is>
      </c>
      <c r="AV155" s="111" t="inlineStr">
        <is>
          <t>Self-assessment; internal audit; external assessment as specified by issuing authority</t>
        </is>
      </c>
      <c r="AW155" s="112" t="inlineStr">
        <is>
          <t>ServiceNow GRC; IBM OpenPages; RSA Archer; MetricStream — all major GRC platforms support custom framework import. Contact vendor for framework-specific module</t>
        </is>
      </c>
      <c r="AX155" s="113" t="inlineStr">
        <is>
          <t>Third parties in scope must demonstrate equivalent compliance. Contractual compliance obligations; right-to-audit clauses; annual third-party assessment</t>
        </is>
      </c>
      <c r="AY155" s="114" t="inlineStr">
        <is>
          <t>Non-compliance: regulatory action by issuing authority; fines and penalties as specified; operational and reputational consequences</t>
        </is>
      </c>
      <c r="AZ155" s="111" t="inlineStr">
        <is>
          <t>Financial Regulators</t>
        </is>
      </c>
      <c r="BA155" s="41" t="inlineStr">
        <is>
          <t>Sector-Specific</t>
        </is>
      </c>
      <c r="BB155" s="591">
        <f>IF(E155="","",IF(ISNUMBER(SEARCH("Institutional theory and regulatory governance theory underpin",AI155)),"TEMPLATE",IF(LEN(AI155)&gt;100,"DEEP",IF(AI155="","SPARSE","SHALLOW"))))</f>
        <v/>
      </c>
      <c r="BC155" s="591">
        <f>IF(E155="","",D155&amp;"-"&amp;B155&amp;"-"&amp;E155)</f>
        <v/>
      </c>
      <c r="BD155" s="591">
        <f>IF(E155="","",SUBSTITUTE(SUBSTITUTE(B155&amp;"-"&amp;E155," ",""),":","-"))</f>
        <v/>
      </c>
      <c r="BE155" s="591">
        <f>IF(E155="","",IF(ISNUMBER(SEARCH("ECC",E155)),"NCA-ECC-2-2024",IF(ISNUMBER(SEARCH("OTCC",E155)),"NCA-ECC-2-2024",IF(ISNUMBER(SEARCH("CCC",E155)),"NCA-ECC-2-2024",IF(ISNUMBER(SEARCH("DCC",E155)),"NCA-ECC-2-2024",IF(ISNUMBER(SEARCH("CSCC",E155)),"NCA-ECC-2-2024",IF(ISNUMBER(SEARCH("PDPL-IR",E155)),"PDPL-2021",IF(ISNUMBER(SEARCH("PDPL-DTR",E155)),"PDPL-2021","NONE"))))))))</f>
        <v/>
      </c>
      <c r="BF155" s="594">
        <f>IF(E155="","",IF(BB155="DEEP",10,IF(BB155="SHALLOW",5,IF(BB155="TEMPLATE",3,1)))+IF(N155="HIGHEST",5,IF(N155="HIGH",3,IF(N155="MODERATE",1,0)))+IF(ISNUMBER(SEARCH("Mandatory",L155)),3,0))</f>
        <v/>
      </c>
    </row>
    <row r="156" ht="42" customHeight="1">
      <c r="A156" s="96" t="n">
        <v>139</v>
      </c>
      <c r="B156" s="97" t="inlineStr">
        <is>
          <t>IAIC</t>
        </is>
      </c>
      <c r="C156" s="98" t="inlineStr">
        <is>
          <t>Insurance Authority</t>
        </is>
      </c>
      <c r="D156" s="98" t="inlineStr">
        <is>
          <t>5. Financial Regulators</t>
        </is>
      </c>
      <c r="E156" s="97" t="inlineStr">
        <is>
          <t>IAIC-CSF</t>
        </is>
      </c>
      <c r="F156" s="99" t="inlineStr">
        <is>
          <t>Insurance Cybersecurity Framework</t>
        </is>
      </c>
      <c r="G156" s="98" t="inlineStr">
        <is>
          <t>إطار الأمن السيبراني لقطاع التأمين</t>
        </is>
      </c>
      <c r="H156" s="98" t="inlineStr">
        <is>
          <t>Active (aligned SAMA CSF)</t>
        </is>
      </c>
      <c r="I156" s="100" t="inlineStr">
        <is>
          <t>2021</t>
        </is>
      </c>
      <c r="J156" s="100" t="inlineStr">
        <is>
          <t>N/A</t>
        </is>
      </c>
      <c r="K156" s="98" t="inlineStr">
        <is>
          <t>ISSUES/ENFORCES</t>
        </is>
      </c>
      <c r="L156" s="22" t="inlineStr">
        <is>
          <t>Mandatory Enforcer</t>
        </is>
      </c>
      <c r="M156" s="98" t="inlineStr">
        <is>
          <t>Insurance companies including health insurers</t>
        </is>
      </c>
      <c r="N156" s="101" t="inlineStr">
        <is>
          <t>MODERATE</t>
        </is>
      </c>
      <c r="O156" s="102" t="inlineStr">
        <is>
          <t>https://ia.gov.sa/</t>
        </is>
      </c>
      <c r="P156" s="98" t="inlineStr">
        <is>
          <t>Insurance Authority official</t>
        </is>
      </c>
      <c r="Q156" s="98" t="inlineStr">
        <is>
          <t>See official source for version history</t>
        </is>
      </c>
      <c r="R156" s="98" t="inlineStr">
        <is>
          <t>Framework issued by the relevant authority. Version details available on the official website referenced in the source URL column. The framework has been updated periodically since first issuance.</t>
        </is>
      </c>
      <c r="S156" s="100" t="inlineStr">
        <is>
          <t>See official source</t>
        </is>
      </c>
      <c r="T156" s="98" t="inlineStr">
        <is>
          <t>Updated as needed by the issuing authority</t>
        </is>
      </c>
      <c r="U156" s="25" t="inlineStr">
        <is>
          <t>CURRENT — consult official source for latest version</t>
        </is>
      </c>
      <c r="V156" s="98" t="inlineStr">
        <is>
          <t>Penalties defined by issuing authority; consult official source. NCA ECC-2 penalties apply if relevant</t>
        </is>
      </c>
      <c r="W156" s="99" t="inlineStr">
        <is>
          <t>Issuing authority and/or designated inspection department</t>
        </is>
      </c>
      <c r="X156" s="98" t="inlineStr">
        <is>
          <t>As specified in framework scope — consult official document</t>
        </is>
      </c>
      <c r="Y156" s="49" t="inlineStr">
        <is>
          <t>Both (unless specified otherwise in official document)</t>
        </is>
      </c>
      <c r="Z156" s="98" t="inlineStr">
        <is>
          <t>As defined by issuing authority</t>
        </is>
      </c>
      <c r="AA156" s="100" t="inlineStr">
        <is>
          <t>As defined by issuing authority</t>
        </is>
      </c>
      <c r="AB156" s="98" t="inlineStr">
        <is>
          <t>To be determined from framework text — see official source</t>
        </is>
      </c>
      <c r="AC156" s="98" t="inlineStr">
        <is>
          <t>See framework preamble for international standard references</t>
        </is>
      </c>
      <c r="AD156" s="49" t="inlineStr">
        <is>
          <t>Arabic (primary in KSA); English may be available</t>
        </is>
      </c>
      <c r="AE156" s="58" t="inlineStr">
        <is>
          <t>Mapped to relevant GH-ICGA layer — requires manual assessment</t>
        </is>
      </c>
      <c r="AF156" s="56" t="inlineStr">
        <is>
          <t>See official framework for maturity model details</t>
        </is>
      </c>
      <c r="AG156" s="98" t="inlineStr">
        <is>
          <t>Aligned with relevant Vision 2030 programme — see framework context</t>
        </is>
      </c>
      <c r="AH156" s="98" t="inlineStr">
        <is>
          <t>As specified in framework compliance requirements</t>
        </is>
      </c>
      <c r="AI156" s="103" t="inlineStr">
        <is>
          <t>Institutional theory and regulatory governance theory underpin all KSA regulatory frameworks. Specific theoretical basis varies by framework — consult academic literature via Google Scholar using framework name as search term.</t>
        </is>
      </c>
      <c r="AJ156" s="98" t="inlineStr">
        <is>
          <t>Academic debate varies by framework maturity and international adoption. For KSA-specific debate, consult: Almohammad &amp; Wills (2021) J Cybersecurity; Al-Khater et al. (2020) IEEE Access; Baker McKenzie KSA regulatory updates.</t>
        </is>
      </c>
      <c r="AK156" s="104" t="inlineStr">
        <is>
          <t>Known criticisms include: implementation gap between standards and practice; resource constraints for smaller healthcare entities; rapid technology evolution outpacing regulation. Consult framework evaluation literature for specifics.</t>
        </is>
      </c>
      <c r="AL156" s="105" t="inlineStr">
        <is>
          <t>Framework comparison requires contextual analysis. Key comparators: NIST CSF 2.0 (international benchmark), ISO 27001 (certifiable standard), ECC-2 (KSA mandatory baseline). See main database for cross-framework mapping.</t>
        </is>
      </c>
      <c r="AM156" s="10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56" s="107" t="inlineStr">
        <is>
          <t>Official: Consult the official source URL in the database for the primary document. Training: ISACA, ISC2, RAPS, IAPP, and HIMSS offer professional development covering most regulatory domains. Estimated hours vary by framework complexity.</t>
        </is>
      </c>
      <c r="AO156" s="108" t="inlineStr">
        <is>
          <t>Relevance to GH-ICGA framework varies by layer — see GH-ICGA Layer Mapping column. All KSA mandatory frameworks are compliance inputs to GH-ICGA Layer 4. Frameworks with IoMT-specific provisions directly inform Layers 2 and 3.</t>
        </is>
      </c>
      <c r="AP156" s="51" t="inlineStr">
        <is>
          <t>G + C (Governance + Compliance — standard regulatory framework positioning)</t>
        </is>
      </c>
      <c r="AQ156" s="109" t="inlineStr">
        <is>
          <t>Senior management: accountability for framework compliance. Designated compliance officer: monitor requirements. All staff: awareness of applicable obligations</t>
        </is>
      </c>
      <c r="AR156" s="104" t="inlineStr">
        <is>
          <t>Regulatory Risk; Operational Risk; Reputational Risk — specific domains determined by framework scope</t>
        </is>
      </c>
      <c r="AS156" s="22" t="inlineStr">
        <is>
          <t>See official source — legal obligation, regulatory requirement, or voluntary standard as applicable</t>
        </is>
      </c>
      <c r="AT156" s="105" t="inlineStr">
        <is>
          <t>Administrative; Technical; Operational — specific distribution determined by framework content</t>
        </is>
      </c>
      <c r="AU156" s="110" t="inlineStr">
        <is>
          <t>1. Compliance status (compliant/non-compliant). 2. # open findings from last assessment. 3. % controls implemented. 4. Time to remediate findings. 5. Incident rate in framework scope area</t>
        </is>
      </c>
      <c r="AV156" s="111" t="inlineStr">
        <is>
          <t>Self-assessment; internal audit; external assessment as specified by issuing authority</t>
        </is>
      </c>
      <c r="AW156" s="112" t="inlineStr">
        <is>
          <t>ServiceNow GRC; IBM OpenPages; RSA Archer; MetricStream — all major GRC platforms support custom framework import. Contact vendor for framework-specific module</t>
        </is>
      </c>
      <c r="AX156" s="113" t="inlineStr">
        <is>
          <t>Third parties in scope must demonstrate equivalent compliance. Contractual compliance obligations; right-to-audit clauses; annual third-party assessment</t>
        </is>
      </c>
      <c r="AY156" s="114" t="inlineStr">
        <is>
          <t>Non-compliance: regulatory action by issuing authority; fines and penalties as specified; operational and reputational consequences</t>
        </is>
      </c>
      <c r="AZ156" s="111" t="inlineStr">
        <is>
          <t>Financial Regulators</t>
        </is>
      </c>
      <c r="BA156" s="41" t="inlineStr">
        <is>
          <t>Sector-Specific</t>
        </is>
      </c>
      <c r="BB156" s="591">
        <f>IF(E156="","",IF(ISNUMBER(SEARCH("Institutional theory and regulatory governance theory underpin",AI156)),"TEMPLATE",IF(LEN(AI156)&gt;100,"DEEP",IF(AI156="","SPARSE","SHALLOW"))))</f>
        <v/>
      </c>
      <c r="BC156" s="591">
        <f>IF(E156="","",D156&amp;"-"&amp;B156&amp;"-"&amp;E156)</f>
        <v/>
      </c>
      <c r="BD156" s="591">
        <f>IF(E156="","",SUBSTITUTE(SUBSTITUTE(B156&amp;"-"&amp;E156," ",""),":","-"))</f>
        <v/>
      </c>
      <c r="BE156" s="591">
        <f>IF(E156="","",IF(ISNUMBER(SEARCH("ECC",E156)),"NCA-ECC-2-2024",IF(ISNUMBER(SEARCH("OTCC",E156)),"NCA-ECC-2-2024",IF(ISNUMBER(SEARCH("CCC",E156)),"NCA-ECC-2-2024",IF(ISNUMBER(SEARCH("DCC",E156)),"NCA-ECC-2-2024",IF(ISNUMBER(SEARCH("CSCC",E156)),"NCA-ECC-2-2024",IF(ISNUMBER(SEARCH("PDPL-IR",E156)),"PDPL-2021",IF(ISNUMBER(SEARCH("PDPL-DTR",E156)),"PDPL-2021","NONE"))))))))</f>
        <v/>
      </c>
      <c r="BF156" s="594">
        <f>IF(E156="","",IF(BB156="DEEP",10,IF(BB156="SHALLOW",5,IF(BB156="TEMPLATE",3,1)))+IF(N156="HIGHEST",5,IF(N156="HIGH",3,IF(N156="MODERATE",1,0)))+IF(ISNUMBER(SEARCH("Mandatory",L156)),3,0))</f>
        <v/>
      </c>
    </row>
    <row r="157" ht="42" customHeight="1">
      <c r="A157" s="42" t="n">
        <v>140</v>
      </c>
      <c r="B157" s="115" t="inlineStr">
        <is>
          <t>IAIC</t>
        </is>
      </c>
      <c r="C157" s="44" t="inlineStr">
        <is>
          <t>Insurance Authority</t>
        </is>
      </c>
      <c r="D157" s="44" t="inlineStr">
        <is>
          <t>5. Financial Regulators</t>
        </is>
      </c>
      <c r="E157" s="115" t="inlineStr">
        <is>
          <t>SAMA-CSF</t>
        </is>
      </c>
      <c r="F157" s="45" t="inlineStr">
        <is>
          <t>SAMA Cybersecurity Framework</t>
        </is>
      </c>
      <c r="G157" s="44" t="inlineStr">
        <is>
          <t>إطار الأمن السيبراني للبنك المركزي</t>
        </is>
      </c>
      <c r="H157" s="44" t="inlineStr">
        <is>
          <t>2017</t>
        </is>
      </c>
      <c r="I157" s="46" t="inlineStr">
        <is>
          <t>2017</t>
        </is>
      </c>
      <c r="J157" s="46" t="inlineStr">
        <is>
          <t>114</t>
        </is>
      </c>
      <c r="K157" s="44" t="inlineStr">
        <is>
          <t>MUST COMPLY WITH</t>
        </is>
      </c>
      <c r="L157" s="66" t="inlineStr">
        <is>
          <t>Mandatory Complier</t>
        </is>
      </c>
      <c r="M157" s="44" t="inlineStr">
        <is>
          <t>Insurance companies as SAMA/IAIC-regulated</t>
        </is>
      </c>
      <c r="N157" s="55" t="inlineStr">
        <is>
          <t>MODERATE</t>
        </is>
      </c>
      <c r="O157" s="48" t="inlineStr">
        <is>
          <t>https://www.sama.gov.sa/</t>
        </is>
      </c>
      <c r="P157" s="44" t="inlineStr">
        <is>
          <t>SAMA; IAIC coordination</t>
        </is>
      </c>
      <c r="Q157" s="98" t="inlineStr">
        <is>
          <t>Issued May 2017 (one version; periodic guidance updates)</t>
        </is>
      </c>
      <c r="R157" s="98" t="inlineStr">
        <is>
          <t>5 cybersecurity domains: Leadership &amp; Governance, Risk Management &amp; Compliance, Operations &amp; Technology, Third Party, Customer Awareness. 29 objectives, 114 sub-controls. 6 maturity levels (Initial → Optimised). Annual self-assessment required. External assessment every 3 years. SAMA inspectors conduct surprise audits. Health insurance companies are SAMA/IAIC-regulated and must comply. Aligned with NIST CSF, ISO 27001, PCI DSS</t>
        </is>
      </c>
      <c r="S157" s="100" t="inlineStr">
        <is>
          <t>Issued: May 2017. Annual self-assessment cycle</t>
        </is>
      </c>
      <c r="T157" s="98" t="inlineStr">
        <is>
          <t>Update expected to align with NCA ECC-2:2024 and NIST CSF 2.0</t>
        </is>
      </c>
      <c r="U157" s="25" t="inlineStr">
        <is>
          <t>CURRENT — 2017 version; update anticipated 2025</t>
        </is>
      </c>
      <c r="V157" s="98" t="inlineStr">
        <is>
          <t>SAMA enforcement: business closure (extreme); SAR multimillion fines (unspecified ceiling); mandatory remediation plan; licence suspension; public warning</t>
        </is>
      </c>
      <c r="W157" s="99" t="inlineStr">
        <is>
          <t>SAMA — Supervisory Technology Department; Insurance Authority (IAIC) for insurers; annual assessment reviewed by SAMA supervisors</t>
        </is>
      </c>
      <c r="X157" s="98" t="inlineStr">
        <is>
          <t>Health Insurer (primary — SAMA/IAIC regulated); Private Hospital (if fintech/payment services regulated)</t>
        </is>
      </c>
      <c r="Y157" s="49" t="inlineStr">
        <is>
          <t>Private financial sector (SAMA-regulated entities only; SAMA itself as public entity also complies with NCA ECC)</t>
        </is>
      </c>
      <c r="Z157" s="98" t="inlineStr">
        <is>
          <t>Annual self-assessment; SAMA external assessment every 3 years; SAMA surprise inspection (risk-based)</t>
        </is>
      </c>
      <c r="AA157" s="100" t="inlineStr">
        <is>
          <t>Annual self-assessment; external: every 3 years</t>
        </is>
      </c>
      <c r="AB157" s="98" t="inlineStr">
        <is>
          <t>6 (health insurance systems security: claims system security; API security for health insurance billing; connected payment device security; third-party health IT vendor management)</t>
        </is>
      </c>
      <c r="AC157" s="98" t="inlineStr">
        <is>
          <t>NIST CSF (primary); ISO 27001:2022; PCI DSS v4 (payment); SWIFT CSP (correspondent banking); COBIT 2019 (IT governance)</t>
        </is>
      </c>
      <c r="AD157" s="61" t="inlineStr">
        <is>
          <t>Arabic (primary); English translation available</t>
        </is>
      </c>
      <c r="AE157" s="26" t="inlineStr">
        <is>
          <t>Layer 1: Governance; Layer 2: Risk Management; Layer 4: Compliance</t>
        </is>
      </c>
      <c r="AF157" s="27" t="inlineStr">
        <is>
          <t>Yes — 6 maturity levels (1=Initial to 6=Optimising); sub-domain level maturity scoring; annual self-scoring required</t>
        </is>
      </c>
      <c r="AG157" s="98" t="inlineStr">
        <is>
          <t>Financial Sector Development Programme (FSDP); Vision 2030 Fintech strategy; health insurance digital transformation</t>
        </is>
      </c>
      <c r="AH157" s="98" t="inlineStr">
        <is>
          <t>Annual self-assessment report; risk register; policy documentation; penetration test reports; BCP test evidence; staff training records; third-party vendor assessment</t>
        </is>
      </c>
      <c r="AI157" s="103" t="inlineStr">
        <is>
          <t>Financial sector cybersecurity regulation theory: systemic risk and contagion (BCBS 2018). Risk-based supervision theory: maturity-based regulatory oversight. Sector-specific regulation vs cross-sector regulation debate.</t>
        </is>
      </c>
      <c r="AJ157" s="98" t="inlineStr">
        <is>
          <t>FOR: Only KSA framework with a formal 6-level maturity model — enables progression benchmarking; annual self-assessment creates continuous improvement culture; aligns with G-7 Fundamental Elements of Cybersecurity (financial sector). AGAINST: 2017 vintage — predates cloud-native architectures, AI-driven fraud, and health insurance sector IoT expansion; Wattlecorp (2025) notes SAMA-CSF and NCA-ECC-2 overlap creates dual compliance burden for health insurers; self-assessment without mandatory external verification undermines assurance value</t>
        </is>
      </c>
      <c r="AK157" s="104" t="inlineStr">
        <is>
          <t>Issued 2017 — significantly outdated vs NCA ECC-2 (2024) — no major revision in 7 years; SAMA-CSF and NCA-ECC-2 alignment not formally documented creating uncertainty; health insurance entities must navigate SAMA-CSF, NCA-ECC-2, PDPL, and CCHI-DCS simultaneously — regulatory fragmentation; IoT/connected insurance product security not addressed</t>
        </is>
      </c>
      <c r="AL157" s="105" t="inlineStr">
        <is>
          <t>SAMA-CSF vs NCA-ECC-2: SAMA-CSF sector-specific (financial), ECC-2 cross-sector — ECC-2 now dominant for cybersecurity, SAMA-CSF supplementary. SAMA-CSF vs ECB TIBER-EU: ECB uses red-team testing; SAMA-CSF relies on self-assessment. SAMA-CSF vs PRA CBEST (UK): similar financial sector model. SAMA-CSF maturity model (6 levels) more granular than ECC-2 (5 levels)</t>
        </is>
      </c>
      <c r="AM157" s="106" t="inlineStr">
        <is>
          <t>SAMA (2017) Cybersecurity Framework sama.gov.sa; BCBS (2018) Cyber-Resilience Basel Committee; Wattlecorp (2025) SAMA Cybersecurity Framework Aug 2025; Al-Matari EM et al. (2014) 'Corporate Governance in Saudi Arabia' Asian Social Science 10(9); Convene (2025) SAMA Cybersecurity Framework Overview Aug 2025</t>
        </is>
      </c>
      <c r="AN157" s="107" t="inlineStr">
        <is>
          <t>Official: SAMA website (sama.gov.sa) — free PDF. Training: CISM (Certified Information Security Manager) — governance domain aligns; CRISC (risk management); ISACA GRC tools. Estimated: 30 hours</t>
        </is>
      </c>
      <c r="AO157" s="108" t="inlineStr">
        <is>
          <t>GH-ICGA Layer 1 (Governance) — SAMA-CSF maturity model is an important reference for GH-ICGA's own maturity assessment design. Thesis: GH-ICGA proposes adapting SAMA-CSF's 6-level maturity model for healthcare IoT governance assessment — the financial sector's approach provides a tested template for health sector adoption</t>
        </is>
      </c>
      <c r="AP157" s="34" t="inlineStr">
        <is>
          <t>G + R + C (sector-specific GRC framework — most comprehensive in GRC terms for financial sector)</t>
        </is>
      </c>
      <c r="AQ157" s="109" t="inlineStr">
        <is>
          <t>Board: approve cybersecurity strategy annually; review maturity scores; ensure CISO reporting line. CISO: present quarterly to board; own SAMA-CSF self-assessment. Risk Committee: integrate cyber risk into enterprise risk. Compliance: monitor SAMA regulatory requirements</t>
        </is>
      </c>
      <c r="AR157" s="104" t="inlineStr">
        <is>
          <t>Cyber Risk; Operational Risk; Third-Party Risk; Systemic Risk (financial sector contagion); Reputational Risk; Regulatory Risk</t>
        </is>
      </c>
      <c r="AS157" s="61" t="inlineStr">
        <is>
          <t>REGULATORY — SAMA mandatory circular for all regulated entities. Enforced through SAMA supervisory examinations. No published maximum fine but SAMA can: suspend licence; impose mandatory remediation; require capital buffer for cyber risk</t>
        </is>
      </c>
      <c r="AT157" s="105" t="inlineStr">
        <is>
          <t>Administrative (A): 45 controls — governance; policy; awareness; HR. Technical (T): 42 controls — access management; operations security; incident management. Physical (P): 12 controls — physical security. Operational (O): 15 controls — vendor management; BCP</t>
        </is>
      </c>
      <c r="AU157" s="110" t="inlineStr">
        <is>
          <t>1. SAMA-CSF self-assessment score per domain (target maturity level 3+ / 5 domains). 2. Maturity progression year-on-year. 3. # critical cyber incidents per year. 4. Third-party risk assessment completion rate (target 100% for critical vendors). 5. % staff passed cybersecurity awareness training. 6. Penetration test findings remediation rate</t>
        </is>
      </c>
      <c r="AV157" s="111" t="inlineStr">
        <is>
          <t>Annual SAMA-CSF self-assessment (mandatory — submitted to SAMA); SAMA supervisory examination (every 3 years for major entities); external penetration test (annual); Red team exercise (every 2-3 years for Tier 1 entities); BCP/DR test (annual)</t>
        </is>
      </c>
      <c r="AW157" s="112" t="inlineStr">
        <is>
          <t>IBM OpenPages; RSA Archer; CURA Risk Management; ServiceNow GRC; MetricStream; Resolver. KSA: Maqsam (local GRC tool); FICO Advisors. SAMA-approved assessment tools</t>
        </is>
      </c>
      <c r="AX157" s="113" t="inlineStr">
        <is>
          <t>All critical third parties: SAMA-CSF compliance assessment before engagement; annual reassessment; contractual right-to-audit; exit plan mandatory; cloud providers: SAMA Cloud Policy compliance; No data sharing without due diligence; sub-outsourcing requires SAMA prior approval for material activities</t>
        </is>
      </c>
      <c r="AY157" s="114" t="inlineStr">
        <is>
          <t>Low maturity (Level 1-2 in critical domains): SAMA mandatory remediation plan + deadline; regulatory capital impact consideration; reputational risk from SAMA disclosure. Licence conditions possible. For health insurers: CCHI + SAMA dual-regulator scrutiny</t>
        </is>
      </c>
      <c r="AZ157" s="111" t="inlineStr">
        <is>
          <t>Financial Regulators; Healthcare &amp; Life Sciences (health insurers)</t>
        </is>
      </c>
      <c r="BA157" s="41" t="inlineStr">
        <is>
          <t>Sector-Specific</t>
        </is>
      </c>
      <c r="BB157" s="591">
        <f>IF(E157="","",IF(ISNUMBER(SEARCH("Institutional theory and regulatory governance theory underpin",AI157)),"TEMPLATE",IF(LEN(AI157)&gt;100,"DEEP",IF(AI157="","SPARSE","SHALLOW"))))</f>
        <v/>
      </c>
      <c r="BC157" s="591">
        <f>IF(E157="","",D157&amp;"-"&amp;B157&amp;"-"&amp;E157)</f>
        <v/>
      </c>
      <c r="BD157" s="591">
        <f>IF(E157="","",SUBSTITUTE(SUBSTITUTE(B157&amp;"-"&amp;E157," ",""),":","-"))</f>
        <v/>
      </c>
      <c r="BE157" s="591">
        <f>IF(E157="","",IF(ISNUMBER(SEARCH("ECC",E157)),"NCA-ECC-2-2024",IF(ISNUMBER(SEARCH("OTCC",E157)),"NCA-ECC-2-2024",IF(ISNUMBER(SEARCH("CCC",E157)),"NCA-ECC-2-2024",IF(ISNUMBER(SEARCH("DCC",E157)),"NCA-ECC-2-2024",IF(ISNUMBER(SEARCH("CSCC",E157)),"NCA-ECC-2-2024",IF(ISNUMBER(SEARCH("PDPL-IR",E157)),"PDPL-2021",IF(ISNUMBER(SEARCH("PDPL-DTR",E157)),"PDPL-2021","NONE"))))))))</f>
        <v/>
      </c>
      <c r="BF157" s="594">
        <f>IF(E157="","",IF(BB157="DEEP",10,IF(BB157="SHALLOW",5,IF(BB157="TEMPLATE",3,1)))+IF(N157="HIGHEST",5,IF(N157="HIGH",3,IF(N157="MODERATE",1,0)))+IF(ISNUMBER(SEARCH("Mandatory",L157)),3,0))</f>
        <v/>
      </c>
    </row>
    <row r="158" ht="42" customHeight="1">
      <c r="A158" s="96" t="n">
        <v>141</v>
      </c>
      <c r="B158" s="97" t="inlineStr">
        <is>
          <t>IAIC</t>
        </is>
      </c>
      <c r="C158" s="98" t="inlineStr">
        <is>
          <t>Insurance Authority</t>
        </is>
      </c>
      <c r="D158" s="98" t="inlineStr">
        <is>
          <t>5. Financial Regulators</t>
        </is>
      </c>
      <c r="E158" s="97" t="inlineStr">
        <is>
          <t>NCA-ECC-2:2024</t>
        </is>
      </c>
      <c r="F158" s="99" t="inlineStr">
        <is>
          <t>Essential Cybersecurity Controls</t>
        </is>
      </c>
      <c r="G158" s="98" t="inlineStr">
        <is>
          <t>ضوابط الأمن السيبراني الأساسية</t>
        </is>
      </c>
      <c r="H158" s="98" t="inlineStr">
        <is>
          <t>ECC-2:2024</t>
        </is>
      </c>
      <c r="I158" s="100" t="inlineStr">
        <is>
          <t>2018</t>
        </is>
      </c>
      <c r="J158" s="100" t="inlineStr">
        <is>
          <t>108</t>
        </is>
      </c>
      <c r="K158" s="98" t="inlineStr">
        <is>
          <t>MUST COMPLY WITH</t>
        </is>
      </c>
      <c r="L158" s="66" t="inlineStr">
        <is>
          <t>Mandatory Complier</t>
        </is>
      </c>
      <c r="M158" s="98" t="inlineStr">
        <is>
          <t>IAIC as government entity</t>
        </is>
      </c>
      <c r="N158" s="101" t="inlineStr">
        <is>
          <t>MODERATE</t>
        </is>
      </c>
      <c r="O158" s="102" t="inlineStr">
        <is>
          <t>https://nca.gov.sa/</t>
        </is>
      </c>
      <c r="P158" s="98" t="inlineStr">
        <is>
          <t>NCA ECC scope</t>
        </is>
      </c>
      <c r="Q158" s="98" t="inlineStr">
        <is>
          <t>See official source for version history</t>
        </is>
      </c>
      <c r="R158" s="98" t="inlineStr">
        <is>
          <t>Framework issued by the relevant authority. Version details available on the official website referenced in the source URL column. The framework has been updated periodically since first issuance.</t>
        </is>
      </c>
      <c r="S158" s="100" t="inlineStr">
        <is>
          <t>See official source</t>
        </is>
      </c>
      <c r="T158" s="98" t="inlineStr">
        <is>
          <t>Updated as needed by the issuing authority</t>
        </is>
      </c>
      <c r="U158" s="25" t="inlineStr">
        <is>
          <t>CURRENT — consult official source for latest version</t>
        </is>
      </c>
      <c r="V158" s="98" t="inlineStr">
        <is>
          <t>Penalties defined by issuing authority; consult official source. NCA ECC-2 penalties apply if relevant</t>
        </is>
      </c>
      <c r="W158" s="99" t="inlineStr">
        <is>
          <t>Issuing authority and/or designated inspection department</t>
        </is>
      </c>
      <c r="X158" s="98" t="inlineStr">
        <is>
          <t>As specified in framework scope — consult official document</t>
        </is>
      </c>
      <c r="Y158" s="49" t="inlineStr">
        <is>
          <t>Both (unless specified otherwise in official document)</t>
        </is>
      </c>
      <c r="Z158" s="98" t="inlineStr">
        <is>
          <t>As defined by issuing authority</t>
        </is>
      </c>
      <c r="AA158" s="100" t="inlineStr">
        <is>
          <t>As defined by issuing authority</t>
        </is>
      </c>
      <c r="AB158" s="98" t="inlineStr">
        <is>
          <t>To be determined from framework text — see official source</t>
        </is>
      </c>
      <c r="AC158" s="98" t="inlineStr">
        <is>
          <t>See framework preamble for international standard references</t>
        </is>
      </c>
      <c r="AD158" s="49" t="inlineStr">
        <is>
          <t>Arabic (primary in KSA); English may be available</t>
        </is>
      </c>
      <c r="AE158" s="58" t="inlineStr">
        <is>
          <t>Mapped to relevant GH-ICGA layer — requires manual assessment</t>
        </is>
      </c>
      <c r="AF158" s="56" t="inlineStr">
        <is>
          <t>See official framework for maturity model details</t>
        </is>
      </c>
      <c r="AG158" s="98" t="inlineStr">
        <is>
          <t>Aligned with relevant Vision 2030 programme — see framework context</t>
        </is>
      </c>
      <c r="AH158" s="98" t="inlineStr">
        <is>
          <t>As specified in framework compliance requirements</t>
        </is>
      </c>
      <c r="AI158" s="103" t="inlineStr">
        <is>
          <t>Institutional theory and regulatory governance theory underpin all KSA regulatory frameworks. Specific theoretical basis varies by framework — consult academic literature via Google Scholar using framework name as search term.</t>
        </is>
      </c>
      <c r="AJ158" s="98" t="inlineStr">
        <is>
          <t>Academic debate varies by framework maturity and international adoption. For KSA-specific debate, consult: Almohammad &amp; Wills (2021) J Cybersecurity; Al-Khater et al. (2020) IEEE Access; Baker McKenzie KSA regulatory updates.</t>
        </is>
      </c>
      <c r="AK158" s="104" t="inlineStr">
        <is>
          <t>Known criticisms include: implementation gap between standards and practice; resource constraints for smaller healthcare entities; rapid technology evolution outpacing regulation. Consult framework evaluation literature for specifics.</t>
        </is>
      </c>
      <c r="AL158" s="105" t="inlineStr">
        <is>
          <t>Framework comparison requires contextual analysis. Key comparators: NIST CSF 2.0 (international benchmark), ISO 27001 (certifiable standard), ECC-2 (KSA mandatory baseline). See main database for cross-framework mapping.</t>
        </is>
      </c>
      <c r="AM158" s="10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58" s="107" t="inlineStr">
        <is>
          <t>Official: Consult the official source URL in the database for the primary document. Training: ISACA, ISC2, RAPS, IAPP, and HIMSS offer professional development covering most regulatory domains. Estimated hours vary by framework complexity.</t>
        </is>
      </c>
      <c r="AO158" s="108" t="inlineStr">
        <is>
          <t>Relevance to GH-ICGA framework varies by layer — see GH-ICGA Layer Mapping column. All KSA mandatory frameworks are compliance inputs to GH-ICGA Layer 4. Frameworks with IoMT-specific provisions directly inform Layers 2 and 3.</t>
        </is>
      </c>
      <c r="AP158" s="51" t="inlineStr">
        <is>
          <t>G + C (Governance + Compliance — standard regulatory framework positioning)</t>
        </is>
      </c>
      <c r="AQ158" s="109" t="inlineStr">
        <is>
          <t>Senior management: accountability for framework compliance. Designated compliance officer: monitor requirements. All staff: awareness of applicable obligations</t>
        </is>
      </c>
      <c r="AR158" s="104" t="inlineStr">
        <is>
          <t>Regulatory Risk; Operational Risk; Reputational Risk — specific domains determined by framework scope</t>
        </is>
      </c>
      <c r="AS158" s="22" t="inlineStr">
        <is>
          <t>See official source — legal obligation, regulatory requirement, or voluntary standard as applicable</t>
        </is>
      </c>
      <c r="AT158" s="105" t="inlineStr">
        <is>
          <t>Administrative; Technical; Operational — specific distribution determined by framework content</t>
        </is>
      </c>
      <c r="AU158" s="110" t="inlineStr">
        <is>
          <t>1. Compliance status (compliant/non-compliant). 2. # open findings from last assessment. 3. % controls implemented. 4. Time to remediate findings. 5. Incident rate in framework scope area</t>
        </is>
      </c>
      <c r="AV158" s="111" t="inlineStr">
        <is>
          <t>Self-assessment; internal audit; external assessment as specified by issuing authority</t>
        </is>
      </c>
      <c r="AW158" s="112" t="inlineStr">
        <is>
          <t>ServiceNow GRC; IBM OpenPages; RSA Archer; MetricStream — all major GRC platforms support custom framework import. Contact vendor for framework-specific module</t>
        </is>
      </c>
      <c r="AX158" s="113" t="inlineStr">
        <is>
          <t>Third parties in scope must demonstrate equivalent compliance. Contractual compliance obligations; right-to-audit clauses; annual third-party assessment</t>
        </is>
      </c>
      <c r="AY158" s="114" t="inlineStr">
        <is>
          <t>Non-compliance: regulatory action by issuing authority; fines and penalties as specified; operational and reputational consequences</t>
        </is>
      </c>
      <c r="AZ158" s="111" t="inlineStr">
        <is>
          <t>ALL 17 SECTORS</t>
        </is>
      </c>
      <c r="BA158" s="34" t="inlineStr">
        <is>
          <t>YES — ALL SECTORS</t>
        </is>
      </c>
      <c r="BB158" s="591">
        <f>IF(E158="","",IF(ISNUMBER(SEARCH("Institutional theory and regulatory governance theory underpin",AI158)),"TEMPLATE",IF(LEN(AI158)&gt;100,"DEEP",IF(AI158="","SPARSE","SHALLOW"))))</f>
        <v/>
      </c>
      <c r="BC158" s="591">
        <f>IF(E158="","",D158&amp;"-"&amp;B158&amp;"-"&amp;E158)</f>
        <v/>
      </c>
      <c r="BD158" s="591">
        <f>IF(E158="","",SUBSTITUTE(SUBSTITUTE(B158&amp;"-"&amp;E158," ",""),":","-"))</f>
        <v/>
      </c>
      <c r="BE158" s="591">
        <f>IF(E158="","",IF(ISNUMBER(SEARCH("ECC",E158)),"NCA-ECC-2-2024",IF(ISNUMBER(SEARCH("OTCC",E158)),"NCA-ECC-2-2024",IF(ISNUMBER(SEARCH("CCC",E158)),"NCA-ECC-2-2024",IF(ISNUMBER(SEARCH("DCC",E158)),"NCA-ECC-2-2024",IF(ISNUMBER(SEARCH("CSCC",E158)),"NCA-ECC-2-2024",IF(ISNUMBER(SEARCH("PDPL-IR",E158)),"PDPL-2021",IF(ISNUMBER(SEARCH("PDPL-DTR",E158)),"PDPL-2021","NONE"))))))))</f>
        <v/>
      </c>
      <c r="BF158" s="594">
        <f>IF(E158="","",IF(BB158="DEEP",10,IF(BB158="SHALLOW",5,IF(BB158="TEMPLATE",3,1)))+IF(N158="HIGHEST",5,IF(N158="HIGH",3,IF(N158="MODERATE",1,0)))+IF(ISNUMBER(SEARCH("Mandatory",L158)),3,0))</f>
        <v/>
      </c>
    </row>
    <row r="159" ht="42" customHeight="1">
      <c r="A159" s="42" t="n">
        <v>142</v>
      </c>
      <c r="B159" s="115" t="inlineStr">
        <is>
          <t>IAIC</t>
        </is>
      </c>
      <c r="C159" s="44" t="inlineStr">
        <is>
          <t>Insurance Authority</t>
        </is>
      </c>
      <c r="D159" s="44" t="inlineStr">
        <is>
          <t>5. Financial Regulators</t>
        </is>
      </c>
      <c r="E159" s="115" t="inlineStr">
        <is>
          <t>PDPL-2021</t>
        </is>
      </c>
      <c r="F159" s="45" t="inlineStr">
        <is>
          <t>Personal Data Protection Law</t>
        </is>
      </c>
      <c r="G159" s="44" t="inlineStr">
        <is>
          <t>نظام حماية البيانات الشخصية</t>
        </is>
      </c>
      <c r="H159" s="44" t="inlineStr">
        <is>
          <t>2021+IR 2023</t>
        </is>
      </c>
      <c r="I159" s="46" t="inlineStr">
        <is>
          <t>2021</t>
        </is>
      </c>
      <c r="J159" s="46" t="inlineStr">
        <is>
          <t>45</t>
        </is>
      </c>
      <c r="K159" s="44" t="inlineStr">
        <is>
          <t>MUST COMPLY WITH</t>
        </is>
      </c>
      <c r="L159" s="66" t="inlineStr">
        <is>
          <t>Mandatory Complier</t>
        </is>
      </c>
      <c r="M159" s="44" t="inlineStr">
        <is>
          <t>Insurers process policyholder health data</t>
        </is>
      </c>
      <c r="N159" s="54" t="inlineStr">
        <is>
          <t>HIGH</t>
        </is>
      </c>
      <c r="O159" s="48" t="inlineStr">
        <is>
          <t>https://sdaia.gov.sa/</t>
        </is>
      </c>
      <c r="P159" s="44" t="inlineStr">
        <is>
          <t>SDAIA; Chambers TMT 2026</t>
        </is>
      </c>
      <c r="Q159" s="98" t="inlineStr">
        <is>
          <t>Royal Decree M/19 (16 Sep 2021) → amended Apr 2023</t>
        </is>
      </c>
      <c r="R159" s="98" t="inlineStr">
        <is>
          <t>Original (2021): 19 articles covering consent, data subject rights, controller obligations, sensitive data (health = sensitive), cross-border transfer. Apr 2023 amendment: strengthened enforcement, clarified health data provisions, aligned with PDPL-IR-2023. Grace period for compliance ended Sep 14, 2024. Penalties: up to SAR 5 million fine + 2 years imprisonment for sensitive data breach</t>
        </is>
      </c>
      <c r="S159" s="100" t="inlineStr">
        <is>
          <t>Issued: Sep 2021. Amended: Apr 2023. Fully enforceable: Sep 14, 2024</t>
        </is>
      </c>
      <c r="T159" s="98" t="inlineStr">
        <is>
          <t>SDAIA reviews annually; amendments expected 2025-2026</t>
        </is>
      </c>
      <c r="U159" s="25" t="inlineStr">
        <is>
          <t>CURRENT — fully enforceable since Sep 2024</t>
        </is>
      </c>
      <c r="V159" s="98" t="inlineStr">
        <is>
          <t>Criminal offence: up to 2 years imprisonment + SAR 3M fine for disclosing sensitive data (health data = sensitive); administrative fine up to SAR 5M; mandatory breach notification to SDAIA within 72 hours; data subject compensation claims</t>
        </is>
      </c>
      <c r="W159" s="99" t="inlineStr">
        <is>
          <t>SDAIA — Data Protection Authority (DPA functions); NDMO for government entities; courts for criminal penalties</t>
        </is>
      </c>
      <c r="X159" s="98" t="inlineStr">
        <is>
          <t>Hospital; Clinic; Lab; Pharmacy; Health IT Vendor; Health Insurer; Government Health Entity; Medical Device Manufacturer (all processing patient data)</t>
        </is>
      </c>
      <c r="Y159" s="49" t="inlineStr">
        <is>
          <t>Both + foreign entities processing data of KSA residents</t>
        </is>
      </c>
      <c r="Z159" s="98" t="inlineStr">
        <is>
          <t>SDAIA audit; controller self-assessment; DPO oversight; data subject complaints trigger investigation</t>
        </is>
      </c>
      <c r="AA159" s="100" t="inlineStr">
        <is>
          <t>Continuous (breach notification: 72 hours); annual DPO report; SDAIA random audits</t>
        </is>
      </c>
      <c r="AB159" s="98" t="inlineStr">
        <is>
          <t>12 (IoMT data minimisation; purpose limitation; consent management for wearable data; automated decision-making; data subject rights for IoMT-generated health data; cross-border transfer of IoMT data)</t>
        </is>
      </c>
      <c r="AC159" s="98" t="inlineStr">
        <is>
          <t>GDPR (substantial alignment — adequate protection basis); APEC Privacy Framework; ISO 29100; ISO 27701</t>
        </is>
      </c>
      <c r="AD159" s="49" t="inlineStr">
        <is>
          <t>Arabic (official); English translation (unofficial)</t>
        </is>
      </c>
      <c r="AE159" s="50" t="inlineStr">
        <is>
          <t>Layer 4: Compliance; Layer 2: Risk Management</t>
        </is>
      </c>
      <c r="AF159" s="60" t="inlineStr">
        <is>
          <t>No formal maturity model; SDAIA publishes compliance guidance</t>
        </is>
      </c>
      <c r="AG159" s="98" t="inlineStr">
        <is>
          <t>National Data Strategy; Vision 2030 Digital Economy; Digital Government transformation</t>
        </is>
      </c>
      <c r="AH159" s="98" t="inlineStr">
        <is>
          <t>Privacy notices; consent records; DPO appointment letter; data mapping/flow diagrams; breach notification records; DPIA for health data processing; controller registration</t>
        </is>
      </c>
      <c r="AI159" s="103" t="inlineStr">
        <is>
          <t>Privacy as fundamental right (Warren &amp; Brandeis 1890; Westin 1967). Contextual integrity theory (Nissenbaum 2004): health data flows must match medical context norms. Regulatory theory: data protection authority independence and enforcement. Information asymmetry theory: patients cannot protect their own data without regulation.</t>
        </is>
      </c>
      <c r="AJ159" s="98" t="inlineStr">
        <is>
          <t>FOR: Long-overdue — KSA had no comprehensive data protection law until 2021; health data explicitly protected as sensitive category; aligns KSA with global adequacy standards. AGAINST: Alrawabdeh (2014) and Aldawood &amp; Skinner (2019) documented Saudi privacy culture gap — regulation without public awareness is ineffective; 'GDPR-lite' criticism: exemptions broader than GDPR, enforcement weaker; health data provisions in IR still less specific than UK GDPR Schedule 1 conditions</t>
        </is>
      </c>
      <c r="AK159" s="104" t="inlineStr">
        <is>
          <t>No independent supervisory authority (SDAIA is both promoter and regulator — conflict of interest noted by Baker McKenzie 2025); patient data portability rights weaker than GDPR Article 20; no explicit right to explanation for AI-automated health decisions; cross-border transfer rules changed twice in 12 months (regulatory instability); small healthcare providers lack capacity for DPO requirements</t>
        </is>
      </c>
      <c r="AL159" s="105" t="inlineStr">
        <is>
          <t>PDPL vs GDPR: PDPL penalty lower (SAR 5M vs €20M); PDPL broader government exemptions; GDPR has independent DPA, PDPL does not. PDPL vs HIPAA: PDPL = all personal data (broader); HIPAA = US-specific health data only. PDPL vs UK GDPR: PDPL misses explicit Schedule 1 health data conditions. PDPL ahead of HIPAA on consent granularity; behind GDPR on enforcement independence</t>
        </is>
      </c>
      <c r="AM159" s="106" t="inlineStr">
        <is>
          <t>Baker McKenzie (2025) Saudi Arabia PDPL Global Data &amp; Cyber Handbook; Alrawabdeh W (2014) 'Internet and Social Media Challenges in Arab World' EJSR; Westin AF (1967) Privacy and Freedom NY Atheneum; Nissenbaum H (2004) 'Privacy as Contextual Integrity' Washington Law Review 79(1); CMS Law (2025) Saudi Arabia Data Protection &amp; Cybersecurity Expert Guide Oct 2025</t>
        </is>
      </c>
      <c r="AN159" s="107" t="inlineStr">
        <is>
          <t>Official: SDAIA website (sdaia.gov.sa) — Arabic + English. Training: IAPP CIPM/CIPP/E (privacy certifications applicable); OneTrust PDPL compliance course; Baker McKenzie PDPL compliance guide. Language: Arabic primary — strong Arabic reading recommended. Estimated: 50 hours for health sector DPO competence</t>
        </is>
      </c>
      <c r="AO159" s="108" t="inlineStr">
        <is>
          <t>PRIMARY driver for GH-ICGA Layer 4 (Compliance) — PDPL is the legal foundation for patient data governance in the preliminary GH-ICGA framework. Thesis argument: GH-ICGA Layer 4 operationalises PDPL requirements into IoMT-specific controls (consent management for wearable data; purpose limitation for monitoring streams; breach response for connected device incidents)</t>
        </is>
      </c>
      <c r="AP159" s="51" t="inlineStr">
        <is>
          <t>G + C (Governance + Compliance — strong compliance driver; risk implicit)</t>
        </is>
      </c>
      <c r="AQ159" s="109" t="inlineStr">
        <is>
          <t>Board/CEO: ultimate accountability for PDPL compliance. DPO: mandatory for large-scale health data processors — reports to highest management level. Privacy Committee: cross-functional oversight. All staff processing personal data: mandatory privacy awareness training annually</t>
        </is>
      </c>
      <c r="AR159" s="104" t="inlineStr">
        <is>
          <t>Privacy Risk (PRIMARY); Legal/Regulatory Risk; Reputational Risk; Strategic Risk (data monetisation constraints); Cross-Border Risk (data transfer restrictions)</t>
        </is>
      </c>
      <c r="AS159" s="22" t="inlineStr">
        <is>
          <t>LEGAL — Royal Decree M/19 2021 + Implementing Regulations Sep 2023. Criminal: imprisonment up to 2 years + SAR 3M fine for sensitive data disclosure. Administrative: SAR 5M maximum fine. Civil: data subject compensation claims</t>
        </is>
      </c>
      <c r="AT159" s="105" t="inlineStr">
        <is>
          <t>Administrative (A): consent management; privacy notices; DPO appointment; DPIA process; breach notification procedure. Technical (T): data minimisation; pseudonymisation; access controls for personal data; encryption. Operational (O): data retention enforcement; data subject rights fulfilment process; cross-border transfer review</t>
        </is>
      </c>
      <c r="AU159" s="110" t="inlineStr">
        <is>
          <t>1. # data subject rights requests fulfilled on time (target: 100% within 30 days). 2. # data breaches notified to SDAIA within 72h (target: 100%). 3. % staff completed privacy training (target: 100%). 4. # DPIAs completed for high-risk processing activities. 5. Data retention compliance rate (% records within policy). 6. % third-party processors with DPA agreements</t>
        </is>
      </c>
      <c r="AV159" s="111" t="inlineStr">
        <is>
          <t>Annual DPIA review; data mapping audit (controller record validation); consent record audit; breach response simulation (tabletop); access control review for personal data systems; third-party processor audit; SDAIA compliance self-assessment</t>
        </is>
      </c>
      <c r="AW159" s="112" t="inlineStr">
        <is>
          <t>OneTrust (market leader for PDPL); TrustArc; Nymity; DataGrail; Varonis (data discovery); Microsoft Purview (data classification). SDAIA National Data Governance Platform for registration. Arabic-capable tools preferred</t>
        </is>
      </c>
      <c r="AX159" s="113" t="inlineStr">
        <is>
          <t>All third-party data processors must have Data Processing Agreement (DPA). Processors must demonstrate equivalent PDPL compliance. Cross-border transfers require adequacy assessment or appropriate safeguards. Sub-processor disclosure mandatory. Annual processor risk assessment required</t>
        </is>
      </c>
      <c r="AY159" s="114" t="inlineStr">
        <is>
          <t>Non-compliance: SAR 5M administrative fine; criminal prosecution for sensitive data breach; SDAIA investigation; mandatory breach public disclosure. Business disruption: SDAIA can order processing suspension. Reputational: patient trust damage. Market: EU adequate protection status depends on PDPL enforcement credibility</t>
        </is>
      </c>
      <c r="AZ159" s="111" t="inlineStr">
        <is>
          <t>ALL 17 SECTORS — any entity processing personal data</t>
        </is>
      </c>
      <c r="BA159" s="34" t="inlineStr">
        <is>
          <t>YES — ALL SECTORS</t>
        </is>
      </c>
      <c r="BB159" s="591">
        <f>IF(E159="","",IF(ISNUMBER(SEARCH("Institutional theory and regulatory governance theory underpin",AI159)),"TEMPLATE",IF(LEN(AI159)&gt;100,"DEEP",IF(AI159="","SPARSE","SHALLOW"))))</f>
        <v/>
      </c>
      <c r="BC159" s="591">
        <f>IF(E159="","",D159&amp;"-"&amp;B159&amp;"-"&amp;E159)</f>
        <v/>
      </c>
      <c r="BD159" s="591">
        <f>IF(E159="","",SUBSTITUTE(SUBSTITUTE(B159&amp;"-"&amp;E159," ",""),":","-"))</f>
        <v/>
      </c>
      <c r="BE159" s="591">
        <f>IF(E159="","",IF(ISNUMBER(SEARCH("ECC",E159)),"NCA-ECC-2-2024",IF(ISNUMBER(SEARCH("OTCC",E159)),"NCA-ECC-2-2024",IF(ISNUMBER(SEARCH("CCC",E159)),"NCA-ECC-2-2024",IF(ISNUMBER(SEARCH("DCC",E159)),"NCA-ECC-2-2024",IF(ISNUMBER(SEARCH("CSCC",E159)),"NCA-ECC-2-2024",IF(ISNUMBER(SEARCH("PDPL-IR",E159)),"PDPL-2021",IF(ISNUMBER(SEARCH("PDPL-DTR",E159)),"PDPL-2021","NONE"))))))))</f>
        <v/>
      </c>
      <c r="BF159" s="594">
        <f>IF(E159="","",IF(BB159="DEEP",10,IF(BB159="SHALLOW",5,IF(BB159="TEMPLATE",3,1)))+IF(N159="HIGHEST",5,IF(N159="HIGH",3,IF(N159="MODERATE",1,0)))+IF(ISNUMBER(SEARCH("Mandatory",L159)),3,0))</f>
        <v/>
      </c>
    </row>
    <row r="160" ht="42" customHeight="1">
      <c r="A160" s="96" t="n">
        <v>143</v>
      </c>
      <c r="B160" s="97" t="inlineStr">
        <is>
          <t>GOSI</t>
        </is>
      </c>
      <c r="C160" s="98" t="inlineStr">
        <is>
          <t>General Organisation for Social Insurance</t>
        </is>
      </c>
      <c r="D160" s="98" t="inlineStr">
        <is>
          <t>5. Financial Regulators</t>
        </is>
      </c>
      <c r="E160" s="97" t="inlineStr">
        <is>
          <t>GOSI-OIL</t>
        </is>
      </c>
      <c r="F160" s="99" t="inlineStr">
        <is>
          <t>Occupational Injury Law &amp; Benefits</t>
        </is>
      </c>
      <c r="G160" s="98" t="inlineStr">
        <is>
          <t>نظام التأمين ضد العجز والوفاة</t>
        </is>
      </c>
      <c r="H160" s="98" t="inlineStr">
        <is>
          <t>Updated 2021</t>
        </is>
      </c>
      <c r="I160" s="100" t="inlineStr">
        <is>
          <t>1969</t>
        </is>
      </c>
      <c r="J160" s="100" t="inlineStr">
        <is>
          <t>45</t>
        </is>
      </c>
      <c r="K160" s="98" t="inlineStr">
        <is>
          <t>ISSUES/ENFORCES</t>
        </is>
      </c>
      <c r="L160" s="22" t="inlineStr">
        <is>
          <t>Mandatory Enforcer</t>
        </is>
      </c>
      <c r="M160" s="98" t="inlineStr">
        <is>
          <t>All employers — healthcare worker injury reporting</t>
        </is>
      </c>
      <c r="N160" s="101" t="inlineStr">
        <is>
          <t>MODERATE</t>
        </is>
      </c>
      <c r="O160" s="102" t="inlineStr">
        <is>
          <t>https://www.gosi.gov.sa/</t>
        </is>
      </c>
      <c r="P160" s="98" t="inlineStr">
        <is>
          <t>GOSI official</t>
        </is>
      </c>
      <c r="Q160" s="98" t="inlineStr">
        <is>
          <t>Royal Decree M/33 1969 → updated 2021</t>
        </is>
      </c>
      <c r="R160" s="98" t="inlineStr">
        <is>
          <t>1969 (establishment). 2021 update: expanded occupational injury categories to include: mental health injuries caused by workplace; COVID-19 as occupational disease for healthcare workers; cyber-stress injuries (new concept). Healthcare worker injuries (needle sticks, patient handling, radiation exposure) — GOSI covers healthcare workers comprehensively. Employers must report injuries within 30 days; GOSI manages rehabilitation</t>
        </is>
      </c>
      <c r="S160" s="100" t="inlineStr">
        <is>
          <t>Established: 1969 (RD M/33). Updated: 2021</t>
        </is>
      </c>
      <c r="T160" s="98" t="inlineStr">
        <is>
          <t>Periodic updates</t>
        </is>
      </c>
      <c r="U160" s="25" t="inlineStr">
        <is>
          <t>CURRENT — 2021 version</t>
        </is>
      </c>
      <c r="V160" s="98" t="inlineStr">
        <is>
          <t>Penalties defined by issuing authority; consult official source. NCA ECC-2 penalties apply if relevant</t>
        </is>
      </c>
      <c r="W160" s="99" t="inlineStr">
        <is>
          <t>Issuing authority and/or designated inspection department</t>
        </is>
      </c>
      <c r="X160" s="98" t="inlineStr">
        <is>
          <t>As specified in framework scope — consult official document</t>
        </is>
      </c>
      <c r="Y160" s="49" t="inlineStr">
        <is>
          <t>Both (unless specified otherwise in official document)</t>
        </is>
      </c>
      <c r="Z160" s="98" t="inlineStr">
        <is>
          <t>As defined by issuing authority</t>
        </is>
      </c>
      <c r="AA160" s="100" t="inlineStr">
        <is>
          <t>As defined by issuing authority</t>
        </is>
      </c>
      <c r="AB160" s="98" t="inlineStr">
        <is>
          <t>To be determined from framework text — see official source</t>
        </is>
      </c>
      <c r="AC160" s="98" t="inlineStr">
        <is>
          <t>See framework preamble for international standard references</t>
        </is>
      </c>
      <c r="AD160" s="49" t="inlineStr">
        <is>
          <t>Arabic (primary in KSA); English may be available</t>
        </is>
      </c>
      <c r="AE160" s="58" t="inlineStr">
        <is>
          <t>Mapped to relevant GH-ICGA layer — requires manual assessment</t>
        </is>
      </c>
      <c r="AF160" s="56" t="inlineStr">
        <is>
          <t>See official framework for maturity model details</t>
        </is>
      </c>
      <c r="AG160" s="98" t="inlineStr">
        <is>
          <t>Aligned with relevant Vision 2030 programme — see framework context</t>
        </is>
      </c>
      <c r="AH160" s="98" t="inlineStr">
        <is>
          <t>As specified in framework compliance requirements</t>
        </is>
      </c>
      <c r="AI160" s="103" t="inlineStr">
        <is>
          <t>Institutional theory and regulatory governance theory underpin all KSA regulatory frameworks. Specific theoretical basis varies by framework — consult academic literature via Google Scholar using framework name as search term.</t>
        </is>
      </c>
      <c r="AJ160" s="98" t="inlineStr">
        <is>
          <t>Academic debate varies by framework maturity and international adoption. For KSA-specific debate, consult: Almohammad &amp; Wills (2021) J Cybersecurity; Al-Khater et al. (2020) IEEE Access; Baker McKenzie KSA regulatory updates.</t>
        </is>
      </c>
      <c r="AK160" s="104" t="inlineStr">
        <is>
          <t>Known criticisms include: implementation gap between standards and practice; resource constraints for smaller healthcare entities; rapid technology evolution outpacing regulation. Consult framework evaluation literature for specifics.</t>
        </is>
      </c>
      <c r="AL160" s="105" t="inlineStr">
        <is>
          <t>Framework comparison requires contextual analysis. Key comparators: NIST CSF 2.0 (international benchmark), ISO 27001 (certifiable standard), ECC-2 (KSA mandatory baseline). See main database for cross-framework mapping.</t>
        </is>
      </c>
      <c r="AM160" s="10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60" s="107" t="inlineStr">
        <is>
          <t>Official: Consult the official source URL in the database for the primary document. Training: ISACA, ISC2, RAPS, IAPP, and HIMSS offer professional development covering most regulatory domains. Estimated hours vary by framework complexity.</t>
        </is>
      </c>
      <c r="AO160" s="108" t="inlineStr">
        <is>
          <t>Relevance to GH-ICGA framework varies by layer — see GH-ICGA Layer Mapping column. All KSA mandatory frameworks are compliance inputs to GH-ICGA Layer 4. Frameworks with IoMT-specific provisions directly inform Layers 2 and 3.</t>
        </is>
      </c>
      <c r="AP160" s="51" t="inlineStr">
        <is>
          <t>G + C (Governance + Compliance — standard regulatory framework positioning)</t>
        </is>
      </c>
      <c r="AQ160" s="109" t="inlineStr">
        <is>
          <t>Senior management: accountability for framework compliance. Designated compliance officer: monitor requirements. All staff: awareness of applicable obligations</t>
        </is>
      </c>
      <c r="AR160" s="104" t="inlineStr">
        <is>
          <t>Regulatory Risk; Operational Risk; Reputational Risk — specific domains determined by framework scope</t>
        </is>
      </c>
      <c r="AS160" s="22" t="inlineStr">
        <is>
          <t>See official source — legal obligation, regulatory requirement, or voluntary standard as applicable</t>
        </is>
      </c>
      <c r="AT160" s="105" t="inlineStr">
        <is>
          <t>Administrative; Technical; Operational — specific distribution determined by framework content</t>
        </is>
      </c>
      <c r="AU160" s="110" t="inlineStr">
        <is>
          <t>1. Compliance status (compliant/non-compliant). 2. # open findings from last assessment. 3. % controls implemented. 4. Time to remediate findings. 5. Incident rate in framework scope area</t>
        </is>
      </c>
      <c r="AV160" s="111" t="inlineStr">
        <is>
          <t>Self-assessment; internal audit; external assessment as specified by issuing authority</t>
        </is>
      </c>
      <c r="AW160" s="112" t="inlineStr">
        <is>
          <t>ServiceNow GRC; IBM OpenPages; RSA Archer; MetricStream — all major GRC platforms support custom framework import. Contact vendor for framework-specific module</t>
        </is>
      </c>
      <c r="AX160" s="113" t="inlineStr">
        <is>
          <t>Third parties in scope must demonstrate equivalent compliance. Contractual compliance obligations; right-to-audit clauses; annual third-party assessment</t>
        </is>
      </c>
      <c r="AY160" s="114" t="inlineStr">
        <is>
          <t>Non-compliance: regulatory action by issuing authority; fines and penalties as specified; operational and reputational consequences</t>
        </is>
      </c>
      <c r="AZ160" s="111" t="inlineStr">
        <is>
          <t>ALL 17 SECTORS — all employers</t>
        </is>
      </c>
      <c r="BA160" s="34" t="inlineStr">
        <is>
          <t>YES — ALL SECTORS</t>
        </is>
      </c>
      <c r="BB160" s="591">
        <f>IF(E160="","",IF(ISNUMBER(SEARCH("Institutional theory and regulatory governance theory underpin",AI160)),"TEMPLATE",IF(LEN(AI160)&gt;100,"DEEP",IF(AI160="","SPARSE","SHALLOW"))))</f>
        <v/>
      </c>
      <c r="BC160" s="591">
        <f>IF(E160="","",D160&amp;"-"&amp;B160&amp;"-"&amp;E160)</f>
        <v/>
      </c>
      <c r="BD160" s="591">
        <f>IF(E160="","",SUBSTITUTE(SUBSTITUTE(B160&amp;"-"&amp;E160," ",""),":","-"))</f>
        <v/>
      </c>
      <c r="BE160" s="591">
        <f>IF(E160="","",IF(ISNUMBER(SEARCH("ECC",E160)),"NCA-ECC-2-2024",IF(ISNUMBER(SEARCH("OTCC",E160)),"NCA-ECC-2-2024",IF(ISNUMBER(SEARCH("CCC",E160)),"NCA-ECC-2-2024",IF(ISNUMBER(SEARCH("DCC",E160)),"NCA-ECC-2-2024",IF(ISNUMBER(SEARCH("CSCC",E160)),"NCA-ECC-2-2024",IF(ISNUMBER(SEARCH("PDPL-IR",E160)),"PDPL-2021",IF(ISNUMBER(SEARCH("PDPL-DTR",E160)),"PDPL-2021","NONE"))))))))</f>
        <v/>
      </c>
      <c r="BF160" s="594">
        <f>IF(E160="","",IF(BB160="DEEP",10,IF(BB160="SHALLOW",5,IF(BB160="TEMPLATE",3,1)))+IF(N160="HIGHEST",5,IF(N160="HIGH",3,IF(N160="MODERATE",1,0)))+IF(ISNUMBER(SEARCH("Mandatory",L160)),3,0))</f>
        <v/>
      </c>
    </row>
    <row r="161" ht="42" customHeight="1">
      <c r="A161" s="42" t="n">
        <v>144</v>
      </c>
      <c r="B161" s="115" t="inlineStr">
        <is>
          <t>GOSI</t>
        </is>
      </c>
      <c r="C161" s="44" t="inlineStr">
        <is>
          <t>General Organisation for Social Insurance</t>
        </is>
      </c>
      <c r="D161" s="44" t="inlineStr">
        <is>
          <t>5. Financial Regulators</t>
        </is>
      </c>
      <c r="E161" s="115" t="inlineStr">
        <is>
          <t>GOSI-SIN</t>
        </is>
      </c>
      <c r="F161" s="45" t="inlineStr">
        <is>
          <t>Social Insurance Regulations</t>
        </is>
      </c>
      <c r="G161" s="44" t="inlineStr">
        <is>
          <t>نظام الضمان الاجتماعي</t>
        </is>
      </c>
      <c r="H161" s="44" t="inlineStr">
        <is>
          <t>Updated 2021</t>
        </is>
      </c>
      <c r="I161" s="46" t="inlineStr">
        <is>
          <t>1969</t>
        </is>
      </c>
      <c r="J161" s="46" t="inlineStr">
        <is>
          <t>N/A</t>
        </is>
      </c>
      <c r="K161" s="44" t="inlineStr">
        <is>
          <t>ISSUES/ENFORCES</t>
        </is>
      </c>
      <c r="L161" s="22" t="inlineStr">
        <is>
          <t>Mandatory Enforcer</t>
        </is>
      </c>
      <c r="M161" s="44" t="inlineStr">
        <is>
          <t>All employers — mandatory contribution for all employees</t>
        </is>
      </c>
      <c r="N161" s="55" t="inlineStr">
        <is>
          <t>MODERATE</t>
        </is>
      </c>
      <c r="O161" s="48" t="inlineStr">
        <is>
          <t>https://www.gosi.gov.sa/</t>
        </is>
      </c>
      <c r="P161" s="44" t="inlineStr">
        <is>
          <t>GOSI official</t>
        </is>
      </c>
      <c r="Q161" s="98" t="inlineStr">
        <is>
          <t>See official source for version history</t>
        </is>
      </c>
      <c r="R161" s="98" t="inlineStr">
        <is>
          <t>Framework issued by the relevant authority. Version details available on the official website referenced in the source URL column. The framework has been updated periodically since first issuance.</t>
        </is>
      </c>
      <c r="S161" s="100" t="inlineStr">
        <is>
          <t>See official source</t>
        </is>
      </c>
      <c r="T161" s="98" t="inlineStr">
        <is>
          <t>Updated as needed by the issuing authority</t>
        </is>
      </c>
      <c r="U161" s="25" t="inlineStr">
        <is>
          <t>CURRENT — consult official source for latest version</t>
        </is>
      </c>
      <c r="V161" s="98" t="inlineStr">
        <is>
          <t>Penalties defined by issuing authority; consult official source. NCA ECC-2 penalties apply if relevant</t>
        </is>
      </c>
      <c r="W161" s="99" t="inlineStr">
        <is>
          <t>Issuing authority and/or designated inspection department</t>
        </is>
      </c>
      <c r="X161" s="98" t="inlineStr">
        <is>
          <t>As specified in framework scope — consult official document</t>
        </is>
      </c>
      <c r="Y161" s="49" t="inlineStr">
        <is>
          <t>Both (unless specified otherwise in official document)</t>
        </is>
      </c>
      <c r="Z161" s="98" t="inlineStr">
        <is>
          <t>As defined by issuing authority</t>
        </is>
      </c>
      <c r="AA161" s="100" t="inlineStr">
        <is>
          <t>As defined by issuing authority</t>
        </is>
      </c>
      <c r="AB161" s="98" t="inlineStr">
        <is>
          <t>To be determined from framework text — see official source</t>
        </is>
      </c>
      <c r="AC161" s="98" t="inlineStr">
        <is>
          <t>See framework preamble for international standard references</t>
        </is>
      </c>
      <c r="AD161" s="49" t="inlineStr">
        <is>
          <t>Arabic (primary in KSA); English may be available</t>
        </is>
      </c>
      <c r="AE161" s="58" t="inlineStr">
        <is>
          <t>Mapped to relevant GH-ICGA layer — requires manual assessment</t>
        </is>
      </c>
      <c r="AF161" s="56" t="inlineStr">
        <is>
          <t>See official framework for maturity model details</t>
        </is>
      </c>
      <c r="AG161" s="98" t="inlineStr">
        <is>
          <t>Aligned with relevant Vision 2030 programme — see framework context</t>
        </is>
      </c>
      <c r="AH161" s="98" t="inlineStr">
        <is>
          <t>As specified in framework compliance requirements</t>
        </is>
      </c>
      <c r="AI161" s="103" t="inlineStr">
        <is>
          <t>Institutional theory and regulatory governance theory underpin all KSA regulatory frameworks. Specific theoretical basis varies by framework — consult academic literature via Google Scholar using framework name as search term.</t>
        </is>
      </c>
      <c r="AJ161" s="98" t="inlineStr">
        <is>
          <t>Academic debate varies by framework maturity and international adoption. For KSA-specific debate, consult: Almohammad &amp; Wills (2021) J Cybersecurity; Al-Khater et al. (2020) IEEE Access; Baker McKenzie KSA regulatory updates.</t>
        </is>
      </c>
      <c r="AK161" s="104" t="inlineStr">
        <is>
          <t>Known criticisms include: implementation gap between standards and practice; resource constraints for smaller healthcare entities; rapid technology evolution outpacing regulation. Consult framework evaluation literature for specifics.</t>
        </is>
      </c>
      <c r="AL161" s="105" t="inlineStr">
        <is>
          <t>Framework comparison requires contextual analysis. Key comparators: NIST CSF 2.0 (international benchmark), ISO 27001 (certifiable standard), ECC-2 (KSA mandatory baseline). See main database for cross-framework mapping.</t>
        </is>
      </c>
      <c r="AM161" s="10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61" s="107" t="inlineStr">
        <is>
          <t>Official: Consult the official source URL in the database for the primary document. Training: ISACA, ISC2, RAPS, IAPP, and HIMSS offer professional development covering most regulatory domains. Estimated hours vary by framework complexity.</t>
        </is>
      </c>
      <c r="AO161" s="108" t="inlineStr">
        <is>
          <t>Relevance to GH-ICGA framework varies by layer — see GH-ICGA Layer Mapping column. All KSA mandatory frameworks are compliance inputs to GH-ICGA Layer 4. Frameworks with IoMT-specific provisions directly inform Layers 2 and 3.</t>
        </is>
      </c>
      <c r="AP161" s="51" t="inlineStr">
        <is>
          <t>G + C (Governance + Compliance — standard regulatory framework positioning)</t>
        </is>
      </c>
      <c r="AQ161" s="109" t="inlineStr">
        <is>
          <t>Senior management: accountability for framework compliance. Designated compliance officer: monitor requirements. All staff: awareness of applicable obligations</t>
        </is>
      </c>
      <c r="AR161" s="104" t="inlineStr">
        <is>
          <t>Regulatory Risk; Operational Risk; Reputational Risk — specific domains determined by framework scope</t>
        </is>
      </c>
      <c r="AS161" s="22" t="inlineStr">
        <is>
          <t>See official source — legal obligation, regulatory requirement, or voluntary standard as applicable</t>
        </is>
      </c>
      <c r="AT161" s="105" t="inlineStr">
        <is>
          <t>Administrative; Technical; Operational — specific distribution determined by framework content</t>
        </is>
      </c>
      <c r="AU161" s="110" t="inlineStr">
        <is>
          <t>1. Compliance status (compliant/non-compliant). 2. # open findings from last assessment. 3. % controls implemented. 4. Time to remediate findings. 5. Incident rate in framework scope area</t>
        </is>
      </c>
      <c r="AV161" s="111" t="inlineStr">
        <is>
          <t>Self-assessment; internal audit; external assessment as specified by issuing authority</t>
        </is>
      </c>
      <c r="AW161" s="112" t="inlineStr">
        <is>
          <t>ServiceNow GRC; IBM OpenPages; RSA Archer; MetricStream — all major GRC platforms support custom framework import. Contact vendor for framework-specific module</t>
        </is>
      </c>
      <c r="AX161" s="113" t="inlineStr">
        <is>
          <t>Third parties in scope must demonstrate equivalent compliance. Contractual compliance obligations; right-to-audit clauses; annual third-party assessment</t>
        </is>
      </c>
      <c r="AY161" s="114" t="inlineStr">
        <is>
          <t>Non-compliance: regulatory action by issuing authority; fines and penalties as specified; operational and reputational consequences</t>
        </is>
      </c>
      <c r="AZ161" s="111" t="inlineStr">
        <is>
          <t>ALL 17 SECTORS — all employers</t>
        </is>
      </c>
      <c r="BA161" s="34" t="inlineStr">
        <is>
          <t>YES — ALL SECTORS</t>
        </is>
      </c>
      <c r="BB161" s="591">
        <f>IF(E161="","",IF(ISNUMBER(SEARCH("Institutional theory and regulatory governance theory underpin",AI161)),"TEMPLATE",IF(LEN(AI161)&gt;100,"DEEP",IF(AI161="","SPARSE","SHALLOW"))))</f>
        <v/>
      </c>
      <c r="BC161" s="591">
        <f>IF(E161="","",D161&amp;"-"&amp;B161&amp;"-"&amp;E161)</f>
        <v/>
      </c>
      <c r="BD161" s="591">
        <f>IF(E161="","",SUBSTITUTE(SUBSTITUTE(B161&amp;"-"&amp;E161," ",""),":","-"))</f>
        <v/>
      </c>
      <c r="BE161" s="591">
        <f>IF(E161="","",IF(ISNUMBER(SEARCH("ECC",E161)),"NCA-ECC-2-2024",IF(ISNUMBER(SEARCH("OTCC",E161)),"NCA-ECC-2-2024",IF(ISNUMBER(SEARCH("CCC",E161)),"NCA-ECC-2-2024",IF(ISNUMBER(SEARCH("DCC",E161)),"NCA-ECC-2-2024",IF(ISNUMBER(SEARCH("CSCC",E161)),"NCA-ECC-2-2024",IF(ISNUMBER(SEARCH("PDPL-IR",E161)),"PDPL-2021",IF(ISNUMBER(SEARCH("PDPL-DTR",E161)),"PDPL-2021","NONE"))))))))</f>
        <v/>
      </c>
      <c r="BF161" s="594">
        <f>IF(E161="","",IF(BB161="DEEP",10,IF(BB161="SHALLOW",5,IF(BB161="TEMPLATE",3,1)))+IF(N161="HIGHEST",5,IF(N161="HIGH",3,IF(N161="MODERATE",1,0)))+IF(ISNUMBER(SEARCH("Mandatory",L161)),3,0))</f>
        <v/>
      </c>
    </row>
    <row r="162" ht="42" customHeight="1">
      <c r="A162" s="96" t="n">
        <v>145</v>
      </c>
      <c r="B162" s="97" t="inlineStr">
        <is>
          <t>GOSI</t>
        </is>
      </c>
      <c r="C162" s="98" t="inlineStr">
        <is>
          <t>General Organisation for Social Insurance</t>
        </is>
      </c>
      <c r="D162" s="98" t="inlineStr">
        <is>
          <t>5. Financial Regulators</t>
        </is>
      </c>
      <c r="E162" s="97" t="inlineStr">
        <is>
          <t>NCA-ECC-2:2024</t>
        </is>
      </c>
      <c r="F162" s="99" t="inlineStr">
        <is>
          <t>Essential Cybersecurity Controls</t>
        </is>
      </c>
      <c r="G162" s="98" t="inlineStr">
        <is>
          <t>ضوابط الأمن السيبراني الأساسية</t>
        </is>
      </c>
      <c r="H162" s="98" t="inlineStr">
        <is>
          <t>ECC-2:2024</t>
        </is>
      </c>
      <c r="I162" s="100" t="inlineStr">
        <is>
          <t>2018</t>
        </is>
      </c>
      <c r="J162" s="100" t="inlineStr">
        <is>
          <t>108</t>
        </is>
      </c>
      <c r="K162" s="98" t="inlineStr">
        <is>
          <t>MUST COMPLY WITH</t>
        </is>
      </c>
      <c r="L162" s="66" t="inlineStr">
        <is>
          <t>Mandatory Complier</t>
        </is>
      </c>
      <c r="M162" s="98" t="inlineStr">
        <is>
          <t>GOSI as government entity</t>
        </is>
      </c>
      <c r="N162" s="101" t="inlineStr">
        <is>
          <t>MODERATE</t>
        </is>
      </c>
      <c r="O162" s="102" t="inlineStr">
        <is>
          <t>https://nca.gov.sa/</t>
        </is>
      </c>
      <c r="P162" s="98" t="inlineStr">
        <is>
          <t>NCA ECC scope</t>
        </is>
      </c>
      <c r="Q162" s="98" t="inlineStr">
        <is>
          <t>See official source for version history</t>
        </is>
      </c>
      <c r="R162" s="98" t="inlineStr">
        <is>
          <t>Framework issued by the relevant authority. Version details available on the official website referenced in the source URL column. The framework has been updated periodically since first issuance.</t>
        </is>
      </c>
      <c r="S162" s="100" t="inlineStr">
        <is>
          <t>See official source</t>
        </is>
      </c>
      <c r="T162" s="98" t="inlineStr">
        <is>
          <t>Updated as needed by the issuing authority</t>
        </is>
      </c>
      <c r="U162" s="25" t="inlineStr">
        <is>
          <t>CURRENT — consult official source for latest version</t>
        </is>
      </c>
      <c r="V162" s="98" t="inlineStr">
        <is>
          <t>Penalties defined by issuing authority; consult official source. NCA ECC-2 penalties apply if relevant</t>
        </is>
      </c>
      <c r="W162" s="99" t="inlineStr">
        <is>
          <t>Issuing authority and/or designated inspection department</t>
        </is>
      </c>
      <c r="X162" s="98" t="inlineStr">
        <is>
          <t>As specified in framework scope — consult official document</t>
        </is>
      </c>
      <c r="Y162" s="49" t="inlineStr">
        <is>
          <t>Both (unless specified otherwise in official document)</t>
        </is>
      </c>
      <c r="Z162" s="98" t="inlineStr">
        <is>
          <t>As defined by issuing authority</t>
        </is>
      </c>
      <c r="AA162" s="100" t="inlineStr">
        <is>
          <t>As defined by issuing authority</t>
        </is>
      </c>
      <c r="AB162" s="98" t="inlineStr">
        <is>
          <t>To be determined from framework text — see official source</t>
        </is>
      </c>
      <c r="AC162" s="98" t="inlineStr">
        <is>
          <t>See framework preamble for international standard references</t>
        </is>
      </c>
      <c r="AD162" s="49" t="inlineStr">
        <is>
          <t>Arabic (primary in KSA); English may be available</t>
        </is>
      </c>
      <c r="AE162" s="58" t="inlineStr">
        <is>
          <t>Mapped to relevant GH-ICGA layer — requires manual assessment</t>
        </is>
      </c>
      <c r="AF162" s="56" t="inlineStr">
        <is>
          <t>See official framework for maturity model details</t>
        </is>
      </c>
      <c r="AG162" s="98" t="inlineStr">
        <is>
          <t>Aligned with relevant Vision 2030 programme — see framework context</t>
        </is>
      </c>
      <c r="AH162" s="98" t="inlineStr">
        <is>
          <t>As specified in framework compliance requirements</t>
        </is>
      </c>
      <c r="AI162" s="103" t="inlineStr">
        <is>
          <t>Institutional theory and regulatory governance theory underpin all KSA regulatory frameworks. Specific theoretical basis varies by framework — consult academic literature via Google Scholar using framework name as search term.</t>
        </is>
      </c>
      <c r="AJ162" s="98" t="inlineStr">
        <is>
          <t>Academic debate varies by framework maturity and international adoption. For KSA-specific debate, consult: Almohammad &amp; Wills (2021) J Cybersecurity; Al-Khater et al. (2020) IEEE Access; Baker McKenzie KSA regulatory updates.</t>
        </is>
      </c>
      <c r="AK162" s="104" t="inlineStr">
        <is>
          <t>Known criticisms include: implementation gap between standards and practice; resource constraints for smaller healthcare entities; rapid technology evolution outpacing regulation. Consult framework evaluation literature for specifics.</t>
        </is>
      </c>
      <c r="AL162" s="105" t="inlineStr">
        <is>
          <t>Framework comparison requires contextual analysis. Key comparators: NIST CSF 2.0 (international benchmark), ISO 27001 (certifiable standard), ECC-2 (KSA mandatory baseline). See main database for cross-framework mapping.</t>
        </is>
      </c>
      <c r="AM162" s="10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62" s="107" t="inlineStr">
        <is>
          <t>Official: Consult the official source URL in the database for the primary document. Training: ISACA, ISC2, RAPS, IAPP, and HIMSS offer professional development covering most regulatory domains. Estimated hours vary by framework complexity.</t>
        </is>
      </c>
      <c r="AO162" s="108" t="inlineStr">
        <is>
          <t>Relevance to GH-ICGA framework varies by layer — see GH-ICGA Layer Mapping column. All KSA mandatory frameworks are compliance inputs to GH-ICGA Layer 4. Frameworks with IoMT-specific provisions directly inform Layers 2 and 3.</t>
        </is>
      </c>
      <c r="AP162" s="51" t="inlineStr">
        <is>
          <t>G + C (Governance + Compliance — standard regulatory framework positioning)</t>
        </is>
      </c>
      <c r="AQ162" s="109" t="inlineStr">
        <is>
          <t>Senior management: accountability for framework compliance. Designated compliance officer: monitor requirements. All staff: awareness of applicable obligations</t>
        </is>
      </c>
      <c r="AR162" s="104" t="inlineStr">
        <is>
          <t>Regulatory Risk; Operational Risk; Reputational Risk — specific domains determined by framework scope</t>
        </is>
      </c>
      <c r="AS162" s="22" t="inlineStr">
        <is>
          <t>See official source — legal obligation, regulatory requirement, or voluntary standard as applicable</t>
        </is>
      </c>
      <c r="AT162" s="105" t="inlineStr">
        <is>
          <t>Administrative; Technical; Operational — specific distribution determined by framework content</t>
        </is>
      </c>
      <c r="AU162" s="110" t="inlineStr">
        <is>
          <t>1. Compliance status (compliant/non-compliant). 2. # open findings from last assessment. 3. % controls implemented. 4. Time to remediate findings. 5. Incident rate in framework scope area</t>
        </is>
      </c>
      <c r="AV162" s="111" t="inlineStr">
        <is>
          <t>Self-assessment; internal audit; external assessment as specified by issuing authority</t>
        </is>
      </c>
      <c r="AW162" s="112" t="inlineStr">
        <is>
          <t>ServiceNow GRC; IBM OpenPages; RSA Archer; MetricStream — all major GRC platforms support custom framework import. Contact vendor for framework-specific module</t>
        </is>
      </c>
      <c r="AX162" s="113" t="inlineStr">
        <is>
          <t>Third parties in scope must demonstrate equivalent compliance. Contractual compliance obligations; right-to-audit clauses; annual third-party assessment</t>
        </is>
      </c>
      <c r="AY162" s="114" t="inlineStr">
        <is>
          <t>Non-compliance: regulatory action by issuing authority; fines and penalties as specified; operational and reputational consequences</t>
        </is>
      </c>
      <c r="AZ162" s="111" t="inlineStr">
        <is>
          <t>ALL 17 SECTORS</t>
        </is>
      </c>
      <c r="BA162" s="34" t="inlineStr">
        <is>
          <t>YES — ALL SECTORS</t>
        </is>
      </c>
      <c r="BB162" s="591">
        <f>IF(E162="","",IF(ISNUMBER(SEARCH("Institutional theory and regulatory governance theory underpin",AI162)),"TEMPLATE",IF(LEN(AI162)&gt;100,"DEEP",IF(AI162="","SPARSE","SHALLOW"))))</f>
        <v/>
      </c>
      <c r="BC162" s="591">
        <f>IF(E162="","",D162&amp;"-"&amp;B162&amp;"-"&amp;E162)</f>
        <v/>
      </c>
      <c r="BD162" s="591">
        <f>IF(E162="","",SUBSTITUTE(SUBSTITUTE(B162&amp;"-"&amp;E162," ",""),":","-"))</f>
        <v/>
      </c>
      <c r="BE162" s="591">
        <f>IF(E162="","",IF(ISNUMBER(SEARCH("ECC",E162)),"NCA-ECC-2-2024",IF(ISNUMBER(SEARCH("OTCC",E162)),"NCA-ECC-2-2024",IF(ISNUMBER(SEARCH("CCC",E162)),"NCA-ECC-2-2024",IF(ISNUMBER(SEARCH("DCC",E162)),"NCA-ECC-2-2024",IF(ISNUMBER(SEARCH("CSCC",E162)),"NCA-ECC-2-2024",IF(ISNUMBER(SEARCH("PDPL-IR",E162)),"PDPL-2021",IF(ISNUMBER(SEARCH("PDPL-DTR",E162)),"PDPL-2021","NONE"))))))))</f>
        <v/>
      </c>
      <c r="BF162" s="594">
        <f>IF(E162="","",IF(BB162="DEEP",10,IF(BB162="SHALLOW",5,IF(BB162="TEMPLATE",3,1)))+IF(N162="HIGHEST",5,IF(N162="HIGH",3,IF(N162="MODERATE",1,0)))+IF(ISNUMBER(SEARCH("Mandatory",L162)),3,0))</f>
        <v/>
      </c>
    </row>
    <row r="163" ht="42" customHeight="1">
      <c r="A163" s="42" t="n">
        <v>146</v>
      </c>
      <c r="B163" s="115" t="inlineStr">
        <is>
          <t>GOSI</t>
        </is>
      </c>
      <c r="C163" s="44" t="inlineStr">
        <is>
          <t>General Organisation for Social Insurance</t>
        </is>
      </c>
      <c r="D163" s="44" t="inlineStr">
        <is>
          <t>5. Financial Regulators</t>
        </is>
      </c>
      <c r="E163" s="115" t="inlineStr">
        <is>
          <t>PDPL-2021</t>
        </is>
      </c>
      <c r="F163" s="45" t="inlineStr">
        <is>
          <t>Personal Data Protection Law</t>
        </is>
      </c>
      <c r="G163" s="44" t="inlineStr">
        <is>
          <t>نظام حماية البيانات الشخصية</t>
        </is>
      </c>
      <c r="H163" s="44" t="inlineStr">
        <is>
          <t>2021+IR 2023</t>
        </is>
      </c>
      <c r="I163" s="46" t="inlineStr">
        <is>
          <t>2021</t>
        </is>
      </c>
      <c r="J163" s="46" t="inlineStr">
        <is>
          <t>45</t>
        </is>
      </c>
      <c r="K163" s="44" t="inlineStr">
        <is>
          <t>MUST COMPLY WITH</t>
        </is>
      </c>
      <c r="L163" s="66" t="inlineStr">
        <is>
          <t>Mandatory Complier</t>
        </is>
      </c>
      <c r="M163" s="44" t="inlineStr">
        <is>
          <t>GOSI processes employee personal data</t>
        </is>
      </c>
      <c r="N163" s="55" t="inlineStr">
        <is>
          <t>MODERATE</t>
        </is>
      </c>
      <c r="O163" s="48" t="inlineStr">
        <is>
          <t>https://sdaia.gov.sa/</t>
        </is>
      </c>
      <c r="P163" s="44" t="inlineStr">
        <is>
          <t>SDAIA</t>
        </is>
      </c>
      <c r="Q163" s="98" t="inlineStr">
        <is>
          <t>Royal Decree M/19 (16 Sep 2021) → amended Apr 2023</t>
        </is>
      </c>
      <c r="R163" s="98" t="inlineStr">
        <is>
          <t>Original (2021): 19 articles covering consent, data subject rights, controller obligations, sensitive data (health = sensitive), cross-border transfer. Apr 2023 amendment: strengthened enforcement, clarified health data provisions, aligned with PDPL-IR-2023. Grace period for compliance ended Sep 14, 2024. Penalties: up to SAR 5 million fine + 2 years imprisonment for sensitive data breach</t>
        </is>
      </c>
      <c r="S163" s="100" t="inlineStr">
        <is>
          <t>Issued: Sep 2021. Amended: Apr 2023. Fully enforceable: Sep 14, 2024</t>
        </is>
      </c>
      <c r="T163" s="98" t="inlineStr">
        <is>
          <t>SDAIA reviews annually; amendments expected 2025-2026</t>
        </is>
      </c>
      <c r="U163" s="25" t="inlineStr">
        <is>
          <t>CURRENT — fully enforceable since Sep 2024</t>
        </is>
      </c>
      <c r="V163" s="98" t="inlineStr">
        <is>
          <t>Criminal offence: up to 2 years imprisonment + SAR 3M fine for disclosing sensitive data (health data = sensitive); administrative fine up to SAR 5M; mandatory breach notification to SDAIA within 72 hours; data subject compensation claims</t>
        </is>
      </c>
      <c r="W163" s="99" t="inlineStr">
        <is>
          <t>SDAIA — Data Protection Authority (DPA functions); NDMO for government entities; courts for criminal penalties</t>
        </is>
      </c>
      <c r="X163" s="98" t="inlineStr">
        <is>
          <t>Hospital; Clinic; Lab; Pharmacy; Health IT Vendor; Health Insurer; Government Health Entity; Medical Device Manufacturer (all processing patient data)</t>
        </is>
      </c>
      <c r="Y163" s="49" t="inlineStr">
        <is>
          <t>Both + foreign entities processing data of KSA residents</t>
        </is>
      </c>
      <c r="Z163" s="98" t="inlineStr">
        <is>
          <t>SDAIA audit; controller self-assessment; DPO oversight; data subject complaints trigger investigation</t>
        </is>
      </c>
      <c r="AA163" s="100" t="inlineStr">
        <is>
          <t>Continuous (breach notification: 72 hours); annual DPO report; SDAIA random audits</t>
        </is>
      </c>
      <c r="AB163" s="98" t="inlineStr">
        <is>
          <t>12 (IoMT data minimisation; purpose limitation; consent management for wearable data; automated decision-making; data subject rights for IoMT-generated health data; cross-border transfer of IoMT data)</t>
        </is>
      </c>
      <c r="AC163" s="98" t="inlineStr">
        <is>
          <t>GDPR (substantial alignment — adequate protection basis); APEC Privacy Framework; ISO 29100; ISO 27701</t>
        </is>
      </c>
      <c r="AD163" s="49" t="inlineStr">
        <is>
          <t>Arabic (official); English translation (unofficial)</t>
        </is>
      </c>
      <c r="AE163" s="50" t="inlineStr">
        <is>
          <t>Layer 4: Compliance; Layer 2: Risk Management</t>
        </is>
      </c>
      <c r="AF163" s="60" t="inlineStr">
        <is>
          <t>No formal maturity model; SDAIA publishes compliance guidance</t>
        </is>
      </c>
      <c r="AG163" s="98" t="inlineStr">
        <is>
          <t>National Data Strategy; Vision 2030 Digital Economy; Digital Government transformation</t>
        </is>
      </c>
      <c r="AH163" s="98" t="inlineStr">
        <is>
          <t>Privacy notices; consent records; DPO appointment letter; data mapping/flow diagrams; breach notification records; DPIA for health data processing; controller registration</t>
        </is>
      </c>
      <c r="AI163" s="103" t="inlineStr">
        <is>
          <t>Privacy as fundamental right (Warren &amp; Brandeis 1890; Westin 1967). Contextual integrity theory (Nissenbaum 2004): health data flows must match medical context norms. Regulatory theory: data protection authority independence and enforcement. Information asymmetry theory: patients cannot protect their own data without regulation.</t>
        </is>
      </c>
      <c r="AJ163" s="98" t="inlineStr">
        <is>
          <t>FOR: Long-overdue — KSA had no comprehensive data protection law until 2021; health data explicitly protected as sensitive category; aligns KSA with global adequacy standards. AGAINST: Alrawabdeh (2014) and Aldawood &amp; Skinner (2019) documented Saudi privacy culture gap — regulation without public awareness is ineffective; 'GDPR-lite' criticism: exemptions broader than GDPR, enforcement weaker; health data provisions in IR still less specific than UK GDPR Schedule 1 conditions</t>
        </is>
      </c>
      <c r="AK163" s="104" t="inlineStr">
        <is>
          <t>No independent supervisory authority (SDAIA is both promoter and regulator — conflict of interest noted by Baker McKenzie 2025); patient data portability rights weaker than GDPR Article 20; no explicit right to explanation for AI-automated health decisions; cross-border transfer rules changed twice in 12 months (regulatory instability); small healthcare providers lack capacity for DPO requirements</t>
        </is>
      </c>
      <c r="AL163" s="105" t="inlineStr">
        <is>
          <t>PDPL vs GDPR: PDPL penalty lower (SAR 5M vs €20M); PDPL broader government exemptions; GDPR has independent DPA, PDPL does not. PDPL vs HIPAA: PDPL = all personal data (broader); HIPAA = US-specific health data only. PDPL vs UK GDPR: PDPL misses explicit Schedule 1 health data conditions. PDPL ahead of HIPAA on consent granularity; behind GDPR on enforcement independence</t>
        </is>
      </c>
      <c r="AM163" s="106" t="inlineStr">
        <is>
          <t>Baker McKenzie (2025) Saudi Arabia PDPL Global Data &amp; Cyber Handbook; Alrawabdeh W (2014) 'Internet and Social Media Challenges in Arab World' EJSR; Westin AF (1967) Privacy and Freedom NY Atheneum; Nissenbaum H (2004) 'Privacy as Contextual Integrity' Washington Law Review 79(1); CMS Law (2025) Saudi Arabia Data Protection &amp; Cybersecurity Expert Guide Oct 2025</t>
        </is>
      </c>
      <c r="AN163" s="107" t="inlineStr">
        <is>
          <t>Official: SDAIA website (sdaia.gov.sa) — Arabic + English. Training: IAPP CIPM/CIPP/E (privacy certifications applicable); OneTrust PDPL compliance course; Baker McKenzie PDPL compliance guide. Language: Arabic primary — strong Arabic reading recommended. Estimated: 50 hours for health sector DPO competence</t>
        </is>
      </c>
      <c r="AO163" s="108" t="inlineStr">
        <is>
          <t>PRIMARY driver for GH-ICGA Layer 4 (Compliance) — PDPL is the legal foundation for patient data governance in the preliminary GH-ICGA framework. Thesis argument: GH-ICGA Layer 4 operationalises PDPL requirements into IoMT-specific controls (consent management for wearable data; purpose limitation for monitoring streams; breach response for connected device incidents)</t>
        </is>
      </c>
      <c r="AP163" s="51" t="inlineStr">
        <is>
          <t>G + C (Governance + Compliance — strong compliance driver; risk implicit)</t>
        </is>
      </c>
      <c r="AQ163" s="109" t="inlineStr">
        <is>
          <t>Board/CEO: ultimate accountability for PDPL compliance. DPO: mandatory for large-scale health data processors — reports to highest management level. Privacy Committee: cross-functional oversight. All staff processing personal data: mandatory privacy awareness training annually</t>
        </is>
      </c>
      <c r="AR163" s="104" t="inlineStr">
        <is>
          <t>Privacy Risk (PRIMARY); Legal/Regulatory Risk; Reputational Risk; Strategic Risk (data monetisation constraints); Cross-Border Risk (data transfer restrictions)</t>
        </is>
      </c>
      <c r="AS163" s="22" t="inlineStr">
        <is>
          <t>LEGAL — Royal Decree M/19 2021 + Implementing Regulations Sep 2023. Criminal: imprisonment up to 2 years + SAR 3M fine for sensitive data disclosure. Administrative: SAR 5M maximum fine. Civil: data subject compensation claims</t>
        </is>
      </c>
      <c r="AT163" s="105" t="inlineStr">
        <is>
          <t>Administrative (A): consent management; privacy notices; DPO appointment; DPIA process; breach notification procedure. Technical (T): data minimisation; pseudonymisation; access controls for personal data; encryption. Operational (O): data retention enforcement; data subject rights fulfilment process; cross-border transfer review</t>
        </is>
      </c>
      <c r="AU163" s="110" t="inlineStr">
        <is>
          <t>1. # data subject rights requests fulfilled on time (target: 100% within 30 days). 2. # data breaches notified to SDAIA within 72h (target: 100%). 3. % staff completed privacy training (target: 100%). 4. # DPIAs completed for high-risk processing activities. 5. Data retention compliance rate (% records within policy). 6. % third-party processors with DPA agreements</t>
        </is>
      </c>
      <c r="AV163" s="111" t="inlineStr">
        <is>
          <t>Annual DPIA review; data mapping audit (controller record validation); consent record audit; breach response simulation (tabletop); access control review for personal data systems; third-party processor audit; SDAIA compliance self-assessment</t>
        </is>
      </c>
      <c r="AW163" s="112" t="inlineStr">
        <is>
          <t>OneTrust (market leader for PDPL); TrustArc; Nymity; DataGrail; Varonis (data discovery); Microsoft Purview (data classification). SDAIA National Data Governance Platform for registration. Arabic-capable tools preferred</t>
        </is>
      </c>
      <c r="AX163" s="113" t="inlineStr">
        <is>
          <t>All third-party data processors must have Data Processing Agreement (DPA). Processors must demonstrate equivalent PDPL compliance. Cross-border transfers require adequacy assessment or appropriate safeguards. Sub-processor disclosure mandatory. Annual processor risk assessment required</t>
        </is>
      </c>
      <c r="AY163" s="114" t="inlineStr">
        <is>
          <t>Non-compliance: SAR 5M administrative fine; criminal prosecution for sensitive data breach; SDAIA investigation; mandatory breach public disclosure. Business disruption: SDAIA can order processing suspension. Reputational: patient trust damage. Market: EU adequate protection status depends on PDPL enforcement credibility</t>
        </is>
      </c>
      <c r="AZ163" s="111" t="inlineStr">
        <is>
          <t>ALL 17 SECTORS — any entity processing personal data</t>
        </is>
      </c>
      <c r="BA163" s="34" t="inlineStr">
        <is>
          <t>YES — ALL SECTORS</t>
        </is>
      </c>
      <c r="BB163" s="591">
        <f>IF(E163="","",IF(ISNUMBER(SEARCH("Institutional theory and regulatory governance theory underpin",AI163)),"TEMPLATE",IF(LEN(AI163)&gt;100,"DEEP",IF(AI163="","SPARSE","SHALLOW"))))</f>
        <v/>
      </c>
      <c r="BC163" s="591">
        <f>IF(E163="","",D163&amp;"-"&amp;B163&amp;"-"&amp;E163)</f>
        <v/>
      </c>
      <c r="BD163" s="591">
        <f>IF(E163="","",SUBSTITUTE(SUBSTITUTE(B163&amp;"-"&amp;E163," ",""),":","-"))</f>
        <v/>
      </c>
      <c r="BE163" s="591">
        <f>IF(E163="","",IF(ISNUMBER(SEARCH("ECC",E163)),"NCA-ECC-2-2024",IF(ISNUMBER(SEARCH("OTCC",E163)),"NCA-ECC-2-2024",IF(ISNUMBER(SEARCH("CCC",E163)),"NCA-ECC-2-2024",IF(ISNUMBER(SEARCH("DCC",E163)),"NCA-ECC-2-2024",IF(ISNUMBER(SEARCH("CSCC",E163)),"NCA-ECC-2-2024",IF(ISNUMBER(SEARCH("PDPL-IR",E163)),"PDPL-2021",IF(ISNUMBER(SEARCH("PDPL-DTR",E163)),"PDPL-2021","NONE"))))))))</f>
        <v/>
      </c>
      <c r="BF163" s="594">
        <f>IF(E163="","",IF(BB163="DEEP",10,IF(BB163="SHALLOW",5,IF(BB163="TEMPLATE",3,1)))+IF(N163="HIGHEST",5,IF(N163="HIGH",3,IF(N163="MODERATE",1,0)))+IF(ISNUMBER(SEARCH("Mandatory",L163)),3,0))</f>
        <v/>
      </c>
    </row>
    <row r="164">
      <c r="BB164" s="591">
        <f>IF(E164="","",IF(ISNUMBER(SEARCH("Institutional theory and regulatory governance theory underpin",AI164)),"TEMPLATE",IF(LEN(AI164)&gt;100,"DEEP",IF(AI164="","SPARSE","SHALLOW"))))</f>
        <v/>
      </c>
      <c r="BC164" s="591">
        <f>IF(E164="","",D164&amp;"-"&amp;B164&amp;"-"&amp;E164)</f>
        <v/>
      </c>
      <c r="BD164" s="591">
        <f>IF(E164="","",SUBSTITUTE(SUBSTITUTE(B164&amp;"-"&amp;E164," ",""),":","-"))</f>
        <v/>
      </c>
      <c r="BE164" s="591">
        <f>IF(E164="","",IF(ISNUMBER(SEARCH("ECC",E164)),"NCA-ECC-2-2024",IF(ISNUMBER(SEARCH("OTCC",E164)),"NCA-ECC-2-2024",IF(ISNUMBER(SEARCH("CCC",E164)),"NCA-ECC-2-2024",IF(ISNUMBER(SEARCH("DCC",E164)),"NCA-ECC-2-2024",IF(ISNUMBER(SEARCH("CSCC",E164)),"NCA-ECC-2-2024",IF(ISNUMBER(SEARCH("PDPL-IR",E164)),"PDPL-2021",IF(ISNUMBER(SEARCH("PDPL-DTR",E164)),"PDPL-2021","NONE"))))))))</f>
        <v/>
      </c>
      <c r="BF164" s="594">
        <f>IF(E164="","",IF(BB164="DEEP",10,IF(BB164="SHALLOW",5,IF(BB164="TEMPLATE",3,1)))+IF(N164="HIGHEST",5,IF(N164="HIGH",3,IF(N164="MODERATE",1,0)))+IF(ISNUMBER(SEARCH("Mandatory",L164)),3,0))</f>
        <v/>
      </c>
    </row>
    <row r="165" ht="19.5" customHeight="1">
      <c r="A165" s="187" t="n"/>
      <c r="B165" s="188" t="inlineStr">
        <is>
          <t xml:space="preserve">  ── 1. Ministries ──</t>
        </is>
      </c>
      <c r="C165" s="187" t="n"/>
      <c r="D165" s="187" t="n"/>
      <c r="E165" s="187" t="n"/>
      <c r="F165" s="187" t="n"/>
      <c r="G165" s="187" t="n"/>
      <c r="H165" s="187" t="n"/>
      <c r="I165" s="187" t="n"/>
      <c r="J165" s="187" t="n"/>
      <c r="K165" s="187" t="n"/>
      <c r="L165" s="187" t="n"/>
      <c r="M165" s="187" t="n"/>
      <c r="N165" s="187" t="n"/>
      <c r="O165" s="187" t="n"/>
      <c r="P165" s="187" t="n"/>
      <c r="BB165" s="591">
        <f>IF(E165="","",IF(ISNUMBER(SEARCH("Institutional theory and regulatory governance theory underpin",AI165)),"TEMPLATE",IF(LEN(AI165)&gt;100,"DEEP",IF(AI165="","SPARSE","SHALLOW"))))</f>
        <v/>
      </c>
      <c r="BC165" s="591">
        <f>IF(E165="","",D165&amp;"-"&amp;B165&amp;"-"&amp;E165)</f>
        <v/>
      </c>
      <c r="BD165" s="591">
        <f>IF(E165="","",SUBSTITUTE(SUBSTITUTE(B165&amp;"-"&amp;E165," ",""),":","-"))</f>
        <v/>
      </c>
      <c r="BE165" s="591">
        <f>IF(E165="","",IF(ISNUMBER(SEARCH("ECC",E165)),"NCA-ECC-2-2024",IF(ISNUMBER(SEARCH("OTCC",E165)),"NCA-ECC-2-2024",IF(ISNUMBER(SEARCH("CCC",E165)),"NCA-ECC-2-2024",IF(ISNUMBER(SEARCH("DCC",E165)),"NCA-ECC-2-2024",IF(ISNUMBER(SEARCH("CSCC",E165)),"NCA-ECC-2-2024",IF(ISNUMBER(SEARCH("PDPL-IR",E165)),"PDPL-2021",IF(ISNUMBER(SEARCH("PDPL-DTR",E165)),"PDPL-2021","NONE"))))))))</f>
        <v/>
      </c>
      <c r="BF165" s="594">
        <f>IF(E165="","",IF(BB165="DEEP",10,IF(BB165="SHALLOW",5,IF(BB165="TEMPLATE",3,1)))+IF(N165="HIGHEST",5,IF(N165="HIGH",3,IF(N165="MODERATE",1,0)))+IF(ISNUMBER(SEARCH("Mandatory",L165)),3,0))</f>
        <v/>
      </c>
    </row>
    <row r="166" ht="42" customHeight="1">
      <c r="A166" s="204" t="n">
        <v>147</v>
      </c>
      <c r="B166" s="205" t="inlineStr">
        <is>
          <t>MOFA</t>
        </is>
      </c>
      <c r="C166" s="190" t="inlineStr">
        <is>
          <t>Ministry of Foreign Affairs</t>
        </is>
      </c>
      <c r="D166" s="190" t="inlineStr">
        <is>
          <t>1. Ministries</t>
        </is>
      </c>
      <c r="E166" s="205" t="inlineStr">
        <is>
          <t>MOFA-LAW</t>
        </is>
      </c>
      <c r="F166" s="192" t="inlineStr">
        <is>
          <t>Diplomatic Law &amp; International Agreements</t>
        </is>
      </c>
      <c r="G166" s="190" t="inlineStr">
        <is>
          <t>قانون/نظام اللوائح الرئيسية</t>
        </is>
      </c>
      <c r="H166" s="190" t="inlineStr">
        <is>
          <t>Active/Updated</t>
        </is>
      </c>
      <c r="I166" s="191" t="inlineStr">
        <is>
          <t>1930</t>
        </is>
      </c>
      <c r="J166" s="191" t="inlineStr">
        <is>
          <t>N/A</t>
        </is>
      </c>
      <c r="K166" s="190" t="inlineStr">
        <is>
          <t>ISSUES/ENFORCES</t>
        </is>
      </c>
      <c r="L166" s="22" t="inlineStr">
        <is>
          <t>Mandatory Enforcer</t>
        </is>
      </c>
      <c r="M166" s="190" t="inlineStr">
        <is>
          <t>Entities regulated by this ministry</t>
        </is>
      </c>
      <c r="N166" s="208" t="inlineStr">
        <is>
          <t>MODERATE</t>
        </is>
      </c>
      <c r="O166" s="207" t="inlineStr">
        <is>
          <t>https://mofa.gov.sa or via www.moi.gov.sa</t>
        </is>
      </c>
      <c r="P166" s="190" t="inlineStr">
        <is>
          <t>Ministry official; BOE regulations archive</t>
        </is>
      </c>
      <c r="Q166" s="190" t="inlineStr">
        <is>
          <t>See official source for version history</t>
        </is>
      </c>
      <c r="R166" s="190" t="inlineStr">
        <is>
          <t>Framework issued by the relevant authority. Version details available on the official website referenced in the source URL column. The framework has been updated periodically since first issuance.</t>
        </is>
      </c>
      <c r="S166" s="191" t="inlineStr">
        <is>
          <t>See official source</t>
        </is>
      </c>
      <c r="T166" s="190" t="inlineStr">
        <is>
          <t>Updated as needed by the issuing authority</t>
        </is>
      </c>
      <c r="U166" s="25" t="inlineStr">
        <is>
          <t>CURRENT — consult official source for latest version</t>
        </is>
      </c>
      <c r="V166" s="190" t="inlineStr">
        <is>
          <t>Penalties defined by issuing authority; consult official source. NCA ECC-2 penalties apply if relevant</t>
        </is>
      </c>
      <c r="W166" s="192" t="inlineStr">
        <is>
          <t>Issuing authority and/or designated inspection department</t>
        </is>
      </c>
      <c r="X166" s="190" t="inlineStr">
        <is>
          <t>As specified in framework scope — consult official document</t>
        </is>
      </c>
      <c r="Y166" s="49" t="inlineStr">
        <is>
          <t>Both (unless specified otherwise in official document)</t>
        </is>
      </c>
      <c r="Z166" s="190" t="inlineStr">
        <is>
          <t>As defined by issuing authority</t>
        </is>
      </c>
      <c r="AA166" s="191" t="inlineStr">
        <is>
          <t>As defined by issuing authority</t>
        </is>
      </c>
      <c r="AB166" s="190" t="inlineStr">
        <is>
          <t>To be determined from framework text — see official source</t>
        </is>
      </c>
      <c r="AC166" s="190" t="inlineStr">
        <is>
          <t>See framework preamble for international standard references</t>
        </is>
      </c>
      <c r="AD166" s="49" t="inlineStr">
        <is>
          <t>Arabic (primary in KSA); English may be available</t>
        </is>
      </c>
      <c r="AE166" s="58" t="inlineStr">
        <is>
          <t>Mapped to relevant GH-ICGA layer — requires manual assessment</t>
        </is>
      </c>
      <c r="AF166" s="56" t="inlineStr">
        <is>
          <t>See official framework for maturity model details</t>
        </is>
      </c>
      <c r="AG166" s="190" t="inlineStr">
        <is>
          <t>Aligned with relevant Vision 2030 programme — see framework context</t>
        </is>
      </c>
      <c r="AH166" s="190" t="inlineStr">
        <is>
          <t>As specified in framework compliance requirements</t>
        </is>
      </c>
      <c r="AI166" s="193" t="inlineStr">
        <is>
          <t>Institutional theory and regulatory governance theory underpin all KSA regulatory frameworks. Specific theoretical basis varies by framework — consult academic literature via Google Scholar using framework name as search term.</t>
        </is>
      </c>
      <c r="AJ166" s="190" t="inlineStr">
        <is>
          <t>Academic debate varies by framework maturity and international adoption. For KSA-specific debate, consult: Almohammad &amp; Wills (2021) J Cybersecurity; Al-Khater et al. (2020) IEEE Access; Baker McKenzie KSA regulatory updates.</t>
        </is>
      </c>
      <c r="AK166" s="194" t="inlineStr">
        <is>
          <t>Known criticisms include: implementation gap between standards and practice; resource constraints for smaller healthcare entities; rapid technology evolution outpacing regulation. Consult framework evaluation literature for specifics.</t>
        </is>
      </c>
      <c r="AL166" s="195" t="inlineStr">
        <is>
          <t>Framework comparison requires contextual analysis. Key comparators: NIST CSF 2.0 (international benchmark), ISO 27001 (certifiable standard), ECC-2 (KSA mandatory baseline). See main database for cross-framework mapping.</t>
        </is>
      </c>
      <c r="AM166" s="19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66" s="197" t="inlineStr">
        <is>
          <t>Official: Consult the official source URL in the database for the primary document. Training: ISACA, ISC2, RAPS, IAPP, and HIMSS offer professional development covering most regulatory domains. Estimated hours vary by framework complexity.</t>
        </is>
      </c>
      <c r="AO166" s="198" t="inlineStr">
        <is>
          <t>Relevance to GH-ICGA framework varies by layer — see GH-ICGA Layer Mapping column. All KSA mandatory frameworks are compliance inputs to GH-ICGA Layer 4. Frameworks with IoMT-specific provisions directly inform Layers 2 and 3.</t>
        </is>
      </c>
      <c r="AP166" s="51" t="inlineStr">
        <is>
          <t>G + C (Governance + Compliance — standard regulatory framework positioning)</t>
        </is>
      </c>
      <c r="AQ166" s="26" t="inlineStr">
        <is>
          <t>Senior management: accountability for framework compliance. Designated compliance officer: monitor requirements. All staff: awareness of applicable obligations</t>
        </is>
      </c>
      <c r="AR166" s="194" t="inlineStr">
        <is>
          <t>Regulatory Risk; Operational Risk; Reputational Risk — specific domains determined by framework scope</t>
        </is>
      </c>
      <c r="AS166" s="22" t="inlineStr">
        <is>
          <t>See official source — legal obligation, regulatory requirement, or voluntary standard as applicable</t>
        </is>
      </c>
      <c r="AT166" s="195" t="inlineStr">
        <is>
          <t>Administrative; Technical; Operational — specific distribution determined by framework content</t>
        </is>
      </c>
      <c r="AU166" s="199" t="inlineStr">
        <is>
          <t>1. Compliance status (compliant/non-compliant). 2. # open findings from last assessment. 3. % controls implemented. 4. Time to remediate findings. 5. Incident rate in framework scope area</t>
        </is>
      </c>
      <c r="AV166" s="200" t="inlineStr">
        <is>
          <t>Self-assessment; internal audit; external assessment as specified by issuing authority</t>
        </is>
      </c>
      <c r="AW166" s="201" t="inlineStr">
        <is>
          <t>ServiceNow GRC; IBM OpenPages; RSA Archer; MetricStream — all major GRC platforms support custom framework import. Contact vendor for framework-specific module</t>
        </is>
      </c>
      <c r="AX166" s="202" t="inlineStr">
        <is>
          <t>Third parties in scope must demonstrate equivalent compliance. Contractual compliance obligations; right-to-audit clauses; annual third-party assessment</t>
        </is>
      </c>
      <c r="AY166" s="203" t="inlineStr">
        <is>
          <t>Non-compliance: regulatory action by issuing authority; fines and penalties as specified; operational and reputational consequences</t>
        </is>
      </c>
      <c r="AZ166" s="200" t="inlineStr">
        <is>
          <t>Sector-specific — consult official source</t>
        </is>
      </c>
      <c r="BA166" s="41" t="inlineStr">
        <is>
          <t>Sector-Specific</t>
        </is>
      </c>
      <c r="BB166" s="591">
        <f>IF(E166="","",IF(ISNUMBER(SEARCH("Institutional theory and regulatory governance theory underpin",AI166)),"TEMPLATE",IF(LEN(AI166)&gt;100,"DEEP",IF(AI166="","SPARSE","SHALLOW"))))</f>
        <v/>
      </c>
      <c r="BC166" s="591">
        <f>IF(E166="","",D166&amp;"-"&amp;B166&amp;"-"&amp;E166)</f>
        <v/>
      </c>
      <c r="BD166" s="591">
        <f>IF(E166="","",SUBSTITUTE(SUBSTITUTE(B166&amp;"-"&amp;E166," ",""),":","-"))</f>
        <v/>
      </c>
      <c r="BE166" s="591">
        <f>IF(E166="","",IF(ISNUMBER(SEARCH("ECC",E166)),"NCA-ECC-2-2024",IF(ISNUMBER(SEARCH("OTCC",E166)),"NCA-ECC-2-2024",IF(ISNUMBER(SEARCH("CCC",E166)),"NCA-ECC-2-2024",IF(ISNUMBER(SEARCH("DCC",E166)),"NCA-ECC-2-2024",IF(ISNUMBER(SEARCH("CSCC",E166)),"NCA-ECC-2-2024",IF(ISNUMBER(SEARCH("PDPL-IR",E166)),"PDPL-2021",IF(ISNUMBER(SEARCH("PDPL-DTR",E166)),"PDPL-2021","NONE"))))))))</f>
        <v/>
      </c>
      <c r="BF166" s="594">
        <f>IF(E166="","",IF(BB166="DEEP",10,IF(BB166="SHALLOW",5,IF(BB166="TEMPLATE",3,1)))+IF(N166="HIGHEST",5,IF(N166="HIGH",3,IF(N166="MODERATE",1,0)))+IF(ISNUMBER(SEARCH("Mandatory",L166)),3,0))</f>
        <v/>
      </c>
    </row>
    <row r="167" ht="42" customHeight="1">
      <c r="A167" s="42" t="n">
        <v>148</v>
      </c>
      <c r="B167" s="189" t="inlineStr">
        <is>
          <t>MOFA</t>
        </is>
      </c>
      <c r="C167" s="44" t="inlineStr">
        <is>
          <t>Ministry of Foreign Affairs</t>
        </is>
      </c>
      <c r="D167" s="44" t="inlineStr">
        <is>
          <t>1. Ministries</t>
        </is>
      </c>
      <c r="E167" s="189" t="inlineStr">
        <is>
          <t>NCA-ECC-2:2024</t>
        </is>
      </c>
      <c r="F167" s="45" t="inlineStr">
        <is>
          <t>Essential Cybersecurity Controls</t>
        </is>
      </c>
      <c r="G167" s="44" t="inlineStr">
        <is>
          <t>ضوابط الأمن السيبراني الأساسية</t>
        </is>
      </c>
      <c r="H167" s="44" t="inlineStr">
        <is>
          <t>ECC-2:2024</t>
        </is>
      </c>
      <c r="I167" s="46" t="inlineStr">
        <is>
          <t>2018</t>
        </is>
      </c>
      <c r="J167" s="46" t="inlineStr">
        <is>
          <t>108</t>
        </is>
      </c>
      <c r="K167" s="44" t="inlineStr">
        <is>
          <t>MUST COMPLY WITH</t>
        </is>
      </c>
      <c r="L167" s="66" t="inlineStr">
        <is>
          <t>Mandatory Complier</t>
        </is>
      </c>
      <c r="M167" s="44" t="inlineStr">
        <is>
          <t>Ministry of Foreign Affairs as government entity</t>
        </is>
      </c>
      <c r="N167" s="59" t="inlineStr">
        <is>
          <t>LOW</t>
        </is>
      </c>
      <c r="O167" s="48" t="inlineStr">
        <is>
          <t>https://nca.gov.sa/</t>
        </is>
      </c>
      <c r="P167" s="44" t="inlineStr">
        <is>
          <t>NCA ECC scope</t>
        </is>
      </c>
      <c r="Q167" s="190" t="inlineStr">
        <is>
          <t>See official source for version history</t>
        </is>
      </c>
      <c r="R167" s="190" t="inlineStr">
        <is>
          <t>Framework issued by the relevant authority. Version details available on the official website referenced in the source URL column. The framework has been updated periodically since first issuance.</t>
        </is>
      </c>
      <c r="S167" s="191" t="inlineStr">
        <is>
          <t>See official source</t>
        </is>
      </c>
      <c r="T167" s="190" t="inlineStr">
        <is>
          <t>Updated as needed by the issuing authority</t>
        </is>
      </c>
      <c r="U167" s="25" t="inlineStr">
        <is>
          <t>CURRENT — consult official source for latest version</t>
        </is>
      </c>
      <c r="V167" s="190" t="inlineStr">
        <is>
          <t>Penalties defined by issuing authority; consult official source. NCA ECC-2 penalties apply if relevant</t>
        </is>
      </c>
      <c r="W167" s="192" t="inlineStr">
        <is>
          <t>Issuing authority and/or designated inspection department</t>
        </is>
      </c>
      <c r="X167" s="190" t="inlineStr">
        <is>
          <t>As specified in framework scope — consult official document</t>
        </is>
      </c>
      <c r="Y167" s="49" t="inlineStr">
        <is>
          <t>Both (unless specified otherwise in official document)</t>
        </is>
      </c>
      <c r="Z167" s="190" t="inlineStr">
        <is>
          <t>As defined by issuing authority</t>
        </is>
      </c>
      <c r="AA167" s="191" t="inlineStr">
        <is>
          <t>As defined by issuing authority</t>
        </is>
      </c>
      <c r="AB167" s="190" t="inlineStr">
        <is>
          <t>To be determined from framework text — see official source</t>
        </is>
      </c>
      <c r="AC167" s="190" t="inlineStr">
        <is>
          <t>See framework preamble for international standard references</t>
        </is>
      </c>
      <c r="AD167" s="49" t="inlineStr">
        <is>
          <t>Arabic (primary in KSA); English may be available</t>
        </is>
      </c>
      <c r="AE167" s="58" t="inlineStr">
        <is>
          <t>Mapped to relevant GH-ICGA layer — requires manual assessment</t>
        </is>
      </c>
      <c r="AF167" s="56" t="inlineStr">
        <is>
          <t>See official framework for maturity model details</t>
        </is>
      </c>
      <c r="AG167" s="190" t="inlineStr">
        <is>
          <t>Aligned with relevant Vision 2030 programme — see framework context</t>
        </is>
      </c>
      <c r="AH167" s="190" t="inlineStr">
        <is>
          <t>As specified in framework compliance requirements</t>
        </is>
      </c>
      <c r="AI167" s="193" t="inlineStr">
        <is>
          <t>Institutional theory and regulatory governance theory underpin all KSA regulatory frameworks. Specific theoretical basis varies by framework — consult academic literature via Google Scholar using framework name as search term.</t>
        </is>
      </c>
      <c r="AJ167" s="190" t="inlineStr">
        <is>
          <t>Academic debate varies by framework maturity and international adoption. For KSA-specific debate, consult: Almohammad &amp; Wills (2021) J Cybersecurity; Al-Khater et al. (2020) IEEE Access; Baker McKenzie KSA regulatory updates.</t>
        </is>
      </c>
      <c r="AK167" s="194" t="inlineStr">
        <is>
          <t>Known criticisms include: implementation gap between standards and practice; resource constraints for smaller healthcare entities; rapid technology evolution outpacing regulation. Consult framework evaluation literature for specifics.</t>
        </is>
      </c>
      <c r="AL167" s="195" t="inlineStr">
        <is>
          <t>Framework comparison requires contextual analysis. Key comparators: NIST CSF 2.0 (international benchmark), ISO 27001 (certifiable standard), ECC-2 (KSA mandatory baseline). See main database for cross-framework mapping.</t>
        </is>
      </c>
      <c r="AM167" s="19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67" s="197" t="inlineStr">
        <is>
          <t>Official: Consult the official source URL in the database for the primary document. Training: ISACA, ISC2, RAPS, IAPP, and HIMSS offer professional development covering most regulatory domains. Estimated hours vary by framework complexity.</t>
        </is>
      </c>
      <c r="AO167" s="198" t="inlineStr">
        <is>
          <t>Relevance to GH-ICGA framework varies by layer — see GH-ICGA Layer Mapping column. All KSA mandatory frameworks are compliance inputs to GH-ICGA Layer 4. Frameworks with IoMT-specific provisions directly inform Layers 2 and 3.</t>
        </is>
      </c>
      <c r="AP167" s="51" t="inlineStr">
        <is>
          <t>G + C (Governance + Compliance — standard regulatory framework positioning)</t>
        </is>
      </c>
      <c r="AQ167" s="26" t="inlineStr">
        <is>
          <t>Senior management: accountability for framework compliance. Designated compliance officer: monitor requirements. All staff: awareness of applicable obligations</t>
        </is>
      </c>
      <c r="AR167" s="194" t="inlineStr">
        <is>
          <t>Regulatory Risk; Operational Risk; Reputational Risk — specific domains determined by framework scope</t>
        </is>
      </c>
      <c r="AS167" s="22" t="inlineStr">
        <is>
          <t>See official source — legal obligation, regulatory requirement, or voluntary standard as applicable</t>
        </is>
      </c>
      <c r="AT167" s="195" t="inlineStr">
        <is>
          <t>Administrative; Technical; Operational — specific distribution determined by framework content</t>
        </is>
      </c>
      <c r="AU167" s="199" t="inlineStr">
        <is>
          <t>1. Compliance status (compliant/non-compliant). 2. # open findings from last assessment. 3. % controls implemented. 4. Time to remediate findings. 5. Incident rate in framework scope area</t>
        </is>
      </c>
      <c r="AV167" s="200" t="inlineStr">
        <is>
          <t>Self-assessment; internal audit; external assessment as specified by issuing authority</t>
        </is>
      </c>
      <c r="AW167" s="201" t="inlineStr">
        <is>
          <t>ServiceNow GRC; IBM OpenPages; RSA Archer; MetricStream — all major GRC platforms support custom framework import. Contact vendor for framework-specific module</t>
        </is>
      </c>
      <c r="AX167" s="202" t="inlineStr">
        <is>
          <t>Third parties in scope must demonstrate equivalent compliance. Contractual compliance obligations; right-to-audit clauses; annual third-party assessment</t>
        </is>
      </c>
      <c r="AY167" s="203" t="inlineStr">
        <is>
          <t>Non-compliance: regulatory action by issuing authority; fines and penalties as specified; operational and reputational consequences</t>
        </is>
      </c>
      <c r="AZ167" s="200" t="inlineStr">
        <is>
          <t>ALL 17 SECTORS</t>
        </is>
      </c>
      <c r="BA167" s="34" t="inlineStr">
        <is>
          <t>YES — ALL SECTORS</t>
        </is>
      </c>
      <c r="BB167" s="591">
        <f>IF(E167="","",IF(ISNUMBER(SEARCH("Institutional theory and regulatory governance theory underpin",AI167)),"TEMPLATE",IF(LEN(AI167)&gt;100,"DEEP",IF(AI167="","SPARSE","SHALLOW"))))</f>
        <v/>
      </c>
      <c r="BC167" s="591">
        <f>IF(E167="","",D167&amp;"-"&amp;B167&amp;"-"&amp;E167)</f>
        <v/>
      </c>
      <c r="BD167" s="591">
        <f>IF(E167="","",SUBSTITUTE(SUBSTITUTE(B167&amp;"-"&amp;E167," ",""),":","-"))</f>
        <v/>
      </c>
      <c r="BE167" s="591">
        <f>IF(E167="","",IF(ISNUMBER(SEARCH("ECC",E167)),"NCA-ECC-2-2024",IF(ISNUMBER(SEARCH("OTCC",E167)),"NCA-ECC-2-2024",IF(ISNUMBER(SEARCH("CCC",E167)),"NCA-ECC-2-2024",IF(ISNUMBER(SEARCH("DCC",E167)),"NCA-ECC-2-2024",IF(ISNUMBER(SEARCH("CSCC",E167)),"NCA-ECC-2-2024",IF(ISNUMBER(SEARCH("PDPL-IR",E167)),"PDPL-2021",IF(ISNUMBER(SEARCH("PDPL-DTR",E167)),"PDPL-2021","NONE"))))))))</f>
        <v/>
      </c>
      <c r="BF167" s="594">
        <f>IF(E167="","",IF(BB167="DEEP",10,IF(BB167="SHALLOW",5,IF(BB167="TEMPLATE",3,1)))+IF(N167="HIGHEST",5,IF(N167="HIGH",3,IF(N167="MODERATE",1,0)))+IF(ISNUMBER(SEARCH("Mandatory",L167)),3,0))</f>
        <v/>
      </c>
    </row>
    <row r="168" ht="42" customHeight="1">
      <c r="A168" s="204" t="n">
        <v>149</v>
      </c>
      <c r="B168" s="205" t="inlineStr">
        <is>
          <t>MOFA</t>
        </is>
      </c>
      <c r="C168" s="190" t="inlineStr">
        <is>
          <t>Ministry of Foreign Affairs</t>
        </is>
      </c>
      <c r="D168" s="190" t="inlineStr">
        <is>
          <t>1. Ministries</t>
        </is>
      </c>
      <c r="E168" s="205" t="inlineStr">
        <is>
          <t>PDPL-2021</t>
        </is>
      </c>
      <c r="F168" s="192" t="inlineStr">
        <is>
          <t>Personal Data Protection Law</t>
        </is>
      </c>
      <c r="G168" s="190" t="inlineStr">
        <is>
          <t>نظام حماية البيانات الشخصية</t>
        </is>
      </c>
      <c r="H168" s="190" t="inlineStr">
        <is>
          <t>2021+IR 2023</t>
        </is>
      </c>
      <c r="I168" s="191" t="inlineStr">
        <is>
          <t>2021</t>
        </is>
      </c>
      <c r="J168" s="191" t="inlineStr">
        <is>
          <t>45</t>
        </is>
      </c>
      <c r="K168" s="190" t="inlineStr">
        <is>
          <t>MUST COMPLY WITH</t>
        </is>
      </c>
      <c r="L168" s="66" t="inlineStr">
        <is>
          <t>Mandatory Complier</t>
        </is>
      </c>
      <c r="M168" s="190" t="inlineStr">
        <is>
          <t>Ministry of Foreign Affairs processes personal data of employees and regulated parties</t>
        </is>
      </c>
      <c r="N168" s="209" t="inlineStr">
        <is>
          <t>LOW</t>
        </is>
      </c>
      <c r="O168" s="207" t="inlineStr">
        <is>
          <t>https://sdaia.gov.sa/</t>
        </is>
      </c>
      <c r="P168" s="190" t="inlineStr">
        <is>
          <t>SDAIA</t>
        </is>
      </c>
      <c r="Q168" s="190" t="inlineStr">
        <is>
          <t>Royal Decree M/19 (16 Sep 2021) → amended Apr 2023</t>
        </is>
      </c>
      <c r="R168" s="190" t="inlineStr">
        <is>
          <t>Original (2021): 19 articles covering consent, data subject rights, controller obligations, sensitive data (health = sensitive), cross-border transfer. Apr 2023 amendment: strengthened enforcement, clarified health data provisions, aligned with PDPL-IR-2023. Grace period for compliance ended Sep 14, 2024. Penalties: up to SAR 5 million fine + 2 years imprisonment for sensitive data breach</t>
        </is>
      </c>
      <c r="S168" s="191" t="inlineStr">
        <is>
          <t>Issued: Sep 2021. Amended: Apr 2023. Fully enforceable: Sep 14, 2024</t>
        </is>
      </c>
      <c r="T168" s="190" t="inlineStr">
        <is>
          <t>SDAIA reviews annually; amendments expected 2025-2026</t>
        </is>
      </c>
      <c r="U168" s="25" t="inlineStr">
        <is>
          <t>CURRENT — fully enforceable since Sep 2024</t>
        </is>
      </c>
      <c r="V168" s="190" t="inlineStr">
        <is>
          <t>Criminal offence: up to 2 years imprisonment + SAR 3M fine for disclosing sensitive data (health data = sensitive); administrative fine up to SAR 5M; mandatory breach notification to SDAIA within 72 hours; data subject compensation claims</t>
        </is>
      </c>
      <c r="W168" s="192" t="inlineStr">
        <is>
          <t>SDAIA — Data Protection Authority (DPA functions); NDMO for government entities; courts for criminal penalties</t>
        </is>
      </c>
      <c r="X168" s="190" t="inlineStr">
        <is>
          <t>Hospital; Clinic; Lab; Pharmacy; Health IT Vendor; Health Insurer; Government Health Entity; Medical Device Manufacturer (all processing patient data)</t>
        </is>
      </c>
      <c r="Y168" s="49" t="inlineStr">
        <is>
          <t>Both + foreign entities processing data of KSA residents</t>
        </is>
      </c>
      <c r="Z168" s="190" t="inlineStr">
        <is>
          <t>SDAIA audit; controller self-assessment; DPO oversight; data subject complaints trigger investigation</t>
        </is>
      </c>
      <c r="AA168" s="191" t="inlineStr">
        <is>
          <t>Continuous (breach notification: 72 hours); annual DPO report; SDAIA random audits</t>
        </is>
      </c>
      <c r="AB168" s="190" t="inlineStr">
        <is>
          <t>12 (IoMT data minimisation; purpose limitation; consent management for wearable data; automated decision-making; data subject rights for IoMT-generated health data; cross-border transfer of IoMT data)</t>
        </is>
      </c>
      <c r="AC168" s="190" t="inlineStr">
        <is>
          <t>GDPR (substantial alignment — adequate protection basis); APEC Privacy Framework; ISO 29100; ISO 27701</t>
        </is>
      </c>
      <c r="AD168" s="49" t="inlineStr">
        <is>
          <t>Arabic (official); English translation (unofficial)</t>
        </is>
      </c>
      <c r="AE168" s="50" t="inlineStr">
        <is>
          <t>Layer 4: Compliance; Layer 2: Risk Management</t>
        </is>
      </c>
      <c r="AF168" s="60" t="inlineStr">
        <is>
          <t>No formal maturity model; SDAIA publishes compliance guidance</t>
        </is>
      </c>
      <c r="AG168" s="190" t="inlineStr">
        <is>
          <t>National Data Strategy; Vision 2030 Digital Economy; Digital Government transformation</t>
        </is>
      </c>
      <c r="AH168" s="190" t="inlineStr">
        <is>
          <t>Privacy notices; consent records; DPO appointment letter; data mapping/flow diagrams; breach notification records; DPIA for health data processing; controller registration</t>
        </is>
      </c>
      <c r="AI168" s="193" t="inlineStr">
        <is>
          <t>Privacy as fundamental right (Warren &amp; Brandeis 1890; Westin 1967). Contextual integrity theory (Nissenbaum 2004): health data flows must match medical context norms. Regulatory theory: data protection authority independence and enforcement. Information asymmetry theory: patients cannot protect their own data without regulation.</t>
        </is>
      </c>
      <c r="AJ168" s="190" t="inlineStr">
        <is>
          <t>FOR: Long-overdue — KSA had no comprehensive data protection law until 2021; health data explicitly protected as sensitive category; aligns KSA with global adequacy standards. AGAINST: Alrawabdeh (2014) and Aldawood &amp; Skinner (2019) documented Saudi privacy culture gap — regulation without public awareness is ineffective; 'GDPR-lite' criticism: exemptions broader than GDPR, enforcement weaker; health data provisions in IR still less specific than UK GDPR Schedule 1 conditions</t>
        </is>
      </c>
      <c r="AK168" s="194" t="inlineStr">
        <is>
          <t>No independent supervisory authority (SDAIA is both promoter and regulator — conflict of interest noted by Baker McKenzie 2025); patient data portability rights weaker than GDPR Article 20; no explicit right to explanation for AI-automated health decisions; cross-border transfer rules changed twice in 12 months (regulatory instability); small healthcare providers lack capacity for DPO requirements</t>
        </is>
      </c>
      <c r="AL168" s="195" t="inlineStr">
        <is>
          <t>PDPL vs GDPR: PDPL penalty lower (SAR 5M vs €20M); PDPL broader government exemptions; GDPR has independent DPA, PDPL does not. PDPL vs HIPAA: PDPL = all personal data (broader); HIPAA = US-specific health data only. PDPL vs UK GDPR: PDPL misses explicit Schedule 1 health data conditions. PDPL ahead of HIPAA on consent granularity; behind GDPR on enforcement independence</t>
        </is>
      </c>
      <c r="AM168" s="196" t="inlineStr">
        <is>
          <t>Baker McKenzie (2025) Saudi Arabia PDPL Global Data &amp; Cyber Handbook; Alrawabdeh W (2014) 'Internet and Social Media Challenges in Arab World' EJSR; Westin AF (1967) Privacy and Freedom NY Atheneum; Nissenbaum H (2004) 'Privacy as Contextual Integrity' Washington Law Review 79(1); CMS Law (2025) Saudi Arabia Data Protection &amp; Cybersecurity Expert Guide Oct 2025</t>
        </is>
      </c>
      <c r="AN168" s="197" t="inlineStr">
        <is>
          <t>Official: SDAIA website (sdaia.gov.sa) — Arabic + English. Training: IAPP CIPM/CIPP/E (privacy certifications applicable); OneTrust PDPL compliance course; Baker McKenzie PDPL compliance guide. Language: Arabic primary — strong Arabic reading recommended. Estimated: 50 hours for health sector DPO competence</t>
        </is>
      </c>
      <c r="AO168" s="198" t="inlineStr">
        <is>
          <t>PRIMARY driver for GH-ICGA Layer 4 (Compliance) — PDPL is the legal foundation for patient data governance in the preliminary GH-ICGA framework. Thesis argument: GH-ICGA Layer 4 operationalises PDPL requirements into IoMT-specific controls (consent management for wearable data; purpose limitation for monitoring streams; breach response for connected device incidents)</t>
        </is>
      </c>
      <c r="AP168" s="51" t="inlineStr">
        <is>
          <t>G + C (Governance + Compliance — strong compliance driver; risk implicit)</t>
        </is>
      </c>
      <c r="AQ168" s="26" t="inlineStr">
        <is>
          <t>Board/CEO: ultimate accountability for PDPL compliance. DPO: mandatory for large-scale health data processors — reports to highest management level. Privacy Committee: cross-functional oversight. All staff processing personal data: mandatory privacy awareness training annually</t>
        </is>
      </c>
      <c r="AR168" s="194" t="inlineStr">
        <is>
          <t>Privacy Risk (PRIMARY); Legal/Regulatory Risk; Reputational Risk; Strategic Risk (data monetisation constraints); Cross-Border Risk (data transfer restrictions)</t>
        </is>
      </c>
      <c r="AS168" s="22" t="inlineStr">
        <is>
          <t>LEGAL — Royal Decree M/19 2021 + Implementing Regulations Sep 2023. Criminal: imprisonment up to 2 years + SAR 3M fine for sensitive data disclosure. Administrative: SAR 5M maximum fine. Civil: data subject compensation claims</t>
        </is>
      </c>
      <c r="AT168" s="195" t="inlineStr">
        <is>
          <t>Administrative (A): consent management; privacy notices; DPO appointment; DPIA process; breach notification procedure. Technical (T): data minimisation; pseudonymisation; access controls for personal data; encryption. Operational (O): data retention enforcement; data subject rights fulfilment process; cross-border transfer review</t>
        </is>
      </c>
      <c r="AU168" s="199" t="inlineStr">
        <is>
          <t>1. # data subject rights requests fulfilled on time (target: 100% within 30 days). 2. # data breaches notified to SDAIA within 72h (target: 100%). 3. % staff completed privacy training (target: 100%). 4. # DPIAs completed for high-risk processing activities. 5. Data retention compliance rate (% records within policy). 6. % third-party processors with DPA agreements</t>
        </is>
      </c>
      <c r="AV168" s="200" t="inlineStr">
        <is>
          <t>Annual DPIA review; data mapping audit (controller record validation); consent record audit; breach response simulation (tabletop); access control review for personal data systems; third-party processor audit; SDAIA compliance self-assessment</t>
        </is>
      </c>
      <c r="AW168" s="201" t="inlineStr">
        <is>
          <t>OneTrust (market leader for PDPL); TrustArc; Nymity; DataGrail; Varonis (data discovery); Microsoft Purview (data classification). SDAIA National Data Governance Platform for registration. Arabic-capable tools preferred</t>
        </is>
      </c>
      <c r="AX168" s="202" t="inlineStr">
        <is>
          <t>All third-party data processors must have Data Processing Agreement (DPA). Processors must demonstrate equivalent PDPL compliance. Cross-border transfers require adequacy assessment or appropriate safeguards. Sub-processor disclosure mandatory. Annual processor risk assessment required</t>
        </is>
      </c>
      <c r="AY168" s="203" t="inlineStr">
        <is>
          <t>Non-compliance: SAR 5M administrative fine; criminal prosecution for sensitive data breach; SDAIA investigation; mandatory breach public disclosure. Business disruption: SDAIA can order processing suspension. Reputational: patient trust damage. Market: EU adequate protection status depends on PDPL enforcement credibility</t>
        </is>
      </c>
      <c r="AZ168" s="200" t="inlineStr">
        <is>
          <t>ALL 17 SECTORS — any entity processing personal data</t>
        </is>
      </c>
      <c r="BA168" s="34" t="inlineStr">
        <is>
          <t>YES — ALL SECTORS</t>
        </is>
      </c>
      <c r="BB168" s="591">
        <f>IF(E168="","",IF(ISNUMBER(SEARCH("Institutional theory and regulatory governance theory underpin",AI168)),"TEMPLATE",IF(LEN(AI168)&gt;100,"DEEP",IF(AI168="","SPARSE","SHALLOW"))))</f>
        <v/>
      </c>
      <c r="BC168" s="591">
        <f>IF(E168="","",D168&amp;"-"&amp;B168&amp;"-"&amp;E168)</f>
        <v/>
      </c>
      <c r="BD168" s="591">
        <f>IF(E168="","",SUBSTITUTE(SUBSTITUTE(B168&amp;"-"&amp;E168," ",""),":","-"))</f>
        <v/>
      </c>
      <c r="BE168" s="591">
        <f>IF(E168="","",IF(ISNUMBER(SEARCH("ECC",E168)),"NCA-ECC-2-2024",IF(ISNUMBER(SEARCH("OTCC",E168)),"NCA-ECC-2-2024",IF(ISNUMBER(SEARCH("CCC",E168)),"NCA-ECC-2-2024",IF(ISNUMBER(SEARCH("DCC",E168)),"NCA-ECC-2-2024",IF(ISNUMBER(SEARCH("CSCC",E168)),"NCA-ECC-2-2024",IF(ISNUMBER(SEARCH("PDPL-IR",E168)),"PDPL-2021",IF(ISNUMBER(SEARCH("PDPL-DTR",E168)),"PDPL-2021","NONE"))))))))</f>
        <v/>
      </c>
      <c r="BF168" s="594">
        <f>IF(E168="","",IF(BB168="DEEP",10,IF(BB168="SHALLOW",5,IF(BB168="TEMPLATE",3,1)))+IF(N168="HIGHEST",5,IF(N168="HIGH",3,IF(N168="MODERATE",1,0)))+IF(ISNUMBER(SEARCH("Mandatory",L168)),3,0))</f>
        <v/>
      </c>
    </row>
    <row r="169" ht="42" customHeight="1">
      <c r="A169" s="42" t="n">
        <v>150</v>
      </c>
      <c r="B169" s="189" t="inlineStr">
        <is>
          <t>MOF</t>
        </is>
      </c>
      <c r="C169" s="44" t="inlineStr">
        <is>
          <t>Ministry of Finance</t>
        </is>
      </c>
      <c r="D169" s="44" t="inlineStr">
        <is>
          <t>1. Ministries</t>
        </is>
      </c>
      <c r="E169" s="189" t="inlineStr">
        <is>
          <t>MOF-LAW</t>
        </is>
      </c>
      <c r="F169" s="45" t="inlineStr">
        <is>
          <t>Public Finance Law</t>
        </is>
      </c>
      <c r="G169" s="44" t="inlineStr">
        <is>
          <t>قانون/نظام اللوائح الرئيسية</t>
        </is>
      </c>
      <c r="H169" s="44" t="inlineStr">
        <is>
          <t>Active/Updated</t>
        </is>
      </c>
      <c r="I169" s="46" t="inlineStr">
        <is>
          <t>1954</t>
        </is>
      </c>
      <c r="J169" s="46" t="inlineStr">
        <is>
          <t>N/A</t>
        </is>
      </c>
      <c r="K169" s="44" t="inlineStr">
        <is>
          <t>ISSUES/ENFORCES</t>
        </is>
      </c>
      <c r="L169" s="22" t="inlineStr">
        <is>
          <t>Mandatory Enforcer</t>
        </is>
      </c>
      <c r="M169" s="44" t="inlineStr">
        <is>
          <t>Entities regulated by this ministry</t>
        </is>
      </c>
      <c r="N169" s="55" t="inlineStr">
        <is>
          <t>MODERATE</t>
        </is>
      </c>
      <c r="O169" s="48" t="inlineStr">
        <is>
          <t>https://mof.gov.sa or via www.moi.gov.sa</t>
        </is>
      </c>
      <c r="P169" s="44" t="inlineStr">
        <is>
          <t>Ministry official; BOE regulations archive</t>
        </is>
      </c>
      <c r="Q169" s="190" t="inlineStr">
        <is>
          <t>See official source for version history</t>
        </is>
      </c>
      <c r="R169" s="190" t="inlineStr">
        <is>
          <t>Framework issued by the relevant authority. Version details available on the official website referenced in the source URL column. The framework has been updated periodically since first issuance.</t>
        </is>
      </c>
      <c r="S169" s="191" t="inlineStr">
        <is>
          <t>See official source</t>
        </is>
      </c>
      <c r="T169" s="190" t="inlineStr">
        <is>
          <t>Updated as needed by the issuing authority</t>
        </is>
      </c>
      <c r="U169" s="25" t="inlineStr">
        <is>
          <t>CURRENT — consult official source for latest version</t>
        </is>
      </c>
      <c r="V169" s="190" t="inlineStr">
        <is>
          <t>Penalties defined by issuing authority; consult official source. NCA ECC-2 penalties apply if relevant</t>
        </is>
      </c>
      <c r="W169" s="192" t="inlineStr">
        <is>
          <t>Issuing authority and/or designated inspection department</t>
        </is>
      </c>
      <c r="X169" s="190" t="inlineStr">
        <is>
          <t>As specified in framework scope — consult official document</t>
        </is>
      </c>
      <c r="Y169" s="49" t="inlineStr">
        <is>
          <t>Both (unless specified otherwise in official document)</t>
        </is>
      </c>
      <c r="Z169" s="190" t="inlineStr">
        <is>
          <t>As defined by issuing authority</t>
        </is>
      </c>
      <c r="AA169" s="191" t="inlineStr">
        <is>
          <t>As defined by issuing authority</t>
        </is>
      </c>
      <c r="AB169" s="190" t="inlineStr">
        <is>
          <t>To be determined from framework text — see official source</t>
        </is>
      </c>
      <c r="AC169" s="190" t="inlineStr">
        <is>
          <t>See framework preamble for international standard references</t>
        </is>
      </c>
      <c r="AD169" s="49" t="inlineStr">
        <is>
          <t>Arabic (primary in KSA); English may be available</t>
        </is>
      </c>
      <c r="AE169" s="58" t="inlineStr">
        <is>
          <t>Mapped to relevant GH-ICGA layer — requires manual assessment</t>
        </is>
      </c>
      <c r="AF169" s="56" t="inlineStr">
        <is>
          <t>See official framework for maturity model details</t>
        </is>
      </c>
      <c r="AG169" s="190" t="inlineStr">
        <is>
          <t>Aligned with relevant Vision 2030 programme — see framework context</t>
        </is>
      </c>
      <c r="AH169" s="190" t="inlineStr">
        <is>
          <t>As specified in framework compliance requirements</t>
        </is>
      </c>
      <c r="AI169" s="193" t="inlineStr">
        <is>
          <t>Institutional theory and regulatory governance theory underpin all KSA regulatory frameworks. Specific theoretical basis varies by framework — consult academic literature via Google Scholar using framework name as search term.</t>
        </is>
      </c>
      <c r="AJ169" s="190" t="inlineStr">
        <is>
          <t>Academic debate varies by framework maturity and international adoption. For KSA-specific debate, consult: Almohammad &amp; Wills (2021) J Cybersecurity; Al-Khater et al. (2020) IEEE Access; Baker McKenzie KSA regulatory updates.</t>
        </is>
      </c>
      <c r="AK169" s="194" t="inlineStr">
        <is>
          <t>Known criticisms include: implementation gap between standards and practice; resource constraints for smaller healthcare entities; rapid technology evolution outpacing regulation. Consult framework evaluation literature for specifics.</t>
        </is>
      </c>
      <c r="AL169" s="195" t="inlineStr">
        <is>
          <t>Framework comparison requires contextual analysis. Key comparators: NIST CSF 2.0 (international benchmark), ISO 27001 (certifiable standard), ECC-2 (KSA mandatory baseline). See main database for cross-framework mapping.</t>
        </is>
      </c>
      <c r="AM169" s="19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69" s="197" t="inlineStr">
        <is>
          <t>Official: Consult the official source URL in the database for the primary document. Training: ISACA, ISC2, RAPS, IAPP, and HIMSS offer professional development covering most regulatory domains. Estimated hours vary by framework complexity.</t>
        </is>
      </c>
      <c r="AO169" s="198" t="inlineStr">
        <is>
          <t>Relevance to GH-ICGA framework varies by layer — see GH-ICGA Layer Mapping column. All KSA mandatory frameworks are compliance inputs to GH-ICGA Layer 4. Frameworks with IoMT-specific provisions directly inform Layers 2 and 3.</t>
        </is>
      </c>
      <c r="AP169" s="51" t="inlineStr">
        <is>
          <t>G + C (Governance + Compliance — standard regulatory framework positioning)</t>
        </is>
      </c>
      <c r="AQ169" s="26" t="inlineStr">
        <is>
          <t>Senior management: accountability for framework compliance. Designated compliance officer: monitor requirements. All staff: awareness of applicable obligations</t>
        </is>
      </c>
      <c r="AR169" s="194" t="inlineStr">
        <is>
          <t>Regulatory Risk; Operational Risk; Reputational Risk — specific domains determined by framework scope</t>
        </is>
      </c>
      <c r="AS169" s="22" t="inlineStr">
        <is>
          <t>See official source — legal obligation, regulatory requirement, or voluntary standard as applicable</t>
        </is>
      </c>
      <c r="AT169" s="195" t="inlineStr">
        <is>
          <t>Administrative; Technical; Operational — specific distribution determined by framework content</t>
        </is>
      </c>
      <c r="AU169" s="199" t="inlineStr">
        <is>
          <t>1. Compliance status (compliant/non-compliant). 2. # open findings from last assessment. 3. % controls implemented. 4. Time to remediate findings. 5. Incident rate in framework scope area</t>
        </is>
      </c>
      <c r="AV169" s="200" t="inlineStr">
        <is>
          <t>Self-assessment; internal audit; external assessment as specified by issuing authority</t>
        </is>
      </c>
      <c r="AW169" s="201" t="inlineStr">
        <is>
          <t>ServiceNow GRC; IBM OpenPages; RSA Archer; MetricStream — all major GRC platforms support custom framework import. Contact vendor for framework-specific module</t>
        </is>
      </c>
      <c r="AX169" s="202" t="inlineStr">
        <is>
          <t>Third parties in scope must demonstrate equivalent compliance. Contractual compliance obligations; right-to-audit clauses; annual third-party assessment</t>
        </is>
      </c>
      <c r="AY169" s="203" t="inlineStr">
        <is>
          <t>Non-compliance: regulatory action by issuing authority; fines and penalties as specified; operational and reputational consequences</t>
        </is>
      </c>
      <c r="AZ169" s="200" t="inlineStr">
        <is>
          <t>Sector-specific — consult official source</t>
        </is>
      </c>
      <c r="BA169" s="41" t="inlineStr">
        <is>
          <t>Sector-Specific</t>
        </is>
      </c>
      <c r="BB169" s="591">
        <f>IF(E169="","",IF(ISNUMBER(SEARCH("Institutional theory and regulatory governance theory underpin",AI169)),"TEMPLATE",IF(LEN(AI169)&gt;100,"DEEP",IF(AI169="","SPARSE","SHALLOW"))))</f>
        <v/>
      </c>
      <c r="BC169" s="591">
        <f>IF(E169="","",D169&amp;"-"&amp;B169&amp;"-"&amp;E169)</f>
        <v/>
      </c>
      <c r="BD169" s="591">
        <f>IF(E169="","",SUBSTITUTE(SUBSTITUTE(B169&amp;"-"&amp;E169," ",""),":","-"))</f>
        <v/>
      </c>
      <c r="BE169" s="591">
        <f>IF(E169="","",IF(ISNUMBER(SEARCH("ECC",E169)),"NCA-ECC-2-2024",IF(ISNUMBER(SEARCH("OTCC",E169)),"NCA-ECC-2-2024",IF(ISNUMBER(SEARCH("CCC",E169)),"NCA-ECC-2-2024",IF(ISNUMBER(SEARCH("DCC",E169)),"NCA-ECC-2-2024",IF(ISNUMBER(SEARCH("CSCC",E169)),"NCA-ECC-2-2024",IF(ISNUMBER(SEARCH("PDPL-IR",E169)),"PDPL-2021",IF(ISNUMBER(SEARCH("PDPL-DTR",E169)),"PDPL-2021","NONE"))))))))</f>
        <v/>
      </c>
      <c r="BF169" s="594">
        <f>IF(E169="","",IF(BB169="DEEP",10,IF(BB169="SHALLOW",5,IF(BB169="TEMPLATE",3,1)))+IF(N169="HIGHEST",5,IF(N169="HIGH",3,IF(N169="MODERATE",1,0)))+IF(ISNUMBER(SEARCH("Mandatory",L169)),3,0))</f>
        <v/>
      </c>
    </row>
    <row r="170" ht="42" customHeight="1">
      <c r="A170" s="204" t="n">
        <v>151</v>
      </c>
      <c r="B170" s="205" t="inlineStr">
        <is>
          <t>MOF</t>
        </is>
      </c>
      <c r="C170" s="190" t="inlineStr">
        <is>
          <t>Ministry of Finance</t>
        </is>
      </c>
      <c r="D170" s="190" t="inlineStr">
        <is>
          <t>1. Ministries</t>
        </is>
      </c>
      <c r="E170" s="205" t="inlineStr">
        <is>
          <t>NCA-ECC-2:2024</t>
        </is>
      </c>
      <c r="F170" s="192" t="inlineStr">
        <is>
          <t>Essential Cybersecurity Controls</t>
        </is>
      </c>
      <c r="G170" s="190" t="inlineStr">
        <is>
          <t>ضوابط الأمن السيبراني الأساسية</t>
        </is>
      </c>
      <c r="H170" s="190" t="inlineStr">
        <is>
          <t>ECC-2:2024</t>
        </is>
      </c>
      <c r="I170" s="191" t="inlineStr">
        <is>
          <t>2018</t>
        </is>
      </c>
      <c r="J170" s="191" t="inlineStr">
        <is>
          <t>108</t>
        </is>
      </c>
      <c r="K170" s="190" t="inlineStr">
        <is>
          <t>MUST COMPLY WITH</t>
        </is>
      </c>
      <c r="L170" s="66" t="inlineStr">
        <is>
          <t>Mandatory Complier</t>
        </is>
      </c>
      <c r="M170" s="190" t="inlineStr">
        <is>
          <t>Ministry of Finance as government entity</t>
        </is>
      </c>
      <c r="N170" s="209" t="inlineStr">
        <is>
          <t>LOW</t>
        </is>
      </c>
      <c r="O170" s="207" t="inlineStr">
        <is>
          <t>https://nca.gov.sa/</t>
        </is>
      </c>
      <c r="P170" s="190" t="inlineStr">
        <is>
          <t>NCA ECC scope</t>
        </is>
      </c>
      <c r="Q170" s="190" t="inlineStr">
        <is>
          <t>See official source for version history</t>
        </is>
      </c>
      <c r="R170" s="190" t="inlineStr">
        <is>
          <t>Framework issued by the relevant authority. Version details available on the official website referenced in the source URL column. The framework has been updated periodically since first issuance.</t>
        </is>
      </c>
      <c r="S170" s="191" t="inlineStr">
        <is>
          <t>See official source</t>
        </is>
      </c>
      <c r="T170" s="190" t="inlineStr">
        <is>
          <t>Updated as needed by the issuing authority</t>
        </is>
      </c>
      <c r="U170" s="25" t="inlineStr">
        <is>
          <t>CURRENT — consult official source for latest version</t>
        </is>
      </c>
      <c r="V170" s="190" t="inlineStr">
        <is>
          <t>Penalties defined by issuing authority; consult official source. NCA ECC-2 penalties apply if relevant</t>
        </is>
      </c>
      <c r="W170" s="192" t="inlineStr">
        <is>
          <t>Issuing authority and/or designated inspection department</t>
        </is>
      </c>
      <c r="X170" s="190" t="inlineStr">
        <is>
          <t>As specified in framework scope — consult official document</t>
        </is>
      </c>
      <c r="Y170" s="49" t="inlineStr">
        <is>
          <t>Both (unless specified otherwise in official document)</t>
        </is>
      </c>
      <c r="Z170" s="190" t="inlineStr">
        <is>
          <t>As defined by issuing authority</t>
        </is>
      </c>
      <c r="AA170" s="191" t="inlineStr">
        <is>
          <t>As defined by issuing authority</t>
        </is>
      </c>
      <c r="AB170" s="190" t="inlineStr">
        <is>
          <t>To be determined from framework text — see official source</t>
        </is>
      </c>
      <c r="AC170" s="190" t="inlineStr">
        <is>
          <t>See framework preamble for international standard references</t>
        </is>
      </c>
      <c r="AD170" s="49" t="inlineStr">
        <is>
          <t>Arabic (primary in KSA); English may be available</t>
        </is>
      </c>
      <c r="AE170" s="58" t="inlineStr">
        <is>
          <t>Mapped to relevant GH-ICGA layer — requires manual assessment</t>
        </is>
      </c>
      <c r="AF170" s="56" t="inlineStr">
        <is>
          <t>See official framework for maturity model details</t>
        </is>
      </c>
      <c r="AG170" s="190" t="inlineStr">
        <is>
          <t>Aligned with relevant Vision 2030 programme — see framework context</t>
        </is>
      </c>
      <c r="AH170" s="190" t="inlineStr">
        <is>
          <t>As specified in framework compliance requirements</t>
        </is>
      </c>
      <c r="AI170" s="193" t="inlineStr">
        <is>
          <t>Institutional theory and regulatory governance theory underpin all KSA regulatory frameworks. Specific theoretical basis varies by framework — consult academic literature via Google Scholar using framework name as search term.</t>
        </is>
      </c>
      <c r="AJ170" s="190" t="inlineStr">
        <is>
          <t>Academic debate varies by framework maturity and international adoption. For KSA-specific debate, consult: Almohammad &amp; Wills (2021) J Cybersecurity; Al-Khater et al. (2020) IEEE Access; Baker McKenzie KSA regulatory updates.</t>
        </is>
      </c>
      <c r="AK170" s="194" t="inlineStr">
        <is>
          <t>Known criticisms include: implementation gap between standards and practice; resource constraints for smaller healthcare entities; rapid technology evolution outpacing regulation. Consult framework evaluation literature for specifics.</t>
        </is>
      </c>
      <c r="AL170" s="195" t="inlineStr">
        <is>
          <t>Framework comparison requires contextual analysis. Key comparators: NIST CSF 2.0 (international benchmark), ISO 27001 (certifiable standard), ECC-2 (KSA mandatory baseline). See main database for cross-framework mapping.</t>
        </is>
      </c>
      <c r="AM170" s="19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70" s="197" t="inlineStr">
        <is>
          <t>Official: Consult the official source URL in the database for the primary document. Training: ISACA, ISC2, RAPS, IAPP, and HIMSS offer professional development covering most regulatory domains. Estimated hours vary by framework complexity.</t>
        </is>
      </c>
      <c r="AO170" s="198" t="inlineStr">
        <is>
          <t>Relevance to GH-ICGA framework varies by layer — see GH-ICGA Layer Mapping column. All KSA mandatory frameworks are compliance inputs to GH-ICGA Layer 4. Frameworks with IoMT-specific provisions directly inform Layers 2 and 3.</t>
        </is>
      </c>
      <c r="AP170" s="51" t="inlineStr">
        <is>
          <t>G + C (Governance + Compliance — standard regulatory framework positioning)</t>
        </is>
      </c>
      <c r="AQ170" s="26" t="inlineStr">
        <is>
          <t>Senior management: accountability for framework compliance. Designated compliance officer: monitor requirements. All staff: awareness of applicable obligations</t>
        </is>
      </c>
      <c r="AR170" s="194" t="inlineStr">
        <is>
          <t>Regulatory Risk; Operational Risk; Reputational Risk — specific domains determined by framework scope</t>
        </is>
      </c>
      <c r="AS170" s="22" t="inlineStr">
        <is>
          <t>See official source — legal obligation, regulatory requirement, or voluntary standard as applicable</t>
        </is>
      </c>
      <c r="AT170" s="195" t="inlineStr">
        <is>
          <t>Administrative; Technical; Operational — specific distribution determined by framework content</t>
        </is>
      </c>
      <c r="AU170" s="199" t="inlineStr">
        <is>
          <t>1. Compliance status (compliant/non-compliant). 2. # open findings from last assessment. 3. % controls implemented. 4. Time to remediate findings. 5. Incident rate in framework scope area</t>
        </is>
      </c>
      <c r="AV170" s="200" t="inlineStr">
        <is>
          <t>Self-assessment; internal audit; external assessment as specified by issuing authority</t>
        </is>
      </c>
      <c r="AW170" s="201" t="inlineStr">
        <is>
          <t>ServiceNow GRC; IBM OpenPages; RSA Archer; MetricStream — all major GRC platforms support custom framework import. Contact vendor for framework-specific module</t>
        </is>
      </c>
      <c r="AX170" s="202" t="inlineStr">
        <is>
          <t>Third parties in scope must demonstrate equivalent compliance. Contractual compliance obligations; right-to-audit clauses; annual third-party assessment</t>
        </is>
      </c>
      <c r="AY170" s="203" t="inlineStr">
        <is>
          <t>Non-compliance: regulatory action by issuing authority; fines and penalties as specified; operational and reputational consequences</t>
        </is>
      </c>
      <c r="AZ170" s="200" t="inlineStr">
        <is>
          <t>ALL 17 SECTORS</t>
        </is>
      </c>
      <c r="BA170" s="34" t="inlineStr">
        <is>
          <t>YES — ALL SECTORS</t>
        </is>
      </c>
      <c r="BB170" s="591">
        <f>IF(E170="","",IF(ISNUMBER(SEARCH("Institutional theory and regulatory governance theory underpin",AI170)),"TEMPLATE",IF(LEN(AI170)&gt;100,"DEEP",IF(AI170="","SPARSE","SHALLOW"))))</f>
        <v/>
      </c>
      <c r="BC170" s="591">
        <f>IF(E170="","",D170&amp;"-"&amp;B170&amp;"-"&amp;E170)</f>
        <v/>
      </c>
      <c r="BD170" s="591">
        <f>IF(E170="","",SUBSTITUTE(SUBSTITUTE(B170&amp;"-"&amp;E170," ",""),":","-"))</f>
        <v/>
      </c>
      <c r="BE170" s="591">
        <f>IF(E170="","",IF(ISNUMBER(SEARCH("ECC",E170)),"NCA-ECC-2-2024",IF(ISNUMBER(SEARCH("OTCC",E170)),"NCA-ECC-2-2024",IF(ISNUMBER(SEARCH("CCC",E170)),"NCA-ECC-2-2024",IF(ISNUMBER(SEARCH("DCC",E170)),"NCA-ECC-2-2024",IF(ISNUMBER(SEARCH("CSCC",E170)),"NCA-ECC-2-2024",IF(ISNUMBER(SEARCH("PDPL-IR",E170)),"PDPL-2021",IF(ISNUMBER(SEARCH("PDPL-DTR",E170)),"PDPL-2021","NONE"))))))))</f>
        <v/>
      </c>
      <c r="BF170" s="594">
        <f>IF(E170="","",IF(BB170="DEEP",10,IF(BB170="SHALLOW",5,IF(BB170="TEMPLATE",3,1)))+IF(N170="HIGHEST",5,IF(N170="HIGH",3,IF(N170="MODERATE",1,0)))+IF(ISNUMBER(SEARCH("Mandatory",L170)),3,0))</f>
        <v/>
      </c>
    </row>
    <row r="171" ht="42" customHeight="1">
      <c r="A171" s="42" t="n">
        <v>152</v>
      </c>
      <c r="B171" s="189" t="inlineStr">
        <is>
          <t>MOF</t>
        </is>
      </c>
      <c r="C171" s="44" t="inlineStr">
        <is>
          <t>Ministry of Finance</t>
        </is>
      </c>
      <c r="D171" s="44" t="inlineStr">
        <is>
          <t>1. Ministries</t>
        </is>
      </c>
      <c r="E171" s="189" t="inlineStr">
        <is>
          <t>PDPL-2021</t>
        </is>
      </c>
      <c r="F171" s="45" t="inlineStr">
        <is>
          <t>Personal Data Protection Law</t>
        </is>
      </c>
      <c r="G171" s="44" t="inlineStr">
        <is>
          <t>نظام حماية البيانات الشخصية</t>
        </is>
      </c>
      <c r="H171" s="44" t="inlineStr">
        <is>
          <t>2021+IR 2023</t>
        </is>
      </c>
      <c r="I171" s="46" t="inlineStr">
        <is>
          <t>2021</t>
        </is>
      </c>
      <c r="J171" s="46" t="inlineStr">
        <is>
          <t>45</t>
        </is>
      </c>
      <c r="K171" s="44" t="inlineStr">
        <is>
          <t>MUST COMPLY WITH</t>
        </is>
      </c>
      <c r="L171" s="66" t="inlineStr">
        <is>
          <t>Mandatory Complier</t>
        </is>
      </c>
      <c r="M171" s="44" t="inlineStr">
        <is>
          <t>Ministry of Finance processes personal data of employees and regulated parties</t>
        </is>
      </c>
      <c r="N171" s="59" t="inlineStr">
        <is>
          <t>LOW</t>
        </is>
      </c>
      <c r="O171" s="48" t="inlineStr">
        <is>
          <t>https://sdaia.gov.sa/</t>
        </is>
      </c>
      <c r="P171" s="44" t="inlineStr">
        <is>
          <t>SDAIA</t>
        </is>
      </c>
      <c r="Q171" s="190" t="inlineStr">
        <is>
          <t>Royal Decree M/19 (16 Sep 2021) → amended Apr 2023</t>
        </is>
      </c>
      <c r="R171" s="190" t="inlineStr">
        <is>
          <t>Original (2021): 19 articles covering consent, data subject rights, controller obligations, sensitive data (health = sensitive), cross-border transfer. Apr 2023 amendment: strengthened enforcement, clarified health data provisions, aligned with PDPL-IR-2023. Grace period for compliance ended Sep 14, 2024. Penalties: up to SAR 5 million fine + 2 years imprisonment for sensitive data breach</t>
        </is>
      </c>
      <c r="S171" s="191" t="inlineStr">
        <is>
          <t>Issued: Sep 2021. Amended: Apr 2023. Fully enforceable: Sep 14, 2024</t>
        </is>
      </c>
      <c r="T171" s="190" t="inlineStr">
        <is>
          <t>SDAIA reviews annually; amendments expected 2025-2026</t>
        </is>
      </c>
      <c r="U171" s="25" t="inlineStr">
        <is>
          <t>CURRENT — fully enforceable since Sep 2024</t>
        </is>
      </c>
      <c r="V171" s="190" t="inlineStr">
        <is>
          <t>Criminal offence: up to 2 years imprisonment + SAR 3M fine for disclosing sensitive data (health data = sensitive); administrative fine up to SAR 5M; mandatory breach notification to SDAIA within 72 hours; data subject compensation claims</t>
        </is>
      </c>
      <c r="W171" s="192" t="inlineStr">
        <is>
          <t>SDAIA — Data Protection Authority (DPA functions); NDMO for government entities; courts for criminal penalties</t>
        </is>
      </c>
      <c r="X171" s="190" t="inlineStr">
        <is>
          <t>Hospital; Clinic; Lab; Pharmacy; Health IT Vendor; Health Insurer; Government Health Entity; Medical Device Manufacturer (all processing patient data)</t>
        </is>
      </c>
      <c r="Y171" s="49" t="inlineStr">
        <is>
          <t>Both + foreign entities processing data of KSA residents</t>
        </is>
      </c>
      <c r="Z171" s="190" t="inlineStr">
        <is>
          <t>SDAIA audit; controller self-assessment; DPO oversight; data subject complaints trigger investigation</t>
        </is>
      </c>
      <c r="AA171" s="191" t="inlineStr">
        <is>
          <t>Continuous (breach notification: 72 hours); annual DPO report; SDAIA random audits</t>
        </is>
      </c>
      <c r="AB171" s="190" t="inlineStr">
        <is>
          <t>12 (IoMT data minimisation; purpose limitation; consent management for wearable data; automated decision-making; data subject rights for IoMT-generated health data; cross-border transfer of IoMT data)</t>
        </is>
      </c>
      <c r="AC171" s="190" t="inlineStr">
        <is>
          <t>GDPR (substantial alignment — adequate protection basis); APEC Privacy Framework; ISO 29100; ISO 27701</t>
        </is>
      </c>
      <c r="AD171" s="49" t="inlineStr">
        <is>
          <t>Arabic (official); English translation (unofficial)</t>
        </is>
      </c>
      <c r="AE171" s="50" t="inlineStr">
        <is>
          <t>Layer 4: Compliance; Layer 2: Risk Management</t>
        </is>
      </c>
      <c r="AF171" s="60" t="inlineStr">
        <is>
          <t>No formal maturity model; SDAIA publishes compliance guidance</t>
        </is>
      </c>
      <c r="AG171" s="190" t="inlineStr">
        <is>
          <t>National Data Strategy; Vision 2030 Digital Economy; Digital Government transformation</t>
        </is>
      </c>
      <c r="AH171" s="190" t="inlineStr">
        <is>
          <t>Privacy notices; consent records; DPO appointment letter; data mapping/flow diagrams; breach notification records; DPIA for health data processing; controller registration</t>
        </is>
      </c>
      <c r="AI171" s="193" t="inlineStr">
        <is>
          <t>Privacy as fundamental right (Warren &amp; Brandeis 1890; Westin 1967). Contextual integrity theory (Nissenbaum 2004): health data flows must match medical context norms. Regulatory theory: data protection authority independence and enforcement. Information asymmetry theory: patients cannot protect their own data without regulation.</t>
        </is>
      </c>
      <c r="AJ171" s="190" t="inlineStr">
        <is>
          <t>FOR: Long-overdue — KSA had no comprehensive data protection law until 2021; health data explicitly protected as sensitive category; aligns KSA with global adequacy standards. AGAINST: Alrawabdeh (2014) and Aldawood &amp; Skinner (2019) documented Saudi privacy culture gap — regulation without public awareness is ineffective; 'GDPR-lite' criticism: exemptions broader than GDPR, enforcement weaker; health data provisions in IR still less specific than UK GDPR Schedule 1 conditions</t>
        </is>
      </c>
      <c r="AK171" s="194" t="inlineStr">
        <is>
          <t>No independent supervisory authority (SDAIA is both promoter and regulator — conflict of interest noted by Baker McKenzie 2025); patient data portability rights weaker than GDPR Article 20; no explicit right to explanation for AI-automated health decisions; cross-border transfer rules changed twice in 12 months (regulatory instability); small healthcare providers lack capacity for DPO requirements</t>
        </is>
      </c>
      <c r="AL171" s="195" t="inlineStr">
        <is>
          <t>PDPL vs GDPR: PDPL penalty lower (SAR 5M vs €20M); PDPL broader government exemptions; GDPR has independent DPA, PDPL does not. PDPL vs HIPAA: PDPL = all personal data (broader); HIPAA = US-specific health data only. PDPL vs UK GDPR: PDPL misses explicit Schedule 1 health data conditions. PDPL ahead of HIPAA on consent granularity; behind GDPR on enforcement independence</t>
        </is>
      </c>
      <c r="AM171" s="196" t="inlineStr">
        <is>
          <t>Baker McKenzie (2025) Saudi Arabia PDPL Global Data &amp; Cyber Handbook; Alrawabdeh W (2014) 'Internet and Social Media Challenges in Arab World' EJSR; Westin AF (1967) Privacy and Freedom NY Atheneum; Nissenbaum H (2004) 'Privacy as Contextual Integrity' Washington Law Review 79(1); CMS Law (2025) Saudi Arabia Data Protection &amp; Cybersecurity Expert Guide Oct 2025</t>
        </is>
      </c>
      <c r="AN171" s="197" t="inlineStr">
        <is>
          <t>Official: SDAIA website (sdaia.gov.sa) — Arabic + English. Training: IAPP CIPM/CIPP/E (privacy certifications applicable); OneTrust PDPL compliance course; Baker McKenzie PDPL compliance guide. Language: Arabic primary — strong Arabic reading recommended. Estimated: 50 hours for health sector DPO competence</t>
        </is>
      </c>
      <c r="AO171" s="198" t="inlineStr">
        <is>
          <t>PRIMARY driver for GH-ICGA Layer 4 (Compliance) — PDPL is the legal foundation for patient data governance in the preliminary GH-ICGA framework. Thesis argument: GH-ICGA Layer 4 operationalises PDPL requirements into IoMT-specific controls (consent management for wearable data; purpose limitation for monitoring streams; breach response for connected device incidents)</t>
        </is>
      </c>
      <c r="AP171" s="51" t="inlineStr">
        <is>
          <t>G + C (Governance + Compliance — strong compliance driver; risk implicit)</t>
        </is>
      </c>
      <c r="AQ171" s="26" t="inlineStr">
        <is>
          <t>Board/CEO: ultimate accountability for PDPL compliance. DPO: mandatory for large-scale health data processors — reports to highest management level. Privacy Committee: cross-functional oversight. All staff processing personal data: mandatory privacy awareness training annually</t>
        </is>
      </c>
      <c r="AR171" s="194" t="inlineStr">
        <is>
          <t>Privacy Risk (PRIMARY); Legal/Regulatory Risk; Reputational Risk; Strategic Risk (data monetisation constraints); Cross-Border Risk (data transfer restrictions)</t>
        </is>
      </c>
      <c r="AS171" s="22" t="inlineStr">
        <is>
          <t>LEGAL — Royal Decree M/19 2021 + Implementing Regulations Sep 2023. Criminal: imprisonment up to 2 years + SAR 3M fine for sensitive data disclosure. Administrative: SAR 5M maximum fine. Civil: data subject compensation claims</t>
        </is>
      </c>
      <c r="AT171" s="195" t="inlineStr">
        <is>
          <t>Administrative (A): consent management; privacy notices; DPO appointment; DPIA process; breach notification procedure. Technical (T): data minimisation; pseudonymisation; access controls for personal data; encryption. Operational (O): data retention enforcement; data subject rights fulfilment process; cross-border transfer review</t>
        </is>
      </c>
      <c r="AU171" s="199" t="inlineStr">
        <is>
          <t>1. # data subject rights requests fulfilled on time (target: 100% within 30 days). 2. # data breaches notified to SDAIA within 72h (target: 100%). 3. % staff completed privacy training (target: 100%). 4. # DPIAs completed for high-risk processing activities. 5. Data retention compliance rate (% records within policy). 6. % third-party processors with DPA agreements</t>
        </is>
      </c>
      <c r="AV171" s="200" t="inlineStr">
        <is>
          <t>Annual DPIA review; data mapping audit (controller record validation); consent record audit; breach response simulation (tabletop); access control review for personal data systems; third-party processor audit; SDAIA compliance self-assessment</t>
        </is>
      </c>
      <c r="AW171" s="201" t="inlineStr">
        <is>
          <t>OneTrust (market leader for PDPL); TrustArc; Nymity; DataGrail; Varonis (data discovery); Microsoft Purview (data classification). SDAIA National Data Governance Platform for registration. Arabic-capable tools preferred</t>
        </is>
      </c>
      <c r="AX171" s="202" t="inlineStr">
        <is>
          <t>All third-party data processors must have Data Processing Agreement (DPA). Processors must demonstrate equivalent PDPL compliance. Cross-border transfers require adequacy assessment or appropriate safeguards. Sub-processor disclosure mandatory. Annual processor risk assessment required</t>
        </is>
      </c>
      <c r="AY171" s="203" t="inlineStr">
        <is>
          <t>Non-compliance: SAR 5M administrative fine; criminal prosecution for sensitive data breach; SDAIA investigation; mandatory breach public disclosure. Business disruption: SDAIA can order processing suspension. Reputational: patient trust damage. Market: EU adequate protection status depends on PDPL enforcement credibility</t>
        </is>
      </c>
      <c r="AZ171" s="200" t="inlineStr">
        <is>
          <t>ALL 17 SECTORS — any entity processing personal data</t>
        </is>
      </c>
      <c r="BA171" s="34" t="inlineStr">
        <is>
          <t>YES — ALL SECTORS</t>
        </is>
      </c>
      <c r="BB171" s="591">
        <f>IF(E171="","",IF(ISNUMBER(SEARCH("Institutional theory and regulatory governance theory underpin",AI171)),"TEMPLATE",IF(LEN(AI171)&gt;100,"DEEP",IF(AI171="","SPARSE","SHALLOW"))))</f>
        <v/>
      </c>
      <c r="BC171" s="591">
        <f>IF(E171="","",D171&amp;"-"&amp;B171&amp;"-"&amp;E171)</f>
        <v/>
      </c>
      <c r="BD171" s="591">
        <f>IF(E171="","",SUBSTITUTE(SUBSTITUTE(B171&amp;"-"&amp;E171," ",""),":","-"))</f>
        <v/>
      </c>
      <c r="BE171" s="591">
        <f>IF(E171="","",IF(ISNUMBER(SEARCH("ECC",E171)),"NCA-ECC-2-2024",IF(ISNUMBER(SEARCH("OTCC",E171)),"NCA-ECC-2-2024",IF(ISNUMBER(SEARCH("CCC",E171)),"NCA-ECC-2-2024",IF(ISNUMBER(SEARCH("DCC",E171)),"NCA-ECC-2-2024",IF(ISNUMBER(SEARCH("CSCC",E171)),"NCA-ECC-2-2024",IF(ISNUMBER(SEARCH("PDPL-IR",E171)),"PDPL-2021",IF(ISNUMBER(SEARCH("PDPL-DTR",E171)),"PDPL-2021","NONE"))))))))</f>
        <v/>
      </c>
      <c r="BF171" s="594">
        <f>IF(E171="","",IF(BB171="DEEP",10,IF(BB171="SHALLOW",5,IF(BB171="TEMPLATE",3,1)))+IF(N171="HIGHEST",5,IF(N171="HIGH",3,IF(N171="MODERATE",1,0)))+IF(ISNUMBER(SEARCH("Mandatory",L171)),3,0))</f>
        <v/>
      </c>
    </row>
    <row r="172" ht="42" customHeight="1">
      <c r="A172" s="204" t="n">
        <v>153</v>
      </c>
      <c r="B172" s="205" t="inlineStr">
        <is>
          <t>MOD</t>
        </is>
      </c>
      <c r="C172" s="190" t="inlineStr">
        <is>
          <t>Ministry of Defense</t>
        </is>
      </c>
      <c r="D172" s="190" t="inlineStr">
        <is>
          <t>1. Ministries</t>
        </is>
      </c>
      <c r="E172" s="205" t="inlineStr">
        <is>
          <t>MOD-LAW</t>
        </is>
      </c>
      <c r="F172" s="192" t="inlineStr">
        <is>
          <t>Military Health Law &amp; Standards</t>
        </is>
      </c>
      <c r="G172" s="190" t="inlineStr">
        <is>
          <t>قانون/نظام اللوائح الرئيسية</t>
        </is>
      </c>
      <c r="H172" s="190" t="inlineStr">
        <is>
          <t>Active/Updated</t>
        </is>
      </c>
      <c r="I172" s="191" t="inlineStr">
        <is>
          <t>1943</t>
        </is>
      </c>
      <c r="J172" s="191" t="inlineStr">
        <is>
          <t>N/A</t>
        </is>
      </c>
      <c r="K172" s="190" t="inlineStr">
        <is>
          <t>ISSUES/ENFORCES</t>
        </is>
      </c>
      <c r="L172" s="22" t="inlineStr">
        <is>
          <t>Mandatory Enforcer</t>
        </is>
      </c>
      <c r="M172" s="190" t="inlineStr">
        <is>
          <t>Entities regulated by this ministry</t>
        </is>
      </c>
      <c r="N172" s="208" t="inlineStr">
        <is>
          <t>MODERATE</t>
        </is>
      </c>
      <c r="O172" s="207" t="inlineStr">
        <is>
          <t>https://mod.gov.sa or via www.moi.gov.sa</t>
        </is>
      </c>
      <c r="P172" s="190" t="inlineStr">
        <is>
          <t>Ministry official; BOE regulations archive</t>
        </is>
      </c>
      <c r="Q172" s="190" t="inlineStr">
        <is>
          <t>See official source for version history</t>
        </is>
      </c>
      <c r="R172" s="190" t="inlineStr">
        <is>
          <t>Framework issued by the relevant authority. Version details available on the official website referenced in the source URL column. The framework has been updated periodically since first issuance.</t>
        </is>
      </c>
      <c r="S172" s="191" t="inlineStr">
        <is>
          <t>See official source</t>
        </is>
      </c>
      <c r="T172" s="190" t="inlineStr">
        <is>
          <t>Updated as needed by the issuing authority</t>
        </is>
      </c>
      <c r="U172" s="25" t="inlineStr">
        <is>
          <t>CURRENT — consult official source for latest version</t>
        </is>
      </c>
      <c r="V172" s="190" t="inlineStr">
        <is>
          <t>Penalties defined by issuing authority; consult official source. NCA ECC-2 penalties apply if relevant</t>
        </is>
      </c>
      <c r="W172" s="192" t="inlineStr">
        <is>
          <t>Issuing authority and/or designated inspection department</t>
        </is>
      </c>
      <c r="X172" s="190" t="inlineStr">
        <is>
          <t>As specified in framework scope — consult official document</t>
        </is>
      </c>
      <c r="Y172" s="49" t="inlineStr">
        <is>
          <t>Both (unless specified otherwise in official document)</t>
        </is>
      </c>
      <c r="Z172" s="190" t="inlineStr">
        <is>
          <t>As defined by issuing authority</t>
        </is>
      </c>
      <c r="AA172" s="191" t="inlineStr">
        <is>
          <t>As defined by issuing authority</t>
        </is>
      </c>
      <c r="AB172" s="190" t="inlineStr">
        <is>
          <t>To be determined from framework text — see official source</t>
        </is>
      </c>
      <c r="AC172" s="190" t="inlineStr">
        <is>
          <t>See framework preamble for international standard references</t>
        </is>
      </c>
      <c r="AD172" s="49" t="inlineStr">
        <is>
          <t>Arabic (primary in KSA); English may be available</t>
        </is>
      </c>
      <c r="AE172" s="58" t="inlineStr">
        <is>
          <t>Mapped to relevant GH-ICGA layer — requires manual assessment</t>
        </is>
      </c>
      <c r="AF172" s="56" t="inlineStr">
        <is>
          <t>See official framework for maturity model details</t>
        </is>
      </c>
      <c r="AG172" s="190" t="inlineStr">
        <is>
          <t>Aligned with relevant Vision 2030 programme — see framework context</t>
        </is>
      </c>
      <c r="AH172" s="190" t="inlineStr">
        <is>
          <t>As specified in framework compliance requirements</t>
        </is>
      </c>
      <c r="AI172" s="193" t="inlineStr">
        <is>
          <t>Institutional theory and regulatory governance theory underpin all KSA regulatory frameworks. Specific theoretical basis varies by framework — consult academic literature via Google Scholar using framework name as search term.</t>
        </is>
      </c>
      <c r="AJ172" s="190" t="inlineStr">
        <is>
          <t>Academic debate varies by framework maturity and international adoption. For KSA-specific debate, consult: Almohammad &amp; Wills (2021) J Cybersecurity; Al-Khater et al. (2020) IEEE Access; Baker McKenzie KSA regulatory updates.</t>
        </is>
      </c>
      <c r="AK172" s="194" t="inlineStr">
        <is>
          <t>Known criticisms include: implementation gap between standards and practice; resource constraints for smaller healthcare entities; rapid technology evolution outpacing regulation. Consult framework evaluation literature for specifics.</t>
        </is>
      </c>
      <c r="AL172" s="195" t="inlineStr">
        <is>
          <t>Framework comparison requires contextual analysis. Key comparators: NIST CSF 2.0 (international benchmark), ISO 27001 (certifiable standard), ECC-2 (KSA mandatory baseline). See main database for cross-framework mapping.</t>
        </is>
      </c>
      <c r="AM172" s="19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72" s="197" t="inlineStr">
        <is>
          <t>Official: Consult the official source URL in the database for the primary document. Training: ISACA, ISC2, RAPS, IAPP, and HIMSS offer professional development covering most regulatory domains. Estimated hours vary by framework complexity.</t>
        </is>
      </c>
      <c r="AO172" s="198" t="inlineStr">
        <is>
          <t>Relevance to GH-ICGA framework varies by layer — see GH-ICGA Layer Mapping column. All KSA mandatory frameworks are compliance inputs to GH-ICGA Layer 4. Frameworks with IoMT-specific provisions directly inform Layers 2 and 3.</t>
        </is>
      </c>
      <c r="AP172" s="51" t="inlineStr">
        <is>
          <t>G + C (Governance + Compliance — standard regulatory framework positioning)</t>
        </is>
      </c>
      <c r="AQ172" s="26" t="inlineStr">
        <is>
          <t>Senior management: accountability for framework compliance. Designated compliance officer: monitor requirements. All staff: awareness of applicable obligations</t>
        </is>
      </c>
      <c r="AR172" s="194" t="inlineStr">
        <is>
          <t>Regulatory Risk; Operational Risk; Reputational Risk — specific domains determined by framework scope</t>
        </is>
      </c>
      <c r="AS172" s="22" t="inlineStr">
        <is>
          <t>See official source — legal obligation, regulatory requirement, or voluntary standard as applicable</t>
        </is>
      </c>
      <c r="AT172" s="195" t="inlineStr">
        <is>
          <t>Administrative; Technical; Operational — specific distribution determined by framework content</t>
        </is>
      </c>
      <c r="AU172" s="199" t="inlineStr">
        <is>
          <t>1. Compliance status (compliant/non-compliant). 2. # open findings from last assessment. 3. % controls implemented. 4. Time to remediate findings. 5. Incident rate in framework scope area</t>
        </is>
      </c>
      <c r="AV172" s="200" t="inlineStr">
        <is>
          <t>Self-assessment; internal audit; external assessment as specified by issuing authority</t>
        </is>
      </c>
      <c r="AW172" s="201" t="inlineStr">
        <is>
          <t>ServiceNow GRC; IBM OpenPages; RSA Archer; MetricStream — all major GRC platforms support custom framework import. Contact vendor for framework-specific module</t>
        </is>
      </c>
      <c r="AX172" s="202" t="inlineStr">
        <is>
          <t>Third parties in scope must demonstrate equivalent compliance. Contractual compliance obligations; right-to-audit clauses; annual third-party assessment</t>
        </is>
      </c>
      <c r="AY172" s="203" t="inlineStr">
        <is>
          <t>Non-compliance: regulatory action by issuing authority; fines and penalties as specified; operational and reputational consequences</t>
        </is>
      </c>
      <c r="AZ172" s="200" t="inlineStr">
        <is>
          <t>Sector-specific — consult official source</t>
        </is>
      </c>
      <c r="BA172" s="41" t="inlineStr">
        <is>
          <t>Sector-Specific</t>
        </is>
      </c>
      <c r="BB172" s="591">
        <f>IF(E172="","",IF(ISNUMBER(SEARCH("Institutional theory and regulatory governance theory underpin",AI172)),"TEMPLATE",IF(LEN(AI172)&gt;100,"DEEP",IF(AI172="","SPARSE","SHALLOW"))))</f>
        <v/>
      </c>
      <c r="BC172" s="591">
        <f>IF(E172="","",D172&amp;"-"&amp;B172&amp;"-"&amp;E172)</f>
        <v/>
      </c>
      <c r="BD172" s="591">
        <f>IF(E172="","",SUBSTITUTE(SUBSTITUTE(B172&amp;"-"&amp;E172," ",""),":","-"))</f>
        <v/>
      </c>
      <c r="BE172" s="591">
        <f>IF(E172="","",IF(ISNUMBER(SEARCH("ECC",E172)),"NCA-ECC-2-2024",IF(ISNUMBER(SEARCH("OTCC",E172)),"NCA-ECC-2-2024",IF(ISNUMBER(SEARCH("CCC",E172)),"NCA-ECC-2-2024",IF(ISNUMBER(SEARCH("DCC",E172)),"NCA-ECC-2-2024",IF(ISNUMBER(SEARCH("CSCC",E172)),"NCA-ECC-2-2024",IF(ISNUMBER(SEARCH("PDPL-IR",E172)),"PDPL-2021",IF(ISNUMBER(SEARCH("PDPL-DTR",E172)),"PDPL-2021","NONE"))))))))</f>
        <v/>
      </c>
      <c r="BF172" s="594">
        <f>IF(E172="","",IF(BB172="DEEP",10,IF(BB172="SHALLOW",5,IF(BB172="TEMPLATE",3,1)))+IF(N172="HIGHEST",5,IF(N172="HIGH",3,IF(N172="MODERATE",1,0)))+IF(ISNUMBER(SEARCH("Mandatory",L172)),3,0))</f>
        <v/>
      </c>
    </row>
    <row r="173" ht="42" customHeight="1">
      <c r="A173" s="42" t="n">
        <v>154</v>
      </c>
      <c r="B173" s="189" t="inlineStr">
        <is>
          <t>MOD</t>
        </is>
      </c>
      <c r="C173" s="44" t="inlineStr">
        <is>
          <t>Ministry of Defense</t>
        </is>
      </c>
      <c r="D173" s="44" t="inlineStr">
        <is>
          <t>1. Ministries</t>
        </is>
      </c>
      <c r="E173" s="189" t="inlineStr">
        <is>
          <t>NCA-ECC-2:2024</t>
        </is>
      </c>
      <c r="F173" s="45" t="inlineStr">
        <is>
          <t>Essential Cybersecurity Controls</t>
        </is>
      </c>
      <c r="G173" s="44" t="inlineStr">
        <is>
          <t>ضوابط الأمن السيبراني الأساسية</t>
        </is>
      </c>
      <c r="H173" s="44" t="inlineStr">
        <is>
          <t>ECC-2:2024</t>
        </is>
      </c>
      <c r="I173" s="46" t="inlineStr">
        <is>
          <t>2018</t>
        </is>
      </c>
      <c r="J173" s="46" t="inlineStr">
        <is>
          <t>108</t>
        </is>
      </c>
      <c r="K173" s="44" t="inlineStr">
        <is>
          <t>MUST COMPLY WITH</t>
        </is>
      </c>
      <c r="L173" s="66" t="inlineStr">
        <is>
          <t>Mandatory Complier</t>
        </is>
      </c>
      <c r="M173" s="44" t="inlineStr">
        <is>
          <t>Ministry of Defense as government entity</t>
        </is>
      </c>
      <c r="N173" s="59" t="inlineStr">
        <is>
          <t>LOW</t>
        </is>
      </c>
      <c r="O173" s="48" t="inlineStr">
        <is>
          <t>https://nca.gov.sa/</t>
        </is>
      </c>
      <c r="P173" s="44" t="inlineStr">
        <is>
          <t>NCA ECC scope</t>
        </is>
      </c>
      <c r="Q173" s="190" t="inlineStr">
        <is>
          <t>See official source for version history</t>
        </is>
      </c>
      <c r="R173" s="190" t="inlineStr">
        <is>
          <t>Framework issued by the relevant authority. Version details available on the official website referenced in the source URL column. The framework has been updated periodically since first issuance.</t>
        </is>
      </c>
      <c r="S173" s="191" t="inlineStr">
        <is>
          <t>See official source</t>
        </is>
      </c>
      <c r="T173" s="190" t="inlineStr">
        <is>
          <t>Updated as needed by the issuing authority</t>
        </is>
      </c>
      <c r="U173" s="25" t="inlineStr">
        <is>
          <t>CURRENT — consult official source for latest version</t>
        </is>
      </c>
      <c r="V173" s="190" t="inlineStr">
        <is>
          <t>Penalties defined by issuing authority; consult official source. NCA ECC-2 penalties apply if relevant</t>
        </is>
      </c>
      <c r="W173" s="192" t="inlineStr">
        <is>
          <t>Issuing authority and/or designated inspection department</t>
        </is>
      </c>
      <c r="X173" s="190" t="inlineStr">
        <is>
          <t>As specified in framework scope — consult official document</t>
        </is>
      </c>
      <c r="Y173" s="49" t="inlineStr">
        <is>
          <t>Both (unless specified otherwise in official document)</t>
        </is>
      </c>
      <c r="Z173" s="190" t="inlineStr">
        <is>
          <t>As defined by issuing authority</t>
        </is>
      </c>
      <c r="AA173" s="191" t="inlineStr">
        <is>
          <t>As defined by issuing authority</t>
        </is>
      </c>
      <c r="AB173" s="190" t="inlineStr">
        <is>
          <t>To be determined from framework text — see official source</t>
        </is>
      </c>
      <c r="AC173" s="190" t="inlineStr">
        <is>
          <t>See framework preamble for international standard references</t>
        </is>
      </c>
      <c r="AD173" s="49" t="inlineStr">
        <is>
          <t>Arabic (primary in KSA); English may be available</t>
        </is>
      </c>
      <c r="AE173" s="58" t="inlineStr">
        <is>
          <t>Mapped to relevant GH-ICGA layer — requires manual assessment</t>
        </is>
      </c>
      <c r="AF173" s="56" t="inlineStr">
        <is>
          <t>See official framework for maturity model details</t>
        </is>
      </c>
      <c r="AG173" s="190" t="inlineStr">
        <is>
          <t>Aligned with relevant Vision 2030 programme — see framework context</t>
        </is>
      </c>
      <c r="AH173" s="190" t="inlineStr">
        <is>
          <t>As specified in framework compliance requirements</t>
        </is>
      </c>
      <c r="AI173" s="193" t="inlineStr">
        <is>
          <t>Institutional theory and regulatory governance theory underpin all KSA regulatory frameworks. Specific theoretical basis varies by framework — consult academic literature via Google Scholar using framework name as search term.</t>
        </is>
      </c>
      <c r="AJ173" s="190" t="inlineStr">
        <is>
          <t>Academic debate varies by framework maturity and international adoption. For KSA-specific debate, consult: Almohammad &amp; Wills (2021) J Cybersecurity; Al-Khater et al. (2020) IEEE Access; Baker McKenzie KSA regulatory updates.</t>
        </is>
      </c>
      <c r="AK173" s="194" t="inlineStr">
        <is>
          <t>Known criticisms include: implementation gap between standards and practice; resource constraints for smaller healthcare entities; rapid technology evolution outpacing regulation. Consult framework evaluation literature for specifics.</t>
        </is>
      </c>
      <c r="AL173" s="195" t="inlineStr">
        <is>
          <t>Framework comparison requires contextual analysis. Key comparators: NIST CSF 2.0 (international benchmark), ISO 27001 (certifiable standard), ECC-2 (KSA mandatory baseline). See main database for cross-framework mapping.</t>
        </is>
      </c>
      <c r="AM173" s="19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73" s="197" t="inlineStr">
        <is>
          <t>Official: Consult the official source URL in the database for the primary document. Training: ISACA, ISC2, RAPS, IAPP, and HIMSS offer professional development covering most regulatory domains. Estimated hours vary by framework complexity.</t>
        </is>
      </c>
      <c r="AO173" s="198" t="inlineStr">
        <is>
          <t>Relevance to GH-ICGA framework varies by layer — see GH-ICGA Layer Mapping column. All KSA mandatory frameworks are compliance inputs to GH-ICGA Layer 4. Frameworks with IoMT-specific provisions directly inform Layers 2 and 3.</t>
        </is>
      </c>
      <c r="AP173" s="51" t="inlineStr">
        <is>
          <t>G + C (Governance + Compliance — standard regulatory framework positioning)</t>
        </is>
      </c>
      <c r="AQ173" s="26" t="inlineStr">
        <is>
          <t>Senior management: accountability for framework compliance. Designated compliance officer: monitor requirements. All staff: awareness of applicable obligations</t>
        </is>
      </c>
      <c r="AR173" s="194" t="inlineStr">
        <is>
          <t>Regulatory Risk; Operational Risk; Reputational Risk — specific domains determined by framework scope</t>
        </is>
      </c>
      <c r="AS173" s="22" t="inlineStr">
        <is>
          <t>See official source — legal obligation, regulatory requirement, or voluntary standard as applicable</t>
        </is>
      </c>
      <c r="AT173" s="195" t="inlineStr">
        <is>
          <t>Administrative; Technical; Operational — specific distribution determined by framework content</t>
        </is>
      </c>
      <c r="AU173" s="199" t="inlineStr">
        <is>
          <t>1. Compliance status (compliant/non-compliant). 2. # open findings from last assessment. 3. % controls implemented. 4. Time to remediate findings. 5. Incident rate in framework scope area</t>
        </is>
      </c>
      <c r="AV173" s="200" t="inlineStr">
        <is>
          <t>Self-assessment; internal audit; external assessment as specified by issuing authority</t>
        </is>
      </c>
      <c r="AW173" s="201" t="inlineStr">
        <is>
          <t>ServiceNow GRC; IBM OpenPages; RSA Archer; MetricStream — all major GRC platforms support custom framework import. Contact vendor for framework-specific module</t>
        </is>
      </c>
      <c r="AX173" s="202" t="inlineStr">
        <is>
          <t>Third parties in scope must demonstrate equivalent compliance. Contractual compliance obligations; right-to-audit clauses; annual third-party assessment</t>
        </is>
      </c>
      <c r="AY173" s="203" t="inlineStr">
        <is>
          <t>Non-compliance: regulatory action by issuing authority; fines and penalties as specified; operational and reputational consequences</t>
        </is>
      </c>
      <c r="AZ173" s="200" t="inlineStr">
        <is>
          <t>ALL 17 SECTORS</t>
        </is>
      </c>
      <c r="BA173" s="34" t="inlineStr">
        <is>
          <t>YES — ALL SECTORS</t>
        </is>
      </c>
      <c r="BB173" s="591">
        <f>IF(E173="","",IF(ISNUMBER(SEARCH("Institutional theory and regulatory governance theory underpin",AI173)),"TEMPLATE",IF(LEN(AI173)&gt;100,"DEEP",IF(AI173="","SPARSE","SHALLOW"))))</f>
        <v/>
      </c>
      <c r="BC173" s="591">
        <f>IF(E173="","",D173&amp;"-"&amp;B173&amp;"-"&amp;E173)</f>
        <v/>
      </c>
      <c r="BD173" s="591">
        <f>IF(E173="","",SUBSTITUTE(SUBSTITUTE(B173&amp;"-"&amp;E173," ",""),":","-"))</f>
        <v/>
      </c>
      <c r="BE173" s="591">
        <f>IF(E173="","",IF(ISNUMBER(SEARCH("ECC",E173)),"NCA-ECC-2-2024",IF(ISNUMBER(SEARCH("OTCC",E173)),"NCA-ECC-2-2024",IF(ISNUMBER(SEARCH("CCC",E173)),"NCA-ECC-2-2024",IF(ISNUMBER(SEARCH("DCC",E173)),"NCA-ECC-2-2024",IF(ISNUMBER(SEARCH("CSCC",E173)),"NCA-ECC-2-2024",IF(ISNUMBER(SEARCH("PDPL-IR",E173)),"PDPL-2021",IF(ISNUMBER(SEARCH("PDPL-DTR",E173)),"PDPL-2021","NONE"))))))))</f>
        <v/>
      </c>
      <c r="BF173" s="594">
        <f>IF(E173="","",IF(BB173="DEEP",10,IF(BB173="SHALLOW",5,IF(BB173="TEMPLATE",3,1)))+IF(N173="HIGHEST",5,IF(N173="HIGH",3,IF(N173="MODERATE",1,0)))+IF(ISNUMBER(SEARCH("Mandatory",L173)),3,0))</f>
        <v/>
      </c>
    </row>
    <row r="174" ht="42" customHeight="1">
      <c r="A174" s="204" t="n">
        <v>155</v>
      </c>
      <c r="B174" s="205" t="inlineStr">
        <is>
          <t>MOD</t>
        </is>
      </c>
      <c r="C174" s="190" t="inlineStr">
        <is>
          <t>Ministry of Defense</t>
        </is>
      </c>
      <c r="D174" s="190" t="inlineStr">
        <is>
          <t>1. Ministries</t>
        </is>
      </c>
      <c r="E174" s="205" t="inlineStr">
        <is>
          <t>PDPL-2021</t>
        </is>
      </c>
      <c r="F174" s="192" t="inlineStr">
        <is>
          <t>Personal Data Protection Law</t>
        </is>
      </c>
      <c r="G174" s="190" t="inlineStr">
        <is>
          <t>نظام حماية البيانات الشخصية</t>
        </is>
      </c>
      <c r="H174" s="190" t="inlineStr">
        <is>
          <t>2021+IR 2023</t>
        </is>
      </c>
      <c r="I174" s="191" t="inlineStr">
        <is>
          <t>2021</t>
        </is>
      </c>
      <c r="J174" s="191" t="inlineStr">
        <is>
          <t>45</t>
        </is>
      </c>
      <c r="K174" s="190" t="inlineStr">
        <is>
          <t>MUST COMPLY WITH</t>
        </is>
      </c>
      <c r="L174" s="66" t="inlineStr">
        <is>
          <t>Mandatory Complier</t>
        </is>
      </c>
      <c r="M174" s="190" t="inlineStr">
        <is>
          <t>Ministry of Defense processes personal data of employees and regulated parties</t>
        </is>
      </c>
      <c r="N174" s="209" t="inlineStr">
        <is>
          <t>LOW</t>
        </is>
      </c>
      <c r="O174" s="207" t="inlineStr">
        <is>
          <t>https://sdaia.gov.sa/</t>
        </is>
      </c>
      <c r="P174" s="190" t="inlineStr">
        <is>
          <t>SDAIA</t>
        </is>
      </c>
      <c r="Q174" s="190" t="inlineStr">
        <is>
          <t>Royal Decree M/19 (16 Sep 2021) → amended Apr 2023</t>
        </is>
      </c>
      <c r="R174" s="190" t="inlineStr">
        <is>
          <t>Original (2021): 19 articles covering consent, data subject rights, controller obligations, sensitive data (health = sensitive), cross-border transfer. Apr 2023 amendment: strengthened enforcement, clarified health data provisions, aligned with PDPL-IR-2023. Grace period for compliance ended Sep 14, 2024. Penalties: up to SAR 5 million fine + 2 years imprisonment for sensitive data breach</t>
        </is>
      </c>
      <c r="S174" s="191" t="inlineStr">
        <is>
          <t>Issued: Sep 2021. Amended: Apr 2023. Fully enforceable: Sep 14, 2024</t>
        </is>
      </c>
      <c r="T174" s="190" t="inlineStr">
        <is>
          <t>SDAIA reviews annually; amendments expected 2025-2026</t>
        </is>
      </c>
      <c r="U174" s="25" t="inlineStr">
        <is>
          <t>CURRENT — fully enforceable since Sep 2024</t>
        </is>
      </c>
      <c r="V174" s="190" t="inlineStr">
        <is>
          <t>Criminal offence: up to 2 years imprisonment + SAR 3M fine for disclosing sensitive data (health data = sensitive); administrative fine up to SAR 5M; mandatory breach notification to SDAIA within 72 hours; data subject compensation claims</t>
        </is>
      </c>
      <c r="W174" s="192" t="inlineStr">
        <is>
          <t>SDAIA — Data Protection Authority (DPA functions); NDMO for government entities; courts for criminal penalties</t>
        </is>
      </c>
      <c r="X174" s="190" t="inlineStr">
        <is>
          <t>Hospital; Clinic; Lab; Pharmacy; Health IT Vendor; Health Insurer; Government Health Entity; Medical Device Manufacturer (all processing patient data)</t>
        </is>
      </c>
      <c r="Y174" s="49" t="inlineStr">
        <is>
          <t>Both + foreign entities processing data of KSA residents</t>
        </is>
      </c>
      <c r="Z174" s="190" t="inlineStr">
        <is>
          <t>SDAIA audit; controller self-assessment; DPO oversight; data subject complaints trigger investigation</t>
        </is>
      </c>
      <c r="AA174" s="191" t="inlineStr">
        <is>
          <t>Continuous (breach notification: 72 hours); annual DPO report; SDAIA random audits</t>
        </is>
      </c>
      <c r="AB174" s="190" t="inlineStr">
        <is>
          <t>12 (IoMT data minimisation; purpose limitation; consent management for wearable data; automated decision-making; data subject rights for IoMT-generated health data; cross-border transfer of IoMT data)</t>
        </is>
      </c>
      <c r="AC174" s="190" t="inlineStr">
        <is>
          <t>GDPR (substantial alignment — adequate protection basis); APEC Privacy Framework; ISO 29100; ISO 27701</t>
        </is>
      </c>
      <c r="AD174" s="49" t="inlineStr">
        <is>
          <t>Arabic (official); English translation (unofficial)</t>
        </is>
      </c>
      <c r="AE174" s="50" t="inlineStr">
        <is>
          <t>Layer 4: Compliance; Layer 2: Risk Management</t>
        </is>
      </c>
      <c r="AF174" s="60" t="inlineStr">
        <is>
          <t>No formal maturity model; SDAIA publishes compliance guidance</t>
        </is>
      </c>
      <c r="AG174" s="190" t="inlineStr">
        <is>
          <t>National Data Strategy; Vision 2030 Digital Economy; Digital Government transformation</t>
        </is>
      </c>
      <c r="AH174" s="190" t="inlineStr">
        <is>
          <t>Privacy notices; consent records; DPO appointment letter; data mapping/flow diagrams; breach notification records; DPIA for health data processing; controller registration</t>
        </is>
      </c>
      <c r="AI174" s="193" t="inlineStr">
        <is>
          <t>Privacy as fundamental right (Warren &amp; Brandeis 1890; Westin 1967). Contextual integrity theory (Nissenbaum 2004): health data flows must match medical context norms. Regulatory theory: data protection authority independence and enforcement. Information asymmetry theory: patients cannot protect their own data without regulation.</t>
        </is>
      </c>
      <c r="AJ174" s="190" t="inlineStr">
        <is>
          <t>FOR: Long-overdue — KSA had no comprehensive data protection law until 2021; health data explicitly protected as sensitive category; aligns KSA with global adequacy standards. AGAINST: Alrawabdeh (2014) and Aldawood &amp; Skinner (2019) documented Saudi privacy culture gap — regulation without public awareness is ineffective; 'GDPR-lite' criticism: exemptions broader than GDPR, enforcement weaker; health data provisions in IR still less specific than UK GDPR Schedule 1 conditions</t>
        </is>
      </c>
      <c r="AK174" s="194" t="inlineStr">
        <is>
          <t>No independent supervisory authority (SDAIA is both promoter and regulator — conflict of interest noted by Baker McKenzie 2025); patient data portability rights weaker than GDPR Article 20; no explicit right to explanation for AI-automated health decisions; cross-border transfer rules changed twice in 12 months (regulatory instability); small healthcare providers lack capacity for DPO requirements</t>
        </is>
      </c>
      <c r="AL174" s="195" t="inlineStr">
        <is>
          <t>PDPL vs GDPR: PDPL penalty lower (SAR 5M vs €20M); PDPL broader government exemptions; GDPR has independent DPA, PDPL does not. PDPL vs HIPAA: PDPL = all personal data (broader); HIPAA = US-specific health data only. PDPL vs UK GDPR: PDPL misses explicit Schedule 1 health data conditions. PDPL ahead of HIPAA on consent granularity; behind GDPR on enforcement independence</t>
        </is>
      </c>
      <c r="AM174" s="196" t="inlineStr">
        <is>
          <t>Baker McKenzie (2025) Saudi Arabia PDPL Global Data &amp; Cyber Handbook; Alrawabdeh W (2014) 'Internet and Social Media Challenges in Arab World' EJSR; Westin AF (1967) Privacy and Freedom NY Atheneum; Nissenbaum H (2004) 'Privacy as Contextual Integrity' Washington Law Review 79(1); CMS Law (2025) Saudi Arabia Data Protection &amp; Cybersecurity Expert Guide Oct 2025</t>
        </is>
      </c>
      <c r="AN174" s="197" t="inlineStr">
        <is>
          <t>Official: SDAIA website (sdaia.gov.sa) — Arabic + English. Training: IAPP CIPM/CIPP/E (privacy certifications applicable); OneTrust PDPL compliance course; Baker McKenzie PDPL compliance guide. Language: Arabic primary — strong Arabic reading recommended. Estimated: 50 hours for health sector DPO competence</t>
        </is>
      </c>
      <c r="AO174" s="198" t="inlineStr">
        <is>
          <t>PRIMARY driver for GH-ICGA Layer 4 (Compliance) — PDPL is the legal foundation for patient data governance in the preliminary GH-ICGA framework. Thesis argument: GH-ICGA Layer 4 operationalises PDPL requirements into IoMT-specific controls (consent management for wearable data; purpose limitation for monitoring streams; breach response for connected device incidents)</t>
        </is>
      </c>
      <c r="AP174" s="51" t="inlineStr">
        <is>
          <t>G + C (Governance + Compliance — strong compliance driver; risk implicit)</t>
        </is>
      </c>
      <c r="AQ174" s="26" t="inlineStr">
        <is>
          <t>Board/CEO: ultimate accountability for PDPL compliance. DPO: mandatory for large-scale health data processors — reports to highest management level. Privacy Committee: cross-functional oversight. All staff processing personal data: mandatory privacy awareness training annually</t>
        </is>
      </c>
      <c r="AR174" s="194" t="inlineStr">
        <is>
          <t>Privacy Risk (PRIMARY); Legal/Regulatory Risk; Reputational Risk; Strategic Risk (data monetisation constraints); Cross-Border Risk (data transfer restrictions)</t>
        </is>
      </c>
      <c r="AS174" s="22" t="inlineStr">
        <is>
          <t>LEGAL — Royal Decree M/19 2021 + Implementing Regulations Sep 2023. Criminal: imprisonment up to 2 years + SAR 3M fine for sensitive data disclosure. Administrative: SAR 5M maximum fine. Civil: data subject compensation claims</t>
        </is>
      </c>
      <c r="AT174" s="195" t="inlineStr">
        <is>
          <t>Administrative (A): consent management; privacy notices; DPO appointment; DPIA process; breach notification procedure. Technical (T): data minimisation; pseudonymisation; access controls for personal data; encryption. Operational (O): data retention enforcement; data subject rights fulfilment process; cross-border transfer review</t>
        </is>
      </c>
      <c r="AU174" s="199" t="inlineStr">
        <is>
          <t>1. # data subject rights requests fulfilled on time (target: 100% within 30 days). 2. # data breaches notified to SDAIA within 72h (target: 100%). 3. % staff completed privacy training (target: 100%). 4. # DPIAs completed for high-risk processing activities. 5. Data retention compliance rate (% records within policy). 6. % third-party processors with DPA agreements</t>
        </is>
      </c>
      <c r="AV174" s="200" t="inlineStr">
        <is>
          <t>Annual DPIA review; data mapping audit (controller record validation); consent record audit; breach response simulation (tabletop); access control review for personal data systems; third-party processor audit; SDAIA compliance self-assessment</t>
        </is>
      </c>
      <c r="AW174" s="201" t="inlineStr">
        <is>
          <t>OneTrust (market leader for PDPL); TrustArc; Nymity; DataGrail; Varonis (data discovery); Microsoft Purview (data classification). SDAIA National Data Governance Platform for registration. Arabic-capable tools preferred</t>
        </is>
      </c>
      <c r="AX174" s="202" t="inlineStr">
        <is>
          <t>All third-party data processors must have Data Processing Agreement (DPA). Processors must demonstrate equivalent PDPL compliance. Cross-border transfers require adequacy assessment or appropriate safeguards. Sub-processor disclosure mandatory. Annual processor risk assessment required</t>
        </is>
      </c>
      <c r="AY174" s="203" t="inlineStr">
        <is>
          <t>Non-compliance: SAR 5M administrative fine; criminal prosecution for sensitive data breach; SDAIA investigation; mandatory breach public disclosure. Business disruption: SDAIA can order processing suspension. Reputational: patient trust damage. Market: EU adequate protection status depends on PDPL enforcement credibility</t>
        </is>
      </c>
      <c r="AZ174" s="200" t="inlineStr">
        <is>
          <t>ALL 17 SECTORS — any entity processing personal data</t>
        </is>
      </c>
      <c r="BA174" s="34" t="inlineStr">
        <is>
          <t>YES — ALL SECTORS</t>
        </is>
      </c>
      <c r="BB174" s="591">
        <f>IF(E174="","",IF(ISNUMBER(SEARCH("Institutional theory and regulatory governance theory underpin",AI174)),"TEMPLATE",IF(LEN(AI174)&gt;100,"DEEP",IF(AI174="","SPARSE","SHALLOW"))))</f>
        <v/>
      </c>
      <c r="BC174" s="591">
        <f>IF(E174="","",D174&amp;"-"&amp;B174&amp;"-"&amp;E174)</f>
        <v/>
      </c>
      <c r="BD174" s="591">
        <f>IF(E174="","",SUBSTITUTE(SUBSTITUTE(B174&amp;"-"&amp;E174," ",""),":","-"))</f>
        <v/>
      </c>
      <c r="BE174" s="591">
        <f>IF(E174="","",IF(ISNUMBER(SEARCH("ECC",E174)),"NCA-ECC-2-2024",IF(ISNUMBER(SEARCH("OTCC",E174)),"NCA-ECC-2-2024",IF(ISNUMBER(SEARCH("CCC",E174)),"NCA-ECC-2-2024",IF(ISNUMBER(SEARCH("DCC",E174)),"NCA-ECC-2-2024",IF(ISNUMBER(SEARCH("CSCC",E174)),"NCA-ECC-2-2024",IF(ISNUMBER(SEARCH("PDPL-IR",E174)),"PDPL-2021",IF(ISNUMBER(SEARCH("PDPL-DTR",E174)),"PDPL-2021","NONE"))))))))</f>
        <v/>
      </c>
      <c r="BF174" s="594">
        <f>IF(E174="","",IF(BB174="DEEP",10,IF(BB174="SHALLOW",5,IF(BB174="TEMPLATE",3,1)))+IF(N174="HIGHEST",5,IF(N174="HIGH",3,IF(N174="MODERATE",1,0)))+IF(ISNUMBER(SEARCH("Mandatory",L174)),3,0))</f>
        <v/>
      </c>
    </row>
    <row r="175" ht="42" customHeight="1">
      <c r="A175" s="42" t="n">
        <v>156</v>
      </c>
      <c r="B175" s="189" t="inlineStr">
        <is>
          <t>MOHAJ</t>
        </is>
      </c>
      <c r="C175" s="44" t="inlineStr">
        <is>
          <t>Ministry of Hajj &amp; Umrah</t>
        </is>
      </c>
      <c r="D175" s="44" t="inlineStr">
        <is>
          <t>1. Ministries</t>
        </is>
      </c>
      <c r="E175" s="189" t="inlineStr">
        <is>
          <t>MOHAJ-LAW</t>
        </is>
      </c>
      <c r="F175" s="45" t="inlineStr">
        <is>
          <t>Hajj &amp; Umrah Regulations</t>
        </is>
      </c>
      <c r="G175" s="44" t="inlineStr">
        <is>
          <t>قانون/نظام اللوائح الرئيسية</t>
        </is>
      </c>
      <c r="H175" s="44" t="inlineStr">
        <is>
          <t>Active/Updated</t>
        </is>
      </c>
      <c r="I175" s="46" t="inlineStr">
        <is>
          <t>2000</t>
        </is>
      </c>
      <c r="J175" s="46" t="inlineStr">
        <is>
          <t>N/A</t>
        </is>
      </c>
      <c r="K175" s="44" t="inlineStr">
        <is>
          <t>ISSUES/ENFORCES</t>
        </is>
      </c>
      <c r="L175" s="22" t="inlineStr">
        <is>
          <t>Mandatory Enforcer</t>
        </is>
      </c>
      <c r="M175" s="44" t="inlineStr">
        <is>
          <t>Entities regulated by this ministry</t>
        </is>
      </c>
      <c r="N175" s="55" t="inlineStr">
        <is>
          <t>MODERATE</t>
        </is>
      </c>
      <c r="O175" s="48" t="inlineStr">
        <is>
          <t>https://mohaj.gov.sa or via www.moi.gov.sa</t>
        </is>
      </c>
      <c r="P175" s="44" t="inlineStr">
        <is>
          <t>Ministry official; BOE regulations archive</t>
        </is>
      </c>
      <c r="Q175" s="190" t="inlineStr">
        <is>
          <t>See official source for version history</t>
        </is>
      </c>
      <c r="R175" s="190" t="inlineStr">
        <is>
          <t>Framework issued by the relevant authority. Version details available on the official website referenced in the source URL column. The framework has been updated periodically since first issuance.</t>
        </is>
      </c>
      <c r="S175" s="191" t="inlineStr">
        <is>
          <t>See official source</t>
        </is>
      </c>
      <c r="T175" s="190" t="inlineStr">
        <is>
          <t>Updated as needed by the issuing authority</t>
        </is>
      </c>
      <c r="U175" s="25" t="inlineStr">
        <is>
          <t>CURRENT — consult official source for latest version</t>
        </is>
      </c>
      <c r="V175" s="190" t="inlineStr">
        <is>
          <t>Penalties defined by issuing authority; consult official source. NCA ECC-2 penalties apply if relevant</t>
        </is>
      </c>
      <c r="W175" s="192" t="inlineStr">
        <is>
          <t>Issuing authority and/or designated inspection department</t>
        </is>
      </c>
      <c r="X175" s="190" t="inlineStr">
        <is>
          <t>As specified in framework scope — consult official document</t>
        </is>
      </c>
      <c r="Y175" s="49" t="inlineStr">
        <is>
          <t>Both (unless specified otherwise in official document)</t>
        </is>
      </c>
      <c r="Z175" s="190" t="inlineStr">
        <is>
          <t>As defined by issuing authority</t>
        </is>
      </c>
      <c r="AA175" s="191" t="inlineStr">
        <is>
          <t>As defined by issuing authority</t>
        </is>
      </c>
      <c r="AB175" s="190" t="inlineStr">
        <is>
          <t>To be determined from framework text — see official source</t>
        </is>
      </c>
      <c r="AC175" s="190" t="inlineStr">
        <is>
          <t>See framework preamble for international standard references</t>
        </is>
      </c>
      <c r="AD175" s="49" t="inlineStr">
        <is>
          <t>Arabic (primary in KSA); English may be available</t>
        </is>
      </c>
      <c r="AE175" s="58" t="inlineStr">
        <is>
          <t>Mapped to relevant GH-ICGA layer — requires manual assessment</t>
        </is>
      </c>
      <c r="AF175" s="56" t="inlineStr">
        <is>
          <t>See official framework for maturity model details</t>
        </is>
      </c>
      <c r="AG175" s="190" t="inlineStr">
        <is>
          <t>Aligned with relevant Vision 2030 programme — see framework context</t>
        </is>
      </c>
      <c r="AH175" s="190" t="inlineStr">
        <is>
          <t>As specified in framework compliance requirements</t>
        </is>
      </c>
      <c r="AI175" s="193" t="inlineStr">
        <is>
          <t>Institutional theory and regulatory governance theory underpin all KSA regulatory frameworks. Specific theoretical basis varies by framework — consult academic literature via Google Scholar using framework name as search term.</t>
        </is>
      </c>
      <c r="AJ175" s="190" t="inlineStr">
        <is>
          <t>Academic debate varies by framework maturity and international adoption. For KSA-specific debate, consult: Almohammad &amp; Wills (2021) J Cybersecurity; Al-Khater et al. (2020) IEEE Access; Baker McKenzie KSA regulatory updates.</t>
        </is>
      </c>
      <c r="AK175" s="194" t="inlineStr">
        <is>
          <t>Known criticisms include: implementation gap between standards and practice; resource constraints for smaller healthcare entities; rapid technology evolution outpacing regulation. Consult framework evaluation literature for specifics.</t>
        </is>
      </c>
      <c r="AL175" s="195" t="inlineStr">
        <is>
          <t>Framework comparison requires contextual analysis. Key comparators: NIST CSF 2.0 (international benchmark), ISO 27001 (certifiable standard), ECC-2 (KSA mandatory baseline). See main database for cross-framework mapping.</t>
        </is>
      </c>
      <c r="AM175" s="19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75" s="197" t="inlineStr">
        <is>
          <t>Official: Consult the official source URL in the database for the primary document. Training: ISACA, ISC2, RAPS, IAPP, and HIMSS offer professional development covering most regulatory domains. Estimated hours vary by framework complexity.</t>
        </is>
      </c>
      <c r="AO175" s="198" t="inlineStr">
        <is>
          <t>Relevance to GH-ICGA framework varies by layer — see GH-ICGA Layer Mapping column. All KSA mandatory frameworks are compliance inputs to GH-ICGA Layer 4. Frameworks with IoMT-specific provisions directly inform Layers 2 and 3.</t>
        </is>
      </c>
      <c r="AP175" s="51" t="inlineStr">
        <is>
          <t>G + C (Governance + Compliance — standard regulatory framework positioning)</t>
        </is>
      </c>
      <c r="AQ175" s="26" t="inlineStr">
        <is>
          <t>Senior management: accountability for framework compliance. Designated compliance officer: monitor requirements. All staff: awareness of applicable obligations</t>
        </is>
      </c>
      <c r="AR175" s="194" t="inlineStr">
        <is>
          <t>Regulatory Risk; Operational Risk; Reputational Risk — specific domains determined by framework scope</t>
        </is>
      </c>
      <c r="AS175" s="22" t="inlineStr">
        <is>
          <t>See official source — legal obligation, regulatory requirement, or voluntary standard as applicable</t>
        </is>
      </c>
      <c r="AT175" s="195" t="inlineStr">
        <is>
          <t>Administrative; Technical; Operational — specific distribution determined by framework content</t>
        </is>
      </c>
      <c r="AU175" s="199" t="inlineStr">
        <is>
          <t>1. Compliance status (compliant/non-compliant). 2. # open findings from last assessment. 3. % controls implemented. 4. Time to remediate findings. 5. Incident rate in framework scope area</t>
        </is>
      </c>
      <c r="AV175" s="200" t="inlineStr">
        <is>
          <t>Self-assessment; internal audit; external assessment as specified by issuing authority</t>
        </is>
      </c>
      <c r="AW175" s="201" t="inlineStr">
        <is>
          <t>ServiceNow GRC; IBM OpenPages; RSA Archer; MetricStream — all major GRC platforms support custom framework import. Contact vendor for framework-specific module</t>
        </is>
      </c>
      <c r="AX175" s="202" t="inlineStr">
        <is>
          <t>Third parties in scope must demonstrate equivalent compliance. Contractual compliance obligations; right-to-audit clauses; annual third-party assessment</t>
        </is>
      </c>
      <c r="AY175" s="203" t="inlineStr">
        <is>
          <t>Non-compliance: regulatory action by issuing authority; fines and penalties as specified; operational and reputational consequences</t>
        </is>
      </c>
      <c r="AZ175" s="200" t="inlineStr">
        <is>
          <t>Sector-specific — consult official source</t>
        </is>
      </c>
      <c r="BA175" s="41" t="inlineStr">
        <is>
          <t>Sector-Specific</t>
        </is>
      </c>
      <c r="BB175" s="591">
        <f>IF(E175="","",IF(ISNUMBER(SEARCH("Institutional theory and regulatory governance theory underpin",AI175)),"TEMPLATE",IF(LEN(AI175)&gt;100,"DEEP",IF(AI175="","SPARSE","SHALLOW"))))</f>
        <v/>
      </c>
      <c r="BC175" s="591">
        <f>IF(E175="","",D175&amp;"-"&amp;B175&amp;"-"&amp;E175)</f>
        <v/>
      </c>
      <c r="BD175" s="591">
        <f>IF(E175="","",SUBSTITUTE(SUBSTITUTE(B175&amp;"-"&amp;E175," ",""),":","-"))</f>
        <v/>
      </c>
      <c r="BE175" s="591">
        <f>IF(E175="","",IF(ISNUMBER(SEARCH("ECC",E175)),"NCA-ECC-2-2024",IF(ISNUMBER(SEARCH("OTCC",E175)),"NCA-ECC-2-2024",IF(ISNUMBER(SEARCH("CCC",E175)),"NCA-ECC-2-2024",IF(ISNUMBER(SEARCH("DCC",E175)),"NCA-ECC-2-2024",IF(ISNUMBER(SEARCH("CSCC",E175)),"NCA-ECC-2-2024",IF(ISNUMBER(SEARCH("PDPL-IR",E175)),"PDPL-2021",IF(ISNUMBER(SEARCH("PDPL-DTR",E175)),"PDPL-2021","NONE"))))))))</f>
        <v/>
      </c>
      <c r="BF175" s="594">
        <f>IF(E175="","",IF(BB175="DEEP",10,IF(BB175="SHALLOW",5,IF(BB175="TEMPLATE",3,1)))+IF(N175="HIGHEST",5,IF(N175="HIGH",3,IF(N175="MODERATE",1,0)))+IF(ISNUMBER(SEARCH("Mandatory",L175)),3,0))</f>
        <v/>
      </c>
    </row>
    <row r="176" ht="42" customHeight="1">
      <c r="A176" s="204" t="n">
        <v>157</v>
      </c>
      <c r="B176" s="205" t="inlineStr">
        <is>
          <t>MOHAJ</t>
        </is>
      </c>
      <c r="C176" s="190" t="inlineStr">
        <is>
          <t>Ministry of Hajj &amp; Umrah</t>
        </is>
      </c>
      <c r="D176" s="190" t="inlineStr">
        <is>
          <t>1. Ministries</t>
        </is>
      </c>
      <c r="E176" s="205" t="inlineStr">
        <is>
          <t>NCA-ECC-2:2024</t>
        </is>
      </c>
      <c r="F176" s="192" t="inlineStr">
        <is>
          <t>Essential Cybersecurity Controls</t>
        </is>
      </c>
      <c r="G176" s="190" t="inlineStr">
        <is>
          <t>ضوابط الأمن السيبراني الأساسية</t>
        </is>
      </c>
      <c r="H176" s="190" t="inlineStr">
        <is>
          <t>ECC-2:2024</t>
        </is>
      </c>
      <c r="I176" s="191" t="inlineStr">
        <is>
          <t>2018</t>
        </is>
      </c>
      <c r="J176" s="191" t="inlineStr">
        <is>
          <t>108</t>
        </is>
      </c>
      <c r="K176" s="190" t="inlineStr">
        <is>
          <t>MUST COMPLY WITH</t>
        </is>
      </c>
      <c r="L176" s="66" t="inlineStr">
        <is>
          <t>Mandatory Complier</t>
        </is>
      </c>
      <c r="M176" s="190" t="inlineStr">
        <is>
          <t>Ministry of Hajj &amp; Umrah as government entity</t>
        </is>
      </c>
      <c r="N176" s="209" t="inlineStr">
        <is>
          <t>LOW</t>
        </is>
      </c>
      <c r="O176" s="207" t="inlineStr">
        <is>
          <t>https://nca.gov.sa/</t>
        </is>
      </c>
      <c r="P176" s="190" t="inlineStr">
        <is>
          <t>NCA ECC scope</t>
        </is>
      </c>
      <c r="Q176" s="190" t="inlineStr">
        <is>
          <t>See official source for version history</t>
        </is>
      </c>
      <c r="R176" s="190" t="inlineStr">
        <is>
          <t>Framework issued by the relevant authority. Version details available on the official website referenced in the source URL column. The framework has been updated periodically since first issuance.</t>
        </is>
      </c>
      <c r="S176" s="191" t="inlineStr">
        <is>
          <t>See official source</t>
        </is>
      </c>
      <c r="T176" s="190" t="inlineStr">
        <is>
          <t>Updated as needed by the issuing authority</t>
        </is>
      </c>
      <c r="U176" s="25" t="inlineStr">
        <is>
          <t>CURRENT — consult official source for latest version</t>
        </is>
      </c>
      <c r="V176" s="190" t="inlineStr">
        <is>
          <t>Penalties defined by issuing authority; consult official source. NCA ECC-2 penalties apply if relevant</t>
        </is>
      </c>
      <c r="W176" s="192" t="inlineStr">
        <is>
          <t>Issuing authority and/or designated inspection department</t>
        </is>
      </c>
      <c r="X176" s="190" t="inlineStr">
        <is>
          <t>As specified in framework scope — consult official document</t>
        </is>
      </c>
      <c r="Y176" s="49" t="inlineStr">
        <is>
          <t>Both (unless specified otherwise in official document)</t>
        </is>
      </c>
      <c r="Z176" s="190" t="inlineStr">
        <is>
          <t>As defined by issuing authority</t>
        </is>
      </c>
      <c r="AA176" s="191" t="inlineStr">
        <is>
          <t>As defined by issuing authority</t>
        </is>
      </c>
      <c r="AB176" s="190" t="inlineStr">
        <is>
          <t>To be determined from framework text — see official source</t>
        </is>
      </c>
      <c r="AC176" s="190" t="inlineStr">
        <is>
          <t>See framework preamble for international standard references</t>
        </is>
      </c>
      <c r="AD176" s="49" t="inlineStr">
        <is>
          <t>Arabic (primary in KSA); English may be available</t>
        </is>
      </c>
      <c r="AE176" s="58" t="inlineStr">
        <is>
          <t>Mapped to relevant GH-ICGA layer — requires manual assessment</t>
        </is>
      </c>
      <c r="AF176" s="56" t="inlineStr">
        <is>
          <t>See official framework for maturity model details</t>
        </is>
      </c>
      <c r="AG176" s="190" t="inlineStr">
        <is>
          <t>Aligned with relevant Vision 2030 programme — see framework context</t>
        </is>
      </c>
      <c r="AH176" s="190" t="inlineStr">
        <is>
          <t>As specified in framework compliance requirements</t>
        </is>
      </c>
      <c r="AI176" s="193" t="inlineStr">
        <is>
          <t>Institutional theory and regulatory governance theory underpin all KSA regulatory frameworks. Specific theoretical basis varies by framework — consult academic literature via Google Scholar using framework name as search term.</t>
        </is>
      </c>
      <c r="AJ176" s="190" t="inlineStr">
        <is>
          <t>Academic debate varies by framework maturity and international adoption. For KSA-specific debate, consult: Almohammad &amp; Wills (2021) J Cybersecurity; Al-Khater et al. (2020) IEEE Access; Baker McKenzie KSA regulatory updates.</t>
        </is>
      </c>
      <c r="AK176" s="194" t="inlineStr">
        <is>
          <t>Known criticisms include: implementation gap between standards and practice; resource constraints for smaller healthcare entities; rapid technology evolution outpacing regulation. Consult framework evaluation literature for specifics.</t>
        </is>
      </c>
      <c r="AL176" s="195" t="inlineStr">
        <is>
          <t>Framework comparison requires contextual analysis. Key comparators: NIST CSF 2.0 (international benchmark), ISO 27001 (certifiable standard), ECC-2 (KSA mandatory baseline). See main database for cross-framework mapping.</t>
        </is>
      </c>
      <c r="AM176" s="19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76" s="197" t="inlineStr">
        <is>
          <t>Official: Consult the official source URL in the database for the primary document. Training: ISACA, ISC2, RAPS, IAPP, and HIMSS offer professional development covering most regulatory domains. Estimated hours vary by framework complexity.</t>
        </is>
      </c>
      <c r="AO176" s="198" t="inlineStr">
        <is>
          <t>Relevance to GH-ICGA framework varies by layer — see GH-ICGA Layer Mapping column. All KSA mandatory frameworks are compliance inputs to GH-ICGA Layer 4. Frameworks with IoMT-specific provisions directly inform Layers 2 and 3.</t>
        </is>
      </c>
      <c r="AP176" s="51" t="inlineStr">
        <is>
          <t>G + C (Governance + Compliance — standard regulatory framework positioning)</t>
        </is>
      </c>
      <c r="AQ176" s="26" t="inlineStr">
        <is>
          <t>Senior management: accountability for framework compliance. Designated compliance officer: monitor requirements. All staff: awareness of applicable obligations</t>
        </is>
      </c>
      <c r="AR176" s="194" t="inlineStr">
        <is>
          <t>Regulatory Risk; Operational Risk; Reputational Risk — specific domains determined by framework scope</t>
        </is>
      </c>
      <c r="AS176" s="22" t="inlineStr">
        <is>
          <t>See official source — legal obligation, regulatory requirement, or voluntary standard as applicable</t>
        </is>
      </c>
      <c r="AT176" s="195" t="inlineStr">
        <is>
          <t>Administrative; Technical; Operational — specific distribution determined by framework content</t>
        </is>
      </c>
      <c r="AU176" s="199" t="inlineStr">
        <is>
          <t>1. Compliance status (compliant/non-compliant). 2. # open findings from last assessment. 3. % controls implemented. 4. Time to remediate findings. 5. Incident rate in framework scope area</t>
        </is>
      </c>
      <c r="AV176" s="200" t="inlineStr">
        <is>
          <t>Self-assessment; internal audit; external assessment as specified by issuing authority</t>
        </is>
      </c>
      <c r="AW176" s="201" t="inlineStr">
        <is>
          <t>ServiceNow GRC; IBM OpenPages; RSA Archer; MetricStream — all major GRC platforms support custom framework import. Contact vendor for framework-specific module</t>
        </is>
      </c>
      <c r="AX176" s="202" t="inlineStr">
        <is>
          <t>Third parties in scope must demonstrate equivalent compliance. Contractual compliance obligations; right-to-audit clauses; annual third-party assessment</t>
        </is>
      </c>
      <c r="AY176" s="203" t="inlineStr">
        <is>
          <t>Non-compliance: regulatory action by issuing authority; fines and penalties as specified; operational and reputational consequences</t>
        </is>
      </c>
      <c r="AZ176" s="200" t="inlineStr">
        <is>
          <t>ALL 17 SECTORS</t>
        </is>
      </c>
      <c r="BA176" s="34" t="inlineStr">
        <is>
          <t>YES — ALL SECTORS</t>
        </is>
      </c>
      <c r="BB176" s="591">
        <f>IF(E176="","",IF(ISNUMBER(SEARCH("Institutional theory and regulatory governance theory underpin",AI176)),"TEMPLATE",IF(LEN(AI176)&gt;100,"DEEP",IF(AI176="","SPARSE","SHALLOW"))))</f>
        <v/>
      </c>
      <c r="BC176" s="591">
        <f>IF(E176="","",D176&amp;"-"&amp;B176&amp;"-"&amp;E176)</f>
        <v/>
      </c>
      <c r="BD176" s="591">
        <f>IF(E176="","",SUBSTITUTE(SUBSTITUTE(B176&amp;"-"&amp;E176," ",""),":","-"))</f>
        <v/>
      </c>
      <c r="BE176" s="591">
        <f>IF(E176="","",IF(ISNUMBER(SEARCH("ECC",E176)),"NCA-ECC-2-2024",IF(ISNUMBER(SEARCH("OTCC",E176)),"NCA-ECC-2-2024",IF(ISNUMBER(SEARCH("CCC",E176)),"NCA-ECC-2-2024",IF(ISNUMBER(SEARCH("DCC",E176)),"NCA-ECC-2-2024",IF(ISNUMBER(SEARCH("CSCC",E176)),"NCA-ECC-2-2024",IF(ISNUMBER(SEARCH("PDPL-IR",E176)),"PDPL-2021",IF(ISNUMBER(SEARCH("PDPL-DTR",E176)),"PDPL-2021","NONE"))))))))</f>
        <v/>
      </c>
      <c r="BF176" s="594">
        <f>IF(E176="","",IF(BB176="DEEP",10,IF(BB176="SHALLOW",5,IF(BB176="TEMPLATE",3,1)))+IF(N176="HIGHEST",5,IF(N176="HIGH",3,IF(N176="MODERATE",1,0)))+IF(ISNUMBER(SEARCH("Mandatory",L176)),3,0))</f>
        <v/>
      </c>
    </row>
    <row r="177" ht="42" customHeight="1">
      <c r="A177" s="42" t="n">
        <v>158</v>
      </c>
      <c r="B177" s="189" t="inlineStr">
        <is>
          <t>MOHAJ</t>
        </is>
      </c>
      <c r="C177" s="44" t="inlineStr">
        <is>
          <t>Ministry of Hajj &amp; Umrah</t>
        </is>
      </c>
      <c r="D177" s="44" t="inlineStr">
        <is>
          <t>1. Ministries</t>
        </is>
      </c>
      <c r="E177" s="189" t="inlineStr">
        <is>
          <t>PDPL-2021</t>
        </is>
      </c>
      <c r="F177" s="45" t="inlineStr">
        <is>
          <t>Personal Data Protection Law</t>
        </is>
      </c>
      <c r="G177" s="44" t="inlineStr">
        <is>
          <t>نظام حماية البيانات الشخصية</t>
        </is>
      </c>
      <c r="H177" s="44" t="inlineStr">
        <is>
          <t>2021+IR 2023</t>
        </is>
      </c>
      <c r="I177" s="46" t="inlineStr">
        <is>
          <t>2021</t>
        </is>
      </c>
      <c r="J177" s="46" t="inlineStr">
        <is>
          <t>45</t>
        </is>
      </c>
      <c r="K177" s="44" t="inlineStr">
        <is>
          <t>MUST COMPLY WITH</t>
        </is>
      </c>
      <c r="L177" s="66" t="inlineStr">
        <is>
          <t>Mandatory Complier</t>
        </is>
      </c>
      <c r="M177" s="44" t="inlineStr">
        <is>
          <t>Ministry of Hajj &amp; Umrah processes personal data of employees and regulated parties</t>
        </is>
      </c>
      <c r="N177" s="59" t="inlineStr">
        <is>
          <t>LOW</t>
        </is>
      </c>
      <c r="O177" s="48" t="inlineStr">
        <is>
          <t>https://sdaia.gov.sa/</t>
        </is>
      </c>
      <c r="P177" s="44" t="inlineStr">
        <is>
          <t>SDAIA</t>
        </is>
      </c>
      <c r="Q177" s="190" t="inlineStr">
        <is>
          <t>Royal Decree M/19 (16 Sep 2021) → amended Apr 2023</t>
        </is>
      </c>
      <c r="R177" s="190" t="inlineStr">
        <is>
          <t>Original (2021): 19 articles covering consent, data subject rights, controller obligations, sensitive data (health = sensitive), cross-border transfer. Apr 2023 amendment: strengthened enforcement, clarified health data provisions, aligned with PDPL-IR-2023. Grace period for compliance ended Sep 14, 2024. Penalties: up to SAR 5 million fine + 2 years imprisonment for sensitive data breach</t>
        </is>
      </c>
      <c r="S177" s="191" t="inlineStr">
        <is>
          <t>Issued: Sep 2021. Amended: Apr 2023. Fully enforceable: Sep 14, 2024</t>
        </is>
      </c>
      <c r="T177" s="190" t="inlineStr">
        <is>
          <t>SDAIA reviews annually; amendments expected 2025-2026</t>
        </is>
      </c>
      <c r="U177" s="25" t="inlineStr">
        <is>
          <t>CURRENT — fully enforceable since Sep 2024</t>
        </is>
      </c>
      <c r="V177" s="190" t="inlineStr">
        <is>
          <t>Criminal offence: up to 2 years imprisonment + SAR 3M fine for disclosing sensitive data (health data = sensitive); administrative fine up to SAR 5M; mandatory breach notification to SDAIA within 72 hours; data subject compensation claims</t>
        </is>
      </c>
      <c r="W177" s="192" t="inlineStr">
        <is>
          <t>SDAIA — Data Protection Authority (DPA functions); NDMO for government entities; courts for criminal penalties</t>
        </is>
      </c>
      <c r="X177" s="190" t="inlineStr">
        <is>
          <t>Hospital; Clinic; Lab; Pharmacy; Health IT Vendor; Health Insurer; Government Health Entity; Medical Device Manufacturer (all processing patient data)</t>
        </is>
      </c>
      <c r="Y177" s="49" t="inlineStr">
        <is>
          <t>Both + foreign entities processing data of KSA residents</t>
        </is>
      </c>
      <c r="Z177" s="190" t="inlineStr">
        <is>
          <t>SDAIA audit; controller self-assessment; DPO oversight; data subject complaints trigger investigation</t>
        </is>
      </c>
      <c r="AA177" s="191" t="inlineStr">
        <is>
          <t>Continuous (breach notification: 72 hours); annual DPO report; SDAIA random audits</t>
        </is>
      </c>
      <c r="AB177" s="190" t="inlineStr">
        <is>
          <t>12 (IoMT data minimisation; purpose limitation; consent management for wearable data; automated decision-making; data subject rights for IoMT-generated health data; cross-border transfer of IoMT data)</t>
        </is>
      </c>
      <c r="AC177" s="190" t="inlineStr">
        <is>
          <t>GDPR (substantial alignment — adequate protection basis); APEC Privacy Framework; ISO 29100; ISO 27701</t>
        </is>
      </c>
      <c r="AD177" s="49" t="inlineStr">
        <is>
          <t>Arabic (official); English translation (unofficial)</t>
        </is>
      </c>
      <c r="AE177" s="50" t="inlineStr">
        <is>
          <t>Layer 4: Compliance; Layer 2: Risk Management</t>
        </is>
      </c>
      <c r="AF177" s="60" t="inlineStr">
        <is>
          <t>No formal maturity model; SDAIA publishes compliance guidance</t>
        </is>
      </c>
      <c r="AG177" s="190" t="inlineStr">
        <is>
          <t>National Data Strategy; Vision 2030 Digital Economy; Digital Government transformation</t>
        </is>
      </c>
      <c r="AH177" s="190" t="inlineStr">
        <is>
          <t>Privacy notices; consent records; DPO appointment letter; data mapping/flow diagrams; breach notification records; DPIA for health data processing; controller registration</t>
        </is>
      </c>
      <c r="AI177" s="193" t="inlineStr">
        <is>
          <t>Privacy as fundamental right (Warren &amp; Brandeis 1890; Westin 1967). Contextual integrity theory (Nissenbaum 2004): health data flows must match medical context norms. Regulatory theory: data protection authority independence and enforcement. Information asymmetry theory: patients cannot protect their own data without regulation.</t>
        </is>
      </c>
      <c r="AJ177" s="190" t="inlineStr">
        <is>
          <t>FOR: Long-overdue — KSA had no comprehensive data protection law until 2021; health data explicitly protected as sensitive category; aligns KSA with global adequacy standards. AGAINST: Alrawabdeh (2014) and Aldawood &amp; Skinner (2019) documented Saudi privacy culture gap — regulation without public awareness is ineffective; 'GDPR-lite' criticism: exemptions broader than GDPR, enforcement weaker; health data provisions in IR still less specific than UK GDPR Schedule 1 conditions</t>
        </is>
      </c>
      <c r="AK177" s="194" t="inlineStr">
        <is>
          <t>No independent supervisory authority (SDAIA is both promoter and regulator — conflict of interest noted by Baker McKenzie 2025); patient data portability rights weaker than GDPR Article 20; no explicit right to explanation for AI-automated health decisions; cross-border transfer rules changed twice in 12 months (regulatory instability); small healthcare providers lack capacity for DPO requirements</t>
        </is>
      </c>
      <c r="AL177" s="195" t="inlineStr">
        <is>
          <t>PDPL vs GDPR: PDPL penalty lower (SAR 5M vs €20M); PDPL broader government exemptions; GDPR has independent DPA, PDPL does not. PDPL vs HIPAA: PDPL = all personal data (broader); HIPAA = US-specific health data only. PDPL vs UK GDPR: PDPL misses explicit Schedule 1 health data conditions. PDPL ahead of HIPAA on consent granularity; behind GDPR on enforcement independence</t>
        </is>
      </c>
      <c r="AM177" s="196" t="inlineStr">
        <is>
          <t>Baker McKenzie (2025) Saudi Arabia PDPL Global Data &amp; Cyber Handbook; Alrawabdeh W (2014) 'Internet and Social Media Challenges in Arab World' EJSR; Westin AF (1967) Privacy and Freedom NY Atheneum; Nissenbaum H (2004) 'Privacy as Contextual Integrity' Washington Law Review 79(1); CMS Law (2025) Saudi Arabia Data Protection &amp; Cybersecurity Expert Guide Oct 2025</t>
        </is>
      </c>
      <c r="AN177" s="197" t="inlineStr">
        <is>
          <t>Official: SDAIA website (sdaia.gov.sa) — Arabic + English. Training: IAPP CIPM/CIPP/E (privacy certifications applicable); OneTrust PDPL compliance course; Baker McKenzie PDPL compliance guide. Language: Arabic primary — strong Arabic reading recommended. Estimated: 50 hours for health sector DPO competence</t>
        </is>
      </c>
      <c r="AO177" s="198" t="inlineStr">
        <is>
          <t>PRIMARY driver for GH-ICGA Layer 4 (Compliance) — PDPL is the legal foundation for patient data governance in the preliminary GH-ICGA framework. Thesis argument: GH-ICGA Layer 4 operationalises PDPL requirements into IoMT-specific controls (consent management for wearable data; purpose limitation for monitoring streams; breach response for connected device incidents)</t>
        </is>
      </c>
      <c r="AP177" s="51" t="inlineStr">
        <is>
          <t>G + C (Governance + Compliance — strong compliance driver; risk implicit)</t>
        </is>
      </c>
      <c r="AQ177" s="26" t="inlineStr">
        <is>
          <t>Board/CEO: ultimate accountability for PDPL compliance. DPO: mandatory for large-scale health data processors — reports to highest management level. Privacy Committee: cross-functional oversight. All staff processing personal data: mandatory privacy awareness training annually</t>
        </is>
      </c>
      <c r="AR177" s="194" t="inlineStr">
        <is>
          <t>Privacy Risk (PRIMARY); Legal/Regulatory Risk; Reputational Risk; Strategic Risk (data monetisation constraints); Cross-Border Risk (data transfer restrictions)</t>
        </is>
      </c>
      <c r="AS177" s="22" t="inlineStr">
        <is>
          <t>LEGAL — Royal Decree M/19 2021 + Implementing Regulations Sep 2023. Criminal: imprisonment up to 2 years + SAR 3M fine for sensitive data disclosure. Administrative: SAR 5M maximum fine. Civil: data subject compensation claims</t>
        </is>
      </c>
      <c r="AT177" s="195" t="inlineStr">
        <is>
          <t>Administrative (A): consent management; privacy notices; DPO appointment; DPIA process; breach notification procedure. Technical (T): data minimisation; pseudonymisation; access controls for personal data; encryption. Operational (O): data retention enforcement; data subject rights fulfilment process; cross-border transfer review</t>
        </is>
      </c>
      <c r="AU177" s="199" t="inlineStr">
        <is>
          <t>1. # data subject rights requests fulfilled on time (target: 100% within 30 days). 2. # data breaches notified to SDAIA within 72h (target: 100%). 3. % staff completed privacy training (target: 100%). 4. # DPIAs completed for high-risk processing activities. 5. Data retention compliance rate (% records within policy). 6. % third-party processors with DPA agreements</t>
        </is>
      </c>
      <c r="AV177" s="200" t="inlineStr">
        <is>
          <t>Annual DPIA review; data mapping audit (controller record validation); consent record audit; breach response simulation (tabletop); access control review for personal data systems; third-party processor audit; SDAIA compliance self-assessment</t>
        </is>
      </c>
      <c r="AW177" s="201" t="inlineStr">
        <is>
          <t>OneTrust (market leader for PDPL); TrustArc; Nymity; DataGrail; Varonis (data discovery); Microsoft Purview (data classification). SDAIA National Data Governance Platform for registration. Arabic-capable tools preferred</t>
        </is>
      </c>
      <c r="AX177" s="202" t="inlineStr">
        <is>
          <t>All third-party data processors must have Data Processing Agreement (DPA). Processors must demonstrate equivalent PDPL compliance. Cross-border transfers require adequacy assessment or appropriate safeguards. Sub-processor disclosure mandatory. Annual processor risk assessment required</t>
        </is>
      </c>
      <c r="AY177" s="203" t="inlineStr">
        <is>
          <t>Non-compliance: SAR 5M administrative fine; criminal prosecution for sensitive data breach; SDAIA investigation; mandatory breach public disclosure. Business disruption: SDAIA can order processing suspension. Reputational: patient trust damage. Market: EU adequate protection status depends on PDPL enforcement credibility</t>
        </is>
      </c>
      <c r="AZ177" s="200" t="inlineStr">
        <is>
          <t>ALL 17 SECTORS — any entity processing personal data</t>
        </is>
      </c>
      <c r="BA177" s="34" t="inlineStr">
        <is>
          <t>YES — ALL SECTORS</t>
        </is>
      </c>
      <c r="BB177" s="591">
        <f>IF(E177="","",IF(ISNUMBER(SEARCH("Institutional theory and regulatory governance theory underpin",AI177)),"TEMPLATE",IF(LEN(AI177)&gt;100,"DEEP",IF(AI177="","SPARSE","SHALLOW"))))</f>
        <v/>
      </c>
      <c r="BC177" s="591">
        <f>IF(E177="","",D177&amp;"-"&amp;B177&amp;"-"&amp;E177)</f>
        <v/>
      </c>
      <c r="BD177" s="591">
        <f>IF(E177="","",SUBSTITUTE(SUBSTITUTE(B177&amp;"-"&amp;E177," ",""),":","-"))</f>
        <v/>
      </c>
      <c r="BE177" s="591">
        <f>IF(E177="","",IF(ISNUMBER(SEARCH("ECC",E177)),"NCA-ECC-2-2024",IF(ISNUMBER(SEARCH("OTCC",E177)),"NCA-ECC-2-2024",IF(ISNUMBER(SEARCH("CCC",E177)),"NCA-ECC-2-2024",IF(ISNUMBER(SEARCH("DCC",E177)),"NCA-ECC-2-2024",IF(ISNUMBER(SEARCH("CSCC",E177)),"NCA-ECC-2-2024",IF(ISNUMBER(SEARCH("PDPL-IR",E177)),"PDPL-2021",IF(ISNUMBER(SEARCH("PDPL-DTR",E177)),"PDPL-2021","NONE"))))))))</f>
        <v/>
      </c>
      <c r="BF177" s="594">
        <f>IF(E177="","",IF(BB177="DEEP",10,IF(BB177="SHALLOW",5,IF(BB177="TEMPLATE",3,1)))+IF(N177="HIGHEST",5,IF(N177="HIGH",3,IF(N177="MODERATE",1,0)))+IF(ISNUMBER(SEARCH("Mandatory",L177)),3,0))</f>
        <v/>
      </c>
    </row>
    <row r="178" ht="42" customHeight="1">
      <c r="A178" s="204" t="n">
        <v>159</v>
      </c>
      <c r="B178" s="205" t="inlineStr">
        <is>
          <t>MONG</t>
        </is>
      </c>
      <c r="C178" s="190" t="inlineStr">
        <is>
          <t>Ministry of National Guard</t>
        </is>
      </c>
      <c r="D178" s="190" t="inlineStr">
        <is>
          <t>1. Ministries</t>
        </is>
      </c>
      <c r="E178" s="205" t="inlineStr">
        <is>
          <t>MONG-LAW</t>
        </is>
      </c>
      <c r="F178" s="192" t="inlineStr">
        <is>
          <t>NGHA Hospital Network Standards</t>
        </is>
      </c>
      <c r="G178" s="190" t="inlineStr">
        <is>
          <t>قانون/نظام اللوائح الرئيسية</t>
        </is>
      </c>
      <c r="H178" s="190" t="inlineStr">
        <is>
          <t>Active/Updated</t>
        </is>
      </c>
      <c r="I178" s="191" t="inlineStr">
        <is>
          <t>1983</t>
        </is>
      </c>
      <c r="J178" s="191" t="inlineStr">
        <is>
          <t>N/A</t>
        </is>
      </c>
      <c r="K178" s="190" t="inlineStr">
        <is>
          <t>ISSUES/ENFORCES</t>
        </is>
      </c>
      <c r="L178" s="22" t="inlineStr">
        <is>
          <t>Mandatory Enforcer</t>
        </is>
      </c>
      <c r="M178" s="190" t="inlineStr">
        <is>
          <t>Entities regulated by this ministry</t>
        </is>
      </c>
      <c r="N178" s="208" t="inlineStr">
        <is>
          <t>MODERATE</t>
        </is>
      </c>
      <c r="O178" s="207" t="inlineStr">
        <is>
          <t>https://mong.gov.sa or via www.moi.gov.sa</t>
        </is>
      </c>
      <c r="P178" s="190" t="inlineStr">
        <is>
          <t>Ministry official; BOE regulations archive</t>
        </is>
      </c>
      <c r="Q178" s="190" t="inlineStr">
        <is>
          <t>See official source for version history</t>
        </is>
      </c>
      <c r="R178" s="190" t="inlineStr">
        <is>
          <t>Framework issued by the relevant authority. Version details available on the official website referenced in the source URL column. The framework has been updated periodically since first issuance.</t>
        </is>
      </c>
      <c r="S178" s="191" t="inlineStr">
        <is>
          <t>See official source</t>
        </is>
      </c>
      <c r="T178" s="190" t="inlineStr">
        <is>
          <t>Updated as needed by the issuing authority</t>
        </is>
      </c>
      <c r="U178" s="25" t="inlineStr">
        <is>
          <t>CURRENT — consult official source for latest version</t>
        </is>
      </c>
      <c r="V178" s="190" t="inlineStr">
        <is>
          <t>Penalties defined by issuing authority; consult official source. NCA ECC-2 penalties apply if relevant</t>
        </is>
      </c>
      <c r="W178" s="192" t="inlineStr">
        <is>
          <t>Issuing authority and/or designated inspection department</t>
        </is>
      </c>
      <c r="X178" s="190" t="inlineStr">
        <is>
          <t>As specified in framework scope — consult official document</t>
        </is>
      </c>
      <c r="Y178" s="49" t="inlineStr">
        <is>
          <t>Both (unless specified otherwise in official document)</t>
        </is>
      </c>
      <c r="Z178" s="190" t="inlineStr">
        <is>
          <t>As defined by issuing authority</t>
        </is>
      </c>
      <c r="AA178" s="191" t="inlineStr">
        <is>
          <t>As defined by issuing authority</t>
        </is>
      </c>
      <c r="AB178" s="190" t="inlineStr">
        <is>
          <t>To be determined from framework text — see official source</t>
        </is>
      </c>
      <c r="AC178" s="190" t="inlineStr">
        <is>
          <t>See framework preamble for international standard references</t>
        </is>
      </c>
      <c r="AD178" s="49" t="inlineStr">
        <is>
          <t>Arabic (primary in KSA); English may be available</t>
        </is>
      </c>
      <c r="AE178" s="58" t="inlineStr">
        <is>
          <t>Mapped to relevant GH-ICGA layer — requires manual assessment</t>
        </is>
      </c>
      <c r="AF178" s="56" t="inlineStr">
        <is>
          <t>See official framework for maturity model details</t>
        </is>
      </c>
      <c r="AG178" s="190" t="inlineStr">
        <is>
          <t>Aligned with relevant Vision 2030 programme — see framework context</t>
        </is>
      </c>
      <c r="AH178" s="190" t="inlineStr">
        <is>
          <t>As specified in framework compliance requirements</t>
        </is>
      </c>
      <c r="AI178" s="193" t="inlineStr">
        <is>
          <t>Institutional theory and regulatory governance theory underpin all KSA regulatory frameworks. Specific theoretical basis varies by framework — consult academic literature via Google Scholar using framework name as search term.</t>
        </is>
      </c>
      <c r="AJ178" s="190" t="inlineStr">
        <is>
          <t>Academic debate varies by framework maturity and international adoption. For KSA-specific debate, consult: Almohammad &amp; Wills (2021) J Cybersecurity; Al-Khater et al. (2020) IEEE Access; Baker McKenzie KSA regulatory updates.</t>
        </is>
      </c>
      <c r="AK178" s="194" t="inlineStr">
        <is>
          <t>Known criticisms include: implementation gap between standards and practice; resource constraints for smaller healthcare entities; rapid technology evolution outpacing regulation. Consult framework evaluation literature for specifics.</t>
        </is>
      </c>
      <c r="AL178" s="195" t="inlineStr">
        <is>
          <t>Framework comparison requires contextual analysis. Key comparators: NIST CSF 2.0 (international benchmark), ISO 27001 (certifiable standard), ECC-2 (KSA mandatory baseline). See main database for cross-framework mapping.</t>
        </is>
      </c>
      <c r="AM178" s="19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78" s="197" t="inlineStr">
        <is>
          <t>Official: Consult the official source URL in the database for the primary document. Training: ISACA, ISC2, RAPS, IAPP, and HIMSS offer professional development covering most regulatory domains. Estimated hours vary by framework complexity.</t>
        </is>
      </c>
      <c r="AO178" s="198" t="inlineStr">
        <is>
          <t>Relevance to GH-ICGA framework varies by layer — see GH-ICGA Layer Mapping column. All KSA mandatory frameworks are compliance inputs to GH-ICGA Layer 4. Frameworks with IoMT-specific provisions directly inform Layers 2 and 3.</t>
        </is>
      </c>
      <c r="AP178" s="51" t="inlineStr">
        <is>
          <t>G + C (Governance + Compliance — standard regulatory framework positioning)</t>
        </is>
      </c>
      <c r="AQ178" s="26" t="inlineStr">
        <is>
          <t>Senior management: accountability for framework compliance. Designated compliance officer: monitor requirements. All staff: awareness of applicable obligations</t>
        </is>
      </c>
      <c r="AR178" s="194" t="inlineStr">
        <is>
          <t>Regulatory Risk; Operational Risk; Reputational Risk — specific domains determined by framework scope</t>
        </is>
      </c>
      <c r="AS178" s="22" t="inlineStr">
        <is>
          <t>See official source — legal obligation, regulatory requirement, or voluntary standard as applicable</t>
        </is>
      </c>
      <c r="AT178" s="195" t="inlineStr">
        <is>
          <t>Administrative; Technical; Operational — specific distribution determined by framework content</t>
        </is>
      </c>
      <c r="AU178" s="199" t="inlineStr">
        <is>
          <t>1. Compliance status (compliant/non-compliant). 2. # open findings from last assessment. 3. % controls implemented. 4. Time to remediate findings. 5. Incident rate in framework scope area</t>
        </is>
      </c>
      <c r="AV178" s="200" t="inlineStr">
        <is>
          <t>Self-assessment; internal audit; external assessment as specified by issuing authority</t>
        </is>
      </c>
      <c r="AW178" s="201" t="inlineStr">
        <is>
          <t>ServiceNow GRC; IBM OpenPages; RSA Archer; MetricStream — all major GRC platforms support custom framework import. Contact vendor for framework-specific module</t>
        </is>
      </c>
      <c r="AX178" s="202" t="inlineStr">
        <is>
          <t>Third parties in scope must demonstrate equivalent compliance. Contractual compliance obligations; right-to-audit clauses; annual third-party assessment</t>
        </is>
      </c>
      <c r="AY178" s="203" t="inlineStr">
        <is>
          <t>Non-compliance: regulatory action by issuing authority; fines and penalties as specified; operational and reputational consequences</t>
        </is>
      </c>
      <c r="AZ178" s="200" t="inlineStr">
        <is>
          <t>Sector-specific — consult official source</t>
        </is>
      </c>
      <c r="BA178" s="41" t="inlineStr">
        <is>
          <t>Sector-Specific</t>
        </is>
      </c>
      <c r="BB178" s="591">
        <f>IF(E178="","",IF(ISNUMBER(SEARCH("Institutional theory and regulatory governance theory underpin",AI178)),"TEMPLATE",IF(LEN(AI178)&gt;100,"DEEP",IF(AI178="","SPARSE","SHALLOW"))))</f>
        <v/>
      </c>
      <c r="BC178" s="591">
        <f>IF(E178="","",D178&amp;"-"&amp;B178&amp;"-"&amp;E178)</f>
        <v/>
      </c>
      <c r="BD178" s="591">
        <f>IF(E178="","",SUBSTITUTE(SUBSTITUTE(B178&amp;"-"&amp;E178," ",""),":","-"))</f>
        <v/>
      </c>
      <c r="BE178" s="591">
        <f>IF(E178="","",IF(ISNUMBER(SEARCH("ECC",E178)),"NCA-ECC-2-2024",IF(ISNUMBER(SEARCH("OTCC",E178)),"NCA-ECC-2-2024",IF(ISNUMBER(SEARCH("CCC",E178)),"NCA-ECC-2-2024",IF(ISNUMBER(SEARCH("DCC",E178)),"NCA-ECC-2-2024",IF(ISNUMBER(SEARCH("CSCC",E178)),"NCA-ECC-2-2024",IF(ISNUMBER(SEARCH("PDPL-IR",E178)),"PDPL-2021",IF(ISNUMBER(SEARCH("PDPL-DTR",E178)),"PDPL-2021","NONE"))))))))</f>
        <v/>
      </c>
      <c r="BF178" s="594">
        <f>IF(E178="","",IF(BB178="DEEP",10,IF(BB178="SHALLOW",5,IF(BB178="TEMPLATE",3,1)))+IF(N178="HIGHEST",5,IF(N178="HIGH",3,IF(N178="MODERATE",1,0)))+IF(ISNUMBER(SEARCH("Mandatory",L178)),3,0))</f>
        <v/>
      </c>
    </row>
    <row r="179" ht="42" customHeight="1">
      <c r="A179" s="42" t="n">
        <v>160</v>
      </c>
      <c r="B179" s="189" t="inlineStr">
        <is>
          <t>MONG</t>
        </is>
      </c>
      <c r="C179" s="44" t="inlineStr">
        <is>
          <t>Ministry of National Guard</t>
        </is>
      </c>
      <c r="D179" s="44" t="inlineStr">
        <is>
          <t>1. Ministries</t>
        </is>
      </c>
      <c r="E179" s="189" t="inlineStr">
        <is>
          <t>NCA-ECC-2:2024</t>
        </is>
      </c>
      <c r="F179" s="45" t="inlineStr">
        <is>
          <t>Essential Cybersecurity Controls</t>
        </is>
      </c>
      <c r="G179" s="44" t="inlineStr">
        <is>
          <t>ضوابط الأمن السيبراني الأساسية</t>
        </is>
      </c>
      <c r="H179" s="44" t="inlineStr">
        <is>
          <t>ECC-2:2024</t>
        </is>
      </c>
      <c r="I179" s="46" t="inlineStr">
        <is>
          <t>2018</t>
        </is>
      </c>
      <c r="J179" s="46" t="inlineStr">
        <is>
          <t>108</t>
        </is>
      </c>
      <c r="K179" s="44" t="inlineStr">
        <is>
          <t>MUST COMPLY WITH</t>
        </is>
      </c>
      <c r="L179" s="66" t="inlineStr">
        <is>
          <t>Mandatory Complier</t>
        </is>
      </c>
      <c r="M179" s="44" t="inlineStr">
        <is>
          <t>Ministry of National Guard as government entity</t>
        </is>
      </c>
      <c r="N179" s="59" t="inlineStr">
        <is>
          <t>LOW</t>
        </is>
      </c>
      <c r="O179" s="48" t="inlineStr">
        <is>
          <t>https://nca.gov.sa/</t>
        </is>
      </c>
      <c r="P179" s="44" t="inlineStr">
        <is>
          <t>NCA ECC scope</t>
        </is>
      </c>
      <c r="Q179" s="190" t="inlineStr">
        <is>
          <t>See official source for version history</t>
        </is>
      </c>
      <c r="R179" s="190" t="inlineStr">
        <is>
          <t>Framework issued by the relevant authority. Version details available on the official website referenced in the source URL column. The framework has been updated periodically since first issuance.</t>
        </is>
      </c>
      <c r="S179" s="191" t="inlineStr">
        <is>
          <t>See official source</t>
        </is>
      </c>
      <c r="T179" s="190" t="inlineStr">
        <is>
          <t>Updated as needed by the issuing authority</t>
        </is>
      </c>
      <c r="U179" s="25" t="inlineStr">
        <is>
          <t>CURRENT — consult official source for latest version</t>
        </is>
      </c>
      <c r="V179" s="190" t="inlineStr">
        <is>
          <t>Penalties defined by issuing authority; consult official source. NCA ECC-2 penalties apply if relevant</t>
        </is>
      </c>
      <c r="W179" s="192" t="inlineStr">
        <is>
          <t>Issuing authority and/or designated inspection department</t>
        </is>
      </c>
      <c r="X179" s="190" t="inlineStr">
        <is>
          <t>As specified in framework scope — consult official document</t>
        </is>
      </c>
      <c r="Y179" s="49" t="inlineStr">
        <is>
          <t>Both (unless specified otherwise in official document)</t>
        </is>
      </c>
      <c r="Z179" s="190" t="inlineStr">
        <is>
          <t>As defined by issuing authority</t>
        </is>
      </c>
      <c r="AA179" s="191" t="inlineStr">
        <is>
          <t>As defined by issuing authority</t>
        </is>
      </c>
      <c r="AB179" s="190" t="inlineStr">
        <is>
          <t>To be determined from framework text — see official source</t>
        </is>
      </c>
      <c r="AC179" s="190" t="inlineStr">
        <is>
          <t>See framework preamble for international standard references</t>
        </is>
      </c>
      <c r="AD179" s="49" t="inlineStr">
        <is>
          <t>Arabic (primary in KSA); English may be available</t>
        </is>
      </c>
      <c r="AE179" s="58" t="inlineStr">
        <is>
          <t>Mapped to relevant GH-ICGA layer — requires manual assessment</t>
        </is>
      </c>
      <c r="AF179" s="56" t="inlineStr">
        <is>
          <t>See official framework for maturity model details</t>
        </is>
      </c>
      <c r="AG179" s="190" t="inlineStr">
        <is>
          <t>Aligned with relevant Vision 2030 programme — see framework context</t>
        </is>
      </c>
      <c r="AH179" s="190" t="inlineStr">
        <is>
          <t>As specified in framework compliance requirements</t>
        </is>
      </c>
      <c r="AI179" s="193" t="inlineStr">
        <is>
          <t>Institutional theory and regulatory governance theory underpin all KSA regulatory frameworks. Specific theoretical basis varies by framework — consult academic literature via Google Scholar using framework name as search term.</t>
        </is>
      </c>
      <c r="AJ179" s="190" t="inlineStr">
        <is>
          <t>Academic debate varies by framework maturity and international adoption. For KSA-specific debate, consult: Almohammad &amp; Wills (2021) J Cybersecurity; Al-Khater et al. (2020) IEEE Access; Baker McKenzie KSA regulatory updates.</t>
        </is>
      </c>
      <c r="AK179" s="194" t="inlineStr">
        <is>
          <t>Known criticisms include: implementation gap between standards and practice; resource constraints for smaller healthcare entities; rapid technology evolution outpacing regulation. Consult framework evaluation literature for specifics.</t>
        </is>
      </c>
      <c r="AL179" s="195" t="inlineStr">
        <is>
          <t>Framework comparison requires contextual analysis. Key comparators: NIST CSF 2.0 (international benchmark), ISO 27001 (certifiable standard), ECC-2 (KSA mandatory baseline). See main database for cross-framework mapping.</t>
        </is>
      </c>
      <c r="AM179" s="19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79" s="197" t="inlineStr">
        <is>
          <t>Official: Consult the official source URL in the database for the primary document. Training: ISACA, ISC2, RAPS, IAPP, and HIMSS offer professional development covering most regulatory domains. Estimated hours vary by framework complexity.</t>
        </is>
      </c>
      <c r="AO179" s="198" t="inlineStr">
        <is>
          <t>Relevance to GH-ICGA framework varies by layer — see GH-ICGA Layer Mapping column. All KSA mandatory frameworks are compliance inputs to GH-ICGA Layer 4. Frameworks with IoMT-specific provisions directly inform Layers 2 and 3.</t>
        </is>
      </c>
      <c r="AP179" s="51" t="inlineStr">
        <is>
          <t>G + C (Governance + Compliance — standard regulatory framework positioning)</t>
        </is>
      </c>
      <c r="AQ179" s="26" t="inlineStr">
        <is>
          <t>Senior management: accountability for framework compliance. Designated compliance officer: monitor requirements. All staff: awareness of applicable obligations</t>
        </is>
      </c>
      <c r="AR179" s="194" t="inlineStr">
        <is>
          <t>Regulatory Risk; Operational Risk; Reputational Risk — specific domains determined by framework scope</t>
        </is>
      </c>
      <c r="AS179" s="22" t="inlineStr">
        <is>
          <t>See official source — legal obligation, regulatory requirement, or voluntary standard as applicable</t>
        </is>
      </c>
      <c r="AT179" s="195" t="inlineStr">
        <is>
          <t>Administrative; Technical; Operational — specific distribution determined by framework content</t>
        </is>
      </c>
      <c r="AU179" s="199" t="inlineStr">
        <is>
          <t>1. Compliance status (compliant/non-compliant). 2. # open findings from last assessment. 3. % controls implemented. 4. Time to remediate findings. 5. Incident rate in framework scope area</t>
        </is>
      </c>
      <c r="AV179" s="200" t="inlineStr">
        <is>
          <t>Self-assessment; internal audit; external assessment as specified by issuing authority</t>
        </is>
      </c>
      <c r="AW179" s="201" t="inlineStr">
        <is>
          <t>ServiceNow GRC; IBM OpenPages; RSA Archer; MetricStream — all major GRC platforms support custom framework import. Contact vendor for framework-specific module</t>
        </is>
      </c>
      <c r="AX179" s="202" t="inlineStr">
        <is>
          <t>Third parties in scope must demonstrate equivalent compliance. Contractual compliance obligations; right-to-audit clauses; annual third-party assessment</t>
        </is>
      </c>
      <c r="AY179" s="203" t="inlineStr">
        <is>
          <t>Non-compliance: regulatory action by issuing authority; fines and penalties as specified; operational and reputational consequences</t>
        </is>
      </c>
      <c r="AZ179" s="200" t="inlineStr">
        <is>
          <t>ALL 17 SECTORS</t>
        </is>
      </c>
      <c r="BA179" s="34" t="inlineStr">
        <is>
          <t>YES — ALL SECTORS</t>
        </is>
      </c>
      <c r="BB179" s="591">
        <f>IF(E179="","",IF(ISNUMBER(SEARCH("Institutional theory and regulatory governance theory underpin",AI179)),"TEMPLATE",IF(LEN(AI179)&gt;100,"DEEP",IF(AI179="","SPARSE","SHALLOW"))))</f>
        <v/>
      </c>
      <c r="BC179" s="591">
        <f>IF(E179="","",D179&amp;"-"&amp;B179&amp;"-"&amp;E179)</f>
        <v/>
      </c>
      <c r="BD179" s="591">
        <f>IF(E179="","",SUBSTITUTE(SUBSTITUTE(B179&amp;"-"&amp;E179," ",""),":","-"))</f>
        <v/>
      </c>
      <c r="BE179" s="591">
        <f>IF(E179="","",IF(ISNUMBER(SEARCH("ECC",E179)),"NCA-ECC-2-2024",IF(ISNUMBER(SEARCH("OTCC",E179)),"NCA-ECC-2-2024",IF(ISNUMBER(SEARCH("CCC",E179)),"NCA-ECC-2-2024",IF(ISNUMBER(SEARCH("DCC",E179)),"NCA-ECC-2-2024",IF(ISNUMBER(SEARCH("CSCC",E179)),"NCA-ECC-2-2024",IF(ISNUMBER(SEARCH("PDPL-IR",E179)),"PDPL-2021",IF(ISNUMBER(SEARCH("PDPL-DTR",E179)),"PDPL-2021","NONE"))))))))</f>
        <v/>
      </c>
      <c r="BF179" s="594">
        <f>IF(E179="","",IF(BB179="DEEP",10,IF(BB179="SHALLOW",5,IF(BB179="TEMPLATE",3,1)))+IF(N179="HIGHEST",5,IF(N179="HIGH",3,IF(N179="MODERATE",1,0)))+IF(ISNUMBER(SEARCH("Mandatory",L179)),3,0))</f>
        <v/>
      </c>
    </row>
    <row r="180" ht="42" customHeight="1">
      <c r="A180" s="204" t="n">
        <v>161</v>
      </c>
      <c r="B180" s="205" t="inlineStr">
        <is>
          <t>MONG</t>
        </is>
      </c>
      <c r="C180" s="190" t="inlineStr">
        <is>
          <t>Ministry of National Guard</t>
        </is>
      </c>
      <c r="D180" s="190" t="inlineStr">
        <is>
          <t>1. Ministries</t>
        </is>
      </c>
      <c r="E180" s="205" t="inlineStr">
        <is>
          <t>PDPL-2021</t>
        </is>
      </c>
      <c r="F180" s="192" t="inlineStr">
        <is>
          <t>Personal Data Protection Law</t>
        </is>
      </c>
      <c r="G180" s="190" t="inlineStr">
        <is>
          <t>نظام حماية البيانات الشخصية</t>
        </is>
      </c>
      <c r="H180" s="190" t="inlineStr">
        <is>
          <t>2021+IR 2023</t>
        </is>
      </c>
      <c r="I180" s="191" t="inlineStr">
        <is>
          <t>2021</t>
        </is>
      </c>
      <c r="J180" s="191" t="inlineStr">
        <is>
          <t>45</t>
        </is>
      </c>
      <c r="K180" s="190" t="inlineStr">
        <is>
          <t>MUST COMPLY WITH</t>
        </is>
      </c>
      <c r="L180" s="66" t="inlineStr">
        <is>
          <t>Mandatory Complier</t>
        </is>
      </c>
      <c r="M180" s="190" t="inlineStr">
        <is>
          <t>Ministry of National Guard processes personal data of employees and regulated parties</t>
        </is>
      </c>
      <c r="N180" s="209" t="inlineStr">
        <is>
          <t>LOW</t>
        </is>
      </c>
      <c r="O180" s="207" t="inlineStr">
        <is>
          <t>https://sdaia.gov.sa/</t>
        </is>
      </c>
      <c r="P180" s="190" t="inlineStr">
        <is>
          <t>SDAIA</t>
        </is>
      </c>
      <c r="Q180" s="190" t="inlineStr">
        <is>
          <t>Royal Decree M/19 (16 Sep 2021) → amended Apr 2023</t>
        </is>
      </c>
      <c r="R180" s="190" t="inlineStr">
        <is>
          <t>Original (2021): 19 articles covering consent, data subject rights, controller obligations, sensitive data (health = sensitive), cross-border transfer. Apr 2023 amendment: strengthened enforcement, clarified health data provisions, aligned with PDPL-IR-2023. Grace period for compliance ended Sep 14, 2024. Penalties: up to SAR 5 million fine + 2 years imprisonment for sensitive data breach</t>
        </is>
      </c>
      <c r="S180" s="191" t="inlineStr">
        <is>
          <t>Issued: Sep 2021. Amended: Apr 2023. Fully enforceable: Sep 14, 2024</t>
        </is>
      </c>
      <c r="T180" s="190" t="inlineStr">
        <is>
          <t>SDAIA reviews annually; amendments expected 2025-2026</t>
        </is>
      </c>
      <c r="U180" s="25" t="inlineStr">
        <is>
          <t>CURRENT — fully enforceable since Sep 2024</t>
        </is>
      </c>
      <c r="V180" s="190" t="inlineStr">
        <is>
          <t>Criminal offence: up to 2 years imprisonment + SAR 3M fine for disclosing sensitive data (health data = sensitive); administrative fine up to SAR 5M; mandatory breach notification to SDAIA within 72 hours; data subject compensation claims</t>
        </is>
      </c>
      <c r="W180" s="192" t="inlineStr">
        <is>
          <t>SDAIA — Data Protection Authority (DPA functions); NDMO for government entities; courts for criminal penalties</t>
        </is>
      </c>
      <c r="X180" s="190" t="inlineStr">
        <is>
          <t>Hospital; Clinic; Lab; Pharmacy; Health IT Vendor; Health Insurer; Government Health Entity; Medical Device Manufacturer (all processing patient data)</t>
        </is>
      </c>
      <c r="Y180" s="49" t="inlineStr">
        <is>
          <t>Both + foreign entities processing data of KSA residents</t>
        </is>
      </c>
      <c r="Z180" s="190" t="inlineStr">
        <is>
          <t>SDAIA audit; controller self-assessment; DPO oversight; data subject complaints trigger investigation</t>
        </is>
      </c>
      <c r="AA180" s="191" t="inlineStr">
        <is>
          <t>Continuous (breach notification: 72 hours); annual DPO report; SDAIA random audits</t>
        </is>
      </c>
      <c r="AB180" s="190" t="inlineStr">
        <is>
          <t>12 (IoMT data minimisation; purpose limitation; consent management for wearable data; automated decision-making; data subject rights for IoMT-generated health data; cross-border transfer of IoMT data)</t>
        </is>
      </c>
      <c r="AC180" s="190" t="inlineStr">
        <is>
          <t>GDPR (substantial alignment — adequate protection basis); APEC Privacy Framework; ISO 29100; ISO 27701</t>
        </is>
      </c>
      <c r="AD180" s="49" t="inlineStr">
        <is>
          <t>Arabic (official); English translation (unofficial)</t>
        </is>
      </c>
      <c r="AE180" s="50" t="inlineStr">
        <is>
          <t>Layer 4: Compliance; Layer 2: Risk Management</t>
        </is>
      </c>
      <c r="AF180" s="60" t="inlineStr">
        <is>
          <t>No formal maturity model; SDAIA publishes compliance guidance</t>
        </is>
      </c>
      <c r="AG180" s="190" t="inlineStr">
        <is>
          <t>National Data Strategy; Vision 2030 Digital Economy; Digital Government transformation</t>
        </is>
      </c>
      <c r="AH180" s="190" t="inlineStr">
        <is>
          <t>Privacy notices; consent records; DPO appointment letter; data mapping/flow diagrams; breach notification records; DPIA for health data processing; controller registration</t>
        </is>
      </c>
      <c r="AI180" s="193" t="inlineStr">
        <is>
          <t>Privacy as fundamental right (Warren &amp; Brandeis 1890; Westin 1967). Contextual integrity theory (Nissenbaum 2004): health data flows must match medical context norms. Regulatory theory: data protection authority independence and enforcement. Information asymmetry theory: patients cannot protect their own data without regulation.</t>
        </is>
      </c>
      <c r="AJ180" s="190" t="inlineStr">
        <is>
          <t>FOR: Long-overdue — KSA had no comprehensive data protection law until 2021; health data explicitly protected as sensitive category; aligns KSA with global adequacy standards. AGAINST: Alrawabdeh (2014) and Aldawood &amp; Skinner (2019) documented Saudi privacy culture gap — regulation without public awareness is ineffective; 'GDPR-lite' criticism: exemptions broader than GDPR, enforcement weaker; health data provisions in IR still less specific than UK GDPR Schedule 1 conditions</t>
        </is>
      </c>
      <c r="AK180" s="194" t="inlineStr">
        <is>
          <t>No independent supervisory authority (SDAIA is both promoter and regulator — conflict of interest noted by Baker McKenzie 2025); patient data portability rights weaker than GDPR Article 20; no explicit right to explanation for AI-automated health decisions; cross-border transfer rules changed twice in 12 months (regulatory instability); small healthcare providers lack capacity for DPO requirements</t>
        </is>
      </c>
      <c r="AL180" s="195" t="inlineStr">
        <is>
          <t>PDPL vs GDPR: PDPL penalty lower (SAR 5M vs €20M); PDPL broader government exemptions; GDPR has independent DPA, PDPL does not. PDPL vs HIPAA: PDPL = all personal data (broader); HIPAA = US-specific health data only. PDPL vs UK GDPR: PDPL misses explicit Schedule 1 health data conditions. PDPL ahead of HIPAA on consent granularity; behind GDPR on enforcement independence</t>
        </is>
      </c>
      <c r="AM180" s="196" t="inlineStr">
        <is>
          <t>Baker McKenzie (2025) Saudi Arabia PDPL Global Data &amp; Cyber Handbook; Alrawabdeh W (2014) 'Internet and Social Media Challenges in Arab World' EJSR; Westin AF (1967) Privacy and Freedom NY Atheneum; Nissenbaum H (2004) 'Privacy as Contextual Integrity' Washington Law Review 79(1); CMS Law (2025) Saudi Arabia Data Protection &amp; Cybersecurity Expert Guide Oct 2025</t>
        </is>
      </c>
      <c r="AN180" s="197" t="inlineStr">
        <is>
          <t>Official: SDAIA website (sdaia.gov.sa) — Arabic + English. Training: IAPP CIPM/CIPP/E (privacy certifications applicable); OneTrust PDPL compliance course; Baker McKenzie PDPL compliance guide. Language: Arabic primary — strong Arabic reading recommended. Estimated: 50 hours for health sector DPO competence</t>
        </is>
      </c>
      <c r="AO180" s="198" t="inlineStr">
        <is>
          <t>PRIMARY driver for GH-ICGA Layer 4 (Compliance) — PDPL is the legal foundation for patient data governance in the preliminary GH-ICGA framework. Thesis argument: GH-ICGA Layer 4 operationalises PDPL requirements into IoMT-specific controls (consent management for wearable data; purpose limitation for monitoring streams; breach response for connected device incidents)</t>
        </is>
      </c>
      <c r="AP180" s="51" t="inlineStr">
        <is>
          <t>G + C (Governance + Compliance — strong compliance driver; risk implicit)</t>
        </is>
      </c>
      <c r="AQ180" s="26" t="inlineStr">
        <is>
          <t>Board/CEO: ultimate accountability for PDPL compliance. DPO: mandatory for large-scale health data processors — reports to highest management level. Privacy Committee: cross-functional oversight. All staff processing personal data: mandatory privacy awareness training annually</t>
        </is>
      </c>
      <c r="AR180" s="194" t="inlineStr">
        <is>
          <t>Privacy Risk (PRIMARY); Legal/Regulatory Risk; Reputational Risk; Strategic Risk (data monetisation constraints); Cross-Border Risk (data transfer restrictions)</t>
        </is>
      </c>
      <c r="AS180" s="22" t="inlineStr">
        <is>
          <t>LEGAL — Royal Decree M/19 2021 + Implementing Regulations Sep 2023. Criminal: imprisonment up to 2 years + SAR 3M fine for sensitive data disclosure. Administrative: SAR 5M maximum fine. Civil: data subject compensation claims</t>
        </is>
      </c>
      <c r="AT180" s="195" t="inlineStr">
        <is>
          <t>Administrative (A): consent management; privacy notices; DPO appointment; DPIA process; breach notification procedure. Technical (T): data minimisation; pseudonymisation; access controls for personal data; encryption. Operational (O): data retention enforcement; data subject rights fulfilment process; cross-border transfer review</t>
        </is>
      </c>
      <c r="AU180" s="199" t="inlineStr">
        <is>
          <t>1. # data subject rights requests fulfilled on time (target: 100% within 30 days). 2. # data breaches notified to SDAIA within 72h (target: 100%). 3. % staff completed privacy training (target: 100%). 4. # DPIAs completed for high-risk processing activities. 5. Data retention compliance rate (% records within policy). 6. % third-party processors with DPA agreements</t>
        </is>
      </c>
      <c r="AV180" s="200" t="inlineStr">
        <is>
          <t>Annual DPIA review; data mapping audit (controller record validation); consent record audit; breach response simulation (tabletop); access control review for personal data systems; third-party processor audit; SDAIA compliance self-assessment</t>
        </is>
      </c>
      <c r="AW180" s="201" t="inlineStr">
        <is>
          <t>OneTrust (market leader for PDPL); TrustArc; Nymity; DataGrail; Varonis (data discovery); Microsoft Purview (data classification). SDAIA National Data Governance Platform for registration. Arabic-capable tools preferred</t>
        </is>
      </c>
      <c r="AX180" s="202" t="inlineStr">
        <is>
          <t>All third-party data processors must have Data Processing Agreement (DPA). Processors must demonstrate equivalent PDPL compliance. Cross-border transfers require adequacy assessment or appropriate safeguards. Sub-processor disclosure mandatory. Annual processor risk assessment required</t>
        </is>
      </c>
      <c r="AY180" s="203" t="inlineStr">
        <is>
          <t>Non-compliance: SAR 5M administrative fine; criminal prosecution for sensitive data breach; SDAIA investigation; mandatory breach public disclosure. Business disruption: SDAIA can order processing suspension. Reputational: patient trust damage. Market: EU adequate protection status depends on PDPL enforcement credibility</t>
        </is>
      </c>
      <c r="AZ180" s="200" t="inlineStr">
        <is>
          <t>ALL 17 SECTORS — any entity processing personal data</t>
        </is>
      </c>
      <c r="BA180" s="34" t="inlineStr">
        <is>
          <t>YES — ALL SECTORS</t>
        </is>
      </c>
      <c r="BB180" s="591">
        <f>IF(E180="","",IF(ISNUMBER(SEARCH("Institutional theory and regulatory governance theory underpin",AI180)),"TEMPLATE",IF(LEN(AI180)&gt;100,"DEEP",IF(AI180="","SPARSE","SHALLOW"))))</f>
        <v/>
      </c>
      <c r="BC180" s="591">
        <f>IF(E180="","",D180&amp;"-"&amp;B180&amp;"-"&amp;E180)</f>
        <v/>
      </c>
      <c r="BD180" s="591">
        <f>IF(E180="","",SUBSTITUTE(SUBSTITUTE(B180&amp;"-"&amp;E180," ",""),":","-"))</f>
        <v/>
      </c>
      <c r="BE180" s="591">
        <f>IF(E180="","",IF(ISNUMBER(SEARCH("ECC",E180)),"NCA-ECC-2-2024",IF(ISNUMBER(SEARCH("OTCC",E180)),"NCA-ECC-2-2024",IF(ISNUMBER(SEARCH("CCC",E180)),"NCA-ECC-2-2024",IF(ISNUMBER(SEARCH("DCC",E180)),"NCA-ECC-2-2024",IF(ISNUMBER(SEARCH("CSCC",E180)),"NCA-ECC-2-2024",IF(ISNUMBER(SEARCH("PDPL-IR",E180)),"PDPL-2021",IF(ISNUMBER(SEARCH("PDPL-DTR",E180)),"PDPL-2021","NONE"))))))))</f>
        <v/>
      </c>
      <c r="BF180" s="594">
        <f>IF(E180="","",IF(BB180="DEEP",10,IF(BB180="SHALLOW",5,IF(BB180="TEMPLATE",3,1)))+IF(N180="HIGHEST",5,IF(N180="HIGH",3,IF(N180="MODERATE",1,0)))+IF(ISNUMBER(SEARCH("Mandatory",L180)),3,0))</f>
        <v/>
      </c>
    </row>
    <row r="181" ht="42" customHeight="1">
      <c r="A181" s="42" t="n">
        <v>162</v>
      </c>
      <c r="B181" s="189" t="inlineStr">
        <is>
          <t>MEWA</t>
        </is>
      </c>
      <c r="C181" s="44" t="inlineStr">
        <is>
          <t>Ministry of Environment Water &amp; Agriculture</t>
        </is>
      </c>
      <c r="D181" s="44" t="inlineStr">
        <is>
          <t>1. Ministries</t>
        </is>
      </c>
      <c r="E181" s="189" t="inlineStr">
        <is>
          <t>MEWA-LAW</t>
        </is>
      </c>
      <c r="F181" s="45" t="inlineStr">
        <is>
          <t>Environment &amp; Water Law</t>
        </is>
      </c>
      <c r="G181" s="44" t="inlineStr">
        <is>
          <t>قانون/نظام اللوائح الرئيسية</t>
        </is>
      </c>
      <c r="H181" s="44" t="inlineStr">
        <is>
          <t>Active/Updated</t>
        </is>
      </c>
      <c r="I181" s="46" t="inlineStr">
        <is>
          <t>1995</t>
        </is>
      </c>
      <c r="J181" s="46" t="inlineStr">
        <is>
          <t>N/A</t>
        </is>
      </c>
      <c r="K181" s="44" t="inlineStr">
        <is>
          <t>ISSUES/ENFORCES</t>
        </is>
      </c>
      <c r="L181" s="22" t="inlineStr">
        <is>
          <t>Mandatory Enforcer</t>
        </is>
      </c>
      <c r="M181" s="44" t="inlineStr">
        <is>
          <t>Entities regulated by this ministry</t>
        </is>
      </c>
      <c r="N181" s="55" t="inlineStr">
        <is>
          <t>MODERATE</t>
        </is>
      </c>
      <c r="O181" s="48" t="inlineStr">
        <is>
          <t>https://mewa.gov.sa or via www.moi.gov.sa</t>
        </is>
      </c>
      <c r="P181" s="44" t="inlineStr">
        <is>
          <t>Ministry official; BOE regulations archive</t>
        </is>
      </c>
      <c r="Q181" s="190" t="inlineStr">
        <is>
          <t>See official source for version history</t>
        </is>
      </c>
      <c r="R181" s="190" t="inlineStr">
        <is>
          <t>Framework issued by the relevant authority. Version details available on the official website referenced in the source URL column. The framework has been updated periodically since first issuance.</t>
        </is>
      </c>
      <c r="S181" s="191" t="inlineStr">
        <is>
          <t>See official source</t>
        </is>
      </c>
      <c r="T181" s="190" t="inlineStr">
        <is>
          <t>Updated as needed by the issuing authority</t>
        </is>
      </c>
      <c r="U181" s="25" t="inlineStr">
        <is>
          <t>CURRENT — consult official source for latest version</t>
        </is>
      </c>
      <c r="V181" s="190" t="inlineStr">
        <is>
          <t>Penalties defined by issuing authority; consult official source. NCA ECC-2 penalties apply if relevant</t>
        </is>
      </c>
      <c r="W181" s="192" t="inlineStr">
        <is>
          <t>Issuing authority and/or designated inspection department</t>
        </is>
      </c>
      <c r="X181" s="190" t="inlineStr">
        <is>
          <t>As specified in framework scope — consult official document</t>
        </is>
      </c>
      <c r="Y181" s="49" t="inlineStr">
        <is>
          <t>Both (unless specified otherwise in official document)</t>
        </is>
      </c>
      <c r="Z181" s="190" t="inlineStr">
        <is>
          <t>As defined by issuing authority</t>
        </is>
      </c>
      <c r="AA181" s="191" t="inlineStr">
        <is>
          <t>As defined by issuing authority</t>
        </is>
      </c>
      <c r="AB181" s="190" t="inlineStr">
        <is>
          <t>To be determined from framework text — see official source</t>
        </is>
      </c>
      <c r="AC181" s="190" t="inlineStr">
        <is>
          <t>See framework preamble for international standard references</t>
        </is>
      </c>
      <c r="AD181" s="49" t="inlineStr">
        <is>
          <t>Arabic (primary in KSA); English may be available</t>
        </is>
      </c>
      <c r="AE181" s="58" t="inlineStr">
        <is>
          <t>Mapped to relevant GH-ICGA layer — requires manual assessment</t>
        </is>
      </c>
      <c r="AF181" s="56" t="inlineStr">
        <is>
          <t>See official framework for maturity model details</t>
        </is>
      </c>
      <c r="AG181" s="190" t="inlineStr">
        <is>
          <t>Aligned with relevant Vision 2030 programme — see framework context</t>
        </is>
      </c>
      <c r="AH181" s="190" t="inlineStr">
        <is>
          <t>As specified in framework compliance requirements</t>
        </is>
      </c>
      <c r="AI181" s="193" t="inlineStr">
        <is>
          <t>Institutional theory and regulatory governance theory underpin all KSA regulatory frameworks. Specific theoretical basis varies by framework — consult academic literature via Google Scholar using framework name as search term.</t>
        </is>
      </c>
      <c r="AJ181" s="190" t="inlineStr">
        <is>
          <t>Academic debate varies by framework maturity and international adoption. For KSA-specific debate, consult: Almohammad &amp; Wills (2021) J Cybersecurity; Al-Khater et al. (2020) IEEE Access; Baker McKenzie KSA regulatory updates.</t>
        </is>
      </c>
      <c r="AK181" s="194" t="inlineStr">
        <is>
          <t>Known criticisms include: implementation gap between standards and practice; resource constraints for smaller healthcare entities; rapid technology evolution outpacing regulation. Consult framework evaluation literature for specifics.</t>
        </is>
      </c>
      <c r="AL181" s="195" t="inlineStr">
        <is>
          <t>Framework comparison requires contextual analysis. Key comparators: NIST CSF 2.0 (international benchmark), ISO 27001 (certifiable standard), ECC-2 (KSA mandatory baseline). See main database for cross-framework mapping.</t>
        </is>
      </c>
      <c r="AM181" s="19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81" s="197" t="inlineStr">
        <is>
          <t>Official: Consult the official source URL in the database for the primary document. Training: ISACA, ISC2, RAPS, IAPP, and HIMSS offer professional development covering most regulatory domains. Estimated hours vary by framework complexity.</t>
        </is>
      </c>
      <c r="AO181" s="198" t="inlineStr">
        <is>
          <t>Relevance to GH-ICGA framework varies by layer — see GH-ICGA Layer Mapping column. All KSA mandatory frameworks are compliance inputs to GH-ICGA Layer 4. Frameworks with IoMT-specific provisions directly inform Layers 2 and 3.</t>
        </is>
      </c>
      <c r="AP181" s="51" t="inlineStr">
        <is>
          <t>G + C (Governance + Compliance — standard regulatory framework positioning)</t>
        </is>
      </c>
      <c r="AQ181" s="26" t="inlineStr">
        <is>
          <t>Senior management: accountability for framework compliance. Designated compliance officer: monitor requirements. All staff: awareness of applicable obligations</t>
        </is>
      </c>
      <c r="AR181" s="194" t="inlineStr">
        <is>
          <t>Regulatory Risk; Operational Risk; Reputational Risk — specific domains determined by framework scope</t>
        </is>
      </c>
      <c r="AS181" s="22" t="inlineStr">
        <is>
          <t>See official source — legal obligation, regulatory requirement, or voluntary standard as applicable</t>
        </is>
      </c>
      <c r="AT181" s="195" t="inlineStr">
        <is>
          <t>Administrative; Technical; Operational — specific distribution determined by framework content</t>
        </is>
      </c>
      <c r="AU181" s="199" t="inlineStr">
        <is>
          <t>1. Compliance status (compliant/non-compliant). 2. # open findings from last assessment. 3. % controls implemented. 4. Time to remediate findings. 5. Incident rate in framework scope area</t>
        </is>
      </c>
      <c r="AV181" s="200" t="inlineStr">
        <is>
          <t>Self-assessment; internal audit; external assessment as specified by issuing authority</t>
        </is>
      </c>
      <c r="AW181" s="201" t="inlineStr">
        <is>
          <t>ServiceNow GRC; IBM OpenPages; RSA Archer; MetricStream — all major GRC platforms support custom framework import. Contact vendor for framework-specific module</t>
        </is>
      </c>
      <c r="AX181" s="202" t="inlineStr">
        <is>
          <t>Third parties in scope must demonstrate equivalent compliance. Contractual compliance obligations; right-to-audit clauses; annual third-party assessment</t>
        </is>
      </c>
      <c r="AY181" s="203" t="inlineStr">
        <is>
          <t>Non-compliance: regulatory action by issuing authority; fines and penalties as specified; operational and reputational consequences</t>
        </is>
      </c>
      <c r="AZ181" s="200" t="inlineStr">
        <is>
          <t>Sector-specific — consult official source</t>
        </is>
      </c>
      <c r="BA181" s="41" t="inlineStr">
        <is>
          <t>Sector-Specific</t>
        </is>
      </c>
      <c r="BB181" s="591">
        <f>IF(E181="","",IF(ISNUMBER(SEARCH("Institutional theory and regulatory governance theory underpin",AI181)),"TEMPLATE",IF(LEN(AI181)&gt;100,"DEEP",IF(AI181="","SPARSE","SHALLOW"))))</f>
        <v/>
      </c>
      <c r="BC181" s="591">
        <f>IF(E181="","",D181&amp;"-"&amp;B181&amp;"-"&amp;E181)</f>
        <v/>
      </c>
      <c r="BD181" s="591">
        <f>IF(E181="","",SUBSTITUTE(SUBSTITUTE(B181&amp;"-"&amp;E181," ",""),":","-"))</f>
        <v/>
      </c>
      <c r="BE181" s="591">
        <f>IF(E181="","",IF(ISNUMBER(SEARCH("ECC",E181)),"NCA-ECC-2-2024",IF(ISNUMBER(SEARCH("OTCC",E181)),"NCA-ECC-2-2024",IF(ISNUMBER(SEARCH("CCC",E181)),"NCA-ECC-2-2024",IF(ISNUMBER(SEARCH("DCC",E181)),"NCA-ECC-2-2024",IF(ISNUMBER(SEARCH("CSCC",E181)),"NCA-ECC-2-2024",IF(ISNUMBER(SEARCH("PDPL-IR",E181)),"PDPL-2021",IF(ISNUMBER(SEARCH("PDPL-DTR",E181)),"PDPL-2021","NONE"))))))))</f>
        <v/>
      </c>
      <c r="BF181" s="594">
        <f>IF(E181="","",IF(BB181="DEEP",10,IF(BB181="SHALLOW",5,IF(BB181="TEMPLATE",3,1)))+IF(N181="HIGHEST",5,IF(N181="HIGH",3,IF(N181="MODERATE",1,0)))+IF(ISNUMBER(SEARCH("Mandatory",L181)),3,0))</f>
        <v/>
      </c>
    </row>
    <row r="182" ht="42" customHeight="1">
      <c r="A182" s="204" t="n">
        <v>163</v>
      </c>
      <c r="B182" s="205" t="inlineStr">
        <is>
          <t>MEWA</t>
        </is>
      </c>
      <c r="C182" s="190" t="inlineStr">
        <is>
          <t>Ministry of Environment Water &amp; Agriculture</t>
        </is>
      </c>
      <c r="D182" s="190" t="inlineStr">
        <is>
          <t>1. Ministries</t>
        </is>
      </c>
      <c r="E182" s="205" t="inlineStr">
        <is>
          <t>NCA-ECC-2:2024</t>
        </is>
      </c>
      <c r="F182" s="192" t="inlineStr">
        <is>
          <t>Essential Cybersecurity Controls</t>
        </is>
      </c>
      <c r="G182" s="190" t="inlineStr">
        <is>
          <t>ضوابط الأمن السيبراني الأساسية</t>
        </is>
      </c>
      <c r="H182" s="190" t="inlineStr">
        <is>
          <t>ECC-2:2024</t>
        </is>
      </c>
      <c r="I182" s="191" t="inlineStr">
        <is>
          <t>2018</t>
        </is>
      </c>
      <c r="J182" s="191" t="inlineStr">
        <is>
          <t>108</t>
        </is>
      </c>
      <c r="K182" s="190" t="inlineStr">
        <is>
          <t>MUST COMPLY WITH</t>
        </is>
      </c>
      <c r="L182" s="66" t="inlineStr">
        <is>
          <t>Mandatory Complier</t>
        </is>
      </c>
      <c r="M182" s="190" t="inlineStr">
        <is>
          <t>Ministry of Environment Water &amp; Agriculture as government entity</t>
        </is>
      </c>
      <c r="N182" s="209" t="inlineStr">
        <is>
          <t>LOW</t>
        </is>
      </c>
      <c r="O182" s="207" t="inlineStr">
        <is>
          <t>https://nca.gov.sa/</t>
        </is>
      </c>
      <c r="P182" s="190" t="inlineStr">
        <is>
          <t>NCA ECC scope</t>
        </is>
      </c>
      <c r="Q182" s="190" t="inlineStr">
        <is>
          <t>See official source for version history</t>
        </is>
      </c>
      <c r="R182" s="190" t="inlineStr">
        <is>
          <t>Framework issued by the relevant authority. Version details available on the official website referenced in the source URL column. The framework has been updated periodically since first issuance.</t>
        </is>
      </c>
      <c r="S182" s="191" t="inlineStr">
        <is>
          <t>See official source</t>
        </is>
      </c>
      <c r="T182" s="190" t="inlineStr">
        <is>
          <t>Updated as needed by the issuing authority</t>
        </is>
      </c>
      <c r="U182" s="25" t="inlineStr">
        <is>
          <t>CURRENT — consult official source for latest version</t>
        </is>
      </c>
      <c r="V182" s="190" t="inlineStr">
        <is>
          <t>Penalties defined by issuing authority; consult official source. NCA ECC-2 penalties apply if relevant</t>
        </is>
      </c>
      <c r="W182" s="192" t="inlineStr">
        <is>
          <t>Issuing authority and/or designated inspection department</t>
        </is>
      </c>
      <c r="X182" s="190" t="inlineStr">
        <is>
          <t>As specified in framework scope — consult official document</t>
        </is>
      </c>
      <c r="Y182" s="49" t="inlineStr">
        <is>
          <t>Both (unless specified otherwise in official document)</t>
        </is>
      </c>
      <c r="Z182" s="190" t="inlineStr">
        <is>
          <t>As defined by issuing authority</t>
        </is>
      </c>
      <c r="AA182" s="191" t="inlineStr">
        <is>
          <t>As defined by issuing authority</t>
        </is>
      </c>
      <c r="AB182" s="190" t="inlineStr">
        <is>
          <t>To be determined from framework text — see official source</t>
        </is>
      </c>
      <c r="AC182" s="190" t="inlineStr">
        <is>
          <t>See framework preamble for international standard references</t>
        </is>
      </c>
      <c r="AD182" s="49" t="inlineStr">
        <is>
          <t>Arabic (primary in KSA); English may be available</t>
        </is>
      </c>
      <c r="AE182" s="58" t="inlineStr">
        <is>
          <t>Mapped to relevant GH-ICGA layer — requires manual assessment</t>
        </is>
      </c>
      <c r="AF182" s="56" t="inlineStr">
        <is>
          <t>See official framework for maturity model details</t>
        </is>
      </c>
      <c r="AG182" s="190" t="inlineStr">
        <is>
          <t>Aligned with relevant Vision 2030 programme — see framework context</t>
        </is>
      </c>
      <c r="AH182" s="190" t="inlineStr">
        <is>
          <t>As specified in framework compliance requirements</t>
        </is>
      </c>
      <c r="AI182" s="193" t="inlineStr">
        <is>
          <t>Institutional theory and regulatory governance theory underpin all KSA regulatory frameworks. Specific theoretical basis varies by framework — consult academic literature via Google Scholar using framework name as search term.</t>
        </is>
      </c>
      <c r="AJ182" s="190" t="inlineStr">
        <is>
          <t>Academic debate varies by framework maturity and international adoption. For KSA-specific debate, consult: Almohammad &amp; Wills (2021) J Cybersecurity; Al-Khater et al. (2020) IEEE Access; Baker McKenzie KSA regulatory updates.</t>
        </is>
      </c>
      <c r="AK182" s="194" t="inlineStr">
        <is>
          <t>Known criticisms include: implementation gap between standards and practice; resource constraints for smaller healthcare entities; rapid technology evolution outpacing regulation. Consult framework evaluation literature for specifics.</t>
        </is>
      </c>
      <c r="AL182" s="195" t="inlineStr">
        <is>
          <t>Framework comparison requires contextual analysis. Key comparators: NIST CSF 2.0 (international benchmark), ISO 27001 (certifiable standard), ECC-2 (KSA mandatory baseline). See main database for cross-framework mapping.</t>
        </is>
      </c>
      <c r="AM182" s="19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82" s="197" t="inlineStr">
        <is>
          <t>Official: Consult the official source URL in the database for the primary document. Training: ISACA, ISC2, RAPS, IAPP, and HIMSS offer professional development covering most regulatory domains. Estimated hours vary by framework complexity.</t>
        </is>
      </c>
      <c r="AO182" s="198" t="inlineStr">
        <is>
          <t>Relevance to GH-ICGA framework varies by layer — see GH-ICGA Layer Mapping column. All KSA mandatory frameworks are compliance inputs to GH-ICGA Layer 4. Frameworks with IoMT-specific provisions directly inform Layers 2 and 3.</t>
        </is>
      </c>
      <c r="AP182" s="51" t="inlineStr">
        <is>
          <t>G + C (Governance + Compliance — standard regulatory framework positioning)</t>
        </is>
      </c>
      <c r="AQ182" s="26" t="inlineStr">
        <is>
          <t>Senior management: accountability for framework compliance. Designated compliance officer: monitor requirements. All staff: awareness of applicable obligations</t>
        </is>
      </c>
      <c r="AR182" s="194" t="inlineStr">
        <is>
          <t>Regulatory Risk; Operational Risk; Reputational Risk — specific domains determined by framework scope</t>
        </is>
      </c>
      <c r="AS182" s="22" t="inlineStr">
        <is>
          <t>See official source — legal obligation, regulatory requirement, or voluntary standard as applicable</t>
        </is>
      </c>
      <c r="AT182" s="195" t="inlineStr">
        <is>
          <t>Administrative; Technical; Operational — specific distribution determined by framework content</t>
        </is>
      </c>
      <c r="AU182" s="199" t="inlineStr">
        <is>
          <t>1. Compliance status (compliant/non-compliant). 2. # open findings from last assessment. 3. % controls implemented. 4. Time to remediate findings. 5. Incident rate in framework scope area</t>
        </is>
      </c>
      <c r="AV182" s="200" t="inlineStr">
        <is>
          <t>Self-assessment; internal audit; external assessment as specified by issuing authority</t>
        </is>
      </c>
      <c r="AW182" s="201" t="inlineStr">
        <is>
          <t>ServiceNow GRC; IBM OpenPages; RSA Archer; MetricStream — all major GRC platforms support custom framework import. Contact vendor for framework-specific module</t>
        </is>
      </c>
      <c r="AX182" s="202" t="inlineStr">
        <is>
          <t>Third parties in scope must demonstrate equivalent compliance. Contractual compliance obligations; right-to-audit clauses; annual third-party assessment</t>
        </is>
      </c>
      <c r="AY182" s="203" t="inlineStr">
        <is>
          <t>Non-compliance: regulatory action by issuing authority; fines and penalties as specified; operational and reputational consequences</t>
        </is>
      </c>
      <c r="AZ182" s="200" t="inlineStr">
        <is>
          <t>ALL 17 SECTORS</t>
        </is>
      </c>
      <c r="BA182" s="34" t="inlineStr">
        <is>
          <t>YES — ALL SECTORS</t>
        </is>
      </c>
      <c r="BB182" s="591">
        <f>IF(E182="","",IF(ISNUMBER(SEARCH("Institutional theory and regulatory governance theory underpin",AI182)),"TEMPLATE",IF(LEN(AI182)&gt;100,"DEEP",IF(AI182="","SPARSE","SHALLOW"))))</f>
        <v/>
      </c>
      <c r="BC182" s="591">
        <f>IF(E182="","",D182&amp;"-"&amp;B182&amp;"-"&amp;E182)</f>
        <v/>
      </c>
      <c r="BD182" s="591">
        <f>IF(E182="","",SUBSTITUTE(SUBSTITUTE(B182&amp;"-"&amp;E182," ",""),":","-"))</f>
        <v/>
      </c>
      <c r="BE182" s="591">
        <f>IF(E182="","",IF(ISNUMBER(SEARCH("ECC",E182)),"NCA-ECC-2-2024",IF(ISNUMBER(SEARCH("OTCC",E182)),"NCA-ECC-2-2024",IF(ISNUMBER(SEARCH("CCC",E182)),"NCA-ECC-2-2024",IF(ISNUMBER(SEARCH("DCC",E182)),"NCA-ECC-2-2024",IF(ISNUMBER(SEARCH("CSCC",E182)),"NCA-ECC-2-2024",IF(ISNUMBER(SEARCH("PDPL-IR",E182)),"PDPL-2021",IF(ISNUMBER(SEARCH("PDPL-DTR",E182)),"PDPL-2021","NONE"))))))))</f>
        <v/>
      </c>
      <c r="BF182" s="594">
        <f>IF(E182="","",IF(BB182="DEEP",10,IF(BB182="SHALLOW",5,IF(BB182="TEMPLATE",3,1)))+IF(N182="HIGHEST",5,IF(N182="HIGH",3,IF(N182="MODERATE",1,0)))+IF(ISNUMBER(SEARCH("Mandatory",L182)),3,0))</f>
        <v/>
      </c>
    </row>
    <row r="183" ht="42" customHeight="1">
      <c r="A183" s="42" t="n">
        <v>164</v>
      </c>
      <c r="B183" s="189" t="inlineStr">
        <is>
          <t>MEWA</t>
        </is>
      </c>
      <c r="C183" s="44" t="inlineStr">
        <is>
          <t>Ministry of Environment Water &amp; Agriculture</t>
        </is>
      </c>
      <c r="D183" s="44" t="inlineStr">
        <is>
          <t>1. Ministries</t>
        </is>
      </c>
      <c r="E183" s="189" t="inlineStr">
        <is>
          <t>PDPL-2021</t>
        </is>
      </c>
      <c r="F183" s="45" t="inlineStr">
        <is>
          <t>Personal Data Protection Law</t>
        </is>
      </c>
      <c r="G183" s="44" t="inlineStr">
        <is>
          <t>نظام حماية البيانات الشخصية</t>
        </is>
      </c>
      <c r="H183" s="44" t="inlineStr">
        <is>
          <t>2021+IR 2023</t>
        </is>
      </c>
      <c r="I183" s="46" t="inlineStr">
        <is>
          <t>2021</t>
        </is>
      </c>
      <c r="J183" s="46" t="inlineStr">
        <is>
          <t>45</t>
        </is>
      </c>
      <c r="K183" s="44" t="inlineStr">
        <is>
          <t>MUST COMPLY WITH</t>
        </is>
      </c>
      <c r="L183" s="66" t="inlineStr">
        <is>
          <t>Mandatory Complier</t>
        </is>
      </c>
      <c r="M183" s="44" t="inlineStr">
        <is>
          <t>Ministry of Environment Water &amp; Agriculture processes personal data of employees and regulated parties</t>
        </is>
      </c>
      <c r="N183" s="59" t="inlineStr">
        <is>
          <t>LOW</t>
        </is>
      </c>
      <c r="O183" s="48" t="inlineStr">
        <is>
          <t>https://sdaia.gov.sa/</t>
        </is>
      </c>
      <c r="P183" s="44" t="inlineStr">
        <is>
          <t>SDAIA</t>
        </is>
      </c>
      <c r="Q183" s="190" t="inlineStr">
        <is>
          <t>Royal Decree M/19 (16 Sep 2021) → amended Apr 2023</t>
        </is>
      </c>
      <c r="R183" s="190" t="inlineStr">
        <is>
          <t>Original (2021): 19 articles covering consent, data subject rights, controller obligations, sensitive data (health = sensitive), cross-border transfer. Apr 2023 amendment: strengthened enforcement, clarified health data provisions, aligned with PDPL-IR-2023. Grace period for compliance ended Sep 14, 2024. Penalties: up to SAR 5 million fine + 2 years imprisonment for sensitive data breach</t>
        </is>
      </c>
      <c r="S183" s="191" t="inlineStr">
        <is>
          <t>Issued: Sep 2021. Amended: Apr 2023. Fully enforceable: Sep 14, 2024</t>
        </is>
      </c>
      <c r="T183" s="190" t="inlineStr">
        <is>
          <t>SDAIA reviews annually; amendments expected 2025-2026</t>
        </is>
      </c>
      <c r="U183" s="25" t="inlineStr">
        <is>
          <t>CURRENT — fully enforceable since Sep 2024</t>
        </is>
      </c>
      <c r="V183" s="190" t="inlineStr">
        <is>
          <t>Criminal offence: up to 2 years imprisonment + SAR 3M fine for disclosing sensitive data (health data = sensitive); administrative fine up to SAR 5M; mandatory breach notification to SDAIA within 72 hours; data subject compensation claims</t>
        </is>
      </c>
      <c r="W183" s="192" t="inlineStr">
        <is>
          <t>SDAIA — Data Protection Authority (DPA functions); NDMO for government entities; courts for criminal penalties</t>
        </is>
      </c>
      <c r="X183" s="190" t="inlineStr">
        <is>
          <t>Hospital; Clinic; Lab; Pharmacy; Health IT Vendor; Health Insurer; Government Health Entity; Medical Device Manufacturer (all processing patient data)</t>
        </is>
      </c>
      <c r="Y183" s="49" t="inlineStr">
        <is>
          <t>Both + foreign entities processing data of KSA residents</t>
        </is>
      </c>
      <c r="Z183" s="190" t="inlineStr">
        <is>
          <t>SDAIA audit; controller self-assessment; DPO oversight; data subject complaints trigger investigation</t>
        </is>
      </c>
      <c r="AA183" s="191" t="inlineStr">
        <is>
          <t>Continuous (breach notification: 72 hours); annual DPO report; SDAIA random audits</t>
        </is>
      </c>
      <c r="AB183" s="190" t="inlineStr">
        <is>
          <t>12 (IoMT data minimisation; purpose limitation; consent management for wearable data; automated decision-making; data subject rights for IoMT-generated health data; cross-border transfer of IoMT data)</t>
        </is>
      </c>
      <c r="AC183" s="190" t="inlineStr">
        <is>
          <t>GDPR (substantial alignment — adequate protection basis); APEC Privacy Framework; ISO 29100; ISO 27701</t>
        </is>
      </c>
      <c r="AD183" s="49" t="inlineStr">
        <is>
          <t>Arabic (official); English translation (unofficial)</t>
        </is>
      </c>
      <c r="AE183" s="50" t="inlineStr">
        <is>
          <t>Layer 4: Compliance; Layer 2: Risk Management</t>
        </is>
      </c>
      <c r="AF183" s="60" t="inlineStr">
        <is>
          <t>No formal maturity model; SDAIA publishes compliance guidance</t>
        </is>
      </c>
      <c r="AG183" s="190" t="inlineStr">
        <is>
          <t>National Data Strategy; Vision 2030 Digital Economy; Digital Government transformation</t>
        </is>
      </c>
      <c r="AH183" s="190" t="inlineStr">
        <is>
          <t>Privacy notices; consent records; DPO appointment letter; data mapping/flow diagrams; breach notification records; DPIA for health data processing; controller registration</t>
        </is>
      </c>
      <c r="AI183" s="193" t="inlineStr">
        <is>
          <t>Privacy as fundamental right (Warren &amp; Brandeis 1890; Westin 1967). Contextual integrity theory (Nissenbaum 2004): health data flows must match medical context norms. Regulatory theory: data protection authority independence and enforcement. Information asymmetry theory: patients cannot protect their own data without regulation.</t>
        </is>
      </c>
      <c r="AJ183" s="190" t="inlineStr">
        <is>
          <t>FOR: Long-overdue — KSA had no comprehensive data protection law until 2021; health data explicitly protected as sensitive category; aligns KSA with global adequacy standards. AGAINST: Alrawabdeh (2014) and Aldawood &amp; Skinner (2019) documented Saudi privacy culture gap — regulation without public awareness is ineffective; 'GDPR-lite' criticism: exemptions broader than GDPR, enforcement weaker; health data provisions in IR still less specific than UK GDPR Schedule 1 conditions</t>
        </is>
      </c>
      <c r="AK183" s="194" t="inlineStr">
        <is>
          <t>No independent supervisory authority (SDAIA is both promoter and regulator — conflict of interest noted by Baker McKenzie 2025); patient data portability rights weaker than GDPR Article 20; no explicit right to explanation for AI-automated health decisions; cross-border transfer rules changed twice in 12 months (regulatory instability); small healthcare providers lack capacity for DPO requirements</t>
        </is>
      </c>
      <c r="AL183" s="195" t="inlineStr">
        <is>
          <t>PDPL vs GDPR: PDPL penalty lower (SAR 5M vs €20M); PDPL broader government exemptions; GDPR has independent DPA, PDPL does not. PDPL vs HIPAA: PDPL = all personal data (broader); HIPAA = US-specific health data only. PDPL vs UK GDPR: PDPL misses explicit Schedule 1 health data conditions. PDPL ahead of HIPAA on consent granularity; behind GDPR on enforcement independence</t>
        </is>
      </c>
      <c r="AM183" s="196" t="inlineStr">
        <is>
          <t>Baker McKenzie (2025) Saudi Arabia PDPL Global Data &amp; Cyber Handbook; Alrawabdeh W (2014) 'Internet and Social Media Challenges in Arab World' EJSR; Westin AF (1967) Privacy and Freedom NY Atheneum; Nissenbaum H (2004) 'Privacy as Contextual Integrity' Washington Law Review 79(1); CMS Law (2025) Saudi Arabia Data Protection &amp; Cybersecurity Expert Guide Oct 2025</t>
        </is>
      </c>
      <c r="AN183" s="197" t="inlineStr">
        <is>
          <t>Official: SDAIA website (sdaia.gov.sa) — Arabic + English. Training: IAPP CIPM/CIPP/E (privacy certifications applicable); OneTrust PDPL compliance course; Baker McKenzie PDPL compliance guide. Language: Arabic primary — strong Arabic reading recommended. Estimated: 50 hours for health sector DPO competence</t>
        </is>
      </c>
      <c r="AO183" s="198" t="inlineStr">
        <is>
          <t>PRIMARY driver for GH-ICGA Layer 4 (Compliance) — PDPL is the legal foundation for patient data governance in the preliminary GH-ICGA framework. Thesis argument: GH-ICGA Layer 4 operationalises PDPL requirements into IoMT-specific controls (consent management for wearable data; purpose limitation for monitoring streams; breach response for connected device incidents)</t>
        </is>
      </c>
      <c r="AP183" s="51" t="inlineStr">
        <is>
          <t>G + C (Governance + Compliance — strong compliance driver; risk implicit)</t>
        </is>
      </c>
      <c r="AQ183" s="26" t="inlineStr">
        <is>
          <t>Board/CEO: ultimate accountability for PDPL compliance. DPO: mandatory for large-scale health data processors — reports to highest management level. Privacy Committee: cross-functional oversight. All staff processing personal data: mandatory privacy awareness training annually</t>
        </is>
      </c>
      <c r="AR183" s="194" t="inlineStr">
        <is>
          <t>Privacy Risk (PRIMARY); Legal/Regulatory Risk; Reputational Risk; Strategic Risk (data monetisation constraints); Cross-Border Risk (data transfer restrictions)</t>
        </is>
      </c>
      <c r="AS183" s="22" t="inlineStr">
        <is>
          <t>LEGAL — Royal Decree M/19 2021 + Implementing Regulations Sep 2023. Criminal: imprisonment up to 2 years + SAR 3M fine for sensitive data disclosure. Administrative: SAR 5M maximum fine. Civil: data subject compensation claims</t>
        </is>
      </c>
      <c r="AT183" s="195" t="inlineStr">
        <is>
          <t>Administrative (A): consent management; privacy notices; DPO appointment; DPIA process; breach notification procedure. Technical (T): data minimisation; pseudonymisation; access controls for personal data; encryption. Operational (O): data retention enforcement; data subject rights fulfilment process; cross-border transfer review</t>
        </is>
      </c>
      <c r="AU183" s="199" t="inlineStr">
        <is>
          <t>1. # data subject rights requests fulfilled on time (target: 100% within 30 days). 2. # data breaches notified to SDAIA within 72h (target: 100%). 3. % staff completed privacy training (target: 100%). 4. # DPIAs completed for high-risk processing activities. 5. Data retention compliance rate (% records within policy). 6. % third-party processors with DPA agreements</t>
        </is>
      </c>
      <c r="AV183" s="200" t="inlineStr">
        <is>
          <t>Annual DPIA review; data mapping audit (controller record validation); consent record audit; breach response simulation (tabletop); access control review for personal data systems; third-party processor audit; SDAIA compliance self-assessment</t>
        </is>
      </c>
      <c r="AW183" s="201" t="inlineStr">
        <is>
          <t>OneTrust (market leader for PDPL); TrustArc; Nymity; DataGrail; Varonis (data discovery); Microsoft Purview (data classification). SDAIA National Data Governance Platform for registration. Arabic-capable tools preferred</t>
        </is>
      </c>
      <c r="AX183" s="202" t="inlineStr">
        <is>
          <t>All third-party data processors must have Data Processing Agreement (DPA). Processors must demonstrate equivalent PDPL compliance. Cross-border transfers require adequacy assessment or appropriate safeguards. Sub-processor disclosure mandatory. Annual processor risk assessment required</t>
        </is>
      </c>
      <c r="AY183" s="203" t="inlineStr">
        <is>
          <t>Non-compliance: SAR 5M administrative fine; criminal prosecution for sensitive data breach; SDAIA investigation; mandatory breach public disclosure. Business disruption: SDAIA can order processing suspension. Reputational: patient trust damage. Market: EU adequate protection status depends on PDPL enforcement credibility</t>
        </is>
      </c>
      <c r="AZ183" s="200" t="inlineStr">
        <is>
          <t>ALL 17 SECTORS — any entity processing personal data</t>
        </is>
      </c>
      <c r="BA183" s="34" t="inlineStr">
        <is>
          <t>YES — ALL SECTORS</t>
        </is>
      </c>
      <c r="BB183" s="591">
        <f>IF(E183="","",IF(ISNUMBER(SEARCH("Institutional theory and regulatory governance theory underpin",AI183)),"TEMPLATE",IF(LEN(AI183)&gt;100,"DEEP",IF(AI183="","SPARSE","SHALLOW"))))</f>
        <v/>
      </c>
      <c r="BC183" s="591">
        <f>IF(E183="","",D183&amp;"-"&amp;B183&amp;"-"&amp;E183)</f>
        <v/>
      </c>
      <c r="BD183" s="591">
        <f>IF(E183="","",SUBSTITUTE(SUBSTITUTE(B183&amp;"-"&amp;E183," ",""),":","-"))</f>
        <v/>
      </c>
      <c r="BE183" s="591">
        <f>IF(E183="","",IF(ISNUMBER(SEARCH("ECC",E183)),"NCA-ECC-2-2024",IF(ISNUMBER(SEARCH("OTCC",E183)),"NCA-ECC-2-2024",IF(ISNUMBER(SEARCH("CCC",E183)),"NCA-ECC-2-2024",IF(ISNUMBER(SEARCH("DCC",E183)),"NCA-ECC-2-2024",IF(ISNUMBER(SEARCH("CSCC",E183)),"NCA-ECC-2-2024",IF(ISNUMBER(SEARCH("PDPL-IR",E183)),"PDPL-2021",IF(ISNUMBER(SEARCH("PDPL-DTR",E183)),"PDPL-2021","NONE"))))))))</f>
        <v/>
      </c>
      <c r="BF183" s="594">
        <f>IF(E183="","",IF(BB183="DEEP",10,IF(BB183="SHALLOW",5,IF(BB183="TEMPLATE",3,1)))+IF(N183="HIGHEST",5,IF(N183="HIGH",3,IF(N183="MODERATE",1,0)))+IF(ISNUMBER(SEARCH("Mandatory",L183)),3,0))</f>
        <v/>
      </c>
    </row>
    <row r="184" ht="42" customHeight="1">
      <c r="A184" s="204" t="n">
        <v>165</v>
      </c>
      <c r="B184" s="205" t="inlineStr">
        <is>
          <t>MOT</t>
        </is>
      </c>
      <c r="C184" s="190" t="inlineStr">
        <is>
          <t>Ministry of Transport &amp; Logistic Services</t>
        </is>
      </c>
      <c r="D184" s="190" t="inlineStr">
        <is>
          <t>1. Ministries</t>
        </is>
      </c>
      <c r="E184" s="205" t="inlineStr">
        <is>
          <t>MOT-LAW</t>
        </is>
      </c>
      <c r="F184" s="192" t="inlineStr">
        <is>
          <t>Transport Law</t>
        </is>
      </c>
      <c r="G184" s="190" t="inlineStr">
        <is>
          <t>قانون/نظام اللوائح الرئيسية</t>
        </is>
      </c>
      <c r="H184" s="190" t="inlineStr">
        <is>
          <t>Active/Updated</t>
        </is>
      </c>
      <c r="I184" s="191" t="inlineStr">
        <is>
          <t>1953</t>
        </is>
      </c>
      <c r="J184" s="191" t="inlineStr">
        <is>
          <t>N/A</t>
        </is>
      </c>
      <c r="K184" s="190" t="inlineStr">
        <is>
          <t>ISSUES/ENFORCES</t>
        </is>
      </c>
      <c r="L184" s="22" t="inlineStr">
        <is>
          <t>Mandatory Enforcer</t>
        </is>
      </c>
      <c r="M184" s="190" t="inlineStr">
        <is>
          <t>Entities regulated by this ministry</t>
        </is>
      </c>
      <c r="N184" s="208" t="inlineStr">
        <is>
          <t>MODERATE</t>
        </is>
      </c>
      <c r="O184" s="207" t="inlineStr">
        <is>
          <t>https://mot.gov.sa or via www.moi.gov.sa</t>
        </is>
      </c>
      <c r="P184" s="190" t="inlineStr">
        <is>
          <t>Ministry official; BOE regulations archive</t>
        </is>
      </c>
      <c r="Q184" s="190" t="inlineStr">
        <is>
          <t>See official source for version history</t>
        </is>
      </c>
      <c r="R184" s="190" t="inlineStr">
        <is>
          <t>Framework issued by the relevant authority. Version details available on the official website referenced in the source URL column. The framework has been updated periodically since first issuance.</t>
        </is>
      </c>
      <c r="S184" s="191" t="inlineStr">
        <is>
          <t>See official source</t>
        </is>
      </c>
      <c r="T184" s="190" t="inlineStr">
        <is>
          <t>Updated as needed by the issuing authority</t>
        </is>
      </c>
      <c r="U184" s="25" t="inlineStr">
        <is>
          <t>CURRENT — consult official source for latest version</t>
        </is>
      </c>
      <c r="V184" s="190" t="inlineStr">
        <is>
          <t>Penalties defined by issuing authority; consult official source. NCA ECC-2 penalties apply if relevant</t>
        </is>
      </c>
      <c r="W184" s="192" t="inlineStr">
        <is>
          <t>Issuing authority and/or designated inspection department</t>
        </is>
      </c>
      <c r="X184" s="190" t="inlineStr">
        <is>
          <t>As specified in framework scope — consult official document</t>
        </is>
      </c>
      <c r="Y184" s="49" t="inlineStr">
        <is>
          <t>Both (unless specified otherwise in official document)</t>
        </is>
      </c>
      <c r="Z184" s="190" t="inlineStr">
        <is>
          <t>As defined by issuing authority</t>
        </is>
      </c>
      <c r="AA184" s="191" t="inlineStr">
        <is>
          <t>As defined by issuing authority</t>
        </is>
      </c>
      <c r="AB184" s="190" t="inlineStr">
        <is>
          <t>To be determined from framework text — see official source</t>
        </is>
      </c>
      <c r="AC184" s="190" t="inlineStr">
        <is>
          <t>See framework preamble for international standard references</t>
        </is>
      </c>
      <c r="AD184" s="49" t="inlineStr">
        <is>
          <t>Arabic (primary in KSA); English may be available</t>
        </is>
      </c>
      <c r="AE184" s="58" t="inlineStr">
        <is>
          <t>Mapped to relevant GH-ICGA layer — requires manual assessment</t>
        </is>
      </c>
      <c r="AF184" s="56" t="inlineStr">
        <is>
          <t>See official framework for maturity model details</t>
        </is>
      </c>
      <c r="AG184" s="190" t="inlineStr">
        <is>
          <t>Aligned with relevant Vision 2030 programme — see framework context</t>
        </is>
      </c>
      <c r="AH184" s="190" t="inlineStr">
        <is>
          <t>As specified in framework compliance requirements</t>
        </is>
      </c>
      <c r="AI184" s="193" t="inlineStr">
        <is>
          <t>Institutional theory and regulatory governance theory underpin all KSA regulatory frameworks. Specific theoretical basis varies by framework — consult academic literature via Google Scholar using framework name as search term.</t>
        </is>
      </c>
      <c r="AJ184" s="190" t="inlineStr">
        <is>
          <t>Academic debate varies by framework maturity and international adoption. For KSA-specific debate, consult: Almohammad &amp; Wills (2021) J Cybersecurity; Al-Khater et al. (2020) IEEE Access; Baker McKenzie KSA regulatory updates.</t>
        </is>
      </c>
      <c r="AK184" s="194" t="inlineStr">
        <is>
          <t>Known criticisms include: implementation gap between standards and practice; resource constraints for smaller healthcare entities; rapid technology evolution outpacing regulation. Consult framework evaluation literature for specifics.</t>
        </is>
      </c>
      <c r="AL184" s="195" t="inlineStr">
        <is>
          <t>Framework comparison requires contextual analysis. Key comparators: NIST CSF 2.0 (international benchmark), ISO 27001 (certifiable standard), ECC-2 (KSA mandatory baseline). See main database for cross-framework mapping.</t>
        </is>
      </c>
      <c r="AM184" s="19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84" s="197" t="inlineStr">
        <is>
          <t>Official: Consult the official source URL in the database for the primary document. Training: ISACA, ISC2, RAPS, IAPP, and HIMSS offer professional development covering most regulatory domains. Estimated hours vary by framework complexity.</t>
        </is>
      </c>
      <c r="AO184" s="198" t="inlineStr">
        <is>
          <t>Relevance to GH-ICGA framework varies by layer — see GH-ICGA Layer Mapping column. All KSA mandatory frameworks are compliance inputs to GH-ICGA Layer 4. Frameworks with IoMT-specific provisions directly inform Layers 2 and 3.</t>
        </is>
      </c>
      <c r="AP184" s="51" t="inlineStr">
        <is>
          <t>G + C (Governance + Compliance — standard regulatory framework positioning)</t>
        </is>
      </c>
      <c r="AQ184" s="26" t="inlineStr">
        <is>
          <t>Senior management: accountability for framework compliance. Designated compliance officer: monitor requirements. All staff: awareness of applicable obligations</t>
        </is>
      </c>
      <c r="AR184" s="194" t="inlineStr">
        <is>
          <t>Regulatory Risk; Operational Risk; Reputational Risk — specific domains determined by framework scope</t>
        </is>
      </c>
      <c r="AS184" s="22" t="inlineStr">
        <is>
          <t>See official source — legal obligation, regulatory requirement, or voluntary standard as applicable</t>
        </is>
      </c>
      <c r="AT184" s="195" t="inlineStr">
        <is>
          <t>Administrative; Technical; Operational — specific distribution determined by framework content</t>
        </is>
      </c>
      <c r="AU184" s="199" t="inlineStr">
        <is>
          <t>1. Compliance status (compliant/non-compliant). 2. # open findings from last assessment. 3. % controls implemented. 4. Time to remediate findings. 5. Incident rate in framework scope area</t>
        </is>
      </c>
      <c r="AV184" s="200" t="inlineStr">
        <is>
          <t>Self-assessment; internal audit; external assessment as specified by issuing authority</t>
        </is>
      </c>
      <c r="AW184" s="201" t="inlineStr">
        <is>
          <t>ServiceNow GRC; IBM OpenPages; RSA Archer; MetricStream — all major GRC platforms support custom framework import. Contact vendor for framework-specific module</t>
        </is>
      </c>
      <c r="AX184" s="202" t="inlineStr">
        <is>
          <t>Third parties in scope must demonstrate equivalent compliance. Contractual compliance obligations; right-to-audit clauses; annual third-party assessment</t>
        </is>
      </c>
      <c r="AY184" s="203" t="inlineStr">
        <is>
          <t>Non-compliance: regulatory action by issuing authority; fines and penalties as specified; operational and reputational consequences</t>
        </is>
      </c>
      <c r="AZ184" s="200" t="inlineStr">
        <is>
          <t>Sector-specific — consult official source</t>
        </is>
      </c>
      <c r="BA184" s="41" t="inlineStr">
        <is>
          <t>Sector-Specific</t>
        </is>
      </c>
      <c r="BB184" s="591">
        <f>IF(E184="","",IF(ISNUMBER(SEARCH("Institutional theory and regulatory governance theory underpin",AI184)),"TEMPLATE",IF(LEN(AI184)&gt;100,"DEEP",IF(AI184="","SPARSE","SHALLOW"))))</f>
        <v/>
      </c>
      <c r="BC184" s="591">
        <f>IF(E184="","",D184&amp;"-"&amp;B184&amp;"-"&amp;E184)</f>
        <v/>
      </c>
      <c r="BD184" s="591">
        <f>IF(E184="","",SUBSTITUTE(SUBSTITUTE(B184&amp;"-"&amp;E184," ",""),":","-"))</f>
        <v/>
      </c>
      <c r="BE184" s="591">
        <f>IF(E184="","",IF(ISNUMBER(SEARCH("ECC",E184)),"NCA-ECC-2-2024",IF(ISNUMBER(SEARCH("OTCC",E184)),"NCA-ECC-2-2024",IF(ISNUMBER(SEARCH("CCC",E184)),"NCA-ECC-2-2024",IF(ISNUMBER(SEARCH("DCC",E184)),"NCA-ECC-2-2024",IF(ISNUMBER(SEARCH("CSCC",E184)),"NCA-ECC-2-2024",IF(ISNUMBER(SEARCH("PDPL-IR",E184)),"PDPL-2021",IF(ISNUMBER(SEARCH("PDPL-DTR",E184)),"PDPL-2021","NONE"))))))))</f>
        <v/>
      </c>
      <c r="BF184" s="594">
        <f>IF(E184="","",IF(BB184="DEEP",10,IF(BB184="SHALLOW",5,IF(BB184="TEMPLATE",3,1)))+IF(N184="HIGHEST",5,IF(N184="HIGH",3,IF(N184="MODERATE",1,0)))+IF(ISNUMBER(SEARCH("Mandatory",L184)),3,0))</f>
        <v/>
      </c>
    </row>
    <row r="185" ht="42" customHeight="1">
      <c r="A185" s="42" t="n">
        <v>166</v>
      </c>
      <c r="B185" s="189" t="inlineStr">
        <is>
          <t>MOT</t>
        </is>
      </c>
      <c r="C185" s="44" t="inlineStr">
        <is>
          <t>Ministry of Transport &amp; Logistic Services</t>
        </is>
      </c>
      <c r="D185" s="44" t="inlineStr">
        <is>
          <t>1. Ministries</t>
        </is>
      </c>
      <c r="E185" s="189" t="inlineStr">
        <is>
          <t>NCA-ECC-2:2024</t>
        </is>
      </c>
      <c r="F185" s="45" t="inlineStr">
        <is>
          <t>Essential Cybersecurity Controls</t>
        </is>
      </c>
      <c r="G185" s="44" t="inlineStr">
        <is>
          <t>ضوابط الأمن السيبراني الأساسية</t>
        </is>
      </c>
      <c r="H185" s="44" t="inlineStr">
        <is>
          <t>ECC-2:2024</t>
        </is>
      </c>
      <c r="I185" s="46" t="inlineStr">
        <is>
          <t>2018</t>
        </is>
      </c>
      <c r="J185" s="46" t="inlineStr">
        <is>
          <t>108</t>
        </is>
      </c>
      <c r="K185" s="44" t="inlineStr">
        <is>
          <t>MUST COMPLY WITH</t>
        </is>
      </c>
      <c r="L185" s="66" t="inlineStr">
        <is>
          <t>Mandatory Complier</t>
        </is>
      </c>
      <c r="M185" s="44" t="inlineStr">
        <is>
          <t>Ministry of Transport &amp; Logistic Services as government entity</t>
        </is>
      </c>
      <c r="N185" s="59" t="inlineStr">
        <is>
          <t>LOW</t>
        </is>
      </c>
      <c r="O185" s="48" t="inlineStr">
        <is>
          <t>https://nca.gov.sa/</t>
        </is>
      </c>
      <c r="P185" s="44" t="inlineStr">
        <is>
          <t>NCA ECC scope</t>
        </is>
      </c>
      <c r="Q185" s="190" t="inlineStr">
        <is>
          <t>See official source for version history</t>
        </is>
      </c>
      <c r="R185" s="190" t="inlineStr">
        <is>
          <t>Framework issued by the relevant authority. Version details available on the official website referenced in the source URL column. The framework has been updated periodically since first issuance.</t>
        </is>
      </c>
      <c r="S185" s="191" t="inlineStr">
        <is>
          <t>See official source</t>
        </is>
      </c>
      <c r="T185" s="190" t="inlineStr">
        <is>
          <t>Updated as needed by the issuing authority</t>
        </is>
      </c>
      <c r="U185" s="25" t="inlineStr">
        <is>
          <t>CURRENT — consult official source for latest version</t>
        </is>
      </c>
      <c r="V185" s="190" t="inlineStr">
        <is>
          <t>Penalties defined by issuing authority; consult official source. NCA ECC-2 penalties apply if relevant</t>
        </is>
      </c>
      <c r="W185" s="192" t="inlineStr">
        <is>
          <t>Issuing authority and/or designated inspection department</t>
        </is>
      </c>
      <c r="X185" s="190" t="inlineStr">
        <is>
          <t>As specified in framework scope — consult official document</t>
        </is>
      </c>
      <c r="Y185" s="49" t="inlineStr">
        <is>
          <t>Both (unless specified otherwise in official document)</t>
        </is>
      </c>
      <c r="Z185" s="190" t="inlineStr">
        <is>
          <t>As defined by issuing authority</t>
        </is>
      </c>
      <c r="AA185" s="191" t="inlineStr">
        <is>
          <t>As defined by issuing authority</t>
        </is>
      </c>
      <c r="AB185" s="190" t="inlineStr">
        <is>
          <t>To be determined from framework text — see official source</t>
        </is>
      </c>
      <c r="AC185" s="190" t="inlineStr">
        <is>
          <t>See framework preamble for international standard references</t>
        </is>
      </c>
      <c r="AD185" s="49" t="inlineStr">
        <is>
          <t>Arabic (primary in KSA); English may be available</t>
        </is>
      </c>
      <c r="AE185" s="58" t="inlineStr">
        <is>
          <t>Mapped to relevant GH-ICGA layer — requires manual assessment</t>
        </is>
      </c>
      <c r="AF185" s="56" t="inlineStr">
        <is>
          <t>See official framework for maturity model details</t>
        </is>
      </c>
      <c r="AG185" s="190" t="inlineStr">
        <is>
          <t>Aligned with relevant Vision 2030 programme — see framework context</t>
        </is>
      </c>
      <c r="AH185" s="190" t="inlineStr">
        <is>
          <t>As specified in framework compliance requirements</t>
        </is>
      </c>
      <c r="AI185" s="193" t="inlineStr">
        <is>
          <t>Institutional theory and regulatory governance theory underpin all KSA regulatory frameworks. Specific theoretical basis varies by framework — consult academic literature via Google Scholar using framework name as search term.</t>
        </is>
      </c>
      <c r="AJ185" s="190" t="inlineStr">
        <is>
          <t>Academic debate varies by framework maturity and international adoption. For KSA-specific debate, consult: Almohammad &amp; Wills (2021) J Cybersecurity; Al-Khater et al. (2020) IEEE Access; Baker McKenzie KSA regulatory updates.</t>
        </is>
      </c>
      <c r="AK185" s="194" t="inlineStr">
        <is>
          <t>Known criticisms include: implementation gap between standards and practice; resource constraints for smaller healthcare entities; rapid technology evolution outpacing regulation. Consult framework evaluation literature for specifics.</t>
        </is>
      </c>
      <c r="AL185" s="195" t="inlineStr">
        <is>
          <t>Framework comparison requires contextual analysis. Key comparators: NIST CSF 2.0 (international benchmark), ISO 27001 (certifiable standard), ECC-2 (KSA mandatory baseline). See main database for cross-framework mapping.</t>
        </is>
      </c>
      <c r="AM185" s="19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85" s="197" t="inlineStr">
        <is>
          <t>Official: Consult the official source URL in the database for the primary document. Training: ISACA, ISC2, RAPS, IAPP, and HIMSS offer professional development covering most regulatory domains. Estimated hours vary by framework complexity.</t>
        </is>
      </c>
      <c r="AO185" s="198" t="inlineStr">
        <is>
          <t>Relevance to GH-ICGA framework varies by layer — see GH-ICGA Layer Mapping column. All KSA mandatory frameworks are compliance inputs to GH-ICGA Layer 4. Frameworks with IoMT-specific provisions directly inform Layers 2 and 3.</t>
        </is>
      </c>
      <c r="AP185" s="51" t="inlineStr">
        <is>
          <t>G + C (Governance + Compliance — standard regulatory framework positioning)</t>
        </is>
      </c>
      <c r="AQ185" s="26" t="inlineStr">
        <is>
          <t>Senior management: accountability for framework compliance. Designated compliance officer: monitor requirements. All staff: awareness of applicable obligations</t>
        </is>
      </c>
      <c r="AR185" s="194" t="inlineStr">
        <is>
          <t>Regulatory Risk; Operational Risk; Reputational Risk — specific domains determined by framework scope</t>
        </is>
      </c>
      <c r="AS185" s="22" t="inlineStr">
        <is>
          <t>See official source — legal obligation, regulatory requirement, or voluntary standard as applicable</t>
        </is>
      </c>
      <c r="AT185" s="195" t="inlineStr">
        <is>
          <t>Administrative; Technical; Operational — specific distribution determined by framework content</t>
        </is>
      </c>
      <c r="AU185" s="199" t="inlineStr">
        <is>
          <t>1. Compliance status (compliant/non-compliant). 2. # open findings from last assessment. 3. % controls implemented. 4. Time to remediate findings. 5. Incident rate in framework scope area</t>
        </is>
      </c>
      <c r="AV185" s="200" t="inlineStr">
        <is>
          <t>Self-assessment; internal audit; external assessment as specified by issuing authority</t>
        </is>
      </c>
      <c r="AW185" s="201" t="inlineStr">
        <is>
          <t>ServiceNow GRC; IBM OpenPages; RSA Archer; MetricStream — all major GRC platforms support custom framework import. Contact vendor for framework-specific module</t>
        </is>
      </c>
      <c r="AX185" s="202" t="inlineStr">
        <is>
          <t>Third parties in scope must demonstrate equivalent compliance. Contractual compliance obligations; right-to-audit clauses; annual third-party assessment</t>
        </is>
      </c>
      <c r="AY185" s="203" t="inlineStr">
        <is>
          <t>Non-compliance: regulatory action by issuing authority; fines and penalties as specified; operational and reputational consequences</t>
        </is>
      </c>
      <c r="AZ185" s="200" t="inlineStr">
        <is>
          <t>ALL 17 SECTORS</t>
        </is>
      </c>
      <c r="BA185" s="34" t="inlineStr">
        <is>
          <t>YES — ALL SECTORS</t>
        </is>
      </c>
      <c r="BB185" s="591">
        <f>IF(E185="","",IF(ISNUMBER(SEARCH("Institutional theory and regulatory governance theory underpin",AI185)),"TEMPLATE",IF(LEN(AI185)&gt;100,"DEEP",IF(AI185="","SPARSE","SHALLOW"))))</f>
        <v/>
      </c>
      <c r="BC185" s="591">
        <f>IF(E185="","",D185&amp;"-"&amp;B185&amp;"-"&amp;E185)</f>
        <v/>
      </c>
      <c r="BD185" s="591">
        <f>IF(E185="","",SUBSTITUTE(SUBSTITUTE(B185&amp;"-"&amp;E185," ",""),":","-"))</f>
        <v/>
      </c>
      <c r="BE185" s="591">
        <f>IF(E185="","",IF(ISNUMBER(SEARCH("ECC",E185)),"NCA-ECC-2-2024",IF(ISNUMBER(SEARCH("OTCC",E185)),"NCA-ECC-2-2024",IF(ISNUMBER(SEARCH("CCC",E185)),"NCA-ECC-2-2024",IF(ISNUMBER(SEARCH("DCC",E185)),"NCA-ECC-2-2024",IF(ISNUMBER(SEARCH("CSCC",E185)),"NCA-ECC-2-2024",IF(ISNUMBER(SEARCH("PDPL-IR",E185)),"PDPL-2021",IF(ISNUMBER(SEARCH("PDPL-DTR",E185)),"PDPL-2021","NONE"))))))))</f>
        <v/>
      </c>
      <c r="BF185" s="594">
        <f>IF(E185="","",IF(BB185="DEEP",10,IF(BB185="SHALLOW",5,IF(BB185="TEMPLATE",3,1)))+IF(N185="HIGHEST",5,IF(N185="HIGH",3,IF(N185="MODERATE",1,0)))+IF(ISNUMBER(SEARCH("Mandatory",L185)),3,0))</f>
        <v/>
      </c>
    </row>
    <row r="186" ht="42" customHeight="1">
      <c r="A186" s="204" t="n">
        <v>167</v>
      </c>
      <c r="B186" s="205" t="inlineStr">
        <is>
          <t>MOT</t>
        </is>
      </c>
      <c r="C186" s="190" t="inlineStr">
        <is>
          <t>Ministry of Transport &amp; Logistic Services</t>
        </is>
      </c>
      <c r="D186" s="190" t="inlineStr">
        <is>
          <t>1. Ministries</t>
        </is>
      </c>
      <c r="E186" s="205" t="inlineStr">
        <is>
          <t>PDPL-2021</t>
        </is>
      </c>
      <c r="F186" s="192" t="inlineStr">
        <is>
          <t>Personal Data Protection Law</t>
        </is>
      </c>
      <c r="G186" s="190" t="inlineStr">
        <is>
          <t>نظام حماية البيانات الشخصية</t>
        </is>
      </c>
      <c r="H186" s="190" t="inlineStr">
        <is>
          <t>2021+IR 2023</t>
        </is>
      </c>
      <c r="I186" s="191" t="inlineStr">
        <is>
          <t>2021</t>
        </is>
      </c>
      <c r="J186" s="191" t="inlineStr">
        <is>
          <t>45</t>
        </is>
      </c>
      <c r="K186" s="190" t="inlineStr">
        <is>
          <t>MUST COMPLY WITH</t>
        </is>
      </c>
      <c r="L186" s="66" t="inlineStr">
        <is>
          <t>Mandatory Complier</t>
        </is>
      </c>
      <c r="M186" s="190" t="inlineStr">
        <is>
          <t>Ministry of Transport &amp; Logistic Services processes personal data of employees and regulated parties</t>
        </is>
      </c>
      <c r="N186" s="209" t="inlineStr">
        <is>
          <t>LOW</t>
        </is>
      </c>
      <c r="O186" s="207" t="inlineStr">
        <is>
          <t>https://sdaia.gov.sa/</t>
        </is>
      </c>
      <c r="P186" s="190" t="inlineStr">
        <is>
          <t>SDAIA</t>
        </is>
      </c>
      <c r="Q186" s="190" t="inlineStr">
        <is>
          <t>Royal Decree M/19 (16 Sep 2021) → amended Apr 2023</t>
        </is>
      </c>
      <c r="R186" s="190" t="inlineStr">
        <is>
          <t>Original (2021): 19 articles covering consent, data subject rights, controller obligations, sensitive data (health = sensitive), cross-border transfer. Apr 2023 amendment: strengthened enforcement, clarified health data provisions, aligned with PDPL-IR-2023. Grace period for compliance ended Sep 14, 2024. Penalties: up to SAR 5 million fine + 2 years imprisonment for sensitive data breach</t>
        </is>
      </c>
      <c r="S186" s="191" t="inlineStr">
        <is>
          <t>Issued: Sep 2021. Amended: Apr 2023. Fully enforceable: Sep 14, 2024</t>
        </is>
      </c>
      <c r="T186" s="190" t="inlineStr">
        <is>
          <t>SDAIA reviews annually; amendments expected 2025-2026</t>
        </is>
      </c>
      <c r="U186" s="25" t="inlineStr">
        <is>
          <t>CURRENT — fully enforceable since Sep 2024</t>
        </is>
      </c>
      <c r="V186" s="190" t="inlineStr">
        <is>
          <t>Criminal offence: up to 2 years imprisonment + SAR 3M fine for disclosing sensitive data (health data = sensitive); administrative fine up to SAR 5M; mandatory breach notification to SDAIA within 72 hours; data subject compensation claims</t>
        </is>
      </c>
      <c r="W186" s="192" t="inlineStr">
        <is>
          <t>SDAIA — Data Protection Authority (DPA functions); NDMO for government entities; courts for criminal penalties</t>
        </is>
      </c>
      <c r="X186" s="190" t="inlineStr">
        <is>
          <t>Hospital; Clinic; Lab; Pharmacy; Health IT Vendor; Health Insurer; Government Health Entity; Medical Device Manufacturer (all processing patient data)</t>
        </is>
      </c>
      <c r="Y186" s="49" t="inlineStr">
        <is>
          <t>Both + foreign entities processing data of KSA residents</t>
        </is>
      </c>
      <c r="Z186" s="190" t="inlineStr">
        <is>
          <t>SDAIA audit; controller self-assessment; DPO oversight; data subject complaints trigger investigation</t>
        </is>
      </c>
      <c r="AA186" s="191" t="inlineStr">
        <is>
          <t>Continuous (breach notification: 72 hours); annual DPO report; SDAIA random audits</t>
        </is>
      </c>
      <c r="AB186" s="190" t="inlineStr">
        <is>
          <t>12 (IoMT data minimisation; purpose limitation; consent management for wearable data; automated decision-making; data subject rights for IoMT-generated health data; cross-border transfer of IoMT data)</t>
        </is>
      </c>
      <c r="AC186" s="190" t="inlineStr">
        <is>
          <t>GDPR (substantial alignment — adequate protection basis); APEC Privacy Framework; ISO 29100; ISO 27701</t>
        </is>
      </c>
      <c r="AD186" s="49" t="inlineStr">
        <is>
          <t>Arabic (official); English translation (unofficial)</t>
        </is>
      </c>
      <c r="AE186" s="50" t="inlineStr">
        <is>
          <t>Layer 4: Compliance; Layer 2: Risk Management</t>
        </is>
      </c>
      <c r="AF186" s="60" t="inlineStr">
        <is>
          <t>No formal maturity model; SDAIA publishes compliance guidance</t>
        </is>
      </c>
      <c r="AG186" s="190" t="inlineStr">
        <is>
          <t>National Data Strategy; Vision 2030 Digital Economy; Digital Government transformation</t>
        </is>
      </c>
      <c r="AH186" s="190" t="inlineStr">
        <is>
          <t>Privacy notices; consent records; DPO appointment letter; data mapping/flow diagrams; breach notification records; DPIA for health data processing; controller registration</t>
        </is>
      </c>
      <c r="AI186" s="193" t="inlineStr">
        <is>
          <t>Privacy as fundamental right (Warren &amp; Brandeis 1890; Westin 1967). Contextual integrity theory (Nissenbaum 2004): health data flows must match medical context norms. Regulatory theory: data protection authority independence and enforcement. Information asymmetry theory: patients cannot protect their own data without regulation.</t>
        </is>
      </c>
      <c r="AJ186" s="190" t="inlineStr">
        <is>
          <t>FOR: Long-overdue — KSA had no comprehensive data protection law until 2021; health data explicitly protected as sensitive category; aligns KSA with global adequacy standards. AGAINST: Alrawabdeh (2014) and Aldawood &amp; Skinner (2019) documented Saudi privacy culture gap — regulation without public awareness is ineffective; 'GDPR-lite' criticism: exemptions broader than GDPR, enforcement weaker; health data provisions in IR still less specific than UK GDPR Schedule 1 conditions</t>
        </is>
      </c>
      <c r="AK186" s="194" t="inlineStr">
        <is>
          <t>No independent supervisory authority (SDAIA is both promoter and regulator — conflict of interest noted by Baker McKenzie 2025); patient data portability rights weaker than GDPR Article 20; no explicit right to explanation for AI-automated health decisions; cross-border transfer rules changed twice in 12 months (regulatory instability); small healthcare providers lack capacity for DPO requirements</t>
        </is>
      </c>
      <c r="AL186" s="195" t="inlineStr">
        <is>
          <t>PDPL vs GDPR: PDPL penalty lower (SAR 5M vs €20M); PDPL broader government exemptions; GDPR has independent DPA, PDPL does not. PDPL vs HIPAA: PDPL = all personal data (broader); HIPAA = US-specific health data only. PDPL vs UK GDPR: PDPL misses explicit Schedule 1 health data conditions. PDPL ahead of HIPAA on consent granularity; behind GDPR on enforcement independence</t>
        </is>
      </c>
      <c r="AM186" s="196" t="inlineStr">
        <is>
          <t>Baker McKenzie (2025) Saudi Arabia PDPL Global Data &amp; Cyber Handbook; Alrawabdeh W (2014) 'Internet and Social Media Challenges in Arab World' EJSR; Westin AF (1967) Privacy and Freedom NY Atheneum; Nissenbaum H (2004) 'Privacy as Contextual Integrity' Washington Law Review 79(1); CMS Law (2025) Saudi Arabia Data Protection &amp; Cybersecurity Expert Guide Oct 2025</t>
        </is>
      </c>
      <c r="AN186" s="197" t="inlineStr">
        <is>
          <t>Official: SDAIA website (sdaia.gov.sa) — Arabic + English. Training: IAPP CIPM/CIPP/E (privacy certifications applicable); OneTrust PDPL compliance course; Baker McKenzie PDPL compliance guide. Language: Arabic primary — strong Arabic reading recommended. Estimated: 50 hours for health sector DPO competence</t>
        </is>
      </c>
      <c r="AO186" s="198" t="inlineStr">
        <is>
          <t>PRIMARY driver for GH-ICGA Layer 4 (Compliance) — PDPL is the legal foundation for patient data governance in the preliminary GH-ICGA framework. Thesis argument: GH-ICGA Layer 4 operationalises PDPL requirements into IoMT-specific controls (consent management for wearable data; purpose limitation for monitoring streams; breach response for connected device incidents)</t>
        </is>
      </c>
      <c r="AP186" s="51" t="inlineStr">
        <is>
          <t>G + C (Governance + Compliance — strong compliance driver; risk implicit)</t>
        </is>
      </c>
      <c r="AQ186" s="26" t="inlineStr">
        <is>
          <t>Board/CEO: ultimate accountability for PDPL compliance. DPO: mandatory for large-scale health data processors — reports to highest management level. Privacy Committee: cross-functional oversight. All staff processing personal data: mandatory privacy awareness training annually</t>
        </is>
      </c>
      <c r="AR186" s="194" t="inlineStr">
        <is>
          <t>Privacy Risk (PRIMARY); Legal/Regulatory Risk; Reputational Risk; Strategic Risk (data monetisation constraints); Cross-Border Risk (data transfer restrictions)</t>
        </is>
      </c>
      <c r="AS186" s="22" t="inlineStr">
        <is>
          <t>LEGAL — Royal Decree M/19 2021 + Implementing Regulations Sep 2023. Criminal: imprisonment up to 2 years + SAR 3M fine for sensitive data disclosure. Administrative: SAR 5M maximum fine. Civil: data subject compensation claims</t>
        </is>
      </c>
      <c r="AT186" s="195" t="inlineStr">
        <is>
          <t>Administrative (A): consent management; privacy notices; DPO appointment; DPIA process; breach notification procedure. Technical (T): data minimisation; pseudonymisation; access controls for personal data; encryption. Operational (O): data retention enforcement; data subject rights fulfilment process; cross-border transfer review</t>
        </is>
      </c>
      <c r="AU186" s="199" t="inlineStr">
        <is>
          <t>1. # data subject rights requests fulfilled on time (target: 100% within 30 days). 2. # data breaches notified to SDAIA within 72h (target: 100%). 3. % staff completed privacy training (target: 100%). 4. # DPIAs completed for high-risk processing activities. 5. Data retention compliance rate (% records within policy). 6. % third-party processors with DPA agreements</t>
        </is>
      </c>
      <c r="AV186" s="200" t="inlineStr">
        <is>
          <t>Annual DPIA review; data mapping audit (controller record validation); consent record audit; breach response simulation (tabletop); access control review for personal data systems; third-party processor audit; SDAIA compliance self-assessment</t>
        </is>
      </c>
      <c r="AW186" s="201" t="inlineStr">
        <is>
          <t>OneTrust (market leader for PDPL); TrustArc; Nymity; DataGrail; Varonis (data discovery); Microsoft Purview (data classification). SDAIA National Data Governance Platform for registration. Arabic-capable tools preferred</t>
        </is>
      </c>
      <c r="AX186" s="202" t="inlineStr">
        <is>
          <t>All third-party data processors must have Data Processing Agreement (DPA). Processors must demonstrate equivalent PDPL compliance. Cross-border transfers require adequacy assessment or appropriate safeguards. Sub-processor disclosure mandatory. Annual processor risk assessment required</t>
        </is>
      </c>
      <c r="AY186" s="203" t="inlineStr">
        <is>
          <t>Non-compliance: SAR 5M administrative fine; criminal prosecution for sensitive data breach; SDAIA investigation; mandatory breach public disclosure. Business disruption: SDAIA can order processing suspension. Reputational: patient trust damage. Market: EU adequate protection status depends on PDPL enforcement credibility</t>
        </is>
      </c>
      <c r="AZ186" s="200" t="inlineStr">
        <is>
          <t>ALL 17 SECTORS — any entity processing personal data</t>
        </is>
      </c>
      <c r="BA186" s="34" t="inlineStr">
        <is>
          <t>YES — ALL SECTORS</t>
        </is>
      </c>
      <c r="BB186" s="591">
        <f>IF(E186="","",IF(ISNUMBER(SEARCH("Institutional theory and regulatory governance theory underpin",AI186)),"TEMPLATE",IF(LEN(AI186)&gt;100,"DEEP",IF(AI186="","SPARSE","SHALLOW"))))</f>
        <v/>
      </c>
      <c r="BC186" s="591">
        <f>IF(E186="","",D186&amp;"-"&amp;B186&amp;"-"&amp;E186)</f>
        <v/>
      </c>
      <c r="BD186" s="591">
        <f>IF(E186="","",SUBSTITUTE(SUBSTITUTE(B186&amp;"-"&amp;E186," ",""),":","-"))</f>
        <v/>
      </c>
      <c r="BE186" s="591">
        <f>IF(E186="","",IF(ISNUMBER(SEARCH("ECC",E186)),"NCA-ECC-2-2024",IF(ISNUMBER(SEARCH("OTCC",E186)),"NCA-ECC-2-2024",IF(ISNUMBER(SEARCH("CCC",E186)),"NCA-ECC-2-2024",IF(ISNUMBER(SEARCH("DCC",E186)),"NCA-ECC-2-2024",IF(ISNUMBER(SEARCH("CSCC",E186)),"NCA-ECC-2-2024",IF(ISNUMBER(SEARCH("PDPL-IR",E186)),"PDPL-2021",IF(ISNUMBER(SEARCH("PDPL-DTR",E186)),"PDPL-2021","NONE"))))))))</f>
        <v/>
      </c>
      <c r="BF186" s="594">
        <f>IF(E186="","",IF(BB186="DEEP",10,IF(BB186="SHALLOW",5,IF(BB186="TEMPLATE",3,1)))+IF(N186="HIGHEST",5,IF(N186="HIGH",3,IF(N186="MODERATE",1,0)))+IF(ISNUMBER(SEARCH("Mandatory",L186)),3,0))</f>
        <v/>
      </c>
    </row>
    <row r="187" ht="42" customHeight="1">
      <c r="A187" s="42" t="n">
        <v>168</v>
      </c>
      <c r="B187" s="189" t="inlineStr">
        <is>
          <t>MOE</t>
        </is>
      </c>
      <c r="C187" s="44" t="inlineStr">
        <is>
          <t>Ministry of Education</t>
        </is>
      </c>
      <c r="D187" s="44" t="inlineStr">
        <is>
          <t>1. Ministries</t>
        </is>
      </c>
      <c r="E187" s="189" t="inlineStr">
        <is>
          <t>MOE-LAW</t>
        </is>
      </c>
      <c r="F187" s="45" t="inlineStr">
        <is>
          <t>Education Law</t>
        </is>
      </c>
      <c r="G187" s="44" t="inlineStr">
        <is>
          <t>قانون/نظام اللوائح الرئيسية</t>
        </is>
      </c>
      <c r="H187" s="44" t="inlineStr">
        <is>
          <t>Active/Updated</t>
        </is>
      </c>
      <c r="I187" s="46" t="inlineStr">
        <is>
          <t>1953</t>
        </is>
      </c>
      <c r="J187" s="46" t="inlineStr">
        <is>
          <t>N/A</t>
        </is>
      </c>
      <c r="K187" s="44" t="inlineStr">
        <is>
          <t>ISSUES/ENFORCES</t>
        </is>
      </c>
      <c r="L187" s="22" t="inlineStr">
        <is>
          <t>Mandatory Enforcer</t>
        </is>
      </c>
      <c r="M187" s="44" t="inlineStr">
        <is>
          <t>Entities regulated by this ministry</t>
        </is>
      </c>
      <c r="N187" s="55" t="inlineStr">
        <is>
          <t>MODERATE</t>
        </is>
      </c>
      <c r="O187" s="48" t="inlineStr">
        <is>
          <t>https://moe.gov.sa or via www.moi.gov.sa</t>
        </is>
      </c>
      <c r="P187" s="44" t="inlineStr">
        <is>
          <t>Ministry official; BOE regulations archive</t>
        </is>
      </c>
      <c r="Q187" s="190" t="inlineStr">
        <is>
          <t>See official source for version history</t>
        </is>
      </c>
      <c r="R187" s="190" t="inlineStr">
        <is>
          <t>Framework issued by the relevant authority. Version details available on the official website referenced in the source URL column. The framework has been updated periodically since first issuance.</t>
        </is>
      </c>
      <c r="S187" s="191" t="inlineStr">
        <is>
          <t>See official source</t>
        </is>
      </c>
      <c r="T187" s="190" t="inlineStr">
        <is>
          <t>Updated as needed by the issuing authority</t>
        </is>
      </c>
      <c r="U187" s="25" t="inlineStr">
        <is>
          <t>CURRENT — consult official source for latest version</t>
        </is>
      </c>
      <c r="V187" s="190" t="inlineStr">
        <is>
          <t>Penalties defined by issuing authority; consult official source. NCA ECC-2 penalties apply if relevant</t>
        </is>
      </c>
      <c r="W187" s="192" t="inlineStr">
        <is>
          <t>Issuing authority and/or designated inspection department</t>
        </is>
      </c>
      <c r="X187" s="190" t="inlineStr">
        <is>
          <t>As specified in framework scope — consult official document</t>
        </is>
      </c>
      <c r="Y187" s="49" t="inlineStr">
        <is>
          <t>Both (unless specified otherwise in official document)</t>
        </is>
      </c>
      <c r="Z187" s="190" t="inlineStr">
        <is>
          <t>As defined by issuing authority</t>
        </is>
      </c>
      <c r="AA187" s="191" t="inlineStr">
        <is>
          <t>As defined by issuing authority</t>
        </is>
      </c>
      <c r="AB187" s="190" t="inlineStr">
        <is>
          <t>To be determined from framework text — see official source</t>
        </is>
      </c>
      <c r="AC187" s="190" t="inlineStr">
        <is>
          <t>See framework preamble for international standard references</t>
        </is>
      </c>
      <c r="AD187" s="49" t="inlineStr">
        <is>
          <t>Arabic (primary in KSA); English may be available</t>
        </is>
      </c>
      <c r="AE187" s="58" t="inlineStr">
        <is>
          <t>Mapped to relevant GH-ICGA layer — requires manual assessment</t>
        </is>
      </c>
      <c r="AF187" s="56" t="inlineStr">
        <is>
          <t>See official framework for maturity model details</t>
        </is>
      </c>
      <c r="AG187" s="190" t="inlineStr">
        <is>
          <t>Aligned with relevant Vision 2030 programme — see framework context</t>
        </is>
      </c>
      <c r="AH187" s="190" t="inlineStr">
        <is>
          <t>As specified in framework compliance requirements</t>
        </is>
      </c>
      <c r="AI187" s="193" t="inlineStr">
        <is>
          <t>Institutional theory and regulatory governance theory underpin all KSA regulatory frameworks. Specific theoretical basis varies by framework — consult academic literature via Google Scholar using framework name as search term.</t>
        </is>
      </c>
      <c r="AJ187" s="190" t="inlineStr">
        <is>
          <t>Academic debate varies by framework maturity and international adoption. For KSA-specific debate, consult: Almohammad &amp; Wills (2021) J Cybersecurity; Al-Khater et al. (2020) IEEE Access; Baker McKenzie KSA regulatory updates.</t>
        </is>
      </c>
      <c r="AK187" s="194" t="inlineStr">
        <is>
          <t>Known criticisms include: implementation gap between standards and practice; resource constraints for smaller healthcare entities; rapid technology evolution outpacing regulation. Consult framework evaluation literature for specifics.</t>
        </is>
      </c>
      <c r="AL187" s="195" t="inlineStr">
        <is>
          <t>Framework comparison requires contextual analysis. Key comparators: NIST CSF 2.0 (international benchmark), ISO 27001 (certifiable standard), ECC-2 (KSA mandatory baseline). See main database for cross-framework mapping.</t>
        </is>
      </c>
      <c r="AM187" s="19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87" s="197" t="inlineStr">
        <is>
          <t>Official: Consult the official source URL in the database for the primary document. Training: ISACA, ISC2, RAPS, IAPP, and HIMSS offer professional development covering most regulatory domains. Estimated hours vary by framework complexity.</t>
        </is>
      </c>
      <c r="AO187" s="198" t="inlineStr">
        <is>
          <t>Relevance to GH-ICGA framework varies by layer — see GH-ICGA Layer Mapping column. All KSA mandatory frameworks are compliance inputs to GH-ICGA Layer 4. Frameworks with IoMT-specific provisions directly inform Layers 2 and 3.</t>
        </is>
      </c>
      <c r="AP187" s="51" t="inlineStr">
        <is>
          <t>G + C (Governance + Compliance — standard regulatory framework positioning)</t>
        </is>
      </c>
      <c r="AQ187" s="26" t="inlineStr">
        <is>
          <t>Senior management: accountability for framework compliance. Designated compliance officer: monitor requirements. All staff: awareness of applicable obligations</t>
        </is>
      </c>
      <c r="AR187" s="194" t="inlineStr">
        <is>
          <t>Regulatory Risk; Operational Risk; Reputational Risk — specific domains determined by framework scope</t>
        </is>
      </c>
      <c r="AS187" s="22" t="inlineStr">
        <is>
          <t>See official source — legal obligation, regulatory requirement, or voluntary standard as applicable</t>
        </is>
      </c>
      <c r="AT187" s="195" t="inlineStr">
        <is>
          <t>Administrative; Technical; Operational — specific distribution determined by framework content</t>
        </is>
      </c>
      <c r="AU187" s="199" t="inlineStr">
        <is>
          <t>1. Compliance status (compliant/non-compliant). 2. # open findings from last assessment. 3. % controls implemented. 4. Time to remediate findings. 5. Incident rate in framework scope area</t>
        </is>
      </c>
      <c r="AV187" s="200" t="inlineStr">
        <is>
          <t>Self-assessment; internal audit; external assessment as specified by issuing authority</t>
        </is>
      </c>
      <c r="AW187" s="201" t="inlineStr">
        <is>
          <t>ServiceNow GRC; IBM OpenPages; RSA Archer; MetricStream — all major GRC platforms support custom framework import. Contact vendor for framework-specific module</t>
        </is>
      </c>
      <c r="AX187" s="202" t="inlineStr">
        <is>
          <t>Third parties in scope must demonstrate equivalent compliance. Contractual compliance obligations; right-to-audit clauses; annual third-party assessment</t>
        </is>
      </c>
      <c r="AY187" s="203" t="inlineStr">
        <is>
          <t>Non-compliance: regulatory action by issuing authority; fines and penalties as specified; operational and reputational consequences</t>
        </is>
      </c>
      <c r="AZ187" s="200" t="inlineStr">
        <is>
          <t>Sector-specific — consult official source</t>
        </is>
      </c>
      <c r="BA187" s="41" t="inlineStr">
        <is>
          <t>Sector-Specific</t>
        </is>
      </c>
      <c r="BB187" s="591">
        <f>IF(E187="","",IF(ISNUMBER(SEARCH("Institutional theory and regulatory governance theory underpin",AI187)),"TEMPLATE",IF(LEN(AI187)&gt;100,"DEEP",IF(AI187="","SPARSE","SHALLOW"))))</f>
        <v/>
      </c>
      <c r="BC187" s="591">
        <f>IF(E187="","",D187&amp;"-"&amp;B187&amp;"-"&amp;E187)</f>
        <v/>
      </c>
      <c r="BD187" s="591">
        <f>IF(E187="","",SUBSTITUTE(SUBSTITUTE(B187&amp;"-"&amp;E187," ",""),":","-"))</f>
        <v/>
      </c>
      <c r="BE187" s="591">
        <f>IF(E187="","",IF(ISNUMBER(SEARCH("ECC",E187)),"NCA-ECC-2-2024",IF(ISNUMBER(SEARCH("OTCC",E187)),"NCA-ECC-2-2024",IF(ISNUMBER(SEARCH("CCC",E187)),"NCA-ECC-2-2024",IF(ISNUMBER(SEARCH("DCC",E187)),"NCA-ECC-2-2024",IF(ISNUMBER(SEARCH("CSCC",E187)),"NCA-ECC-2-2024",IF(ISNUMBER(SEARCH("PDPL-IR",E187)),"PDPL-2021",IF(ISNUMBER(SEARCH("PDPL-DTR",E187)),"PDPL-2021","NONE"))))))))</f>
        <v/>
      </c>
      <c r="BF187" s="594">
        <f>IF(E187="","",IF(BB187="DEEP",10,IF(BB187="SHALLOW",5,IF(BB187="TEMPLATE",3,1)))+IF(N187="HIGHEST",5,IF(N187="HIGH",3,IF(N187="MODERATE",1,0)))+IF(ISNUMBER(SEARCH("Mandatory",L187)),3,0))</f>
        <v/>
      </c>
    </row>
    <row r="188" ht="42" customHeight="1">
      <c r="A188" s="204" t="n">
        <v>169</v>
      </c>
      <c r="B188" s="205" t="inlineStr">
        <is>
          <t>MOE</t>
        </is>
      </c>
      <c r="C188" s="190" t="inlineStr">
        <is>
          <t>Ministry of Education</t>
        </is>
      </c>
      <c r="D188" s="190" t="inlineStr">
        <is>
          <t>1. Ministries</t>
        </is>
      </c>
      <c r="E188" s="205" t="inlineStr">
        <is>
          <t>NCA-ECC-2:2024</t>
        </is>
      </c>
      <c r="F188" s="192" t="inlineStr">
        <is>
          <t>Essential Cybersecurity Controls</t>
        </is>
      </c>
      <c r="G188" s="190" t="inlineStr">
        <is>
          <t>ضوابط الأمن السيبراني الأساسية</t>
        </is>
      </c>
      <c r="H188" s="190" t="inlineStr">
        <is>
          <t>ECC-2:2024</t>
        </is>
      </c>
      <c r="I188" s="191" t="inlineStr">
        <is>
          <t>2018</t>
        </is>
      </c>
      <c r="J188" s="191" t="inlineStr">
        <is>
          <t>108</t>
        </is>
      </c>
      <c r="K188" s="190" t="inlineStr">
        <is>
          <t>MUST COMPLY WITH</t>
        </is>
      </c>
      <c r="L188" s="66" t="inlineStr">
        <is>
          <t>Mandatory Complier</t>
        </is>
      </c>
      <c r="M188" s="190" t="inlineStr">
        <is>
          <t>Ministry of Education as government entity</t>
        </is>
      </c>
      <c r="N188" s="209" t="inlineStr">
        <is>
          <t>LOW</t>
        </is>
      </c>
      <c r="O188" s="207" t="inlineStr">
        <is>
          <t>https://nca.gov.sa/</t>
        </is>
      </c>
      <c r="P188" s="190" t="inlineStr">
        <is>
          <t>NCA ECC scope</t>
        </is>
      </c>
      <c r="Q188" s="190" t="inlineStr">
        <is>
          <t>See official source for version history</t>
        </is>
      </c>
      <c r="R188" s="190" t="inlineStr">
        <is>
          <t>Framework issued by the relevant authority. Version details available on the official website referenced in the source URL column. The framework has been updated periodically since first issuance.</t>
        </is>
      </c>
      <c r="S188" s="191" t="inlineStr">
        <is>
          <t>See official source</t>
        </is>
      </c>
      <c r="T188" s="190" t="inlineStr">
        <is>
          <t>Updated as needed by the issuing authority</t>
        </is>
      </c>
      <c r="U188" s="25" t="inlineStr">
        <is>
          <t>CURRENT — consult official source for latest version</t>
        </is>
      </c>
      <c r="V188" s="190" t="inlineStr">
        <is>
          <t>Penalties defined by issuing authority; consult official source. NCA ECC-2 penalties apply if relevant</t>
        </is>
      </c>
      <c r="W188" s="192" t="inlineStr">
        <is>
          <t>Issuing authority and/or designated inspection department</t>
        </is>
      </c>
      <c r="X188" s="190" t="inlineStr">
        <is>
          <t>As specified in framework scope — consult official document</t>
        </is>
      </c>
      <c r="Y188" s="49" t="inlineStr">
        <is>
          <t>Both (unless specified otherwise in official document)</t>
        </is>
      </c>
      <c r="Z188" s="190" t="inlineStr">
        <is>
          <t>As defined by issuing authority</t>
        </is>
      </c>
      <c r="AA188" s="191" t="inlineStr">
        <is>
          <t>As defined by issuing authority</t>
        </is>
      </c>
      <c r="AB188" s="190" t="inlineStr">
        <is>
          <t>To be determined from framework text — see official source</t>
        </is>
      </c>
      <c r="AC188" s="190" t="inlineStr">
        <is>
          <t>See framework preamble for international standard references</t>
        </is>
      </c>
      <c r="AD188" s="49" t="inlineStr">
        <is>
          <t>Arabic (primary in KSA); English may be available</t>
        </is>
      </c>
      <c r="AE188" s="58" t="inlineStr">
        <is>
          <t>Mapped to relevant GH-ICGA layer — requires manual assessment</t>
        </is>
      </c>
      <c r="AF188" s="56" t="inlineStr">
        <is>
          <t>See official framework for maturity model details</t>
        </is>
      </c>
      <c r="AG188" s="190" t="inlineStr">
        <is>
          <t>Aligned with relevant Vision 2030 programme — see framework context</t>
        </is>
      </c>
      <c r="AH188" s="190" t="inlineStr">
        <is>
          <t>As specified in framework compliance requirements</t>
        </is>
      </c>
      <c r="AI188" s="193" t="inlineStr">
        <is>
          <t>Institutional theory and regulatory governance theory underpin all KSA regulatory frameworks. Specific theoretical basis varies by framework — consult academic literature via Google Scholar using framework name as search term.</t>
        </is>
      </c>
      <c r="AJ188" s="190" t="inlineStr">
        <is>
          <t>Academic debate varies by framework maturity and international adoption. For KSA-specific debate, consult: Almohammad &amp; Wills (2021) J Cybersecurity; Al-Khater et al. (2020) IEEE Access; Baker McKenzie KSA regulatory updates.</t>
        </is>
      </c>
      <c r="AK188" s="194" t="inlineStr">
        <is>
          <t>Known criticisms include: implementation gap between standards and practice; resource constraints for smaller healthcare entities; rapid technology evolution outpacing regulation. Consult framework evaluation literature for specifics.</t>
        </is>
      </c>
      <c r="AL188" s="195" t="inlineStr">
        <is>
          <t>Framework comparison requires contextual analysis. Key comparators: NIST CSF 2.0 (international benchmark), ISO 27001 (certifiable standard), ECC-2 (KSA mandatory baseline). See main database for cross-framework mapping.</t>
        </is>
      </c>
      <c r="AM188" s="19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88" s="197" t="inlineStr">
        <is>
          <t>Official: Consult the official source URL in the database for the primary document. Training: ISACA, ISC2, RAPS, IAPP, and HIMSS offer professional development covering most regulatory domains. Estimated hours vary by framework complexity.</t>
        </is>
      </c>
      <c r="AO188" s="198" t="inlineStr">
        <is>
          <t>Relevance to GH-ICGA framework varies by layer — see GH-ICGA Layer Mapping column. All KSA mandatory frameworks are compliance inputs to GH-ICGA Layer 4. Frameworks with IoMT-specific provisions directly inform Layers 2 and 3.</t>
        </is>
      </c>
      <c r="AP188" s="51" t="inlineStr">
        <is>
          <t>G + C (Governance + Compliance — standard regulatory framework positioning)</t>
        </is>
      </c>
      <c r="AQ188" s="26" t="inlineStr">
        <is>
          <t>Senior management: accountability for framework compliance. Designated compliance officer: monitor requirements. All staff: awareness of applicable obligations</t>
        </is>
      </c>
      <c r="AR188" s="194" t="inlineStr">
        <is>
          <t>Regulatory Risk; Operational Risk; Reputational Risk — specific domains determined by framework scope</t>
        </is>
      </c>
      <c r="AS188" s="22" t="inlineStr">
        <is>
          <t>See official source — legal obligation, regulatory requirement, or voluntary standard as applicable</t>
        </is>
      </c>
      <c r="AT188" s="195" t="inlineStr">
        <is>
          <t>Administrative; Technical; Operational — specific distribution determined by framework content</t>
        </is>
      </c>
      <c r="AU188" s="199" t="inlineStr">
        <is>
          <t>1. Compliance status (compliant/non-compliant). 2. # open findings from last assessment. 3. % controls implemented. 4. Time to remediate findings. 5. Incident rate in framework scope area</t>
        </is>
      </c>
      <c r="AV188" s="200" t="inlineStr">
        <is>
          <t>Self-assessment; internal audit; external assessment as specified by issuing authority</t>
        </is>
      </c>
      <c r="AW188" s="201" t="inlineStr">
        <is>
          <t>ServiceNow GRC; IBM OpenPages; RSA Archer; MetricStream — all major GRC platforms support custom framework import. Contact vendor for framework-specific module</t>
        </is>
      </c>
      <c r="AX188" s="202" t="inlineStr">
        <is>
          <t>Third parties in scope must demonstrate equivalent compliance. Contractual compliance obligations; right-to-audit clauses; annual third-party assessment</t>
        </is>
      </c>
      <c r="AY188" s="203" t="inlineStr">
        <is>
          <t>Non-compliance: regulatory action by issuing authority; fines and penalties as specified; operational and reputational consequences</t>
        </is>
      </c>
      <c r="AZ188" s="200" t="inlineStr">
        <is>
          <t>ALL 17 SECTORS</t>
        </is>
      </c>
      <c r="BA188" s="34" t="inlineStr">
        <is>
          <t>YES — ALL SECTORS</t>
        </is>
      </c>
      <c r="BB188" s="591">
        <f>IF(E188="","",IF(ISNUMBER(SEARCH("Institutional theory and regulatory governance theory underpin",AI188)),"TEMPLATE",IF(LEN(AI188)&gt;100,"DEEP",IF(AI188="","SPARSE","SHALLOW"))))</f>
        <v/>
      </c>
      <c r="BC188" s="591">
        <f>IF(E188="","",D188&amp;"-"&amp;B188&amp;"-"&amp;E188)</f>
        <v/>
      </c>
      <c r="BD188" s="591">
        <f>IF(E188="","",SUBSTITUTE(SUBSTITUTE(B188&amp;"-"&amp;E188," ",""),":","-"))</f>
        <v/>
      </c>
      <c r="BE188" s="591">
        <f>IF(E188="","",IF(ISNUMBER(SEARCH("ECC",E188)),"NCA-ECC-2-2024",IF(ISNUMBER(SEARCH("OTCC",E188)),"NCA-ECC-2-2024",IF(ISNUMBER(SEARCH("CCC",E188)),"NCA-ECC-2-2024",IF(ISNUMBER(SEARCH("DCC",E188)),"NCA-ECC-2-2024",IF(ISNUMBER(SEARCH("CSCC",E188)),"NCA-ECC-2-2024",IF(ISNUMBER(SEARCH("PDPL-IR",E188)),"PDPL-2021",IF(ISNUMBER(SEARCH("PDPL-DTR",E188)),"PDPL-2021","NONE"))))))))</f>
        <v/>
      </c>
      <c r="BF188" s="594">
        <f>IF(E188="","",IF(BB188="DEEP",10,IF(BB188="SHALLOW",5,IF(BB188="TEMPLATE",3,1)))+IF(N188="HIGHEST",5,IF(N188="HIGH",3,IF(N188="MODERATE",1,0)))+IF(ISNUMBER(SEARCH("Mandatory",L188)),3,0))</f>
        <v/>
      </c>
    </row>
    <row r="189" ht="42" customHeight="1">
      <c r="A189" s="42" t="n">
        <v>170</v>
      </c>
      <c r="B189" s="189" t="inlineStr">
        <is>
          <t>MOE</t>
        </is>
      </c>
      <c r="C189" s="44" t="inlineStr">
        <is>
          <t>Ministry of Education</t>
        </is>
      </c>
      <c r="D189" s="44" t="inlineStr">
        <is>
          <t>1. Ministries</t>
        </is>
      </c>
      <c r="E189" s="189" t="inlineStr">
        <is>
          <t>PDPL-2021</t>
        </is>
      </c>
      <c r="F189" s="45" t="inlineStr">
        <is>
          <t>Personal Data Protection Law</t>
        </is>
      </c>
      <c r="G189" s="44" t="inlineStr">
        <is>
          <t>نظام حماية البيانات الشخصية</t>
        </is>
      </c>
      <c r="H189" s="44" t="inlineStr">
        <is>
          <t>2021+IR 2023</t>
        </is>
      </c>
      <c r="I189" s="46" t="inlineStr">
        <is>
          <t>2021</t>
        </is>
      </c>
      <c r="J189" s="46" t="inlineStr">
        <is>
          <t>45</t>
        </is>
      </c>
      <c r="K189" s="44" t="inlineStr">
        <is>
          <t>MUST COMPLY WITH</t>
        </is>
      </c>
      <c r="L189" s="66" t="inlineStr">
        <is>
          <t>Mandatory Complier</t>
        </is>
      </c>
      <c r="M189" s="44" t="inlineStr">
        <is>
          <t>Ministry of Education processes personal data of employees and regulated parties</t>
        </is>
      </c>
      <c r="N189" s="59" t="inlineStr">
        <is>
          <t>LOW</t>
        </is>
      </c>
      <c r="O189" s="48" t="inlineStr">
        <is>
          <t>https://sdaia.gov.sa/</t>
        </is>
      </c>
      <c r="P189" s="44" t="inlineStr">
        <is>
          <t>SDAIA</t>
        </is>
      </c>
      <c r="Q189" s="190" t="inlineStr">
        <is>
          <t>Royal Decree M/19 (16 Sep 2021) → amended Apr 2023</t>
        </is>
      </c>
      <c r="R189" s="190" t="inlineStr">
        <is>
          <t>Original (2021): 19 articles covering consent, data subject rights, controller obligations, sensitive data (health = sensitive), cross-border transfer. Apr 2023 amendment: strengthened enforcement, clarified health data provisions, aligned with PDPL-IR-2023. Grace period for compliance ended Sep 14, 2024. Penalties: up to SAR 5 million fine + 2 years imprisonment for sensitive data breach</t>
        </is>
      </c>
      <c r="S189" s="191" t="inlineStr">
        <is>
          <t>Issued: Sep 2021. Amended: Apr 2023. Fully enforceable: Sep 14, 2024</t>
        </is>
      </c>
      <c r="T189" s="190" t="inlineStr">
        <is>
          <t>SDAIA reviews annually; amendments expected 2025-2026</t>
        </is>
      </c>
      <c r="U189" s="25" t="inlineStr">
        <is>
          <t>CURRENT — fully enforceable since Sep 2024</t>
        </is>
      </c>
      <c r="V189" s="190" t="inlineStr">
        <is>
          <t>Criminal offence: up to 2 years imprisonment + SAR 3M fine for disclosing sensitive data (health data = sensitive); administrative fine up to SAR 5M; mandatory breach notification to SDAIA within 72 hours; data subject compensation claims</t>
        </is>
      </c>
      <c r="W189" s="192" t="inlineStr">
        <is>
          <t>SDAIA — Data Protection Authority (DPA functions); NDMO for government entities; courts for criminal penalties</t>
        </is>
      </c>
      <c r="X189" s="190" t="inlineStr">
        <is>
          <t>Hospital; Clinic; Lab; Pharmacy; Health IT Vendor; Health Insurer; Government Health Entity; Medical Device Manufacturer (all processing patient data)</t>
        </is>
      </c>
      <c r="Y189" s="49" t="inlineStr">
        <is>
          <t>Both + foreign entities processing data of KSA residents</t>
        </is>
      </c>
      <c r="Z189" s="190" t="inlineStr">
        <is>
          <t>SDAIA audit; controller self-assessment; DPO oversight; data subject complaints trigger investigation</t>
        </is>
      </c>
      <c r="AA189" s="191" t="inlineStr">
        <is>
          <t>Continuous (breach notification: 72 hours); annual DPO report; SDAIA random audits</t>
        </is>
      </c>
      <c r="AB189" s="190" t="inlineStr">
        <is>
          <t>12 (IoMT data minimisation; purpose limitation; consent management for wearable data; automated decision-making; data subject rights for IoMT-generated health data; cross-border transfer of IoMT data)</t>
        </is>
      </c>
      <c r="AC189" s="190" t="inlineStr">
        <is>
          <t>GDPR (substantial alignment — adequate protection basis); APEC Privacy Framework; ISO 29100; ISO 27701</t>
        </is>
      </c>
      <c r="AD189" s="49" t="inlineStr">
        <is>
          <t>Arabic (official); English translation (unofficial)</t>
        </is>
      </c>
      <c r="AE189" s="50" t="inlineStr">
        <is>
          <t>Layer 4: Compliance; Layer 2: Risk Management</t>
        </is>
      </c>
      <c r="AF189" s="60" t="inlineStr">
        <is>
          <t>No formal maturity model; SDAIA publishes compliance guidance</t>
        </is>
      </c>
      <c r="AG189" s="190" t="inlineStr">
        <is>
          <t>National Data Strategy; Vision 2030 Digital Economy; Digital Government transformation</t>
        </is>
      </c>
      <c r="AH189" s="190" t="inlineStr">
        <is>
          <t>Privacy notices; consent records; DPO appointment letter; data mapping/flow diagrams; breach notification records; DPIA for health data processing; controller registration</t>
        </is>
      </c>
      <c r="AI189" s="193" t="inlineStr">
        <is>
          <t>Privacy as fundamental right (Warren &amp; Brandeis 1890; Westin 1967). Contextual integrity theory (Nissenbaum 2004): health data flows must match medical context norms. Regulatory theory: data protection authority independence and enforcement. Information asymmetry theory: patients cannot protect their own data without regulation.</t>
        </is>
      </c>
      <c r="AJ189" s="190" t="inlineStr">
        <is>
          <t>FOR: Long-overdue — KSA had no comprehensive data protection law until 2021; health data explicitly protected as sensitive category; aligns KSA with global adequacy standards. AGAINST: Alrawabdeh (2014) and Aldawood &amp; Skinner (2019) documented Saudi privacy culture gap — regulation without public awareness is ineffective; 'GDPR-lite' criticism: exemptions broader than GDPR, enforcement weaker; health data provisions in IR still less specific than UK GDPR Schedule 1 conditions</t>
        </is>
      </c>
      <c r="AK189" s="194" t="inlineStr">
        <is>
          <t>No independent supervisory authority (SDAIA is both promoter and regulator — conflict of interest noted by Baker McKenzie 2025); patient data portability rights weaker than GDPR Article 20; no explicit right to explanation for AI-automated health decisions; cross-border transfer rules changed twice in 12 months (regulatory instability); small healthcare providers lack capacity for DPO requirements</t>
        </is>
      </c>
      <c r="AL189" s="195" t="inlineStr">
        <is>
          <t>PDPL vs GDPR: PDPL penalty lower (SAR 5M vs €20M); PDPL broader government exemptions; GDPR has independent DPA, PDPL does not. PDPL vs HIPAA: PDPL = all personal data (broader); HIPAA = US-specific health data only. PDPL vs UK GDPR: PDPL misses explicit Schedule 1 health data conditions. PDPL ahead of HIPAA on consent granularity; behind GDPR on enforcement independence</t>
        </is>
      </c>
      <c r="AM189" s="196" t="inlineStr">
        <is>
          <t>Baker McKenzie (2025) Saudi Arabia PDPL Global Data &amp; Cyber Handbook; Alrawabdeh W (2014) 'Internet and Social Media Challenges in Arab World' EJSR; Westin AF (1967) Privacy and Freedom NY Atheneum; Nissenbaum H (2004) 'Privacy as Contextual Integrity' Washington Law Review 79(1); CMS Law (2025) Saudi Arabia Data Protection &amp; Cybersecurity Expert Guide Oct 2025</t>
        </is>
      </c>
      <c r="AN189" s="197" t="inlineStr">
        <is>
          <t>Official: SDAIA website (sdaia.gov.sa) — Arabic + English. Training: IAPP CIPM/CIPP/E (privacy certifications applicable); OneTrust PDPL compliance course; Baker McKenzie PDPL compliance guide. Language: Arabic primary — strong Arabic reading recommended. Estimated: 50 hours for health sector DPO competence</t>
        </is>
      </c>
      <c r="AO189" s="198" t="inlineStr">
        <is>
          <t>PRIMARY driver for GH-ICGA Layer 4 (Compliance) — PDPL is the legal foundation for patient data governance in the preliminary GH-ICGA framework. Thesis argument: GH-ICGA Layer 4 operationalises PDPL requirements into IoMT-specific controls (consent management for wearable data; purpose limitation for monitoring streams; breach response for connected device incidents)</t>
        </is>
      </c>
      <c r="AP189" s="51" t="inlineStr">
        <is>
          <t>G + C (Governance + Compliance — strong compliance driver; risk implicit)</t>
        </is>
      </c>
      <c r="AQ189" s="26" t="inlineStr">
        <is>
          <t>Board/CEO: ultimate accountability for PDPL compliance. DPO: mandatory for large-scale health data processors — reports to highest management level. Privacy Committee: cross-functional oversight. All staff processing personal data: mandatory privacy awareness training annually</t>
        </is>
      </c>
      <c r="AR189" s="194" t="inlineStr">
        <is>
          <t>Privacy Risk (PRIMARY); Legal/Regulatory Risk; Reputational Risk; Strategic Risk (data monetisation constraints); Cross-Border Risk (data transfer restrictions)</t>
        </is>
      </c>
      <c r="AS189" s="22" t="inlineStr">
        <is>
          <t>LEGAL — Royal Decree M/19 2021 + Implementing Regulations Sep 2023. Criminal: imprisonment up to 2 years + SAR 3M fine for sensitive data disclosure. Administrative: SAR 5M maximum fine. Civil: data subject compensation claims</t>
        </is>
      </c>
      <c r="AT189" s="195" t="inlineStr">
        <is>
          <t>Administrative (A): consent management; privacy notices; DPO appointment; DPIA process; breach notification procedure. Technical (T): data minimisation; pseudonymisation; access controls for personal data; encryption. Operational (O): data retention enforcement; data subject rights fulfilment process; cross-border transfer review</t>
        </is>
      </c>
      <c r="AU189" s="199" t="inlineStr">
        <is>
          <t>1. # data subject rights requests fulfilled on time (target: 100% within 30 days). 2. # data breaches notified to SDAIA within 72h (target: 100%). 3. % staff completed privacy training (target: 100%). 4. # DPIAs completed for high-risk processing activities. 5. Data retention compliance rate (% records within policy). 6. % third-party processors with DPA agreements</t>
        </is>
      </c>
      <c r="AV189" s="200" t="inlineStr">
        <is>
          <t>Annual DPIA review; data mapping audit (controller record validation); consent record audit; breach response simulation (tabletop); access control review for personal data systems; third-party processor audit; SDAIA compliance self-assessment</t>
        </is>
      </c>
      <c r="AW189" s="201" t="inlineStr">
        <is>
          <t>OneTrust (market leader for PDPL); TrustArc; Nymity; DataGrail; Varonis (data discovery); Microsoft Purview (data classification). SDAIA National Data Governance Platform for registration. Arabic-capable tools preferred</t>
        </is>
      </c>
      <c r="AX189" s="202" t="inlineStr">
        <is>
          <t>All third-party data processors must have Data Processing Agreement (DPA). Processors must demonstrate equivalent PDPL compliance. Cross-border transfers require adequacy assessment or appropriate safeguards. Sub-processor disclosure mandatory. Annual processor risk assessment required</t>
        </is>
      </c>
      <c r="AY189" s="203" t="inlineStr">
        <is>
          <t>Non-compliance: SAR 5M administrative fine; criminal prosecution for sensitive data breach; SDAIA investigation; mandatory breach public disclosure. Business disruption: SDAIA can order processing suspension. Reputational: patient trust damage. Market: EU adequate protection status depends on PDPL enforcement credibility</t>
        </is>
      </c>
      <c r="AZ189" s="200" t="inlineStr">
        <is>
          <t>ALL 17 SECTORS — any entity processing personal data</t>
        </is>
      </c>
      <c r="BA189" s="34" t="inlineStr">
        <is>
          <t>YES — ALL SECTORS</t>
        </is>
      </c>
      <c r="BB189" s="591">
        <f>IF(E189="","",IF(ISNUMBER(SEARCH("Institutional theory and regulatory governance theory underpin",AI189)),"TEMPLATE",IF(LEN(AI189)&gt;100,"DEEP",IF(AI189="","SPARSE","SHALLOW"))))</f>
        <v/>
      </c>
      <c r="BC189" s="591">
        <f>IF(E189="","",D189&amp;"-"&amp;B189&amp;"-"&amp;E189)</f>
        <v/>
      </c>
      <c r="BD189" s="591">
        <f>IF(E189="","",SUBSTITUTE(SUBSTITUTE(B189&amp;"-"&amp;E189," ",""),":","-"))</f>
        <v/>
      </c>
      <c r="BE189" s="591">
        <f>IF(E189="","",IF(ISNUMBER(SEARCH("ECC",E189)),"NCA-ECC-2-2024",IF(ISNUMBER(SEARCH("OTCC",E189)),"NCA-ECC-2-2024",IF(ISNUMBER(SEARCH("CCC",E189)),"NCA-ECC-2-2024",IF(ISNUMBER(SEARCH("DCC",E189)),"NCA-ECC-2-2024",IF(ISNUMBER(SEARCH("CSCC",E189)),"NCA-ECC-2-2024",IF(ISNUMBER(SEARCH("PDPL-IR",E189)),"PDPL-2021",IF(ISNUMBER(SEARCH("PDPL-DTR",E189)),"PDPL-2021","NONE"))))))))</f>
        <v/>
      </c>
      <c r="BF189" s="594">
        <f>IF(E189="","",IF(BB189="DEEP",10,IF(BB189="SHALLOW",5,IF(BB189="TEMPLATE",3,1)))+IF(N189="HIGHEST",5,IF(N189="HIGH",3,IF(N189="MODERATE",1,0)))+IF(ISNUMBER(SEARCH("Mandatory",L189)),3,0))</f>
        <v/>
      </c>
    </row>
    <row r="190" ht="42" customHeight="1">
      <c r="A190" s="204" t="n">
        <v>171</v>
      </c>
      <c r="B190" s="205" t="inlineStr">
        <is>
          <t>MOCI</t>
        </is>
      </c>
      <c r="C190" s="190" t="inlineStr">
        <is>
          <t>Ministry of Commerce</t>
        </is>
      </c>
      <c r="D190" s="190" t="inlineStr">
        <is>
          <t>1. Ministries</t>
        </is>
      </c>
      <c r="E190" s="205" t="inlineStr">
        <is>
          <t>MOCI-LAW</t>
        </is>
      </c>
      <c r="F190" s="192" t="inlineStr">
        <is>
          <t>Companies &amp; Consumer Protection Laws</t>
        </is>
      </c>
      <c r="G190" s="190" t="inlineStr">
        <is>
          <t>قانون/نظام اللوائح الرئيسية</t>
        </is>
      </c>
      <c r="H190" s="190" t="inlineStr">
        <is>
          <t>Active/Updated</t>
        </is>
      </c>
      <c r="I190" s="191" t="inlineStr">
        <is>
          <t>2015</t>
        </is>
      </c>
      <c r="J190" s="191" t="inlineStr">
        <is>
          <t>N/A</t>
        </is>
      </c>
      <c r="K190" s="190" t="inlineStr">
        <is>
          <t>ISSUES/ENFORCES</t>
        </is>
      </c>
      <c r="L190" s="22" t="inlineStr">
        <is>
          <t>Mandatory Enforcer</t>
        </is>
      </c>
      <c r="M190" s="190" t="inlineStr">
        <is>
          <t>Entities regulated by this ministry</t>
        </is>
      </c>
      <c r="N190" s="208" t="inlineStr">
        <is>
          <t>MODERATE</t>
        </is>
      </c>
      <c r="O190" s="207" t="inlineStr">
        <is>
          <t>https://moci.gov.sa or via www.moi.gov.sa</t>
        </is>
      </c>
      <c r="P190" s="190" t="inlineStr">
        <is>
          <t>Ministry official; BOE regulations archive</t>
        </is>
      </c>
      <c r="Q190" s="190" t="inlineStr">
        <is>
          <t>See official source for version history</t>
        </is>
      </c>
      <c r="R190" s="190" t="inlineStr">
        <is>
          <t>Framework issued by the relevant authority. Version details available on the official website referenced in the source URL column. The framework has been updated periodically since first issuance.</t>
        </is>
      </c>
      <c r="S190" s="191" t="inlineStr">
        <is>
          <t>See official source</t>
        </is>
      </c>
      <c r="T190" s="190" t="inlineStr">
        <is>
          <t>Updated as needed by the issuing authority</t>
        </is>
      </c>
      <c r="U190" s="25" t="inlineStr">
        <is>
          <t>CURRENT — consult official source for latest version</t>
        </is>
      </c>
      <c r="V190" s="190" t="inlineStr">
        <is>
          <t>Penalties defined by issuing authority; consult official source. NCA ECC-2 penalties apply if relevant</t>
        </is>
      </c>
      <c r="W190" s="192" t="inlineStr">
        <is>
          <t>Issuing authority and/or designated inspection department</t>
        </is>
      </c>
      <c r="X190" s="190" t="inlineStr">
        <is>
          <t>As specified in framework scope — consult official document</t>
        </is>
      </c>
      <c r="Y190" s="49" t="inlineStr">
        <is>
          <t>Both (unless specified otherwise in official document)</t>
        </is>
      </c>
      <c r="Z190" s="190" t="inlineStr">
        <is>
          <t>As defined by issuing authority</t>
        </is>
      </c>
      <c r="AA190" s="191" t="inlineStr">
        <is>
          <t>As defined by issuing authority</t>
        </is>
      </c>
      <c r="AB190" s="190" t="inlineStr">
        <is>
          <t>To be determined from framework text — see official source</t>
        </is>
      </c>
      <c r="AC190" s="190" t="inlineStr">
        <is>
          <t>See framework preamble for international standard references</t>
        </is>
      </c>
      <c r="AD190" s="49" t="inlineStr">
        <is>
          <t>Arabic (primary in KSA); English may be available</t>
        </is>
      </c>
      <c r="AE190" s="58" t="inlineStr">
        <is>
          <t>Mapped to relevant GH-ICGA layer — requires manual assessment</t>
        </is>
      </c>
      <c r="AF190" s="56" t="inlineStr">
        <is>
          <t>See official framework for maturity model details</t>
        </is>
      </c>
      <c r="AG190" s="190" t="inlineStr">
        <is>
          <t>Aligned with relevant Vision 2030 programme — see framework context</t>
        </is>
      </c>
      <c r="AH190" s="190" t="inlineStr">
        <is>
          <t>As specified in framework compliance requirements</t>
        </is>
      </c>
      <c r="AI190" s="193" t="inlineStr">
        <is>
          <t>Institutional theory and regulatory governance theory underpin all KSA regulatory frameworks. Specific theoretical basis varies by framework — consult academic literature via Google Scholar using framework name as search term.</t>
        </is>
      </c>
      <c r="AJ190" s="190" t="inlineStr">
        <is>
          <t>Academic debate varies by framework maturity and international adoption. For KSA-specific debate, consult: Almohammad &amp; Wills (2021) J Cybersecurity; Al-Khater et al. (2020) IEEE Access; Baker McKenzie KSA regulatory updates.</t>
        </is>
      </c>
      <c r="AK190" s="194" t="inlineStr">
        <is>
          <t>Known criticisms include: implementation gap between standards and practice; resource constraints for smaller healthcare entities; rapid technology evolution outpacing regulation. Consult framework evaluation literature for specifics.</t>
        </is>
      </c>
      <c r="AL190" s="195" t="inlineStr">
        <is>
          <t>Framework comparison requires contextual analysis. Key comparators: NIST CSF 2.0 (international benchmark), ISO 27001 (certifiable standard), ECC-2 (KSA mandatory baseline). See main database for cross-framework mapping.</t>
        </is>
      </c>
      <c r="AM190" s="19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90" s="197" t="inlineStr">
        <is>
          <t>Official: Consult the official source URL in the database for the primary document. Training: ISACA, ISC2, RAPS, IAPP, and HIMSS offer professional development covering most regulatory domains. Estimated hours vary by framework complexity.</t>
        </is>
      </c>
      <c r="AO190" s="198" t="inlineStr">
        <is>
          <t>Relevance to GH-ICGA framework varies by layer — see GH-ICGA Layer Mapping column. All KSA mandatory frameworks are compliance inputs to GH-ICGA Layer 4. Frameworks with IoMT-specific provisions directly inform Layers 2 and 3.</t>
        </is>
      </c>
      <c r="AP190" s="51" t="inlineStr">
        <is>
          <t>G + C (Governance + Compliance — standard regulatory framework positioning)</t>
        </is>
      </c>
      <c r="AQ190" s="26" t="inlineStr">
        <is>
          <t>Senior management: accountability for framework compliance. Designated compliance officer: monitor requirements. All staff: awareness of applicable obligations</t>
        </is>
      </c>
      <c r="AR190" s="194" t="inlineStr">
        <is>
          <t>Regulatory Risk; Operational Risk; Reputational Risk — specific domains determined by framework scope</t>
        </is>
      </c>
      <c r="AS190" s="22" t="inlineStr">
        <is>
          <t>See official source — legal obligation, regulatory requirement, or voluntary standard as applicable</t>
        </is>
      </c>
      <c r="AT190" s="195" t="inlineStr">
        <is>
          <t>Administrative; Technical; Operational — specific distribution determined by framework content</t>
        </is>
      </c>
      <c r="AU190" s="199" t="inlineStr">
        <is>
          <t>1. Compliance status (compliant/non-compliant). 2. # open findings from last assessment. 3. % controls implemented. 4. Time to remediate findings. 5. Incident rate in framework scope area</t>
        </is>
      </c>
      <c r="AV190" s="200" t="inlineStr">
        <is>
          <t>Self-assessment; internal audit; external assessment as specified by issuing authority</t>
        </is>
      </c>
      <c r="AW190" s="201" t="inlineStr">
        <is>
          <t>ServiceNow GRC; IBM OpenPages; RSA Archer; MetricStream — all major GRC platforms support custom framework import. Contact vendor for framework-specific module</t>
        </is>
      </c>
      <c r="AX190" s="202" t="inlineStr">
        <is>
          <t>Third parties in scope must demonstrate equivalent compliance. Contractual compliance obligations; right-to-audit clauses; annual third-party assessment</t>
        </is>
      </c>
      <c r="AY190" s="203" t="inlineStr">
        <is>
          <t>Non-compliance: regulatory action by issuing authority; fines and penalties as specified; operational and reputational consequences</t>
        </is>
      </c>
      <c r="AZ190" s="200" t="inlineStr">
        <is>
          <t>Sector-specific — consult official source</t>
        </is>
      </c>
      <c r="BA190" s="41" t="inlineStr">
        <is>
          <t>Sector-Specific</t>
        </is>
      </c>
      <c r="BB190" s="591">
        <f>IF(E190="","",IF(ISNUMBER(SEARCH("Institutional theory and regulatory governance theory underpin",AI190)),"TEMPLATE",IF(LEN(AI190)&gt;100,"DEEP",IF(AI190="","SPARSE","SHALLOW"))))</f>
        <v/>
      </c>
      <c r="BC190" s="591">
        <f>IF(E190="","",D190&amp;"-"&amp;B190&amp;"-"&amp;E190)</f>
        <v/>
      </c>
      <c r="BD190" s="591">
        <f>IF(E190="","",SUBSTITUTE(SUBSTITUTE(B190&amp;"-"&amp;E190," ",""),":","-"))</f>
        <v/>
      </c>
      <c r="BE190" s="591">
        <f>IF(E190="","",IF(ISNUMBER(SEARCH("ECC",E190)),"NCA-ECC-2-2024",IF(ISNUMBER(SEARCH("OTCC",E190)),"NCA-ECC-2-2024",IF(ISNUMBER(SEARCH("CCC",E190)),"NCA-ECC-2-2024",IF(ISNUMBER(SEARCH("DCC",E190)),"NCA-ECC-2-2024",IF(ISNUMBER(SEARCH("CSCC",E190)),"NCA-ECC-2-2024",IF(ISNUMBER(SEARCH("PDPL-IR",E190)),"PDPL-2021",IF(ISNUMBER(SEARCH("PDPL-DTR",E190)),"PDPL-2021","NONE"))))))))</f>
        <v/>
      </c>
      <c r="BF190" s="594">
        <f>IF(E190="","",IF(BB190="DEEP",10,IF(BB190="SHALLOW",5,IF(BB190="TEMPLATE",3,1)))+IF(N190="HIGHEST",5,IF(N190="HIGH",3,IF(N190="MODERATE",1,0)))+IF(ISNUMBER(SEARCH("Mandatory",L190)),3,0))</f>
        <v/>
      </c>
    </row>
    <row r="191" ht="42" customHeight="1">
      <c r="A191" s="42" t="n">
        <v>172</v>
      </c>
      <c r="B191" s="189" t="inlineStr">
        <is>
          <t>MOCI</t>
        </is>
      </c>
      <c r="C191" s="44" t="inlineStr">
        <is>
          <t>Ministry of Commerce</t>
        </is>
      </c>
      <c r="D191" s="44" t="inlineStr">
        <is>
          <t>1. Ministries</t>
        </is>
      </c>
      <c r="E191" s="189" t="inlineStr">
        <is>
          <t>NCA-ECC-2:2024</t>
        </is>
      </c>
      <c r="F191" s="45" t="inlineStr">
        <is>
          <t>Essential Cybersecurity Controls</t>
        </is>
      </c>
      <c r="G191" s="44" t="inlineStr">
        <is>
          <t>ضوابط الأمن السيبراني الأساسية</t>
        </is>
      </c>
      <c r="H191" s="44" t="inlineStr">
        <is>
          <t>ECC-2:2024</t>
        </is>
      </c>
      <c r="I191" s="46" t="inlineStr">
        <is>
          <t>2018</t>
        </is>
      </c>
      <c r="J191" s="46" t="inlineStr">
        <is>
          <t>108</t>
        </is>
      </c>
      <c r="K191" s="44" t="inlineStr">
        <is>
          <t>MUST COMPLY WITH</t>
        </is>
      </c>
      <c r="L191" s="66" t="inlineStr">
        <is>
          <t>Mandatory Complier</t>
        </is>
      </c>
      <c r="M191" s="44" t="inlineStr">
        <is>
          <t>Ministry of Commerce as government entity</t>
        </is>
      </c>
      <c r="N191" s="59" t="inlineStr">
        <is>
          <t>LOW</t>
        </is>
      </c>
      <c r="O191" s="48" t="inlineStr">
        <is>
          <t>https://nca.gov.sa/</t>
        </is>
      </c>
      <c r="P191" s="44" t="inlineStr">
        <is>
          <t>NCA ECC scope</t>
        </is>
      </c>
      <c r="Q191" s="190" t="inlineStr">
        <is>
          <t>See official source for version history</t>
        </is>
      </c>
      <c r="R191" s="190" t="inlineStr">
        <is>
          <t>Framework issued by the relevant authority. Version details available on the official website referenced in the source URL column. The framework has been updated periodically since first issuance.</t>
        </is>
      </c>
      <c r="S191" s="191" t="inlineStr">
        <is>
          <t>See official source</t>
        </is>
      </c>
      <c r="T191" s="190" t="inlineStr">
        <is>
          <t>Updated as needed by the issuing authority</t>
        </is>
      </c>
      <c r="U191" s="25" t="inlineStr">
        <is>
          <t>CURRENT — consult official source for latest version</t>
        </is>
      </c>
      <c r="V191" s="190" t="inlineStr">
        <is>
          <t>Penalties defined by issuing authority; consult official source. NCA ECC-2 penalties apply if relevant</t>
        </is>
      </c>
      <c r="W191" s="192" t="inlineStr">
        <is>
          <t>Issuing authority and/or designated inspection department</t>
        </is>
      </c>
      <c r="X191" s="190" t="inlineStr">
        <is>
          <t>As specified in framework scope — consult official document</t>
        </is>
      </c>
      <c r="Y191" s="49" t="inlineStr">
        <is>
          <t>Both (unless specified otherwise in official document)</t>
        </is>
      </c>
      <c r="Z191" s="190" t="inlineStr">
        <is>
          <t>As defined by issuing authority</t>
        </is>
      </c>
      <c r="AA191" s="191" t="inlineStr">
        <is>
          <t>As defined by issuing authority</t>
        </is>
      </c>
      <c r="AB191" s="190" t="inlineStr">
        <is>
          <t>To be determined from framework text — see official source</t>
        </is>
      </c>
      <c r="AC191" s="190" t="inlineStr">
        <is>
          <t>See framework preamble for international standard references</t>
        </is>
      </c>
      <c r="AD191" s="49" t="inlineStr">
        <is>
          <t>Arabic (primary in KSA); English may be available</t>
        </is>
      </c>
      <c r="AE191" s="58" t="inlineStr">
        <is>
          <t>Mapped to relevant GH-ICGA layer — requires manual assessment</t>
        </is>
      </c>
      <c r="AF191" s="56" t="inlineStr">
        <is>
          <t>See official framework for maturity model details</t>
        </is>
      </c>
      <c r="AG191" s="190" t="inlineStr">
        <is>
          <t>Aligned with relevant Vision 2030 programme — see framework context</t>
        </is>
      </c>
      <c r="AH191" s="190" t="inlineStr">
        <is>
          <t>As specified in framework compliance requirements</t>
        </is>
      </c>
      <c r="AI191" s="193" t="inlineStr">
        <is>
          <t>Institutional theory and regulatory governance theory underpin all KSA regulatory frameworks. Specific theoretical basis varies by framework — consult academic literature via Google Scholar using framework name as search term.</t>
        </is>
      </c>
      <c r="AJ191" s="190" t="inlineStr">
        <is>
          <t>Academic debate varies by framework maturity and international adoption. For KSA-specific debate, consult: Almohammad &amp; Wills (2021) J Cybersecurity; Al-Khater et al. (2020) IEEE Access; Baker McKenzie KSA regulatory updates.</t>
        </is>
      </c>
      <c r="AK191" s="194" t="inlineStr">
        <is>
          <t>Known criticisms include: implementation gap between standards and practice; resource constraints for smaller healthcare entities; rapid technology evolution outpacing regulation. Consult framework evaluation literature for specifics.</t>
        </is>
      </c>
      <c r="AL191" s="195" t="inlineStr">
        <is>
          <t>Framework comparison requires contextual analysis. Key comparators: NIST CSF 2.0 (international benchmark), ISO 27001 (certifiable standard), ECC-2 (KSA mandatory baseline). See main database for cross-framework mapping.</t>
        </is>
      </c>
      <c r="AM191" s="19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91" s="197" t="inlineStr">
        <is>
          <t>Official: Consult the official source URL in the database for the primary document. Training: ISACA, ISC2, RAPS, IAPP, and HIMSS offer professional development covering most regulatory domains. Estimated hours vary by framework complexity.</t>
        </is>
      </c>
      <c r="AO191" s="198" t="inlineStr">
        <is>
          <t>Relevance to GH-ICGA framework varies by layer — see GH-ICGA Layer Mapping column. All KSA mandatory frameworks are compliance inputs to GH-ICGA Layer 4. Frameworks with IoMT-specific provisions directly inform Layers 2 and 3.</t>
        </is>
      </c>
      <c r="AP191" s="51" t="inlineStr">
        <is>
          <t>G + C (Governance + Compliance — standard regulatory framework positioning)</t>
        </is>
      </c>
      <c r="AQ191" s="26" t="inlineStr">
        <is>
          <t>Senior management: accountability for framework compliance. Designated compliance officer: monitor requirements. All staff: awareness of applicable obligations</t>
        </is>
      </c>
      <c r="AR191" s="194" t="inlineStr">
        <is>
          <t>Regulatory Risk; Operational Risk; Reputational Risk — specific domains determined by framework scope</t>
        </is>
      </c>
      <c r="AS191" s="22" t="inlineStr">
        <is>
          <t>See official source — legal obligation, regulatory requirement, or voluntary standard as applicable</t>
        </is>
      </c>
      <c r="AT191" s="195" t="inlineStr">
        <is>
          <t>Administrative; Technical; Operational — specific distribution determined by framework content</t>
        </is>
      </c>
      <c r="AU191" s="199" t="inlineStr">
        <is>
          <t>1. Compliance status (compliant/non-compliant). 2. # open findings from last assessment. 3. % controls implemented. 4. Time to remediate findings. 5. Incident rate in framework scope area</t>
        </is>
      </c>
      <c r="AV191" s="200" t="inlineStr">
        <is>
          <t>Self-assessment; internal audit; external assessment as specified by issuing authority</t>
        </is>
      </c>
      <c r="AW191" s="201" t="inlineStr">
        <is>
          <t>ServiceNow GRC; IBM OpenPages; RSA Archer; MetricStream — all major GRC platforms support custom framework import. Contact vendor for framework-specific module</t>
        </is>
      </c>
      <c r="AX191" s="202" t="inlineStr">
        <is>
          <t>Third parties in scope must demonstrate equivalent compliance. Contractual compliance obligations; right-to-audit clauses; annual third-party assessment</t>
        </is>
      </c>
      <c r="AY191" s="203" t="inlineStr">
        <is>
          <t>Non-compliance: regulatory action by issuing authority; fines and penalties as specified; operational and reputational consequences</t>
        </is>
      </c>
      <c r="AZ191" s="200" t="inlineStr">
        <is>
          <t>ALL 17 SECTORS</t>
        </is>
      </c>
      <c r="BA191" s="34" t="inlineStr">
        <is>
          <t>YES — ALL SECTORS</t>
        </is>
      </c>
      <c r="BB191" s="591">
        <f>IF(E191="","",IF(ISNUMBER(SEARCH("Institutional theory and regulatory governance theory underpin",AI191)),"TEMPLATE",IF(LEN(AI191)&gt;100,"DEEP",IF(AI191="","SPARSE","SHALLOW"))))</f>
        <v/>
      </c>
      <c r="BC191" s="591">
        <f>IF(E191="","",D191&amp;"-"&amp;B191&amp;"-"&amp;E191)</f>
        <v/>
      </c>
      <c r="BD191" s="591">
        <f>IF(E191="","",SUBSTITUTE(SUBSTITUTE(B191&amp;"-"&amp;E191," ",""),":","-"))</f>
        <v/>
      </c>
      <c r="BE191" s="591">
        <f>IF(E191="","",IF(ISNUMBER(SEARCH("ECC",E191)),"NCA-ECC-2-2024",IF(ISNUMBER(SEARCH("OTCC",E191)),"NCA-ECC-2-2024",IF(ISNUMBER(SEARCH("CCC",E191)),"NCA-ECC-2-2024",IF(ISNUMBER(SEARCH("DCC",E191)),"NCA-ECC-2-2024",IF(ISNUMBER(SEARCH("CSCC",E191)),"NCA-ECC-2-2024",IF(ISNUMBER(SEARCH("PDPL-IR",E191)),"PDPL-2021",IF(ISNUMBER(SEARCH("PDPL-DTR",E191)),"PDPL-2021","NONE"))))))))</f>
        <v/>
      </c>
      <c r="BF191" s="594">
        <f>IF(E191="","",IF(BB191="DEEP",10,IF(BB191="SHALLOW",5,IF(BB191="TEMPLATE",3,1)))+IF(N191="HIGHEST",5,IF(N191="HIGH",3,IF(N191="MODERATE",1,0)))+IF(ISNUMBER(SEARCH("Mandatory",L191)),3,0))</f>
        <v/>
      </c>
    </row>
    <row r="192" ht="42" customHeight="1">
      <c r="A192" s="204" t="n">
        <v>173</v>
      </c>
      <c r="B192" s="205" t="inlineStr">
        <is>
          <t>MOCI</t>
        </is>
      </c>
      <c r="C192" s="190" t="inlineStr">
        <is>
          <t>Ministry of Commerce</t>
        </is>
      </c>
      <c r="D192" s="190" t="inlineStr">
        <is>
          <t>1. Ministries</t>
        </is>
      </c>
      <c r="E192" s="205" t="inlineStr">
        <is>
          <t>PDPL-2021</t>
        </is>
      </c>
      <c r="F192" s="192" t="inlineStr">
        <is>
          <t>Personal Data Protection Law</t>
        </is>
      </c>
      <c r="G192" s="190" t="inlineStr">
        <is>
          <t>نظام حماية البيانات الشخصية</t>
        </is>
      </c>
      <c r="H192" s="190" t="inlineStr">
        <is>
          <t>2021+IR 2023</t>
        </is>
      </c>
      <c r="I192" s="191" t="inlineStr">
        <is>
          <t>2021</t>
        </is>
      </c>
      <c r="J192" s="191" t="inlineStr">
        <is>
          <t>45</t>
        </is>
      </c>
      <c r="K192" s="190" t="inlineStr">
        <is>
          <t>MUST COMPLY WITH</t>
        </is>
      </c>
      <c r="L192" s="66" t="inlineStr">
        <is>
          <t>Mandatory Complier</t>
        </is>
      </c>
      <c r="M192" s="190" t="inlineStr">
        <is>
          <t>Ministry of Commerce processes personal data of employees and regulated parties</t>
        </is>
      </c>
      <c r="N192" s="209" t="inlineStr">
        <is>
          <t>LOW</t>
        </is>
      </c>
      <c r="O192" s="207" t="inlineStr">
        <is>
          <t>https://sdaia.gov.sa/</t>
        </is>
      </c>
      <c r="P192" s="190" t="inlineStr">
        <is>
          <t>SDAIA</t>
        </is>
      </c>
      <c r="Q192" s="190" t="inlineStr">
        <is>
          <t>Royal Decree M/19 (16 Sep 2021) → amended Apr 2023</t>
        </is>
      </c>
      <c r="R192" s="190" t="inlineStr">
        <is>
          <t>Original (2021): 19 articles covering consent, data subject rights, controller obligations, sensitive data (health = sensitive), cross-border transfer. Apr 2023 amendment: strengthened enforcement, clarified health data provisions, aligned with PDPL-IR-2023. Grace period for compliance ended Sep 14, 2024. Penalties: up to SAR 5 million fine + 2 years imprisonment for sensitive data breach</t>
        </is>
      </c>
      <c r="S192" s="191" t="inlineStr">
        <is>
          <t>Issued: Sep 2021. Amended: Apr 2023. Fully enforceable: Sep 14, 2024</t>
        </is>
      </c>
      <c r="T192" s="190" t="inlineStr">
        <is>
          <t>SDAIA reviews annually; amendments expected 2025-2026</t>
        </is>
      </c>
      <c r="U192" s="25" t="inlineStr">
        <is>
          <t>CURRENT — fully enforceable since Sep 2024</t>
        </is>
      </c>
      <c r="V192" s="190" t="inlineStr">
        <is>
          <t>Criminal offence: up to 2 years imprisonment + SAR 3M fine for disclosing sensitive data (health data = sensitive); administrative fine up to SAR 5M; mandatory breach notification to SDAIA within 72 hours; data subject compensation claims</t>
        </is>
      </c>
      <c r="W192" s="192" t="inlineStr">
        <is>
          <t>SDAIA — Data Protection Authority (DPA functions); NDMO for government entities; courts for criminal penalties</t>
        </is>
      </c>
      <c r="X192" s="190" t="inlineStr">
        <is>
          <t>Hospital; Clinic; Lab; Pharmacy; Health IT Vendor; Health Insurer; Government Health Entity; Medical Device Manufacturer (all processing patient data)</t>
        </is>
      </c>
      <c r="Y192" s="49" t="inlineStr">
        <is>
          <t>Both + foreign entities processing data of KSA residents</t>
        </is>
      </c>
      <c r="Z192" s="190" t="inlineStr">
        <is>
          <t>SDAIA audit; controller self-assessment; DPO oversight; data subject complaints trigger investigation</t>
        </is>
      </c>
      <c r="AA192" s="191" t="inlineStr">
        <is>
          <t>Continuous (breach notification: 72 hours); annual DPO report; SDAIA random audits</t>
        </is>
      </c>
      <c r="AB192" s="190" t="inlineStr">
        <is>
          <t>12 (IoMT data minimisation; purpose limitation; consent management for wearable data; automated decision-making; data subject rights for IoMT-generated health data; cross-border transfer of IoMT data)</t>
        </is>
      </c>
      <c r="AC192" s="190" t="inlineStr">
        <is>
          <t>GDPR (substantial alignment — adequate protection basis); APEC Privacy Framework; ISO 29100; ISO 27701</t>
        </is>
      </c>
      <c r="AD192" s="49" t="inlineStr">
        <is>
          <t>Arabic (official); English translation (unofficial)</t>
        </is>
      </c>
      <c r="AE192" s="50" t="inlineStr">
        <is>
          <t>Layer 4: Compliance; Layer 2: Risk Management</t>
        </is>
      </c>
      <c r="AF192" s="60" t="inlineStr">
        <is>
          <t>No formal maturity model; SDAIA publishes compliance guidance</t>
        </is>
      </c>
      <c r="AG192" s="190" t="inlineStr">
        <is>
          <t>National Data Strategy; Vision 2030 Digital Economy; Digital Government transformation</t>
        </is>
      </c>
      <c r="AH192" s="190" t="inlineStr">
        <is>
          <t>Privacy notices; consent records; DPO appointment letter; data mapping/flow diagrams; breach notification records; DPIA for health data processing; controller registration</t>
        </is>
      </c>
      <c r="AI192" s="193" t="inlineStr">
        <is>
          <t>Privacy as fundamental right (Warren &amp; Brandeis 1890; Westin 1967). Contextual integrity theory (Nissenbaum 2004): health data flows must match medical context norms. Regulatory theory: data protection authority independence and enforcement. Information asymmetry theory: patients cannot protect their own data without regulation.</t>
        </is>
      </c>
      <c r="AJ192" s="190" t="inlineStr">
        <is>
          <t>FOR: Long-overdue — KSA had no comprehensive data protection law until 2021; health data explicitly protected as sensitive category; aligns KSA with global adequacy standards. AGAINST: Alrawabdeh (2014) and Aldawood &amp; Skinner (2019) documented Saudi privacy culture gap — regulation without public awareness is ineffective; 'GDPR-lite' criticism: exemptions broader than GDPR, enforcement weaker; health data provisions in IR still less specific than UK GDPR Schedule 1 conditions</t>
        </is>
      </c>
      <c r="AK192" s="194" t="inlineStr">
        <is>
          <t>No independent supervisory authority (SDAIA is both promoter and regulator — conflict of interest noted by Baker McKenzie 2025); patient data portability rights weaker than GDPR Article 20; no explicit right to explanation for AI-automated health decisions; cross-border transfer rules changed twice in 12 months (regulatory instability); small healthcare providers lack capacity for DPO requirements</t>
        </is>
      </c>
      <c r="AL192" s="195" t="inlineStr">
        <is>
          <t>PDPL vs GDPR: PDPL penalty lower (SAR 5M vs €20M); PDPL broader government exemptions; GDPR has independent DPA, PDPL does not. PDPL vs HIPAA: PDPL = all personal data (broader); HIPAA = US-specific health data only. PDPL vs UK GDPR: PDPL misses explicit Schedule 1 health data conditions. PDPL ahead of HIPAA on consent granularity; behind GDPR on enforcement independence</t>
        </is>
      </c>
      <c r="AM192" s="196" t="inlineStr">
        <is>
          <t>Baker McKenzie (2025) Saudi Arabia PDPL Global Data &amp; Cyber Handbook; Alrawabdeh W (2014) 'Internet and Social Media Challenges in Arab World' EJSR; Westin AF (1967) Privacy and Freedom NY Atheneum; Nissenbaum H (2004) 'Privacy as Contextual Integrity' Washington Law Review 79(1); CMS Law (2025) Saudi Arabia Data Protection &amp; Cybersecurity Expert Guide Oct 2025</t>
        </is>
      </c>
      <c r="AN192" s="197" t="inlineStr">
        <is>
          <t>Official: SDAIA website (sdaia.gov.sa) — Arabic + English. Training: IAPP CIPM/CIPP/E (privacy certifications applicable); OneTrust PDPL compliance course; Baker McKenzie PDPL compliance guide. Language: Arabic primary — strong Arabic reading recommended. Estimated: 50 hours for health sector DPO competence</t>
        </is>
      </c>
      <c r="AO192" s="198" t="inlineStr">
        <is>
          <t>PRIMARY driver for GH-ICGA Layer 4 (Compliance) — PDPL is the legal foundation for patient data governance in the preliminary GH-ICGA framework. Thesis argument: GH-ICGA Layer 4 operationalises PDPL requirements into IoMT-specific controls (consent management for wearable data; purpose limitation for monitoring streams; breach response for connected device incidents)</t>
        </is>
      </c>
      <c r="AP192" s="51" t="inlineStr">
        <is>
          <t>G + C (Governance + Compliance — strong compliance driver; risk implicit)</t>
        </is>
      </c>
      <c r="AQ192" s="26" t="inlineStr">
        <is>
          <t>Board/CEO: ultimate accountability for PDPL compliance. DPO: mandatory for large-scale health data processors — reports to highest management level. Privacy Committee: cross-functional oversight. All staff processing personal data: mandatory privacy awareness training annually</t>
        </is>
      </c>
      <c r="AR192" s="194" t="inlineStr">
        <is>
          <t>Privacy Risk (PRIMARY); Legal/Regulatory Risk; Reputational Risk; Strategic Risk (data monetisation constraints); Cross-Border Risk (data transfer restrictions)</t>
        </is>
      </c>
      <c r="AS192" s="22" t="inlineStr">
        <is>
          <t>LEGAL — Royal Decree M/19 2021 + Implementing Regulations Sep 2023. Criminal: imprisonment up to 2 years + SAR 3M fine for sensitive data disclosure. Administrative: SAR 5M maximum fine. Civil: data subject compensation claims</t>
        </is>
      </c>
      <c r="AT192" s="195" t="inlineStr">
        <is>
          <t>Administrative (A): consent management; privacy notices; DPO appointment; DPIA process; breach notification procedure. Technical (T): data minimisation; pseudonymisation; access controls for personal data; encryption. Operational (O): data retention enforcement; data subject rights fulfilment process; cross-border transfer review</t>
        </is>
      </c>
      <c r="AU192" s="199" t="inlineStr">
        <is>
          <t>1. # data subject rights requests fulfilled on time (target: 100% within 30 days). 2. # data breaches notified to SDAIA within 72h (target: 100%). 3. % staff completed privacy training (target: 100%). 4. # DPIAs completed for high-risk processing activities. 5. Data retention compliance rate (% records within policy). 6. % third-party processors with DPA agreements</t>
        </is>
      </c>
      <c r="AV192" s="200" t="inlineStr">
        <is>
          <t>Annual DPIA review; data mapping audit (controller record validation); consent record audit; breach response simulation (tabletop); access control review for personal data systems; third-party processor audit; SDAIA compliance self-assessment</t>
        </is>
      </c>
      <c r="AW192" s="201" t="inlineStr">
        <is>
          <t>OneTrust (market leader for PDPL); TrustArc; Nymity; DataGrail; Varonis (data discovery); Microsoft Purview (data classification). SDAIA National Data Governance Platform for registration. Arabic-capable tools preferred</t>
        </is>
      </c>
      <c r="AX192" s="202" t="inlineStr">
        <is>
          <t>All third-party data processors must have Data Processing Agreement (DPA). Processors must demonstrate equivalent PDPL compliance. Cross-border transfers require adequacy assessment or appropriate safeguards. Sub-processor disclosure mandatory. Annual processor risk assessment required</t>
        </is>
      </c>
      <c r="AY192" s="203" t="inlineStr">
        <is>
          <t>Non-compliance: SAR 5M administrative fine; criminal prosecution for sensitive data breach; SDAIA investigation; mandatory breach public disclosure. Business disruption: SDAIA can order processing suspension. Reputational: patient trust damage. Market: EU adequate protection status depends on PDPL enforcement credibility</t>
        </is>
      </c>
      <c r="AZ192" s="200" t="inlineStr">
        <is>
          <t>ALL 17 SECTORS — any entity processing personal data</t>
        </is>
      </c>
      <c r="BA192" s="34" t="inlineStr">
        <is>
          <t>YES — ALL SECTORS</t>
        </is>
      </c>
      <c r="BB192" s="591">
        <f>IF(E192="","",IF(ISNUMBER(SEARCH("Institutional theory and regulatory governance theory underpin",AI192)),"TEMPLATE",IF(LEN(AI192)&gt;100,"DEEP",IF(AI192="","SPARSE","SHALLOW"))))</f>
        <v/>
      </c>
      <c r="BC192" s="591">
        <f>IF(E192="","",D192&amp;"-"&amp;B192&amp;"-"&amp;E192)</f>
        <v/>
      </c>
      <c r="BD192" s="591">
        <f>IF(E192="","",SUBSTITUTE(SUBSTITUTE(B192&amp;"-"&amp;E192," ",""),":","-"))</f>
        <v/>
      </c>
      <c r="BE192" s="591">
        <f>IF(E192="","",IF(ISNUMBER(SEARCH("ECC",E192)),"NCA-ECC-2-2024",IF(ISNUMBER(SEARCH("OTCC",E192)),"NCA-ECC-2-2024",IF(ISNUMBER(SEARCH("CCC",E192)),"NCA-ECC-2-2024",IF(ISNUMBER(SEARCH("DCC",E192)),"NCA-ECC-2-2024",IF(ISNUMBER(SEARCH("CSCC",E192)),"NCA-ECC-2-2024",IF(ISNUMBER(SEARCH("PDPL-IR",E192)),"PDPL-2021",IF(ISNUMBER(SEARCH("PDPL-DTR",E192)),"PDPL-2021","NONE"))))))))</f>
        <v/>
      </c>
      <c r="BF192" s="594">
        <f>IF(E192="","",IF(BB192="DEEP",10,IF(BB192="SHALLOW",5,IF(BB192="TEMPLATE",3,1)))+IF(N192="HIGHEST",5,IF(N192="HIGH",3,IF(N192="MODERATE",1,0)))+IF(ISNUMBER(SEARCH("Mandatory",L192)),3,0))</f>
        <v/>
      </c>
    </row>
    <row r="193" ht="42" customHeight="1">
      <c r="A193" s="42" t="n">
        <v>174</v>
      </c>
      <c r="B193" s="189" t="inlineStr">
        <is>
          <t>MOENER</t>
        </is>
      </c>
      <c r="C193" s="44" t="inlineStr">
        <is>
          <t>Ministry of Energy</t>
        </is>
      </c>
      <c r="D193" s="44" t="inlineStr">
        <is>
          <t>1. Ministries</t>
        </is>
      </c>
      <c r="E193" s="189" t="inlineStr">
        <is>
          <t>MOENER-LAW</t>
        </is>
      </c>
      <c r="F193" s="45" t="inlineStr">
        <is>
          <t>Energy &amp; Petroleum Regulations</t>
        </is>
      </c>
      <c r="G193" s="44" t="inlineStr">
        <is>
          <t>قانون/نظام اللوائح الرئيسية</t>
        </is>
      </c>
      <c r="H193" s="44" t="inlineStr">
        <is>
          <t>Active/Updated</t>
        </is>
      </c>
      <c r="I193" s="46" t="inlineStr">
        <is>
          <t>1960</t>
        </is>
      </c>
      <c r="J193" s="46" t="inlineStr">
        <is>
          <t>N/A</t>
        </is>
      </c>
      <c r="K193" s="44" t="inlineStr">
        <is>
          <t>ISSUES/ENFORCES</t>
        </is>
      </c>
      <c r="L193" s="22" t="inlineStr">
        <is>
          <t>Mandatory Enforcer</t>
        </is>
      </c>
      <c r="M193" s="44" t="inlineStr">
        <is>
          <t>Entities regulated by this ministry</t>
        </is>
      </c>
      <c r="N193" s="55" t="inlineStr">
        <is>
          <t>MODERATE</t>
        </is>
      </c>
      <c r="O193" s="48" t="inlineStr">
        <is>
          <t>https://moener.gov.sa or via www.moi.gov.sa</t>
        </is>
      </c>
      <c r="P193" s="44" t="inlineStr">
        <is>
          <t>Ministry official; BOE regulations archive</t>
        </is>
      </c>
      <c r="Q193" s="190" t="inlineStr">
        <is>
          <t>See official source for version history</t>
        </is>
      </c>
      <c r="R193" s="190" t="inlineStr">
        <is>
          <t>Framework issued by the relevant authority. Version details available on the official website referenced in the source URL column. The framework has been updated periodically since first issuance.</t>
        </is>
      </c>
      <c r="S193" s="191" t="inlineStr">
        <is>
          <t>See official source</t>
        </is>
      </c>
      <c r="T193" s="190" t="inlineStr">
        <is>
          <t>Updated as needed by the issuing authority</t>
        </is>
      </c>
      <c r="U193" s="25" t="inlineStr">
        <is>
          <t>CURRENT — consult official source for latest version</t>
        </is>
      </c>
      <c r="V193" s="190" t="inlineStr">
        <is>
          <t>Penalties defined by issuing authority; consult official source. NCA ECC-2 penalties apply if relevant</t>
        </is>
      </c>
      <c r="W193" s="192" t="inlineStr">
        <is>
          <t>Issuing authority and/or designated inspection department</t>
        </is>
      </c>
      <c r="X193" s="190" t="inlineStr">
        <is>
          <t>As specified in framework scope — consult official document</t>
        </is>
      </c>
      <c r="Y193" s="49" t="inlineStr">
        <is>
          <t>Both (unless specified otherwise in official document)</t>
        </is>
      </c>
      <c r="Z193" s="190" t="inlineStr">
        <is>
          <t>As defined by issuing authority</t>
        </is>
      </c>
      <c r="AA193" s="191" t="inlineStr">
        <is>
          <t>As defined by issuing authority</t>
        </is>
      </c>
      <c r="AB193" s="190" t="inlineStr">
        <is>
          <t>To be determined from framework text — see official source</t>
        </is>
      </c>
      <c r="AC193" s="190" t="inlineStr">
        <is>
          <t>See framework preamble for international standard references</t>
        </is>
      </c>
      <c r="AD193" s="49" t="inlineStr">
        <is>
          <t>Arabic (primary in KSA); English may be available</t>
        </is>
      </c>
      <c r="AE193" s="58" t="inlineStr">
        <is>
          <t>Mapped to relevant GH-ICGA layer — requires manual assessment</t>
        </is>
      </c>
      <c r="AF193" s="56" t="inlineStr">
        <is>
          <t>See official framework for maturity model details</t>
        </is>
      </c>
      <c r="AG193" s="190" t="inlineStr">
        <is>
          <t>Aligned with relevant Vision 2030 programme — see framework context</t>
        </is>
      </c>
      <c r="AH193" s="190" t="inlineStr">
        <is>
          <t>As specified in framework compliance requirements</t>
        </is>
      </c>
      <c r="AI193" s="193" t="inlineStr">
        <is>
          <t>Institutional theory and regulatory governance theory underpin all KSA regulatory frameworks. Specific theoretical basis varies by framework — consult academic literature via Google Scholar using framework name as search term.</t>
        </is>
      </c>
      <c r="AJ193" s="190" t="inlineStr">
        <is>
          <t>Academic debate varies by framework maturity and international adoption. For KSA-specific debate, consult: Almohammad &amp; Wills (2021) J Cybersecurity; Al-Khater et al. (2020) IEEE Access; Baker McKenzie KSA regulatory updates.</t>
        </is>
      </c>
      <c r="AK193" s="194" t="inlineStr">
        <is>
          <t>Known criticisms include: implementation gap between standards and practice; resource constraints for smaller healthcare entities; rapid technology evolution outpacing regulation. Consult framework evaluation literature for specifics.</t>
        </is>
      </c>
      <c r="AL193" s="195" t="inlineStr">
        <is>
          <t>Framework comparison requires contextual analysis. Key comparators: NIST CSF 2.0 (international benchmark), ISO 27001 (certifiable standard), ECC-2 (KSA mandatory baseline). See main database for cross-framework mapping.</t>
        </is>
      </c>
      <c r="AM193" s="19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93" s="197" t="inlineStr">
        <is>
          <t>Official: Consult the official source URL in the database for the primary document. Training: ISACA, ISC2, RAPS, IAPP, and HIMSS offer professional development covering most regulatory domains. Estimated hours vary by framework complexity.</t>
        </is>
      </c>
      <c r="AO193" s="198" t="inlineStr">
        <is>
          <t>Relevance to GH-ICGA framework varies by layer — see GH-ICGA Layer Mapping column. All KSA mandatory frameworks are compliance inputs to GH-ICGA Layer 4. Frameworks with IoMT-specific provisions directly inform Layers 2 and 3.</t>
        </is>
      </c>
      <c r="AP193" s="51" t="inlineStr">
        <is>
          <t>G + C (Governance + Compliance — standard regulatory framework positioning)</t>
        </is>
      </c>
      <c r="AQ193" s="26" t="inlineStr">
        <is>
          <t>Senior management: accountability for framework compliance. Designated compliance officer: monitor requirements. All staff: awareness of applicable obligations</t>
        </is>
      </c>
      <c r="AR193" s="194" t="inlineStr">
        <is>
          <t>Regulatory Risk; Operational Risk; Reputational Risk — specific domains determined by framework scope</t>
        </is>
      </c>
      <c r="AS193" s="22" t="inlineStr">
        <is>
          <t>See official source — legal obligation, regulatory requirement, or voluntary standard as applicable</t>
        </is>
      </c>
      <c r="AT193" s="195" t="inlineStr">
        <is>
          <t>Administrative; Technical; Operational — specific distribution determined by framework content</t>
        </is>
      </c>
      <c r="AU193" s="199" t="inlineStr">
        <is>
          <t>1. Compliance status (compliant/non-compliant). 2. # open findings from last assessment. 3. % controls implemented. 4. Time to remediate findings. 5. Incident rate in framework scope area</t>
        </is>
      </c>
      <c r="AV193" s="200" t="inlineStr">
        <is>
          <t>Self-assessment; internal audit; external assessment as specified by issuing authority</t>
        </is>
      </c>
      <c r="AW193" s="201" t="inlineStr">
        <is>
          <t>ServiceNow GRC; IBM OpenPages; RSA Archer; MetricStream — all major GRC platforms support custom framework import. Contact vendor for framework-specific module</t>
        </is>
      </c>
      <c r="AX193" s="202" t="inlineStr">
        <is>
          <t>Third parties in scope must demonstrate equivalent compliance. Contractual compliance obligations; right-to-audit clauses; annual third-party assessment</t>
        </is>
      </c>
      <c r="AY193" s="203" t="inlineStr">
        <is>
          <t>Non-compliance: regulatory action by issuing authority; fines and penalties as specified; operational and reputational consequences</t>
        </is>
      </c>
      <c r="AZ193" s="200" t="inlineStr">
        <is>
          <t>Sector-specific — consult official source</t>
        </is>
      </c>
      <c r="BA193" s="41" t="inlineStr">
        <is>
          <t>Sector-Specific</t>
        </is>
      </c>
      <c r="BB193" s="591">
        <f>IF(E193="","",IF(ISNUMBER(SEARCH("Institutional theory and regulatory governance theory underpin",AI193)),"TEMPLATE",IF(LEN(AI193)&gt;100,"DEEP",IF(AI193="","SPARSE","SHALLOW"))))</f>
        <v/>
      </c>
      <c r="BC193" s="591">
        <f>IF(E193="","",D193&amp;"-"&amp;B193&amp;"-"&amp;E193)</f>
        <v/>
      </c>
      <c r="BD193" s="591">
        <f>IF(E193="","",SUBSTITUTE(SUBSTITUTE(B193&amp;"-"&amp;E193," ",""),":","-"))</f>
        <v/>
      </c>
      <c r="BE193" s="591">
        <f>IF(E193="","",IF(ISNUMBER(SEARCH("ECC",E193)),"NCA-ECC-2-2024",IF(ISNUMBER(SEARCH("OTCC",E193)),"NCA-ECC-2-2024",IF(ISNUMBER(SEARCH("CCC",E193)),"NCA-ECC-2-2024",IF(ISNUMBER(SEARCH("DCC",E193)),"NCA-ECC-2-2024",IF(ISNUMBER(SEARCH("CSCC",E193)),"NCA-ECC-2-2024",IF(ISNUMBER(SEARCH("PDPL-IR",E193)),"PDPL-2021",IF(ISNUMBER(SEARCH("PDPL-DTR",E193)),"PDPL-2021","NONE"))))))))</f>
        <v/>
      </c>
      <c r="BF193" s="594">
        <f>IF(E193="","",IF(BB193="DEEP",10,IF(BB193="SHALLOW",5,IF(BB193="TEMPLATE",3,1)))+IF(N193="HIGHEST",5,IF(N193="HIGH",3,IF(N193="MODERATE",1,0)))+IF(ISNUMBER(SEARCH("Mandatory",L193)),3,0))</f>
        <v/>
      </c>
    </row>
    <row r="194" ht="42" customHeight="1">
      <c r="A194" s="204" t="n">
        <v>175</v>
      </c>
      <c r="B194" s="205" t="inlineStr">
        <is>
          <t>MOENER</t>
        </is>
      </c>
      <c r="C194" s="190" t="inlineStr">
        <is>
          <t>Ministry of Energy</t>
        </is>
      </c>
      <c r="D194" s="190" t="inlineStr">
        <is>
          <t>1. Ministries</t>
        </is>
      </c>
      <c r="E194" s="205" t="inlineStr">
        <is>
          <t>NCA-ECC-2:2024</t>
        </is>
      </c>
      <c r="F194" s="192" t="inlineStr">
        <is>
          <t>Essential Cybersecurity Controls</t>
        </is>
      </c>
      <c r="G194" s="190" t="inlineStr">
        <is>
          <t>ضوابط الأمن السيبراني الأساسية</t>
        </is>
      </c>
      <c r="H194" s="190" t="inlineStr">
        <is>
          <t>ECC-2:2024</t>
        </is>
      </c>
      <c r="I194" s="191" t="inlineStr">
        <is>
          <t>2018</t>
        </is>
      </c>
      <c r="J194" s="191" t="inlineStr">
        <is>
          <t>108</t>
        </is>
      </c>
      <c r="K194" s="190" t="inlineStr">
        <is>
          <t>MUST COMPLY WITH</t>
        </is>
      </c>
      <c r="L194" s="66" t="inlineStr">
        <is>
          <t>Mandatory Complier</t>
        </is>
      </c>
      <c r="M194" s="190" t="inlineStr">
        <is>
          <t>Ministry of Energy as government entity</t>
        </is>
      </c>
      <c r="N194" s="209" t="inlineStr">
        <is>
          <t>LOW</t>
        </is>
      </c>
      <c r="O194" s="207" t="inlineStr">
        <is>
          <t>https://nca.gov.sa/</t>
        </is>
      </c>
      <c r="P194" s="190" t="inlineStr">
        <is>
          <t>NCA ECC scope</t>
        </is>
      </c>
      <c r="Q194" s="190" t="inlineStr">
        <is>
          <t>See official source for version history</t>
        </is>
      </c>
      <c r="R194" s="190" t="inlineStr">
        <is>
          <t>Framework issued by the relevant authority. Version details available on the official website referenced in the source URL column. The framework has been updated periodically since first issuance.</t>
        </is>
      </c>
      <c r="S194" s="191" t="inlineStr">
        <is>
          <t>See official source</t>
        </is>
      </c>
      <c r="T194" s="190" t="inlineStr">
        <is>
          <t>Updated as needed by the issuing authority</t>
        </is>
      </c>
      <c r="U194" s="25" t="inlineStr">
        <is>
          <t>CURRENT — consult official source for latest version</t>
        </is>
      </c>
      <c r="V194" s="190" t="inlineStr">
        <is>
          <t>Penalties defined by issuing authority; consult official source. NCA ECC-2 penalties apply if relevant</t>
        </is>
      </c>
      <c r="W194" s="192" t="inlineStr">
        <is>
          <t>Issuing authority and/or designated inspection department</t>
        </is>
      </c>
      <c r="X194" s="190" t="inlineStr">
        <is>
          <t>As specified in framework scope — consult official document</t>
        </is>
      </c>
      <c r="Y194" s="49" t="inlineStr">
        <is>
          <t>Both (unless specified otherwise in official document)</t>
        </is>
      </c>
      <c r="Z194" s="190" t="inlineStr">
        <is>
          <t>As defined by issuing authority</t>
        </is>
      </c>
      <c r="AA194" s="191" t="inlineStr">
        <is>
          <t>As defined by issuing authority</t>
        </is>
      </c>
      <c r="AB194" s="190" t="inlineStr">
        <is>
          <t>To be determined from framework text — see official source</t>
        </is>
      </c>
      <c r="AC194" s="190" t="inlineStr">
        <is>
          <t>See framework preamble for international standard references</t>
        </is>
      </c>
      <c r="AD194" s="49" t="inlineStr">
        <is>
          <t>Arabic (primary in KSA); English may be available</t>
        </is>
      </c>
      <c r="AE194" s="58" t="inlineStr">
        <is>
          <t>Mapped to relevant GH-ICGA layer — requires manual assessment</t>
        </is>
      </c>
      <c r="AF194" s="56" t="inlineStr">
        <is>
          <t>See official framework for maturity model details</t>
        </is>
      </c>
      <c r="AG194" s="190" t="inlineStr">
        <is>
          <t>Aligned with relevant Vision 2030 programme — see framework context</t>
        </is>
      </c>
      <c r="AH194" s="190" t="inlineStr">
        <is>
          <t>As specified in framework compliance requirements</t>
        </is>
      </c>
      <c r="AI194" s="193" t="inlineStr">
        <is>
          <t>Institutional theory and regulatory governance theory underpin all KSA regulatory frameworks. Specific theoretical basis varies by framework — consult academic literature via Google Scholar using framework name as search term.</t>
        </is>
      </c>
      <c r="AJ194" s="190" t="inlineStr">
        <is>
          <t>Academic debate varies by framework maturity and international adoption. For KSA-specific debate, consult: Almohammad &amp; Wills (2021) J Cybersecurity; Al-Khater et al. (2020) IEEE Access; Baker McKenzie KSA regulatory updates.</t>
        </is>
      </c>
      <c r="AK194" s="194" t="inlineStr">
        <is>
          <t>Known criticisms include: implementation gap between standards and practice; resource constraints for smaller healthcare entities; rapid technology evolution outpacing regulation. Consult framework evaluation literature for specifics.</t>
        </is>
      </c>
      <c r="AL194" s="195" t="inlineStr">
        <is>
          <t>Framework comparison requires contextual analysis. Key comparators: NIST CSF 2.0 (international benchmark), ISO 27001 (certifiable standard), ECC-2 (KSA mandatory baseline). See main database for cross-framework mapping.</t>
        </is>
      </c>
      <c r="AM194" s="19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94" s="197" t="inlineStr">
        <is>
          <t>Official: Consult the official source URL in the database for the primary document. Training: ISACA, ISC2, RAPS, IAPP, and HIMSS offer professional development covering most regulatory domains. Estimated hours vary by framework complexity.</t>
        </is>
      </c>
      <c r="AO194" s="198" t="inlineStr">
        <is>
          <t>Relevance to GH-ICGA framework varies by layer — see GH-ICGA Layer Mapping column. All KSA mandatory frameworks are compliance inputs to GH-ICGA Layer 4. Frameworks with IoMT-specific provisions directly inform Layers 2 and 3.</t>
        </is>
      </c>
      <c r="AP194" s="51" t="inlineStr">
        <is>
          <t>G + C (Governance + Compliance — standard regulatory framework positioning)</t>
        </is>
      </c>
      <c r="AQ194" s="26" t="inlineStr">
        <is>
          <t>Senior management: accountability for framework compliance. Designated compliance officer: monitor requirements. All staff: awareness of applicable obligations</t>
        </is>
      </c>
      <c r="AR194" s="194" t="inlineStr">
        <is>
          <t>Regulatory Risk; Operational Risk; Reputational Risk — specific domains determined by framework scope</t>
        </is>
      </c>
      <c r="AS194" s="22" t="inlineStr">
        <is>
          <t>See official source — legal obligation, regulatory requirement, or voluntary standard as applicable</t>
        </is>
      </c>
      <c r="AT194" s="195" t="inlineStr">
        <is>
          <t>Administrative; Technical; Operational — specific distribution determined by framework content</t>
        </is>
      </c>
      <c r="AU194" s="199" t="inlineStr">
        <is>
          <t>1. Compliance status (compliant/non-compliant). 2. # open findings from last assessment. 3. % controls implemented. 4. Time to remediate findings. 5. Incident rate in framework scope area</t>
        </is>
      </c>
      <c r="AV194" s="200" t="inlineStr">
        <is>
          <t>Self-assessment; internal audit; external assessment as specified by issuing authority</t>
        </is>
      </c>
      <c r="AW194" s="201" t="inlineStr">
        <is>
          <t>ServiceNow GRC; IBM OpenPages; RSA Archer; MetricStream — all major GRC platforms support custom framework import. Contact vendor for framework-specific module</t>
        </is>
      </c>
      <c r="AX194" s="202" t="inlineStr">
        <is>
          <t>Third parties in scope must demonstrate equivalent compliance. Contractual compliance obligations; right-to-audit clauses; annual third-party assessment</t>
        </is>
      </c>
      <c r="AY194" s="203" t="inlineStr">
        <is>
          <t>Non-compliance: regulatory action by issuing authority; fines and penalties as specified; operational and reputational consequences</t>
        </is>
      </c>
      <c r="AZ194" s="200" t="inlineStr">
        <is>
          <t>ALL 17 SECTORS</t>
        </is>
      </c>
      <c r="BA194" s="34" t="inlineStr">
        <is>
          <t>YES — ALL SECTORS</t>
        </is>
      </c>
      <c r="BB194" s="591">
        <f>IF(E194="","",IF(ISNUMBER(SEARCH("Institutional theory and regulatory governance theory underpin",AI194)),"TEMPLATE",IF(LEN(AI194)&gt;100,"DEEP",IF(AI194="","SPARSE","SHALLOW"))))</f>
        <v/>
      </c>
      <c r="BC194" s="591">
        <f>IF(E194="","",D194&amp;"-"&amp;B194&amp;"-"&amp;E194)</f>
        <v/>
      </c>
      <c r="BD194" s="591">
        <f>IF(E194="","",SUBSTITUTE(SUBSTITUTE(B194&amp;"-"&amp;E194," ",""),":","-"))</f>
        <v/>
      </c>
      <c r="BE194" s="591">
        <f>IF(E194="","",IF(ISNUMBER(SEARCH("ECC",E194)),"NCA-ECC-2-2024",IF(ISNUMBER(SEARCH("OTCC",E194)),"NCA-ECC-2-2024",IF(ISNUMBER(SEARCH("CCC",E194)),"NCA-ECC-2-2024",IF(ISNUMBER(SEARCH("DCC",E194)),"NCA-ECC-2-2024",IF(ISNUMBER(SEARCH("CSCC",E194)),"NCA-ECC-2-2024",IF(ISNUMBER(SEARCH("PDPL-IR",E194)),"PDPL-2021",IF(ISNUMBER(SEARCH("PDPL-DTR",E194)),"PDPL-2021","NONE"))))))))</f>
        <v/>
      </c>
      <c r="BF194" s="594">
        <f>IF(E194="","",IF(BB194="DEEP",10,IF(BB194="SHALLOW",5,IF(BB194="TEMPLATE",3,1)))+IF(N194="HIGHEST",5,IF(N194="HIGH",3,IF(N194="MODERATE",1,0)))+IF(ISNUMBER(SEARCH("Mandatory",L194)),3,0))</f>
        <v/>
      </c>
    </row>
    <row r="195" ht="42" customHeight="1">
      <c r="A195" s="42" t="n">
        <v>176</v>
      </c>
      <c r="B195" s="189" t="inlineStr">
        <is>
          <t>MOENER</t>
        </is>
      </c>
      <c r="C195" s="44" t="inlineStr">
        <is>
          <t>Ministry of Energy</t>
        </is>
      </c>
      <c r="D195" s="44" t="inlineStr">
        <is>
          <t>1. Ministries</t>
        </is>
      </c>
      <c r="E195" s="189" t="inlineStr">
        <is>
          <t>PDPL-2021</t>
        </is>
      </c>
      <c r="F195" s="45" t="inlineStr">
        <is>
          <t>Personal Data Protection Law</t>
        </is>
      </c>
      <c r="G195" s="44" t="inlineStr">
        <is>
          <t>نظام حماية البيانات الشخصية</t>
        </is>
      </c>
      <c r="H195" s="44" t="inlineStr">
        <is>
          <t>2021+IR 2023</t>
        </is>
      </c>
      <c r="I195" s="46" t="inlineStr">
        <is>
          <t>2021</t>
        </is>
      </c>
      <c r="J195" s="46" t="inlineStr">
        <is>
          <t>45</t>
        </is>
      </c>
      <c r="K195" s="44" t="inlineStr">
        <is>
          <t>MUST COMPLY WITH</t>
        </is>
      </c>
      <c r="L195" s="66" t="inlineStr">
        <is>
          <t>Mandatory Complier</t>
        </is>
      </c>
      <c r="M195" s="44" t="inlineStr">
        <is>
          <t>Ministry of Energy processes personal data of employees and regulated parties</t>
        </is>
      </c>
      <c r="N195" s="59" t="inlineStr">
        <is>
          <t>LOW</t>
        </is>
      </c>
      <c r="O195" s="48" t="inlineStr">
        <is>
          <t>https://sdaia.gov.sa/</t>
        </is>
      </c>
      <c r="P195" s="44" t="inlineStr">
        <is>
          <t>SDAIA</t>
        </is>
      </c>
      <c r="Q195" s="190" t="inlineStr">
        <is>
          <t>Royal Decree M/19 (16 Sep 2021) → amended Apr 2023</t>
        </is>
      </c>
      <c r="R195" s="190" t="inlineStr">
        <is>
          <t>Original (2021): 19 articles covering consent, data subject rights, controller obligations, sensitive data (health = sensitive), cross-border transfer. Apr 2023 amendment: strengthened enforcement, clarified health data provisions, aligned with PDPL-IR-2023. Grace period for compliance ended Sep 14, 2024. Penalties: up to SAR 5 million fine + 2 years imprisonment for sensitive data breach</t>
        </is>
      </c>
      <c r="S195" s="191" t="inlineStr">
        <is>
          <t>Issued: Sep 2021. Amended: Apr 2023. Fully enforceable: Sep 14, 2024</t>
        </is>
      </c>
      <c r="T195" s="190" t="inlineStr">
        <is>
          <t>SDAIA reviews annually; amendments expected 2025-2026</t>
        </is>
      </c>
      <c r="U195" s="25" t="inlineStr">
        <is>
          <t>CURRENT — fully enforceable since Sep 2024</t>
        </is>
      </c>
      <c r="V195" s="190" t="inlineStr">
        <is>
          <t>Criminal offence: up to 2 years imprisonment + SAR 3M fine for disclosing sensitive data (health data = sensitive); administrative fine up to SAR 5M; mandatory breach notification to SDAIA within 72 hours; data subject compensation claims</t>
        </is>
      </c>
      <c r="W195" s="192" t="inlineStr">
        <is>
          <t>SDAIA — Data Protection Authority (DPA functions); NDMO for government entities; courts for criminal penalties</t>
        </is>
      </c>
      <c r="X195" s="190" t="inlineStr">
        <is>
          <t>Hospital; Clinic; Lab; Pharmacy; Health IT Vendor; Health Insurer; Government Health Entity; Medical Device Manufacturer (all processing patient data)</t>
        </is>
      </c>
      <c r="Y195" s="49" t="inlineStr">
        <is>
          <t>Both + foreign entities processing data of KSA residents</t>
        </is>
      </c>
      <c r="Z195" s="190" t="inlineStr">
        <is>
          <t>SDAIA audit; controller self-assessment; DPO oversight; data subject complaints trigger investigation</t>
        </is>
      </c>
      <c r="AA195" s="191" t="inlineStr">
        <is>
          <t>Continuous (breach notification: 72 hours); annual DPO report; SDAIA random audits</t>
        </is>
      </c>
      <c r="AB195" s="190" t="inlineStr">
        <is>
          <t>12 (IoMT data minimisation; purpose limitation; consent management for wearable data; automated decision-making; data subject rights for IoMT-generated health data; cross-border transfer of IoMT data)</t>
        </is>
      </c>
      <c r="AC195" s="190" t="inlineStr">
        <is>
          <t>GDPR (substantial alignment — adequate protection basis); APEC Privacy Framework; ISO 29100; ISO 27701</t>
        </is>
      </c>
      <c r="AD195" s="49" t="inlineStr">
        <is>
          <t>Arabic (official); English translation (unofficial)</t>
        </is>
      </c>
      <c r="AE195" s="50" t="inlineStr">
        <is>
          <t>Layer 4: Compliance; Layer 2: Risk Management</t>
        </is>
      </c>
      <c r="AF195" s="60" t="inlineStr">
        <is>
          <t>No formal maturity model; SDAIA publishes compliance guidance</t>
        </is>
      </c>
      <c r="AG195" s="190" t="inlineStr">
        <is>
          <t>National Data Strategy; Vision 2030 Digital Economy; Digital Government transformation</t>
        </is>
      </c>
      <c r="AH195" s="190" t="inlineStr">
        <is>
          <t>Privacy notices; consent records; DPO appointment letter; data mapping/flow diagrams; breach notification records; DPIA for health data processing; controller registration</t>
        </is>
      </c>
      <c r="AI195" s="193" t="inlineStr">
        <is>
          <t>Privacy as fundamental right (Warren &amp; Brandeis 1890; Westin 1967). Contextual integrity theory (Nissenbaum 2004): health data flows must match medical context norms. Regulatory theory: data protection authority independence and enforcement. Information asymmetry theory: patients cannot protect their own data without regulation.</t>
        </is>
      </c>
      <c r="AJ195" s="190" t="inlineStr">
        <is>
          <t>FOR: Long-overdue — KSA had no comprehensive data protection law until 2021; health data explicitly protected as sensitive category; aligns KSA with global adequacy standards. AGAINST: Alrawabdeh (2014) and Aldawood &amp; Skinner (2019) documented Saudi privacy culture gap — regulation without public awareness is ineffective; 'GDPR-lite' criticism: exemptions broader than GDPR, enforcement weaker; health data provisions in IR still less specific than UK GDPR Schedule 1 conditions</t>
        </is>
      </c>
      <c r="AK195" s="194" t="inlineStr">
        <is>
          <t>No independent supervisory authority (SDAIA is both promoter and regulator — conflict of interest noted by Baker McKenzie 2025); patient data portability rights weaker than GDPR Article 20; no explicit right to explanation for AI-automated health decisions; cross-border transfer rules changed twice in 12 months (regulatory instability); small healthcare providers lack capacity for DPO requirements</t>
        </is>
      </c>
      <c r="AL195" s="195" t="inlineStr">
        <is>
          <t>PDPL vs GDPR: PDPL penalty lower (SAR 5M vs €20M); PDPL broader government exemptions; GDPR has independent DPA, PDPL does not. PDPL vs HIPAA: PDPL = all personal data (broader); HIPAA = US-specific health data only. PDPL vs UK GDPR: PDPL misses explicit Schedule 1 health data conditions. PDPL ahead of HIPAA on consent granularity; behind GDPR on enforcement independence</t>
        </is>
      </c>
      <c r="AM195" s="196" t="inlineStr">
        <is>
          <t>Baker McKenzie (2025) Saudi Arabia PDPL Global Data &amp; Cyber Handbook; Alrawabdeh W (2014) 'Internet and Social Media Challenges in Arab World' EJSR; Westin AF (1967) Privacy and Freedom NY Atheneum; Nissenbaum H (2004) 'Privacy as Contextual Integrity' Washington Law Review 79(1); CMS Law (2025) Saudi Arabia Data Protection &amp; Cybersecurity Expert Guide Oct 2025</t>
        </is>
      </c>
      <c r="AN195" s="197" t="inlineStr">
        <is>
          <t>Official: SDAIA website (sdaia.gov.sa) — Arabic + English. Training: IAPP CIPM/CIPP/E (privacy certifications applicable); OneTrust PDPL compliance course; Baker McKenzie PDPL compliance guide. Language: Arabic primary — strong Arabic reading recommended. Estimated: 50 hours for health sector DPO competence</t>
        </is>
      </c>
      <c r="AO195" s="198" t="inlineStr">
        <is>
          <t>PRIMARY driver for GH-ICGA Layer 4 (Compliance) — PDPL is the legal foundation for patient data governance in the preliminary GH-ICGA framework. Thesis argument: GH-ICGA Layer 4 operationalises PDPL requirements into IoMT-specific controls (consent management for wearable data; purpose limitation for monitoring streams; breach response for connected device incidents)</t>
        </is>
      </c>
      <c r="AP195" s="51" t="inlineStr">
        <is>
          <t>G + C (Governance + Compliance — strong compliance driver; risk implicit)</t>
        </is>
      </c>
      <c r="AQ195" s="26" t="inlineStr">
        <is>
          <t>Board/CEO: ultimate accountability for PDPL compliance. DPO: mandatory for large-scale health data processors — reports to highest management level. Privacy Committee: cross-functional oversight. All staff processing personal data: mandatory privacy awareness training annually</t>
        </is>
      </c>
      <c r="AR195" s="194" t="inlineStr">
        <is>
          <t>Privacy Risk (PRIMARY); Legal/Regulatory Risk; Reputational Risk; Strategic Risk (data monetisation constraints); Cross-Border Risk (data transfer restrictions)</t>
        </is>
      </c>
      <c r="AS195" s="22" t="inlineStr">
        <is>
          <t>LEGAL — Royal Decree M/19 2021 + Implementing Regulations Sep 2023. Criminal: imprisonment up to 2 years + SAR 3M fine for sensitive data disclosure. Administrative: SAR 5M maximum fine. Civil: data subject compensation claims</t>
        </is>
      </c>
      <c r="AT195" s="195" t="inlineStr">
        <is>
          <t>Administrative (A): consent management; privacy notices; DPO appointment; DPIA process; breach notification procedure. Technical (T): data minimisation; pseudonymisation; access controls for personal data; encryption. Operational (O): data retention enforcement; data subject rights fulfilment process; cross-border transfer review</t>
        </is>
      </c>
      <c r="AU195" s="199" t="inlineStr">
        <is>
          <t>1. # data subject rights requests fulfilled on time (target: 100% within 30 days). 2. # data breaches notified to SDAIA within 72h (target: 100%). 3. % staff completed privacy training (target: 100%). 4. # DPIAs completed for high-risk processing activities. 5. Data retention compliance rate (% records within policy). 6. % third-party processors with DPA agreements</t>
        </is>
      </c>
      <c r="AV195" s="200" t="inlineStr">
        <is>
          <t>Annual DPIA review; data mapping audit (controller record validation); consent record audit; breach response simulation (tabletop); access control review for personal data systems; third-party processor audit; SDAIA compliance self-assessment</t>
        </is>
      </c>
      <c r="AW195" s="201" t="inlineStr">
        <is>
          <t>OneTrust (market leader for PDPL); TrustArc; Nymity; DataGrail; Varonis (data discovery); Microsoft Purview (data classification). SDAIA National Data Governance Platform for registration. Arabic-capable tools preferred</t>
        </is>
      </c>
      <c r="AX195" s="202" t="inlineStr">
        <is>
          <t>All third-party data processors must have Data Processing Agreement (DPA). Processors must demonstrate equivalent PDPL compliance. Cross-border transfers require adequacy assessment or appropriate safeguards. Sub-processor disclosure mandatory. Annual processor risk assessment required</t>
        </is>
      </c>
      <c r="AY195" s="203" t="inlineStr">
        <is>
          <t>Non-compliance: SAR 5M administrative fine; criminal prosecution for sensitive data breach; SDAIA investigation; mandatory breach public disclosure. Business disruption: SDAIA can order processing suspension. Reputational: patient trust damage. Market: EU adequate protection status depends on PDPL enforcement credibility</t>
        </is>
      </c>
      <c r="AZ195" s="200" t="inlineStr">
        <is>
          <t>ALL 17 SECTORS — any entity processing personal data</t>
        </is>
      </c>
      <c r="BA195" s="34" t="inlineStr">
        <is>
          <t>YES — ALL SECTORS</t>
        </is>
      </c>
      <c r="BB195" s="591">
        <f>IF(E195="","",IF(ISNUMBER(SEARCH("Institutional theory and regulatory governance theory underpin",AI195)),"TEMPLATE",IF(LEN(AI195)&gt;100,"DEEP",IF(AI195="","SPARSE","SHALLOW"))))</f>
        <v/>
      </c>
      <c r="BC195" s="591">
        <f>IF(E195="","",D195&amp;"-"&amp;B195&amp;"-"&amp;E195)</f>
        <v/>
      </c>
      <c r="BD195" s="591">
        <f>IF(E195="","",SUBSTITUTE(SUBSTITUTE(B195&amp;"-"&amp;E195," ",""),":","-"))</f>
        <v/>
      </c>
      <c r="BE195" s="591">
        <f>IF(E195="","",IF(ISNUMBER(SEARCH("ECC",E195)),"NCA-ECC-2-2024",IF(ISNUMBER(SEARCH("OTCC",E195)),"NCA-ECC-2-2024",IF(ISNUMBER(SEARCH("CCC",E195)),"NCA-ECC-2-2024",IF(ISNUMBER(SEARCH("DCC",E195)),"NCA-ECC-2-2024",IF(ISNUMBER(SEARCH("CSCC",E195)),"NCA-ECC-2-2024",IF(ISNUMBER(SEARCH("PDPL-IR",E195)),"PDPL-2021",IF(ISNUMBER(SEARCH("PDPL-DTR",E195)),"PDPL-2021","NONE"))))))))</f>
        <v/>
      </c>
      <c r="BF195" s="594">
        <f>IF(E195="","",IF(BB195="DEEP",10,IF(BB195="SHALLOW",5,IF(BB195="TEMPLATE",3,1)))+IF(N195="HIGHEST",5,IF(N195="HIGH",3,IF(N195="MODERATE",1,0)))+IF(ISNUMBER(SEARCH("Mandatory",L195)),3,0))</f>
        <v/>
      </c>
    </row>
    <row r="196" ht="42" customHeight="1">
      <c r="A196" s="204" t="n">
        <v>177</v>
      </c>
      <c r="B196" s="205" t="inlineStr">
        <is>
          <t>MEP</t>
        </is>
      </c>
      <c r="C196" s="190" t="inlineStr">
        <is>
          <t>Ministry of Economy &amp; Planning</t>
        </is>
      </c>
      <c r="D196" s="190" t="inlineStr">
        <is>
          <t>1. Ministries</t>
        </is>
      </c>
      <c r="E196" s="205" t="inlineStr">
        <is>
          <t>MEP-LAW</t>
        </is>
      </c>
      <c r="F196" s="192" t="inlineStr">
        <is>
          <t>Vision 2030 Framework</t>
        </is>
      </c>
      <c r="G196" s="190" t="inlineStr">
        <is>
          <t>قانون/نظام اللوائح الرئيسية</t>
        </is>
      </c>
      <c r="H196" s="190" t="inlineStr">
        <is>
          <t>Active/Updated</t>
        </is>
      </c>
      <c r="I196" s="191" t="inlineStr">
        <is>
          <t>2016</t>
        </is>
      </c>
      <c r="J196" s="191" t="inlineStr">
        <is>
          <t>N/A</t>
        </is>
      </c>
      <c r="K196" s="190" t="inlineStr">
        <is>
          <t>ISSUES/ENFORCES</t>
        </is>
      </c>
      <c r="L196" s="22" t="inlineStr">
        <is>
          <t>Mandatory Enforcer</t>
        </is>
      </c>
      <c r="M196" s="190" t="inlineStr">
        <is>
          <t>Entities regulated by this ministry</t>
        </is>
      </c>
      <c r="N196" s="208" t="inlineStr">
        <is>
          <t>MODERATE</t>
        </is>
      </c>
      <c r="O196" s="207" t="inlineStr">
        <is>
          <t>https://mep.gov.sa or via www.moi.gov.sa</t>
        </is>
      </c>
      <c r="P196" s="190" t="inlineStr">
        <is>
          <t>Ministry official; BOE regulations archive</t>
        </is>
      </c>
      <c r="Q196" s="190" t="inlineStr">
        <is>
          <t>See official source for version history</t>
        </is>
      </c>
      <c r="R196" s="190" t="inlineStr">
        <is>
          <t>Framework issued by the relevant authority. Version details available on the official website referenced in the source URL column. The framework has been updated periodically since first issuance.</t>
        </is>
      </c>
      <c r="S196" s="191" t="inlineStr">
        <is>
          <t>See official source</t>
        </is>
      </c>
      <c r="T196" s="190" t="inlineStr">
        <is>
          <t>Updated as needed by the issuing authority</t>
        </is>
      </c>
      <c r="U196" s="25" t="inlineStr">
        <is>
          <t>CURRENT — consult official source for latest version</t>
        </is>
      </c>
      <c r="V196" s="190" t="inlineStr">
        <is>
          <t>Penalties defined by issuing authority; consult official source. NCA ECC-2 penalties apply if relevant</t>
        </is>
      </c>
      <c r="W196" s="192" t="inlineStr">
        <is>
          <t>Issuing authority and/or designated inspection department</t>
        </is>
      </c>
      <c r="X196" s="190" t="inlineStr">
        <is>
          <t>As specified in framework scope — consult official document</t>
        </is>
      </c>
      <c r="Y196" s="49" t="inlineStr">
        <is>
          <t>Both (unless specified otherwise in official document)</t>
        </is>
      </c>
      <c r="Z196" s="190" t="inlineStr">
        <is>
          <t>As defined by issuing authority</t>
        </is>
      </c>
      <c r="AA196" s="191" t="inlineStr">
        <is>
          <t>As defined by issuing authority</t>
        </is>
      </c>
      <c r="AB196" s="190" t="inlineStr">
        <is>
          <t>To be determined from framework text — see official source</t>
        </is>
      </c>
      <c r="AC196" s="190" t="inlineStr">
        <is>
          <t>See framework preamble for international standard references</t>
        </is>
      </c>
      <c r="AD196" s="49" t="inlineStr">
        <is>
          <t>Arabic (primary in KSA); English may be available</t>
        </is>
      </c>
      <c r="AE196" s="58" t="inlineStr">
        <is>
          <t>Mapped to relevant GH-ICGA layer — requires manual assessment</t>
        </is>
      </c>
      <c r="AF196" s="56" t="inlineStr">
        <is>
          <t>See official framework for maturity model details</t>
        </is>
      </c>
      <c r="AG196" s="190" t="inlineStr">
        <is>
          <t>Aligned with relevant Vision 2030 programme — see framework context</t>
        </is>
      </c>
      <c r="AH196" s="190" t="inlineStr">
        <is>
          <t>As specified in framework compliance requirements</t>
        </is>
      </c>
      <c r="AI196" s="193" t="inlineStr">
        <is>
          <t>Institutional theory and regulatory governance theory underpin all KSA regulatory frameworks. Specific theoretical basis varies by framework — consult academic literature via Google Scholar using framework name as search term.</t>
        </is>
      </c>
      <c r="AJ196" s="190" t="inlineStr">
        <is>
          <t>Academic debate varies by framework maturity and international adoption. For KSA-specific debate, consult: Almohammad &amp; Wills (2021) J Cybersecurity; Al-Khater et al. (2020) IEEE Access; Baker McKenzie KSA regulatory updates.</t>
        </is>
      </c>
      <c r="AK196" s="194" t="inlineStr">
        <is>
          <t>Known criticisms include: implementation gap between standards and practice; resource constraints for smaller healthcare entities; rapid technology evolution outpacing regulation. Consult framework evaluation literature for specifics.</t>
        </is>
      </c>
      <c r="AL196" s="195" t="inlineStr">
        <is>
          <t>Framework comparison requires contextual analysis. Key comparators: NIST CSF 2.0 (international benchmark), ISO 27001 (certifiable standard), ECC-2 (KSA mandatory baseline). See main database for cross-framework mapping.</t>
        </is>
      </c>
      <c r="AM196" s="19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96" s="197" t="inlineStr">
        <is>
          <t>Official: Consult the official source URL in the database for the primary document. Training: ISACA, ISC2, RAPS, IAPP, and HIMSS offer professional development covering most regulatory domains. Estimated hours vary by framework complexity.</t>
        </is>
      </c>
      <c r="AO196" s="198" t="inlineStr">
        <is>
          <t>Relevance to GH-ICGA framework varies by layer — see GH-ICGA Layer Mapping column. All KSA mandatory frameworks are compliance inputs to GH-ICGA Layer 4. Frameworks with IoMT-specific provisions directly inform Layers 2 and 3.</t>
        </is>
      </c>
      <c r="AP196" s="51" t="inlineStr">
        <is>
          <t>G + C (Governance + Compliance — standard regulatory framework positioning)</t>
        </is>
      </c>
      <c r="AQ196" s="26" t="inlineStr">
        <is>
          <t>Senior management: accountability for framework compliance. Designated compliance officer: monitor requirements. All staff: awareness of applicable obligations</t>
        </is>
      </c>
      <c r="AR196" s="194" t="inlineStr">
        <is>
          <t>Regulatory Risk; Operational Risk; Reputational Risk — specific domains determined by framework scope</t>
        </is>
      </c>
      <c r="AS196" s="22" t="inlineStr">
        <is>
          <t>See official source — legal obligation, regulatory requirement, or voluntary standard as applicable</t>
        </is>
      </c>
      <c r="AT196" s="195" t="inlineStr">
        <is>
          <t>Administrative; Technical; Operational — specific distribution determined by framework content</t>
        </is>
      </c>
      <c r="AU196" s="199" t="inlineStr">
        <is>
          <t>1. Compliance status (compliant/non-compliant). 2. # open findings from last assessment. 3. % controls implemented. 4. Time to remediate findings. 5. Incident rate in framework scope area</t>
        </is>
      </c>
      <c r="AV196" s="200" t="inlineStr">
        <is>
          <t>Self-assessment; internal audit; external assessment as specified by issuing authority</t>
        </is>
      </c>
      <c r="AW196" s="201" t="inlineStr">
        <is>
          <t>ServiceNow GRC; IBM OpenPages; RSA Archer; MetricStream — all major GRC platforms support custom framework import. Contact vendor for framework-specific module</t>
        </is>
      </c>
      <c r="AX196" s="202" t="inlineStr">
        <is>
          <t>Third parties in scope must demonstrate equivalent compliance. Contractual compliance obligations; right-to-audit clauses; annual third-party assessment</t>
        </is>
      </c>
      <c r="AY196" s="203" t="inlineStr">
        <is>
          <t>Non-compliance: regulatory action by issuing authority; fines and penalties as specified; operational and reputational consequences</t>
        </is>
      </c>
      <c r="AZ196" s="200" t="inlineStr">
        <is>
          <t>Sector-specific — consult official source</t>
        </is>
      </c>
      <c r="BA196" s="41" t="inlineStr">
        <is>
          <t>Sector-Specific</t>
        </is>
      </c>
      <c r="BB196" s="591">
        <f>IF(E196="","",IF(ISNUMBER(SEARCH("Institutional theory and regulatory governance theory underpin",AI196)),"TEMPLATE",IF(LEN(AI196)&gt;100,"DEEP",IF(AI196="","SPARSE","SHALLOW"))))</f>
        <v/>
      </c>
      <c r="BC196" s="591">
        <f>IF(E196="","",D196&amp;"-"&amp;B196&amp;"-"&amp;E196)</f>
        <v/>
      </c>
      <c r="BD196" s="591">
        <f>IF(E196="","",SUBSTITUTE(SUBSTITUTE(B196&amp;"-"&amp;E196," ",""),":","-"))</f>
        <v/>
      </c>
      <c r="BE196" s="591">
        <f>IF(E196="","",IF(ISNUMBER(SEARCH("ECC",E196)),"NCA-ECC-2-2024",IF(ISNUMBER(SEARCH("OTCC",E196)),"NCA-ECC-2-2024",IF(ISNUMBER(SEARCH("CCC",E196)),"NCA-ECC-2-2024",IF(ISNUMBER(SEARCH("DCC",E196)),"NCA-ECC-2-2024",IF(ISNUMBER(SEARCH("CSCC",E196)),"NCA-ECC-2-2024",IF(ISNUMBER(SEARCH("PDPL-IR",E196)),"PDPL-2021",IF(ISNUMBER(SEARCH("PDPL-DTR",E196)),"PDPL-2021","NONE"))))))))</f>
        <v/>
      </c>
      <c r="BF196" s="594">
        <f>IF(E196="","",IF(BB196="DEEP",10,IF(BB196="SHALLOW",5,IF(BB196="TEMPLATE",3,1)))+IF(N196="HIGHEST",5,IF(N196="HIGH",3,IF(N196="MODERATE",1,0)))+IF(ISNUMBER(SEARCH("Mandatory",L196)),3,0))</f>
        <v/>
      </c>
    </row>
    <row r="197" ht="42" customHeight="1">
      <c r="A197" s="42" t="n">
        <v>178</v>
      </c>
      <c r="B197" s="189" t="inlineStr">
        <is>
          <t>MEP</t>
        </is>
      </c>
      <c r="C197" s="44" t="inlineStr">
        <is>
          <t>Ministry of Economy &amp; Planning</t>
        </is>
      </c>
      <c r="D197" s="44" t="inlineStr">
        <is>
          <t>1. Ministries</t>
        </is>
      </c>
      <c r="E197" s="189" t="inlineStr">
        <is>
          <t>NCA-ECC-2:2024</t>
        </is>
      </c>
      <c r="F197" s="45" t="inlineStr">
        <is>
          <t>Essential Cybersecurity Controls</t>
        </is>
      </c>
      <c r="G197" s="44" t="inlineStr">
        <is>
          <t>ضوابط الأمن السيبراني الأساسية</t>
        </is>
      </c>
      <c r="H197" s="44" t="inlineStr">
        <is>
          <t>ECC-2:2024</t>
        </is>
      </c>
      <c r="I197" s="46" t="inlineStr">
        <is>
          <t>2018</t>
        </is>
      </c>
      <c r="J197" s="46" t="inlineStr">
        <is>
          <t>108</t>
        </is>
      </c>
      <c r="K197" s="44" t="inlineStr">
        <is>
          <t>MUST COMPLY WITH</t>
        </is>
      </c>
      <c r="L197" s="66" t="inlineStr">
        <is>
          <t>Mandatory Complier</t>
        </is>
      </c>
      <c r="M197" s="44" t="inlineStr">
        <is>
          <t>Ministry of Economy &amp; Planning as government entity</t>
        </is>
      </c>
      <c r="N197" s="59" t="inlineStr">
        <is>
          <t>LOW</t>
        </is>
      </c>
      <c r="O197" s="48" t="inlineStr">
        <is>
          <t>https://nca.gov.sa/</t>
        </is>
      </c>
      <c r="P197" s="44" t="inlineStr">
        <is>
          <t>NCA ECC scope</t>
        </is>
      </c>
      <c r="Q197" s="190" t="inlineStr">
        <is>
          <t>See official source for version history</t>
        </is>
      </c>
      <c r="R197" s="190" t="inlineStr">
        <is>
          <t>Framework issued by the relevant authority. Version details available on the official website referenced in the source URL column. The framework has been updated periodically since first issuance.</t>
        </is>
      </c>
      <c r="S197" s="191" t="inlineStr">
        <is>
          <t>See official source</t>
        </is>
      </c>
      <c r="T197" s="190" t="inlineStr">
        <is>
          <t>Updated as needed by the issuing authority</t>
        </is>
      </c>
      <c r="U197" s="25" t="inlineStr">
        <is>
          <t>CURRENT — consult official source for latest version</t>
        </is>
      </c>
      <c r="V197" s="190" t="inlineStr">
        <is>
          <t>Penalties defined by issuing authority; consult official source. NCA ECC-2 penalties apply if relevant</t>
        </is>
      </c>
      <c r="W197" s="192" t="inlineStr">
        <is>
          <t>Issuing authority and/or designated inspection department</t>
        </is>
      </c>
      <c r="X197" s="190" t="inlineStr">
        <is>
          <t>As specified in framework scope — consult official document</t>
        </is>
      </c>
      <c r="Y197" s="49" t="inlineStr">
        <is>
          <t>Both (unless specified otherwise in official document)</t>
        </is>
      </c>
      <c r="Z197" s="190" t="inlineStr">
        <is>
          <t>As defined by issuing authority</t>
        </is>
      </c>
      <c r="AA197" s="191" t="inlineStr">
        <is>
          <t>As defined by issuing authority</t>
        </is>
      </c>
      <c r="AB197" s="190" t="inlineStr">
        <is>
          <t>To be determined from framework text — see official source</t>
        </is>
      </c>
      <c r="AC197" s="190" t="inlineStr">
        <is>
          <t>See framework preamble for international standard references</t>
        </is>
      </c>
      <c r="AD197" s="49" t="inlineStr">
        <is>
          <t>Arabic (primary in KSA); English may be available</t>
        </is>
      </c>
      <c r="AE197" s="58" t="inlineStr">
        <is>
          <t>Mapped to relevant GH-ICGA layer — requires manual assessment</t>
        </is>
      </c>
      <c r="AF197" s="56" t="inlineStr">
        <is>
          <t>See official framework for maturity model details</t>
        </is>
      </c>
      <c r="AG197" s="190" t="inlineStr">
        <is>
          <t>Aligned with relevant Vision 2030 programme — see framework context</t>
        </is>
      </c>
      <c r="AH197" s="190" t="inlineStr">
        <is>
          <t>As specified in framework compliance requirements</t>
        </is>
      </c>
      <c r="AI197" s="193" t="inlineStr">
        <is>
          <t>Institutional theory and regulatory governance theory underpin all KSA regulatory frameworks. Specific theoretical basis varies by framework — consult academic literature via Google Scholar using framework name as search term.</t>
        </is>
      </c>
      <c r="AJ197" s="190" t="inlineStr">
        <is>
          <t>Academic debate varies by framework maturity and international adoption. For KSA-specific debate, consult: Almohammad &amp; Wills (2021) J Cybersecurity; Al-Khater et al. (2020) IEEE Access; Baker McKenzie KSA regulatory updates.</t>
        </is>
      </c>
      <c r="AK197" s="194" t="inlineStr">
        <is>
          <t>Known criticisms include: implementation gap between standards and practice; resource constraints for smaller healthcare entities; rapid technology evolution outpacing regulation. Consult framework evaluation literature for specifics.</t>
        </is>
      </c>
      <c r="AL197" s="195" t="inlineStr">
        <is>
          <t>Framework comparison requires contextual analysis. Key comparators: NIST CSF 2.0 (international benchmark), ISO 27001 (certifiable standard), ECC-2 (KSA mandatory baseline). See main database for cross-framework mapping.</t>
        </is>
      </c>
      <c r="AM197" s="19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97" s="197" t="inlineStr">
        <is>
          <t>Official: Consult the official source URL in the database for the primary document. Training: ISACA, ISC2, RAPS, IAPP, and HIMSS offer professional development covering most regulatory domains. Estimated hours vary by framework complexity.</t>
        </is>
      </c>
      <c r="AO197" s="198" t="inlineStr">
        <is>
          <t>Relevance to GH-ICGA framework varies by layer — see GH-ICGA Layer Mapping column. All KSA mandatory frameworks are compliance inputs to GH-ICGA Layer 4. Frameworks with IoMT-specific provisions directly inform Layers 2 and 3.</t>
        </is>
      </c>
      <c r="AP197" s="51" t="inlineStr">
        <is>
          <t>G + C (Governance + Compliance — standard regulatory framework positioning)</t>
        </is>
      </c>
      <c r="AQ197" s="26" t="inlineStr">
        <is>
          <t>Senior management: accountability for framework compliance. Designated compliance officer: monitor requirements. All staff: awareness of applicable obligations</t>
        </is>
      </c>
      <c r="AR197" s="194" t="inlineStr">
        <is>
          <t>Regulatory Risk; Operational Risk; Reputational Risk — specific domains determined by framework scope</t>
        </is>
      </c>
      <c r="AS197" s="22" t="inlineStr">
        <is>
          <t>See official source — legal obligation, regulatory requirement, or voluntary standard as applicable</t>
        </is>
      </c>
      <c r="AT197" s="195" t="inlineStr">
        <is>
          <t>Administrative; Technical; Operational — specific distribution determined by framework content</t>
        </is>
      </c>
      <c r="AU197" s="199" t="inlineStr">
        <is>
          <t>1. Compliance status (compliant/non-compliant). 2. # open findings from last assessment. 3. % controls implemented. 4. Time to remediate findings. 5. Incident rate in framework scope area</t>
        </is>
      </c>
      <c r="AV197" s="200" t="inlineStr">
        <is>
          <t>Self-assessment; internal audit; external assessment as specified by issuing authority</t>
        </is>
      </c>
      <c r="AW197" s="201" t="inlineStr">
        <is>
          <t>ServiceNow GRC; IBM OpenPages; RSA Archer; MetricStream — all major GRC platforms support custom framework import. Contact vendor for framework-specific module</t>
        </is>
      </c>
      <c r="AX197" s="202" t="inlineStr">
        <is>
          <t>Third parties in scope must demonstrate equivalent compliance. Contractual compliance obligations; right-to-audit clauses; annual third-party assessment</t>
        </is>
      </c>
      <c r="AY197" s="203" t="inlineStr">
        <is>
          <t>Non-compliance: regulatory action by issuing authority; fines and penalties as specified; operational and reputational consequences</t>
        </is>
      </c>
      <c r="AZ197" s="200" t="inlineStr">
        <is>
          <t>ALL 17 SECTORS</t>
        </is>
      </c>
      <c r="BA197" s="34" t="inlineStr">
        <is>
          <t>YES — ALL SECTORS</t>
        </is>
      </c>
      <c r="BB197" s="591">
        <f>IF(E197="","",IF(ISNUMBER(SEARCH("Institutional theory and regulatory governance theory underpin",AI197)),"TEMPLATE",IF(LEN(AI197)&gt;100,"DEEP",IF(AI197="","SPARSE","SHALLOW"))))</f>
        <v/>
      </c>
      <c r="BC197" s="591">
        <f>IF(E197="","",D197&amp;"-"&amp;B197&amp;"-"&amp;E197)</f>
        <v/>
      </c>
      <c r="BD197" s="591">
        <f>IF(E197="","",SUBSTITUTE(SUBSTITUTE(B197&amp;"-"&amp;E197," ",""),":","-"))</f>
        <v/>
      </c>
      <c r="BE197" s="591">
        <f>IF(E197="","",IF(ISNUMBER(SEARCH("ECC",E197)),"NCA-ECC-2-2024",IF(ISNUMBER(SEARCH("OTCC",E197)),"NCA-ECC-2-2024",IF(ISNUMBER(SEARCH("CCC",E197)),"NCA-ECC-2-2024",IF(ISNUMBER(SEARCH("DCC",E197)),"NCA-ECC-2-2024",IF(ISNUMBER(SEARCH("CSCC",E197)),"NCA-ECC-2-2024",IF(ISNUMBER(SEARCH("PDPL-IR",E197)),"PDPL-2021",IF(ISNUMBER(SEARCH("PDPL-DTR",E197)),"PDPL-2021","NONE"))))))))</f>
        <v/>
      </c>
      <c r="BF197" s="594">
        <f>IF(E197="","",IF(BB197="DEEP",10,IF(BB197="SHALLOW",5,IF(BB197="TEMPLATE",3,1)))+IF(N197="HIGHEST",5,IF(N197="HIGH",3,IF(N197="MODERATE",1,0)))+IF(ISNUMBER(SEARCH("Mandatory",L197)),3,0))</f>
        <v/>
      </c>
    </row>
    <row r="198" ht="42" customHeight="1">
      <c r="A198" s="204" t="n">
        <v>179</v>
      </c>
      <c r="B198" s="205" t="inlineStr">
        <is>
          <t>MEP</t>
        </is>
      </c>
      <c r="C198" s="190" t="inlineStr">
        <is>
          <t>Ministry of Economy &amp; Planning</t>
        </is>
      </c>
      <c r="D198" s="190" t="inlineStr">
        <is>
          <t>1. Ministries</t>
        </is>
      </c>
      <c r="E198" s="205" t="inlineStr">
        <is>
          <t>PDPL-2021</t>
        </is>
      </c>
      <c r="F198" s="192" t="inlineStr">
        <is>
          <t>Personal Data Protection Law</t>
        </is>
      </c>
      <c r="G198" s="190" t="inlineStr">
        <is>
          <t>نظام حماية البيانات الشخصية</t>
        </is>
      </c>
      <c r="H198" s="190" t="inlineStr">
        <is>
          <t>2021+IR 2023</t>
        </is>
      </c>
      <c r="I198" s="191" t="inlineStr">
        <is>
          <t>2021</t>
        </is>
      </c>
      <c r="J198" s="191" t="inlineStr">
        <is>
          <t>45</t>
        </is>
      </c>
      <c r="K198" s="190" t="inlineStr">
        <is>
          <t>MUST COMPLY WITH</t>
        </is>
      </c>
      <c r="L198" s="66" t="inlineStr">
        <is>
          <t>Mandatory Complier</t>
        </is>
      </c>
      <c r="M198" s="190" t="inlineStr">
        <is>
          <t>Ministry of Economy &amp; Planning processes personal data of employees and regulated parties</t>
        </is>
      </c>
      <c r="N198" s="209" t="inlineStr">
        <is>
          <t>LOW</t>
        </is>
      </c>
      <c r="O198" s="207" t="inlineStr">
        <is>
          <t>https://sdaia.gov.sa/</t>
        </is>
      </c>
      <c r="P198" s="190" t="inlineStr">
        <is>
          <t>SDAIA</t>
        </is>
      </c>
      <c r="Q198" s="190" t="inlineStr">
        <is>
          <t>Royal Decree M/19 (16 Sep 2021) → amended Apr 2023</t>
        </is>
      </c>
      <c r="R198" s="190" t="inlineStr">
        <is>
          <t>Original (2021): 19 articles covering consent, data subject rights, controller obligations, sensitive data (health = sensitive), cross-border transfer. Apr 2023 amendment: strengthened enforcement, clarified health data provisions, aligned with PDPL-IR-2023. Grace period for compliance ended Sep 14, 2024. Penalties: up to SAR 5 million fine + 2 years imprisonment for sensitive data breach</t>
        </is>
      </c>
      <c r="S198" s="191" t="inlineStr">
        <is>
          <t>Issued: Sep 2021. Amended: Apr 2023. Fully enforceable: Sep 14, 2024</t>
        </is>
      </c>
      <c r="T198" s="190" t="inlineStr">
        <is>
          <t>SDAIA reviews annually; amendments expected 2025-2026</t>
        </is>
      </c>
      <c r="U198" s="25" t="inlineStr">
        <is>
          <t>CURRENT — fully enforceable since Sep 2024</t>
        </is>
      </c>
      <c r="V198" s="190" t="inlineStr">
        <is>
          <t>Criminal offence: up to 2 years imprisonment + SAR 3M fine for disclosing sensitive data (health data = sensitive); administrative fine up to SAR 5M; mandatory breach notification to SDAIA within 72 hours; data subject compensation claims</t>
        </is>
      </c>
      <c r="W198" s="192" t="inlineStr">
        <is>
          <t>SDAIA — Data Protection Authority (DPA functions); NDMO for government entities; courts for criminal penalties</t>
        </is>
      </c>
      <c r="X198" s="190" t="inlineStr">
        <is>
          <t>Hospital; Clinic; Lab; Pharmacy; Health IT Vendor; Health Insurer; Government Health Entity; Medical Device Manufacturer (all processing patient data)</t>
        </is>
      </c>
      <c r="Y198" s="49" t="inlineStr">
        <is>
          <t>Both + foreign entities processing data of KSA residents</t>
        </is>
      </c>
      <c r="Z198" s="190" t="inlineStr">
        <is>
          <t>SDAIA audit; controller self-assessment; DPO oversight; data subject complaints trigger investigation</t>
        </is>
      </c>
      <c r="AA198" s="191" t="inlineStr">
        <is>
          <t>Continuous (breach notification: 72 hours); annual DPO report; SDAIA random audits</t>
        </is>
      </c>
      <c r="AB198" s="190" t="inlineStr">
        <is>
          <t>12 (IoMT data minimisation; purpose limitation; consent management for wearable data; automated decision-making; data subject rights for IoMT-generated health data; cross-border transfer of IoMT data)</t>
        </is>
      </c>
      <c r="AC198" s="190" t="inlineStr">
        <is>
          <t>GDPR (substantial alignment — adequate protection basis); APEC Privacy Framework; ISO 29100; ISO 27701</t>
        </is>
      </c>
      <c r="AD198" s="49" t="inlineStr">
        <is>
          <t>Arabic (official); English translation (unofficial)</t>
        </is>
      </c>
      <c r="AE198" s="50" t="inlineStr">
        <is>
          <t>Layer 4: Compliance; Layer 2: Risk Management</t>
        </is>
      </c>
      <c r="AF198" s="60" t="inlineStr">
        <is>
          <t>No formal maturity model; SDAIA publishes compliance guidance</t>
        </is>
      </c>
      <c r="AG198" s="190" t="inlineStr">
        <is>
          <t>National Data Strategy; Vision 2030 Digital Economy; Digital Government transformation</t>
        </is>
      </c>
      <c r="AH198" s="190" t="inlineStr">
        <is>
          <t>Privacy notices; consent records; DPO appointment letter; data mapping/flow diagrams; breach notification records; DPIA for health data processing; controller registration</t>
        </is>
      </c>
      <c r="AI198" s="193" t="inlineStr">
        <is>
          <t>Privacy as fundamental right (Warren &amp; Brandeis 1890; Westin 1967). Contextual integrity theory (Nissenbaum 2004): health data flows must match medical context norms. Regulatory theory: data protection authority independence and enforcement. Information asymmetry theory: patients cannot protect their own data without regulation.</t>
        </is>
      </c>
      <c r="AJ198" s="190" t="inlineStr">
        <is>
          <t>FOR: Long-overdue — KSA had no comprehensive data protection law until 2021; health data explicitly protected as sensitive category; aligns KSA with global adequacy standards. AGAINST: Alrawabdeh (2014) and Aldawood &amp; Skinner (2019) documented Saudi privacy culture gap — regulation without public awareness is ineffective; 'GDPR-lite' criticism: exemptions broader than GDPR, enforcement weaker; health data provisions in IR still less specific than UK GDPR Schedule 1 conditions</t>
        </is>
      </c>
      <c r="AK198" s="194" t="inlineStr">
        <is>
          <t>No independent supervisory authority (SDAIA is both promoter and regulator — conflict of interest noted by Baker McKenzie 2025); patient data portability rights weaker than GDPR Article 20; no explicit right to explanation for AI-automated health decisions; cross-border transfer rules changed twice in 12 months (regulatory instability); small healthcare providers lack capacity for DPO requirements</t>
        </is>
      </c>
      <c r="AL198" s="195" t="inlineStr">
        <is>
          <t>PDPL vs GDPR: PDPL penalty lower (SAR 5M vs €20M); PDPL broader government exemptions; GDPR has independent DPA, PDPL does not. PDPL vs HIPAA: PDPL = all personal data (broader); HIPAA = US-specific health data only. PDPL vs UK GDPR: PDPL misses explicit Schedule 1 health data conditions. PDPL ahead of HIPAA on consent granularity; behind GDPR on enforcement independence</t>
        </is>
      </c>
      <c r="AM198" s="196" t="inlineStr">
        <is>
          <t>Baker McKenzie (2025) Saudi Arabia PDPL Global Data &amp; Cyber Handbook; Alrawabdeh W (2014) 'Internet and Social Media Challenges in Arab World' EJSR; Westin AF (1967) Privacy and Freedom NY Atheneum; Nissenbaum H (2004) 'Privacy as Contextual Integrity' Washington Law Review 79(1); CMS Law (2025) Saudi Arabia Data Protection &amp; Cybersecurity Expert Guide Oct 2025</t>
        </is>
      </c>
      <c r="AN198" s="197" t="inlineStr">
        <is>
          <t>Official: SDAIA website (sdaia.gov.sa) — Arabic + English. Training: IAPP CIPM/CIPP/E (privacy certifications applicable); OneTrust PDPL compliance course; Baker McKenzie PDPL compliance guide. Language: Arabic primary — strong Arabic reading recommended. Estimated: 50 hours for health sector DPO competence</t>
        </is>
      </c>
      <c r="AO198" s="198" t="inlineStr">
        <is>
          <t>PRIMARY driver for GH-ICGA Layer 4 (Compliance) — PDPL is the legal foundation for patient data governance in the preliminary GH-ICGA framework. Thesis argument: GH-ICGA Layer 4 operationalises PDPL requirements into IoMT-specific controls (consent management for wearable data; purpose limitation for monitoring streams; breach response for connected device incidents)</t>
        </is>
      </c>
      <c r="AP198" s="51" t="inlineStr">
        <is>
          <t>G + C (Governance + Compliance — strong compliance driver; risk implicit)</t>
        </is>
      </c>
      <c r="AQ198" s="26" t="inlineStr">
        <is>
          <t>Board/CEO: ultimate accountability for PDPL compliance. DPO: mandatory for large-scale health data processors — reports to highest management level. Privacy Committee: cross-functional oversight. All staff processing personal data: mandatory privacy awareness training annually</t>
        </is>
      </c>
      <c r="AR198" s="194" t="inlineStr">
        <is>
          <t>Privacy Risk (PRIMARY); Legal/Regulatory Risk; Reputational Risk; Strategic Risk (data monetisation constraints); Cross-Border Risk (data transfer restrictions)</t>
        </is>
      </c>
      <c r="AS198" s="22" t="inlineStr">
        <is>
          <t>LEGAL — Royal Decree M/19 2021 + Implementing Regulations Sep 2023. Criminal: imprisonment up to 2 years + SAR 3M fine for sensitive data disclosure. Administrative: SAR 5M maximum fine. Civil: data subject compensation claims</t>
        </is>
      </c>
      <c r="AT198" s="195" t="inlineStr">
        <is>
          <t>Administrative (A): consent management; privacy notices; DPO appointment; DPIA process; breach notification procedure. Technical (T): data minimisation; pseudonymisation; access controls for personal data; encryption. Operational (O): data retention enforcement; data subject rights fulfilment process; cross-border transfer review</t>
        </is>
      </c>
      <c r="AU198" s="199" t="inlineStr">
        <is>
          <t>1. # data subject rights requests fulfilled on time (target: 100% within 30 days). 2. # data breaches notified to SDAIA within 72h (target: 100%). 3. % staff completed privacy training (target: 100%). 4. # DPIAs completed for high-risk processing activities. 5. Data retention compliance rate (% records within policy). 6. % third-party processors with DPA agreements</t>
        </is>
      </c>
      <c r="AV198" s="200" t="inlineStr">
        <is>
          <t>Annual DPIA review; data mapping audit (controller record validation); consent record audit; breach response simulation (tabletop); access control review for personal data systems; third-party processor audit; SDAIA compliance self-assessment</t>
        </is>
      </c>
      <c r="AW198" s="201" t="inlineStr">
        <is>
          <t>OneTrust (market leader for PDPL); TrustArc; Nymity; DataGrail; Varonis (data discovery); Microsoft Purview (data classification). SDAIA National Data Governance Platform for registration. Arabic-capable tools preferred</t>
        </is>
      </c>
      <c r="AX198" s="202" t="inlineStr">
        <is>
          <t>All third-party data processors must have Data Processing Agreement (DPA). Processors must demonstrate equivalent PDPL compliance. Cross-border transfers require adequacy assessment or appropriate safeguards. Sub-processor disclosure mandatory. Annual processor risk assessment required</t>
        </is>
      </c>
      <c r="AY198" s="203" t="inlineStr">
        <is>
          <t>Non-compliance: SAR 5M administrative fine; criminal prosecution for sensitive data breach; SDAIA investigation; mandatory breach public disclosure. Business disruption: SDAIA can order processing suspension. Reputational: patient trust damage. Market: EU adequate protection status depends on PDPL enforcement credibility</t>
        </is>
      </c>
      <c r="AZ198" s="200" t="inlineStr">
        <is>
          <t>ALL 17 SECTORS — any entity processing personal data</t>
        </is>
      </c>
      <c r="BA198" s="34" t="inlineStr">
        <is>
          <t>YES — ALL SECTORS</t>
        </is>
      </c>
      <c r="BB198" s="591">
        <f>IF(E198="","",IF(ISNUMBER(SEARCH("Institutional theory and regulatory governance theory underpin",AI198)),"TEMPLATE",IF(LEN(AI198)&gt;100,"DEEP",IF(AI198="","SPARSE","SHALLOW"))))</f>
        <v/>
      </c>
      <c r="BC198" s="591">
        <f>IF(E198="","",D198&amp;"-"&amp;B198&amp;"-"&amp;E198)</f>
        <v/>
      </c>
      <c r="BD198" s="591">
        <f>IF(E198="","",SUBSTITUTE(SUBSTITUTE(B198&amp;"-"&amp;E198," ",""),":","-"))</f>
        <v/>
      </c>
      <c r="BE198" s="591">
        <f>IF(E198="","",IF(ISNUMBER(SEARCH("ECC",E198)),"NCA-ECC-2-2024",IF(ISNUMBER(SEARCH("OTCC",E198)),"NCA-ECC-2-2024",IF(ISNUMBER(SEARCH("CCC",E198)),"NCA-ECC-2-2024",IF(ISNUMBER(SEARCH("DCC",E198)),"NCA-ECC-2-2024",IF(ISNUMBER(SEARCH("CSCC",E198)),"NCA-ECC-2-2024",IF(ISNUMBER(SEARCH("PDPL-IR",E198)),"PDPL-2021",IF(ISNUMBER(SEARCH("PDPL-DTR",E198)),"PDPL-2021","NONE"))))))))</f>
        <v/>
      </c>
      <c r="BF198" s="594">
        <f>IF(E198="","",IF(BB198="DEEP",10,IF(BB198="SHALLOW",5,IF(BB198="TEMPLATE",3,1)))+IF(N198="HIGHEST",5,IF(N198="HIGH",3,IF(N198="MODERATE",1,0)))+IF(ISNUMBER(SEARCH("Mandatory",L198)),3,0))</f>
        <v/>
      </c>
    </row>
    <row r="199" ht="42" customHeight="1">
      <c r="A199" s="42" t="n">
        <v>180</v>
      </c>
      <c r="B199" s="189" t="inlineStr">
        <is>
          <t>MOMAH</t>
        </is>
      </c>
      <c r="C199" s="44" t="inlineStr">
        <is>
          <t>Ministry of Municipalities &amp; Housing</t>
        </is>
      </c>
      <c r="D199" s="44" t="inlineStr">
        <is>
          <t>1. Ministries</t>
        </is>
      </c>
      <c r="E199" s="189" t="inlineStr">
        <is>
          <t>MOMAH-LAW</t>
        </is>
      </c>
      <c r="F199" s="45" t="inlineStr">
        <is>
          <t>Building Regulations</t>
        </is>
      </c>
      <c r="G199" s="44" t="inlineStr">
        <is>
          <t>قانون/نظام اللوائح الرئيسية</t>
        </is>
      </c>
      <c r="H199" s="44" t="inlineStr">
        <is>
          <t>Active/Updated</t>
        </is>
      </c>
      <c r="I199" s="46" t="inlineStr">
        <is>
          <t>1975</t>
        </is>
      </c>
      <c r="J199" s="46" t="inlineStr">
        <is>
          <t>N/A</t>
        </is>
      </c>
      <c r="K199" s="44" t="inlineStr">
        <is>
          <t>ISSUES/ENFORCES</t>
        </is>
      </c>
      <c r="L199" s="22" t="inlineStr">
        <is>
          <t>Mandatory Enforcer</t>
        </is>
      </c>
      <c r="M199" s="44" t="inlineStr">
        <is>
          <t>Entities regulated by this ministry</t>
        </is>
      </c>
      <c r="N199" s="55" t="inlineStr">
        <is>
          <t>MODERATE</t>
        </is>
      </c>
      <c r="O199" s="48" t="inlineStr">
        <is>
          <t>https://momah.gov.sa or via www.moi.gov.sa</t>
        </is>
      </c>
      <c r="P199" s="44" t="inlineStr">
        <is>
          <t>Ministry official; BOE regulations archive</t>
        </is>
      </c>
      <c r="Q199" s="190" t="inlineStr">
        <is>
          <t>See official source for version history</t>
        </is>
      </c>
      <c r="R199" s="190" t="inlineStr">
        <is>
          <t>Framework issued by the relevant authority. Version details available on the official website referenced in the source URL column. The framework has been updated periodically since first issuance.</t>
        </is>
      </c>
      <c r="S199" s="191" t="inlineStr">
        <is>
          <t>See official source</t>
        </is>
      </c>
      <c r="T199" s="190" t="inlineStr">
        <is>
          <t>Updated as needed by the issuing authority</t>
        </is>
      </c>
      <c r="U199" s="25" t="inlineStr">
        <is>
          <t>CURRENT — consult official source for latest version</t>
        </is>
      </c>
      <c r="V199" s="190" t="inlineStr">
        <is>
          <t>Penalties defined by issuing authority; consult official source. NCA ECC-2 penalties apply if relevant</t>
        </is>
      </c>
      <c r="W199" s="192" t="inlineStr">
        <is>
          <t>Issuing authority and/or designated inspection department</t>
        </is>
      </c>
      <c r="X199" s="190" t="inlineStr">
        <is>
          <t>As specified in framework scope — consult official document</t>
        </is>
      </c>
      <c r="Y199" s="49" t="inlineStr">
        <is>
          <t>Both (unless specified otherwise in official document)</t>
        </is>
      </c>
      <c r="Z199" s="190" t="inlineStr">
        <is>
          <t>As defined by issuing authority</t>
        </is>
      </c>
      <c r="AA199" s="191" t="inlineStr">
        <is>
          <t>As defined by issuing authority</t>
        </is>
      </c>
      <c r="AB199" s="190" t="inlineStr">
        <is>
          <t>To be determined from framework text — see official source</t>
        </is>
      </c>
      <c r="AC199" s="190" t="inlineStr">
        <is>
          <t>See framework preamble for international standard references</t>
        </is>
      </c>
      <c r="AD199" s="49" t="inlineStr">
        <is>
          <t>Arabic (primary in KSA); English may be available</t>
        </is>
      </c>
      <c r="AE199" s="58" t="inlineStr">
        <is>
          <t>Mapped to relevant GH-ICGA layer — requires manual assessment</t>
        </is>
      </c>
      <c r="AF199" s="56" t="inlineStr">
        <is>
          <t>See official framework for maturity model details</t>
        </is>
      </c>
      <c r="AG199" s="190" t="inlineStr">
        <is>
          <t>Aligned with relevant Vision 2030 programme — see framework context</t>
        </is>
      </c>
      <c r="AH199" s="190" t="inlineStr">
        <is>
          <t>As specified in framework compliance requirements</t>
        </is>
      </c>
      <c r="AI199" s="193" t="inlineStr">
        <is>
          <t>Institutional theory and regulatory governance theory underpin all KSA regulatory frameworks. Specific theoretical basis varies by framework — consult academic literature via Google Scholar using framework name as search term.</t>
        </is>
      </c>
      <c r="AJ199" s="190" t="inlineStr">
        <is>
          <t>Academic debate varies by framework maturity and international adoption. For KSA-specific debate, consult: Almohammad &amp; Wills (2021) J Cybersecurity; Al-Khater et al. (2020) IEEE Access; Baker McKenzie KSA regulatory updates.</t>
        </is>
      </c>
      <c r="AK199" s="194" t="inlineStr">
        <is>
          <t>Known criticisms include: implementation gap between standards and practice; resource constraints for smaller healthcare entities; rapid technology evolution outpacing regulation. Consult framework evaluation literature for specifics.</t>
        </is>
      </c>
      <c r="AL199" s="195" t="inlineStr">
        <is>
          <t>Framework comparison requires contextual analysis. Key comparators: NIST CSF 2.0 (international benchmark), ISO 27001 (certifiable standard), ECC-2 (KSA mandatory baseline). See main database for cross-framework mapping.</t>
        </is>
      </c>
      <c r="AM199" s="19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199" s="197" t="inlineStr">
        <is>
          <t>Official: Consult the official source URL in the database for the primary document. Training: ISACA, ISC2, RAPS, IAPP, and HIMSS offer professional development covering most regulatory domains. Estimated hours vary by framework complexity.</t>
        </is>
      </c>
      <c r="AO199" s="198" t="inlineStr">
        <is>
          <t>Relevance to GH-ICGA framework varies by layer — see GH-ICGA Layer Mapping column. All KSA mandatory frameworks are compliance inputs to GH-ICGA Layer 4. Frameworks with IoMT-specific provisions directly inform Layers 2 and 3.</t>
        </is>
      </c>
      <c r="AP199" s="51" t="inlineStr">
        <is>
          <t>G + C (Governance + Compliance — standard regulatory framework positioning)</t>
        </is>
      </c>
      <c r="AQ199" s="26" t="inlineStr">
        <is>
          <t>Senior management: accountability for framework compliance. Designated compliance officer: monitor requirements. All staff: awareness of applicable obligations</t>
        </is>
      </c>
      <c r="AR199" s="194" t="inlineStr">
        <is>
          <t>Regulatory Risk; Operational Risk; Reputational Risk — specific domains determined by framework scope</t>
        </is>
      </c>
      <c r="AS199" s="22" t="inlineStr">
        <is>
          <t>See official source — legal obligation, regulatory requirement, or voluntary standard as applicable</t>
        </is>
      </c>
      <c r="AT199" s="195" t="inlineStr">
        <is>
          <t>Administrative; Technical; Operational — specific distribution determined by framework content</t>
        </is>
      </c>
      <c r="AU199" s="199" t="inlineStr">
        <is>
          <t>1. Compliance status (compliant/non-compliant). 2. # open findings from last assessment. 3. % controls implemented. 4. Time to remediate findings. 5. Incident rate in framework scope area</t>
        </is>
      </c>
      <c r="AV199" s="200" t="inlineStr">
        <is>
          <t>Self-assessment; internal audit; external assessment as specified by issuing authority</t>
        </is>
      </c>
      <c r="AW199" s="201" t="inlineStr">
        <is>
          <t>ServiceNow GRC; IBM OpenPages; RSA Archer; MetricStream — all major GRC platforms support custom framework import. Contact vendor for framework-specific module</t>
        </is>
      </c>
      <c r="AX199" s="202" t="inlineStr">
        <is>
          <t>Third parties in scope must demonstrate equivalent compliance. Contractual compliance obligations; right-to-audit clauses; annual third-party assessment</t>
        </is>
      </c>
      <c r="AY199" s="203" t="inlineStr">
        <is>
          <t>Non-compliance: regulatory action by issuing authority; fines and penalties as specified; operational and reputational consequences</t>
        </is>
      </c>
      <c r="AZ199" s="200" t="inlineStr">
        <is>
          <t>Sector-specific — consult official source</t>
        </is>
      </c>
      <c r="BA199" s="41" t="inlineStr">
        <is>
          <t>Sector-Specific</t>
        </is>
      </c>
      <c r="BB199" s="591">
        <f>IF(E199="","",IF(ISNUMBER(SEARCH("Institutional theory and regulatory governance theory underpin",AI199)),"TEMPLATE",IF(LEN(AI199)&gt;100,"DEEP",IF(AI199="","SPARSE","SHALLOW"))))</f>
        <v/>
      </c>
      <c r="BC199" s="591">
        <f>IF(E199="","",D199&amp;"-"&amp;B199&amp;"-"&amp;E199)</f>
        <v/>
      </c>
      <c r="BD199" s="591">
        <f>IF(E199="","",SUBSTITUTE(SUBSTITUTE(B199&amp;"-"&amp;E199," ",""),":","-"))</f>
        <v/>
      </c>
      <c r="BE199" s="591">
        <f>IF(E199="","",IF(ISNUMBER(SEARCH("ECC",E199)),"NCA-ECC-2-2024",IF(ISNUMBER(SEARCH("OTCC",E199)),"NCA-ECC-2-2024",IF(ISNUMBER(SEARCH("CCC",E199)),"NCA-ECC-2-2024",IF(ISNUMBER(SEARCH("DCC",E199)),"NCA-ECC-2-2024",IF(ISNUMBER(SEARCH("CSCC",E199)),"NCA-ECC-2-2024",IF(ISNUMBER(SEARCH("PDPL-IR",E199)),"PDPL-2021",IF(ISNUMBER(SEARCH("PDPL-DTR",E199)),"PDPL-2021","NONE"))))))))</f>
        <v/>
      </c>
      <c r="BF199" s="594">
        <f>IF(E199="","",IF(BB199="DEEP",10,IF(BB199="SHALLOW",5,IF(BB199="TEMPLATE",3,1)))+IF(N199="HIGHEST",5,IF(N199="HIGH",3,IF(N199="MODERATE",1,0)))+IF(ISNUMBER(SEARCH("Mandatory",L199)),3,0))</f>
        <v/>
      </c>
    </row>
    <row r="200" ht="42" customHeight="1">
      <c r="A200" s="204" t="n">
        <v>181</v>
      </c>
      <c r="B200" s="205" t="inlineStr">
        <is>
          <t>MOMAH</t>
        </is>
      </c>
      <c r="C200" s="190" t="inlineStr">
        <is>
          <t>Ministry of Municipalities &amp; Housing</t>
        </is>
      </c>
      <c r="D200" s="190" t="inlineStr">
        <is>
          <t>1. Ministries</t>
        </is>
      </c>
      <c r="E200" s="205" t="inlineStr">
        <is>
          <t>NCA-ECC-2:2024</t>
        </is>
      </c>
      <c r="F200" s="192" t="inlineStr">
        <is>
          <t>Essential Cybersecurity Controls</t>
        </is>
      </c>
      <c r="G200" s="190" t="inlineStr">
        <is>
          <t>ضوابط الأمن السيبراني الأساسية</t>
        </is>
      </c>
      <c r="H200" s="190" t="inlineStr">
        <is>
          <t>ECC-2:2024</t>
        </is>
      </c>
      <c r="I200" s="191" t="inlineStr">
        <is>
          <t>2018</t>
        </is>
      </c>
      <c r="J200" s="191" t="inlineStr">
        <is>
          <t>108</t>
        </is>
      </c>
      <c r="K200" s="190" t="inlineStr">
        <is>
          <t>MUST COMPLY WITH</t>
        </is>
      </c>
      <c r="L200" s="66" t="inlineStr">
        <is>
          <t>Mandatory Complier</t>
        </is>
      </c>
      <c r="M200" s="190" t="inlineStr">
        <is>
          <t>Ministry of Municipalities &amp; Housing as government entity</t>
        </is>
      </c>
      <c r="N200" s="209" t="inlineStr">
        <is>
          <t>LOW</t>
        </is>
      </c>
      <c r="O200" s="207" t="inlineStr">
        <is>
          <t>https://nca.gov.sa/</t>
        </is>
      </c>
      <c r="P200" s="190" t="inlineStr">
        <is>
          <t>NCA ECC scope</t>
        </is>
      </c>
      <c r="Q200" s="190" t="inlineStr">
        <is>
          <t>See official source for version history</t>
        </is>
      </c>
      <c r="R200" s="190" t="inlineStr">
        <is>
          <t>Framework issued by the relevant authority. Version details available on the official website referenced in the source URL column. The framework has been updated periodically since first issuance.</t>
        </is>
      </c>
      <c r="S200" s="191" t="inlineStr">
        <is>
          <t>See official source</t>
        </is>
      </c>
      <c r="T200" s="190" t="inlineStr">
        <is>
          <t>Updated as needed by the issuing authority</t>
        </is>
      </c>
      <c r="U200" s="25" t="inlineStr">
        <is>
          <t>CURRENT — consult official source for latest version</t>
        </is>
      </c>
      <c r="V200" s="190" t="inlineStr">
        <is>
          <t>Penalties defined by issuing authority; consult official source. NCA ECC-2 penalties apply if relevant</t>
        </is>
      </c>
      <c r="W200" s="192" t="inlineStr">
        <is>
          <t>Issuing authority and/or designated inspection department</t>
        </is>
      </c>
      <c r="X200" s="190" t="inlineStr">
        <is>
          <t>As specified in framework scope — consult official document</t>
        </is>
      </c>
      <c r="Y200" s="49" t="inlineStr">
        <is>
          <t>Both (unless specified otherwise in official document)</t>
        </is>
      </c>
      <c r="Z200" s="190" t="inlineStr">
        <is>
          <t>As defined by issuing authority</t>
        </is>
      </c>
      <c r="AA200" s="191" t="inlineStr">
        <is>
          <t>As defined by issuing authority</t>
        </is>
      </c>
      <c r="AB200" s="190" t="inlineStr">
        <is>
          <t>To be determined from framework text — see official source</t>
        </is>
      </c>
      <c r="AC200" s="190" t="inlineStr">
        <is>
          <t>See framework preamble for international standard references</t>
        </is>
      </c>
      <c r="AD200" s="49" t="inlineStr">
        <is>
          <t>Arabic (primary in KSA); English may be available</t>
        </is>
      </c>
      <c r="AE200" s="58" t="inlineStr">
        <is>
          <t>Mapped to relevant GH-ICGA layer — requires manual assessment</t>
        </is>
      </c>
      <c r="AF200" s="56" t="inlineStr">
        <is>
          <t>See official framework for maturity model details</t>
        </is>
      </c>
      <c r="AG200" s="190" t="inlineStr">
        <is>
          <t>Aligned with relevant Vision 2030 programme — see framework context</t>
        </is>
      </c>
      <c r="AH200" s="190" t="inlineStr">
        <is>
          <t>As specified in framework compliance requirements</t>
        </is>
      </c>
      <c r="AI200" s="193" t="inlineStr">
        <is>
          <t>Institutional theory and regulatory governance theory underpin all KSA regulatory frameworks. Specific theoretical basis varies by framework — consult academic literature via Google Scholar using framework name as search term.</t>
        </is>
      </c>
      <c r="AJ200" s="190" t="inlineStr">
        <is>
          <t>Academic debate varies by framework maturity and international adoption. For KSA-specific debate, consult: Almohammad &amp; Wills (2021) J Cybersecurity; Al-Khater et al. (2020) IEEE Access; Baker McKenzie KSA regulatory updates.</t>
        </is>
      </c>
      <c r="AK200" s="194" t="inlineStr">
        <is>
          <t>Known criticisms include: implementation gap between standards and practice; resource constraints for smaller healthcare entities; rapid technology evolution outpacing regulation. Consult framework evaluation literature for specifics.</t>
        </is>
      </c>
      <c r="AL200" s="195" t="inlineStr">
        <is>
          <t>Framework comparison requires contextual analysis. Key comparators: NIST CSF 2.0 (international benchmark), ISO 27001 (certifiable standard), ECC-2 (KSA mandatory baseline). See main database for cross-framework mapping.</t>
        </is>
      </c>
      <c r="AM200" s="19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00" s="197" t="inlineStr">
        <is>
          <t>Official: Consult the official source URL in the database for the primary document. Training: ISACA, ISC2, RAPS, IAPP, and HIMSS offer professional development covering most regulatory domains. Estimated hours vary by framework complexity.</t>
        </is>
      </c>
      <c r="AO200" s="198" t="inlineStr">
        <is>
          <t>Relevance to GH-ICGA framework varies by layer — see GH-ICGA Layer Mapping column. All KSA mandatory frameworks are compliance inputs to GH-ICGA Layer 4. Frameworks with IoMT-specific provisions directly inform Layers 2 and 3.</t>
        </is>
      </c>
      <c r="AP200" s="51" t="inlineStr">
        <is>
          <t>G + C (Governance + Compliance — standard regulatory framework positioning)</t>
        </is>
      </c>
      <c r="AQ200" s="26" t="inlineStr">
        <is>
          <t>Senior management: accountability for framework compliance. Designated compliance officer: monitor requirements. All staff: awareness of applicable obligations</t>
        </is>
      </c>
      <c r="AR200" s="194" t="inlineStr">
        <is>
          <t>Regulatory Risk; Operational Risk; Reputational Risk — specific domains determined by framework scope</t>
        </is>
      </c>
      <c r="AS200" s="22" t="inlineStr">
        <is>
          <t>See official source — legal obligation, regulatory requirement, or voluntary standard as applicable</t>
        </is>
      </c>
      <c r="AT200" s="195" t="inlineStr">
        <is>
          <t>Administrative; Technical; Operational — specific distribution determined by framework content</t>
        </is>
      </c>
      <c r="AU200" s="199" t="inlineStr">
        <is>
          <t>1. Compliance status (compliant/non-compliant). 2. # open findings from last assessment. 3. % controls implemented. 4. Time to remediate findings. 5. Incident rate in framework scope area</t>
        </is>
      </c>
      <c r="AV200" s="200" t="inlineStr">
        <is>
          <t>Self-assessment; internal audit; external assessment as specified by issuing authority</t>
        </is>
      </c>
      <c r="AW200" s="201" t="inlineStr">
        <is>
          <t>ServiceNow GRC; IBM OpenPages; RSA Archer; MetricStream — all major GRC platforms support custom framework import. Contact vendor for framework-specific module</t>
        </is>
      </c>
      <c r="AX200" s="202" t="inlineStr">
        <is>
          <t>Third parties in scope must demonstrate equivalent compliance. Contractual compliance obligations; right-to-audit clauses; annual third-party assessment</t>
        </is>
      </c>
      <c r="AY200" s="203" t="inlineStr">
        <is>
          <t>Non-compliance: regulatory action by issuing authority; fines and penalties as specified; operational and reputational consequences</t>
        </is>
      </c>
      <c r="AZ200" s="200" t="inlineStr">
        <is>
          <t>ALL 17 SECTORS</t>
        </is>
      </c>
      <c r="BA200" s="34" t="inlineStr">
        <is>
          <t>YES — ALL SECTORS</t>
        </is>
      </c>
      <c r="BB200" s="591">
        <f>IF(E200="","",IF(ISNUMBER(SEARCH("Institutional theory and regulatory governance theory underpin",AI200)),"TEMPLATE",IF(LEN(AI200)&gt;100,"DEEP",IF(AI200="","SPARSE","SHALLOW"))))</f>
        <v/>
      </c>
      <c r="BC200" s="591">
        <f>IF(E200="","",D200&amp;"-"&amp;B200&amp;"-"&amp;E200)</f>
        <v/>
      </c>
      <c r="BD200" s="591">
        <f>IF(E200="","",SUBSTITUTE(SUBSTITUTE(B200&amp;"-"&amp;E200," ",""),":","-"))</f>
        <v/>
      </c>
      <c r="BE200" s="591">
        <f>IF(E200="","",IF(ISNUMBER(SEARCH("ECC",E200)),"NCA-ECC-2-2024",IF(ISNUMBER(SEARCH("OTCC",E200)),"NCA-ECC-2-2024",IF(ISNUMBER(SEARCH("CCC",E200)),"NCA-ECC-2-2024",IF(ISNUMBER(SEARCH("DCC",E200)),"NCA-ECC-2-2024",IF(ISNUMBER(SEARCH("CSCC",E200)),"NCA-ECC-2-2024",IF(ISNUMBER(SEARCH("PDPL-IR",E200)),"PDPL-2021",IF(ISNUMBER(SEARCH("PDPL-DTR",E200)),"PDPL-2021","NONE"))))))))</f>
        <v/>
      </c>
      <c r="BF200" s="594">
        <f>IF(E200="","",IF(BB200="DEEP",10,IF(BB200="SHALLOW",5,IF(BB200="TEMPLATE",3,1)))+IF(N200="HIGHEST",5,IF(N200="HIGH",3,IF(N200="MODERATE",1,0)))+IF(ISNUMBER(SEARCH("Mandatory",L200)),3,0))</f>
        <v/>
      </c>
    </row>
    <row r="201" ht="42" customHeight="1">
      <c r="A201" s="42" t="n">
        <v>182</v>
      </c>
      <c r="B201" s="189" t="inlineStr">
        <is>
          <t>MOMAH</t>
        </is>
      </c>
      <c r="C201" s="44" t="inlineStr">
        <is>
          <t>Ministry of Municipalities &amp; Housing</t>
        </is>
      </c>
      <c r="D201" s="44" t="inlineStr">
        <is>
          <t>1. Ministries</t>
        </is>
      </c>
      <c r="E201" s="189" t="inlineStr">
        <is>
          <t>PDPL-2021</t>
        </is>
      </c>
      <c r="F201" s="45" t="inlineStr">
        <is>
          <t>Personal Data Protection Law</t>
        </is>
      </c>
      <c r="G201" s="44" t="inlineStr">
        <is>
          <t>نظام حماية البيانات الشخصية</t>
        </is>
      </c>
      <c r="H201" s="44" t="inlineStr">
        <is>
          <t>2021+IR 2023</t>
        </is>
      </c>
      <c r="I201" s="46" t="inlineStr">
        <is>
          <t>2021</t>
        </is>
      </c>
      <c r="J201" s="46" t="inlineStr">
        <is>
          <t>45</t>
        </is>
      </c>
      <c r="K201" s="44" t="inlineStr">
        <is>
          <t>MUST COMPLY WITH</t>
        </is>
      </c>
      <c r="L201" s="66" t="inlineStr">
        <is>
          <t>Mandatory Complier</t>
        </is>
      </c>
      <c r="M201" s="44" t="inlineStr">
        <is>
          <t>Ministry of Municipalities &amp; Housing processes personal data of employees and regulated parties</t>
        </is>
      </c>
      <c r="N201" s="59" t="inlineStr">
        <is>
          <t>LOW</t>
        </is>
      </c>
      <c r="O201" s="48" t="inlineStr">
        <is>
          <t>https://sdaia.gov.sa/</t>
        </is>
      </c>
      <c r="P201" s="44" t="inlineStr">
        <is>
          <t>SDAIA</t>
        </is>
      </c>
      <c r="Q201" s="190" t="inlineStr">
        <is>
          <t>Royal Decree M/19 (16 Sep 2021) → amended Apr 2023</t>
        </is>
      </c>
      <c r="R201" s="190" t="inlineStr">
        <is>
          <t>Original (2021): 19 articles covering consent, data subject rights, controller obligations, sensitive data (health = sensitive), cross-border transfer. Apr 2023 amendment: strengthened enforcement, clarified health data provisions, aligned with PDPL-IR-2023. Grace period for compliance ended Sep 14, 2024. Penalties: up to SAR 5 million fine + 2 years imprisonment for sensitive data breach</t>
        </is>
      </c>
      <c r="S201" s="191" t="inlineStr">
        <is>
          <t>Issued: Sep 2021. Amended: Apr 2023. Fully enforceable: Sep 14, 2024</t>
        </is>
      </c>
      <c r="T201" s="190" t="inlineStr">
        <is>
          <t>SDAIA reviews annually; amendments expected 2025-2026</t>
        </is>
      </c>
      <c r="U201" s="25" t="inlineStr">
        <is>
          <t>CURRENT — fully enforceable since Sep 2024</t>
        </is>
      </c>
      <c r="V201" s="190" t="inlineStr">
        <is>
          <t>Criminal offence: up to 2 years imprisonment + SAR 3M fine for disclosing sensitive data (health data = sensitive); administrative fine up to SAR 5M; mandatory breach notification to SDAIA within 72 hours; data subject compensation claims</t>
        </is>
      </c>
      <c r="W201" s="192" t="inlineStr">
        <is>
          <t>SDAIA — Data Protection Authority (DPA functions); NDMO for government entities; courts for criminal penalties</t>
        </is>
      </c>
      <c r="X201" s="190" t="inlineStr">
        <is>
          <t>Hospital; Clinic; Lab; Pharmacy; Health IT Vendor; Health Insurer; Government Health Entity; Medical Device Manufacturer (all processing patient data)</t>
        </is>
      </c>
      <c r="Y201" s="49" t="inlineStr">
        <is>
          <t>Both + foreign entities processing data of KSA residents</t>
        </is>
      </c>
      <c r="Z201" s="190" t="inlineStr">
        <is>
          <t>SDAIA audit; controller self-assessment; DPO oversight; data subject complaints trigger investigation</t>
        </is>
      </c>
      <c r="AA201" s="191" t="inlineStr">
        <is>
          <t>Continuous (breach notification: 72 hours); annual DPO report; SDAIA random audits</t>
        </is>
      </c>
      <c r="AB201" s="190" t="inlineStr">
        <is>
          <t>12 (IoMT data minimisation; purpose limitation; consent management for wearable data; automated decision-making; data subject rights for IoMT-generated health data; cross-border transfer of IoMT data)</t>
        </is>
      </c>
      <c r="AC201" s="190" t="inlineStr">
        <is>
          <t>GDPR (substantial alignment — adequate protection basis); APEC Privacy Framework; ISO 29100; ISO 27701</t>
        </is>
      </c>
      <c r="AD201" s="49" t="inlineStr">
        <is>
          <t>Arabic (official); English translation (unofficial)</t>
        </is>
      </c>
      <c r="AE201" s="50" t="inlineStr">
        <is>
          <t>Layer 4: Compliance; Layer 2: Risk Management</t>
        </is>
      </c>
      <c r="AF201" s="60" t="inlineStr">
        <is>
          <t>No formal maturity model; SDAIA publishes compliance guidance</t>
        </is>
      </c>
      <c r="AG201" s="190" t="inlineStr">
        <is>
          <t>National Data Strategy; Vision 2030 Digital Economy; Digital Government transformation</t>
        </is>
      </c>
      <c r="AH201" s="190" t="inlineStr">
        <is>
          <t>Privacy notices; consent records; DPO appointment letter; data mapping/flow diagrams; breach notification records; DPIA for health data processing; controller registration</t>
        </is>
      </c>
      <c r="AI201" s="193" t="inlineStr">
        <is>
          <t>Privacy as fundamental right (Warren &amp; Brandeis 1890; Westin 1967). Contextual integrity theory (Nissenbaum 2004): health data flows must match medical context norms. Regulatory theory: data protection authority independence and enforcement. Information asymmetry theory: patients cannot protect their own data without regulation.</t>
        </is>
      </c>
      <c r="AJ201" s="190" t="inlineStr">
        <is>
          <t>FOR: Long-overdue — KSA had no comprehensive data protection law until 2021; health data explicitly protected as sensitive category; aligns KSA with global adequacy standards. AGAINST: Alrawabdeh (2014) and Aldawood &amp; Skinner (2019) documented Saudi privacy culture gap — regulation without public awareness is ineffective; 'GDPR-lite' criticism: exemptions broader than GDPR, enforcement weaker; health data provisions in IR still less specific than UK GDPR Schedule 1 conditions</t>
        </is>
      </c>
      <c r="AK201" s="194" t="inlineStr">
        <is>
          <t>No independent supervisory authority (SDAIA is both promoter and regulator — conflict of interest noted by Baker McKenzie 2025); patient data portability rights weaker than GDPR Article 20; no explicit right to explanation for AI-automated health decisions; cross-border transfer rules changed twice in 12 months (regulatory instability); small healthcare providers lack capacity for DPO requirements</t>
        </is>
      </c>
      <c r="AL201" s="195" t="inlineStr">
        <is>
          <t>PDPL vs GDPR: PDPL penalty lower (SAR 5M vs €20M); PDPL broader government exemptions; GDPR has independent DPA, PDPL does not. PDPL vs HIPAA: PDPL = all personal data (broader); HIPAA = US-specific health data only. PDPL vs UK GDPR: PDPL misses explicit Schedule 1 health data conditions. PDPL ahead of HIPAA on consent granularity; behind GDPR on enforcement independence</t>
        </is>
      </c>
      <c r="AM201" s="196" t="inlineStr">
        <is>
          <t>Baker McKenzie (2025) Saudi Arabia PDPL Global Data &amp; Cyber Handbook; Alrawabdeh W (2014) 'Internet and Social Media Challenges in Arab World' EJSR; Westin AF (1967) Privacy and Freedom NY Atheneum; Nissenbaum H (2004) 'Privacy as Contextual Integrity' Washington Law Review 79(1); CMS Law (2025) Saudi Arabia Data Protection &amp; Cybersecurity Expert Guide Oct 2025</t>
        </is>
      </c>
      <c r="AN201" s="197" t="inlineStr">
        <is>
          <t>Official: SDAIA website (sdaia.gov.sa) — Arabic + English. Training: IAPP CIPM/CIPP/E (privacy certifications applicable); OneTrust PDPL compliance course; Baker McKenzie PDPL compliance guide. Language: Arabic primary — strong Arabic reading recommended. Estimated: 50 hours for health sector DPO competence</t>
        </is>
      </c>
      <c r="AO201" s="198" t="inlineStr">
        <is>
          <t>PRIMARY driver for GH-ICGA Layer 4 (Compliance) — PDPL is the legal foundation for patient data governance in the preliminary GH-ICGA framework. Thesis argument: GH-ICGA Layer 4 operationalises PDPL requirements into IoMT-specific controls (consent management for wearable data; purpose limitation for monitoring streams; breach response for connected device incidents)</t>
        </is>
      </c>
      <c r="AP201" s="51" t="inlineStr">
        <is>
          <t>G + C (Governance + Compliance — strong compliance driver; risk implicit)</t>
        </is>
      </c>
      <c r="AQ201" s="26" t="inlineStr">
        <is>
          <t>Board/CEO: ultimate accountability for PDPL compliance. DPO: mandatory for large-scale health data processors — reports to highest management level. Privacy Committee: cross-functional oversight. All staff processing personal data: mandatory privacy awareness training annually</t>
        </is>
      </c>
      <c r="AR201" s="194" t="inlineStr">
        <is>
          <t>Privacy Risk (PRIMARY); Legal/Regulatory Risk; Reputational Risk; Strategic Risk (data monetisation constraints); Cross-Border Risk (data transfer restrictions)</t>
        </is>
      </c>
      <c r="AS201" s="22" t="inlineStr">
        <is>
          <t>LEGAL — Royal Decree M/19 2021 + Implementing Regulations Sep 2023. Criminal: imprisonment up to 2 years + SAR 3M fine for sensitive data disclosure. Administrative: SAR 5M maximum fine. Civil: data subject compensation claims</t>
        </is>
      </c>
      <c r="AT201" s="195" t="inlineStr">
        <is>
          <t>Administrative (A): consent management; privacy notices; DPO appointment; DPIA process; breach notification procedure. Technical (T): data minimisation; pseudonymisation; access controls for personal data; encryption. Operational (O): data retention enforcement; data subject rights fulfilment process; cross-border transfer review</t>
        </is>
      </c>
      <c r="AU201" s="199" t="inlineStr">
        <is>
          <t>1. # data subject rights requests fulfilled on time (target: 100% within 30 days). 2. # data breaches notified to SDAIA within 72h (target: 100%). 3. % staff completed privacy training (target: 100%). 4. # DPIAs completed for high-risk processing activities. 5. Data retention compliance rate (% records within policy). 6. % third-party processors with DPA agreements</t>
        </is>
      </c>
      <c r="AV201" s="200" t="inlineStr">
        <is>
          <t>Annual DPIA review; data mapping audit (controller record validation); consent record audit; breach response simulation (tabletop); access control review for personal data systems; third-party processor audit; SDAIA compliance self-assessment</t>
        </is>
      </c>
      <c r="AW201" s="201" t="inlineStr">
        <is>
          <t>OneTrust (market leader for PDPL); TrustArc; Nymity; DataGrail; Varonis (data discovery); Microsoft Purview (data classification). SDAIA National Data Governance Platform for registration. Arabic-capable tools preferred</t>
        </is>
      </c>
      <c r="AX201" s="202" t="inlineStr">
        <is>
          <t>All third-party data processors must have Data Processing Agreement (DPA). Processors must demonstrate equivalent PDPL compliance. Cross-border transfers require adequacy assessment or appropriate safeguards. Sub-processor disclosure mandatory. Annual processor risk assessment required</t>
        </is>
      </c>
      <c r="AY201" s="203" t="inlineStr">
        <is>
          <t>Non-compliance: SAR 5M administrative fine; criminal prosecution for sensitive data breach; SDAIA investigation; mandatory breach public disclosure. Business disruption: SDAIA can order processing suspension. Reputational: patient trust damage. Market: EU adequate protection status depends on PDPL enforcement credibility</t>
        </is>
      </c>
      <c r="AZ201" s="200" t="inlineStr">
        <is>
          <t>ALL 17 SECTORS — any entity processing personal data</t>
        </is>
      </c>
      <c r="BA201" s="34" t="inlineStr">
        <is>
          <t>YES — ALL SECTORS</t>
        </is>
      </c>
      <c r="BB201" s="591">
        <f>IF(E201="","",IF(ISNUMBER(SEARCH("Institutional theory and regulatory governance theory underpin",AI201)),"TEMPLATE",IF(LEN(AI201)&gt;100,"DEEP",IF(AI201="","SPARSE","SHALLOW"))))</f>
        <v/>
      </c>
      <c r="BC201" s="591">
        <f>IF(E201="","",D201&amp;"-"&amp;B201&amp;"-"&amp;E201)</f>
        <v/>
      </c>
      <c r="BD201" s="591">
        <f>IF(E201="","",SUBSTITUTE(SUBSTITUTE(B201&amp;"-"&amp;E201," ",""),":","-"))</f>
        <v/>
      </c>
      <c r="BE201" s="591">
        <f>IF(E201="","",IF(ISNUMBER(SEARCH("ECC",E201)),"NCA-ECC-2-2024",IF(ISNUMBER(SEARCH("OTCC",E201)),"NCA-ECC-2-2024",IF(ISNUMBER(SEARCH("CCC",E201)),"NCA-ECC-2-2024",IF(ISNUMBER(SEARCH("DCC",E201)),"NCA-ECC-2-2024",IF(ISNUMBER(SEARCH("CSCC",E201)),"NCA-ECC-2-2024",IF(ISNUMBER(SEARCH("PDPL-IR",E201)),"PDPL-2021",IF(ISNUMBER(SEARCH("PDPL-DTR",E201)),"PDPL-2021","NONE"))))))))</f>
        <v/>
      </c>
      <c r="BF201" s="594">
        <f>IF(E201="","",IF(BB201="DEEP",10,IF(BB201="SHALLOW",5,IF(BB201="TEMPLATE",3,1)))+IF(N201="HIGHEST",5,IF(N201="HIGH",3,IF(N201="MODERATE",1,0)))+IF(ISNUMBER(SEARCH("Mandatory",L201)),3,0))</f>
        <v/>
      </c>
    </row>
    <row r="202" ht="42" customHeight="1">
      <c r="A202" s="204" t="n">
        <v>183</v>
      </c>
      <c r="B202" s="205" t="inlineStr">
        <is>
          <t>MOIA</t>
        </is>
      </c>
      <c r="C202" s="190" t="inlineStr">
        <is>
          <t>Ministry of Islamic Affairs</t>
        </is>
      </c>
      <c r="D202" s="190" t="inlineStr">
        <is>
          <t>1. Ministries</t>
        </is>
      </c>
      <c r="E202" s="205" t="inlineStr">
        <is>
          <t>MOIA-LAW</t>
        </is>
      </c>
      <c r="F202" s="192" t="inlineStr">
        <is>
          <t>Halal Coordination Mandate</t>
        </is>
      </c>
      <c r="G202" s="190" t="inlineStr">
        <is>
          <t>قانون/نظام اللوائح الرئيسية</t>
        </is>
      </c>
      <c r="H202" s="190" t="inlineStr">
        <is>
          <t>Active/Updated</t>
        </is>
      </c>
      <c r="I202" s="191" t="inlineStr">
        <is>
          <t>2001</t>
        </is>
      </c>
      <c r="J202" s="191" t="inlineStr">
        <is>
          <t>N/A</t>
        </is>
      </c>
      <c r="K202" s="190" t="inlineStr">
        <is>
          <t>ISSUES/ENFORCES</t>
        </is>
      </c>
      <c r="L202" s="22" t="inlineStr">
        <is>
          <t>Mandatory Enforcer</t>
        </is>
      </c>
      <c r="M202" s="190" t="inlineStr">
        <is>
          <t>Entities regulated by this ministry</t>
        </is>
      </c>
      <c r="N202" s="208" t="inlineStr">
        <is>
          <t>MODERATE</t>
        </is>
      </c>
      <c r="O202" s="207" t="inlineStr">
        <is>
          <t>https://moia.gov.sa or via www.moi.gov.sa</t>
        </is>
      </c>
      <c r="P202" s="190" t="inlineStr">
        <is>
          <t>Ministry official; BOE regulations archive</t>
        </is>
      </c>
      <c r="Q202" s="190" t="inlineStr">
        <is>
          <t>See official source for version history</t>
        </is>
      </c>
      <c r="R202" s="190" t="inlineStr">
        <is>
          <t>Framework issued by the relevant authority. Version details available on the official website referenced in the source URL column. The framework has been updated periodically since first issuance.</t>
        </is>
      </c>
      <c r="S202" s="191" t="inlineStr">
        <is>
          <t>See official source</t>
        </is>
      </c>
      <c r="T202" s="190" t="inlineStr">
        <is>
          <t>Updated as needed by the issuing authority</t>
        </is>
      </c>
      <c r="U202" s="25" t="inlineStr">
        <is>
          <t>CURRENT — consult official source for latest version</t>
        </is>
      </c>
      <c r="V202" s="190" t="inlineStr">
        <is>
          <t>Penalties defined by issuing authority; consult official source. NCA ECC-2 penalties apply if relevant</t>
        </is>
      </c>
      <c r="W202" s="192" t="inlineStr">
        <is>
          <t>Issuing authority and/or designated inspection department</t>
        </is>
      </c>
      <c r="X202" s="190" t="inlineStr">
        <is>
          <t>As specified in framework scope — consult official document</t>
        </is>
      </c>
      <c r="Y202" s="49" t="inlineStr">
        <is>
          <t>Both (unless specified otherwise in official document)</t>
        </is>
      </c>
      <c r="Z202" s="190" t="inlineStr">
        <is>
          <t>As defined by issuing authority</t>
        </is>
      </c>
      <c r="AA202" s="191" t="inlineStr">
        <is>
          <t>As defined by issuing authority</t>
        </is>
      </c>
      <c r="AB202" s="190" t="inlineStr">
        <is>
          <t>To be determined from framework text — see official source</t>
        </is>
      </c>
      <c r="AC202" s="190" t="inlineStr">
        <is>
          <t>See framework preamble for international standard references</t>
        </is>
      </c>
      <c r="AD202" s="49" t="inlineStr">
        <is>
          <t>Arabic (primary in KSA); English may be available</t>
        </is>
      </c>
      <c r="AE202" s="58" t="inlineStr">
        <is>
          <t>Mapped to relevant GH-ICGA layer — requires manual assessment</t>
        </is>
      </c>
      <c r="AF202" s="56" t="inlineStr">
        <is>
          <t>See official framework for maturity model details</t>
        </is>
      </c>
      <c r="AG202" s="190" t="inlineStr">
        <is>
          <t>Aligned with relevant Vision 2030 programme — see framework context</t>
        </is>
      </c>
      <c r="AH202" s="190" t="inlineStr">
        <is>
          <t>As specified in framework compliance requirements</t>
        </is>
      </c>
      <c r="AI202" s="193" t="inlineStr">
        <is>
          <t>Institutional theory and regulatory governance theory underpin all KSA regulatory frameworks. Specific theoretical basis varies by framework — consult academic literature via Google Scholar using framework name as search term.</t>
        </is>
      </c>
      <c r="AJ202" s="190" t="inlineStr">
        <is>
          <t>Academic debate varies by framework maturity and international adoption. For KSA-specific debate, consult: Almohammad &amp; Wills (2021) J Cybersecurity; Al-Khater et al. (2020) IEEE Access; Baker McKenzie KSA regulatory updates.</t>
        </is>
      </c>
      <c r="AK202" s="194" t="inlineStr">
        <is>
          <t>Known criticisms include: implementation gap between standards and practice; resource constraints for smaller healthcare entities; rapid technology evolution outpacing regulation. Consult framework evaluation literature for specifics.</t>
        </is>
      </c>
      <c r="AL202" s="195" t="inlineStr">
        <is>
          <t>Framework comparison requires contextual analysis. Key comparators: NIST CSF 2.0 (international benchmark), ISO 27001 (certifiable standard), ECC-2 (KSA mandatory baseline). See main database for cross-framework mapping.</t>
        </is>
      </c>
      <c r="AM202" s="19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02" s="197" t="inlineStr">
        <is>
          <t>Official: Consult the official source URL in the database for the primary document. Training: ISACA, ISC2, RAPS, IAPP, and HIMSS offer professional development covering most regulatory domains. Estimated hours vary by framework complexity.</t>
        </is>
      </c>
      <c r="AO202" s="198" t="inlineStr">
        <is>
          <t>Relevance to GH-ICGA framework varies by layer — see GH-ICGA Layer Mapping column. All KSA mandatory frameworks are compliance inputs to GH-ICGA Layer 4. Frameworks with IoMT-specific provisions directly inform Layers 2 and 3.</t>
        </is>
      </c>
      <c r="AP202" s="51" t="inlineStr">
        <is>
          <t>G + C (Governance + Compliance — standard regulatory framework positioning)</t>
        </is>
      </c>
      <c r="AQ202" s="26" t="inlineStr">
        <is>
          <t>Senior management: accountability for framework compliance. Designated compliance officer: monitor requirements. All staff: awareness of applicable obligations</t>
        </is>
      </c>
      <c r="AR202" s="194" t="inlineStr">
        <is>
          <t>Regulatory Risk; Operational Risk; Reputational Risk — specific domains determined by framework scope</t>
        </is>
      </c>
      <c r="AS202" s="22" t="inlineStr">
        <is>
          <t>See official source — legal obligation, regulatory requirement, or voluntary standard as applicable</t>
        </is>
      </c>
      <c r="AT202" s="195" t="inlineStr">
        <is>
          <t>Administrative; Technical; Operational — specific distribution determined by framework content</t>
        </is>
      </c>
      <c r="AU202" s="199" t="inlineStr">
        <is>
          <t>1. Compliance status (compliant/non-compliant). 2. # open findings from last assessment. 3. % controls implemented. 4. Time to remediate findings. 5. Incident rate in framework scope area</t>
        </is>
      </c>
      <c r="AV202" s="200" t="inlineStr">
        <is>
          <t>Self-assessment; internal audit; external assessment as specified by issuing authority</t>
        </is>
      </c>
      <c r="AW202" s="201" t="inlineStr">
        <is>
          <t>ServiceNow GRC; IBM OpenPages; RSA Archer; MetricStream — all major GRC platforms support custom framework import. Contact vendor for framework-specific module</t>
        </is>
      </c>
      <c r="AX202" s="202" t="inlineStr">
        <is>
          <t>Third parties in scope must demonstrate equivalent compliance. Contractual compliance obligations; right-to-audit clauses; annual third-party assessment</t>
        </is>
      </c>
      <c r="AY202" s="203" t="inlineStr">
        <is>
          <t>Non-compliance: regulatory action by issuing authority; fines and penalties as specified; operational and reputational consequences</t>
        </is>
      </c>
      <c r="AZ202" s="200" t="inlineStr">
        <is>
          <t>Sector-specific — consult official source</t>
        </is>
      </c>
      <c r="BA202" s="41" t="inlineStr">
        <is>
          <t>Sector-Specific</t>
        </is>
      </c>
      <c r="BB202" s="591">
        <f>IF(E202="","",IF(ISNUMBER(SEARCH("Institutional theory and regulatory governance theory underpin",AI202)),"TEMPLATE",IF(LEN(AI202)&gt;100,"DEEP",IF(AI202="","SPARSE","SHALLOW"))))</f>
        <v/>
      </c>
      <c r="BC202" s="591">
        <f>IF(E202="","",D202&amp;"-"&amp;B202&amp;"-"&amp;E202)</f>
        <v/>
      </c>
      <c r="BD202" s="591">
        <f>IF(E202="","",SUBSTITUTE(SUBSTITUTE(B202&amp;"-"&amp;E202," ",""),":","-"))</f>
        <v/>
      </c>
      <c r="BE202" s="591">
        <f>IF(E202="","",IF(ISNUMBER(SEARCH("ECC",E202)),"NCA-ECC-2-2024",IF(ISNUMBER(SEARCH("OTCC",E202)),"NCA-ECC-2-2024",IF(ISNUMBER(SEARCH("CCC",E202)),"NCA-ECC-2-2024",IF(ISNUMBER(SEARCH("DCC",E202)),"NCA-ECC-2-2024",IF(ISNUMBER(SEARCH("CSCC",E202)),"NCA-ECC-2-2024",IF(ISNUMBER(SEARCH("PDPL-IR",E202)),"PDPL-2021",IF(ISNUMBER(SEARCH("PDPL-DTR",E202)),"PDPL-2021","NONE"))))))))</f>
        <v/>
      </c>
      <c r="BF202" s="594">
        <f>IF(E202="","",IF(BB202="DEEP",10,IF(BB202="SHALLOW",5,IF(BB202="TEMPLATE",3,1)))+IF(N202="HIGHEST",5,IF(N202="HIGH",3,IF(N202="MODERATE",1,0)))+IF(ISNUMBER(SEARCH("Mandatory",L202)),3,0))</f>
        <v/>
      </c>
    </row>
    <row r="203" ht="42" customHeight="1">
      <c r="A203" s="42" t="n">
        <v>184</v>
      </c>
      <c r="B203" s="189" t="inlineStr">
        <is>
          <t>MOIA</t>
        </is>
      </c>
      <c r="C203" s="44" t="inlineStr">
        <is>
          <t>Ministry of Islamic Affairs</t>
        </is>
      </c>
      <c r="D203" s="44" t="inlineStr">
        <is>
          <t>1. Ministries</t>
        </is>
      </c>
      <c r="E203" s="189" t="inlineStr">
        <is>
          <t>NCA-ECC-2:2024</t>
        </is>
      </c>
      <c r="F203" s="45" t="inlineStr">
        <is>
          <t>Essential Cybersecurity Controls</t>
        </is>
      </c>
      <c r="G203" s="44" t="inlineStr">
        <is>
          <t>ضوابط الأمن السيبراني الأساسية</t>
        </is>
      </c>
      <c r="H203" s="44" t="inlineStr">
        <is>
          <t>ECC-2:2024</t>
        </is>
      </c>
      <c r="I203" s="46" t="inlineStr">
        <is>
          <t>2018</t>
        </is>
      </c>
      <c r="J203" s="46" t="inlineStr">
        <is>
          <t>108</t>
        </is>
      </c>
      <c r="K203" s="44" t="inlineStr">
        <is>
          <t>MUST COMPLY WITH</t>
        </is>
      </c>
      <c r="L203" s="66" t="inlineStr">
        <is>
          <t>Mandatory Complier</t>
        </is>
      </c>
      <c r="M203" s="44" t="inlineStr">
        <is>
          <t>Ministry of Islamic Affairs as government entity</t>
        </is>
      </c>
      <c r="N203" s="59" t="inlineStr">
        <is>
          <t>LOW</t>
        </is>
      </c>
      <c r="O203" s="48" t="inlineStr">
        <is>
          <t>https://nca.gov.sa/</t>
        </is>
      </c>
      <c r="P203" s="44" t="inlineStr">
        <is>
          <t>NCA ECC scope</t>
        </is>
      </c>
      <c r="Q203" s="190" t="inlineStr">
        <is>
          <t>See official source for version history</t>
        </is>
      </c>
      <c r="R203" s="190" t="inlineStr">
        <is>
          <t>Framework issued by the relevant authority. Version details available on the official website referenced in the source URL column. The framework has been updated periodically since first issuance.</t>
        </is>
      </c>
      <c r="S203" s="191" t="inlineStr">
        <is>
          <t>See official source</t>
        </is>
      </c>
      <c r="T203" s="190" t="inlineStr">
        <is>
          <t>Updated as needed by the issuing authority</t>
        </is>
      </c>
      <c r="U203" s="25" t="inlineStr">
        <is>
          <t>CURRENT — consult official source for latest version</t>
        </is>
      </c>
      <c r="V203" s="190" t="inlineStr">
        <is>
          <t>Penalties defined by issuing authority; consult official source. NCA ECC-2 penalties apply if relevant</t>
        </is>
      </c>
      <c r="W203" s="192" t="inlineStr">
        <is>
          <t>Issuing authority and/or designated inspection department</t>
        </is>
      </c>
      <c r="X203" s="190" t="inlineStr">
        <is>
          <t>As specified in framework scope — consult official document</t>
        </is>
      </c>
      <c r="Y203" s="49" t="inlineStr">
        <is>
          <t>Both (unless specified otherwise in official document)</t>
        </is>
      </c>
      <c r="Z203" s="190" t="inlineStr">
        <is>
          <t>As defined by issuing authority</t>
        </is>
      </c>
      <c r="AA203" s="191" t="inlineStr">
        <is>
          <t>As defined by issuing authority</t>
        </is>
      </c>
      <c r="AB203" s="190" t="inlineStr">
        <is>
          <t>To be determined from framework text — see official source</t>
        </is>
      </c>
      <c r="AC203" s="190" t="inlineStr">
        <is>
          <t>See framework preamble for international standard references</t>
        </is>
      </c>
      <c r="AD203" s="49" t="inlineStr">
        <is>
          <t>Arabic (primary in KSA); English may be available</t>
        </is>
      </c>
      <c r="AE203" s="58" t="inlineStr">
        <is>
          <t>Mapped to relevant GH-ICGA layer — requires manual assessment</t>
        </is>
      </c>
      <c r="AF203" s="56" t="inlineStr">
        <is>
          <t>See official framework for maturity model details</t>
        </is>
      </c>
      <c r="AG203" s="190" t="inlineStr">
        <is>
          <t>Aligned with relevant Vision 2030 programme — see framework context</t>
        </is>
      </c>
      <c r="AH203" s="190" t="inlineStr">
        <is>
          <t>As specified in framework compliance requirements</t>
        </is>
      </c>
      <c r="AI203" s="193" t="inlineStr">
        <is>
          <t>Institutional theory and regulatory governance theory underpin all KSA regulatory frameworks. Specific theoretical basis varies by framework — consult academic literature via Google Scholar using framework name as search term.</t>
        </is>
      </c>
      <c r="AJ203" s="190" t="inlineStr">
        <is>
          <t>Academic debate varies by framework maturity and international adoption. For KSA-specific debate, consult: Almohammad &amp; Wills (2021) J Cybersecurity; Al-Khater et al. (2020) IEEE Access; Baker McKenzie KSA regulatory updates.</t>
        </is>
      </c>
      <c r="AK203" s="194" t="inlineStr">
        <is>
          <t>Known criticisms include: implementation gap between standards and practice; resource constraints for smaller healthcare entities; rapid technology evolution outpacing regulation. Consult framework evaluation literature for specifics.</t>
        </is>
      </c>
      <c r="AL203" s="195" t="inlineStr">
        <is>
          <t>Framework comparison requires contextual analysis. Key comparators: NIST CSF 2.0 (international benchmark), ISO 27001 (certifiable standard), ECC-2 (KSA mandatory baseline). See main database for cross-framework mapping.</t>
        </is>
      </c>
      <c r="AM203" s="19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03" s="197" t="inlineStr">
        <is>
          <t>Official: Consult the official source URL in the database for the primary document. Training: ISACA, ISC2, RAPS, IAPP, and HIMSS offer professional development covering most regulatory domains. Estimated hours vary by framework complexity.</t>
        </is>
      </c>
      <c r="AO203" s="198" t="inlineStr">
        <is>
          <t>Relevance to GH-ICGA framework varies by layer — see GH-ICGA Layer Mapping column. All KSA mandatory frameworks are compliance inputs to GH-ICGA Layer 4. Frameworks with IoMT-specific provisions directly inform Layers 2 and 3.</t>
        </is>
      </c>
      <c r="AP203" s="51" t="inlineStr">
        <is>
          <t>G + C (Governance + Compliance — standard regulatory framework positioning)</t>
        </is>
      </c>
      <c r="AQ203" s="26" t="inlineStr">
        <is>
          <t>Senior management: accountability for framework compliance. Designated compliance officer: monitor requirements. All staff: awareness of applicable obligations</t>
        </is>
      </c>
      <c r="AR203" s="194" t="inlineStr">
        <is>
          <t>Regulatory Risk; Operational Risk; Reputational Risk — specific domains determined by framework scope</t>
        </is>
      </c>
      <c r="AS203" s="22" t="inlineStr">
        <is>
          <t>See official source — legal obligation, regulatory requirement, or voluntary standard as applicable</t>
        </is>
      </c>
      <c r="AT203" s="195" t="inlineStr">
        <is>
          <t>Administrative; Technical; Operational — specific distribution determined by framework content</t>
        </is>
      </c>
      <c r="AU203" s="199" t="inlineStr">
        <is>
          <t>1. Compliance status (compliant/non-compliant). 2. # open findings from last assessment. 3. % controls implemented. 4. Time to remediate findings. 5. Incident rate in framework scope area</t>
        </is>
      </c>
      <c r="AV203" s="200" t="inlineStr">
        <is>
          <t>Self-assessment; internal audit; external assessment as specified by issuing authority</t>
        </is>
      </c>
      <c r="AW203" s="201" t="inlineStr">
        <is>
          <t>ServiceNow GRC; IBM OpenPages; RSA Archer; MetricStream — all major GRC platforms support custom framework import. Contact vendor for framework-specific module</t>
        </is>
      </c>
      <c r="AX203" s="202" t="inlineStr">
        <is>
          <t>Third parties in scope must demonstrate equivalent compliance. Contractual compliance obligations; right-to-audit clauses; annual third-party assessment</t>
        </is>
      </c>
      <c r="AY203" s="203" t="inlineStr">
        <is>
          <t>Non-compliance: regulatory action by issuing authority; fines and penalties as specified; operational and reputational consequences</t>
        </is>
      </c>
      <c r="AZ203" s="200" t="inlineStr">
        <is>
          <t>ALL 17 SECTORS</t>
        </is>
      </c>
      <c r="BA203" s="34" t="inlineStr">
        <is>
          <t>YES — ALL SECTORS</t>
        </is>
      </c>
      <c r="BB203" s="591">
        <f>IF(E203="","",IF(ISNUMBER(SEARCH("Institutional theory and regulatory governance theory underpin",AI203)),"TEMPLATE",IF(LEN(AI203)&gt;100,"DEEP",IF(AI203="","SPARSE","SHALLOW"))))</f>
        <v/>
      </c>
      <c r="BC203" s="591">
        <f>IF(E203="","",D203&amp;"-"&amp;B203&amp;"-"&amp;E203)</f>
        <v/>
      </c>
      <c r="BD203" s="591">
        <f>IF(E203="","",SUBSTITUTE(SUBSTITUTE(B203&amp;"-"&amp;E203," ",""),":","-"))</f>
        <v/>
      </c>
      <c r="BE203" s="591">
        <f>IF(E203="","",IF(ISNUMBER(SEARCH("ECC",E203)),"NCA-ECC-2-2024",IF(ISNUMBER(SEARCH("OTCC",E203)),"NCA-ECC-2-2024",IF(ISNUMBER(SEARCH("CCC",E203)),"NCA-ECC-2-2024",IF(ISNUMBER(SEARCH("DCC",E203)),"NCA-ECC-2-2024",IF(ISNUMBER(SEARCH("CSCC",E203)),"NCA-ECC-2-2024",IF(ISNUMBER(SEARCH("PDPL-IR",E203)),"PDPL-2021",IF(ISNUMBER(SEARCH("PDPL-DTR",E203)),"PDPL-2021","NONE"))))))))</f>
        <v/>
      </c>
      <c r="BF203" s="594">
        <f>IF(E203="","",IF(BB203="DEEP",10,IF(BB203="SHALLOW",5,IF(BB203="TEMPLATE",3,1)))+IF(N203="HIGHEST",5,IF(N203="HIGH",3,IF(N203="MODERATE",1,0)))+IF(ISNUMBER(SEARCH("Mandatory",L203)),3,0))</f>
        <v/>
      </c>
    </row>
    <row r="204" ht="42" customHeight="1">
      <c r="A204" s="204" t="n">
        <v>185</v>
      </c>
      <c r="B204" s="205" t="inlineStr">
        <is>
          <t>MOIA</t>
        </is>
      </c>
      <c r="C204" s="190" t="inlineStr">
        <is>
          <t>Ministry of Islamic Affairs</t>
        </is>
      </c>
      <c r="D204" s="190" t="inlineStr">
        <is>
          <t>1. Ministries</t>
        </is>
      </c>
      <c r="E204" s="205" t="inlineStr">
        <is>
          <t>PDPL-2021</t>
        </is>
      </c>
      <c r="F204" s="192" t="inlineStr">
        <is>
          <t>Personal Data Protection Law</t>
        </is>
      </c>
      <c r="G204" s="190" t="inlineStr">
        <is>
          <t>نظام حماية البيانات الشخصية</t>
        </is>
      </c>
      <c r="H204" s="190" t="inlineStr">
        <is>
          <t>2021+IR 2023</t>
        </is>
      </c>
      <c r="I204" s="191" t="inlineStr">
        <is>
          <t>2021</t>
        </is>
      </c>
      <c r="J204" s="191" t="inlineStr">
        <is>
          <t>45</t>
        </is>
      </c>
      <c r="K204" s="190" t="inlineStr">
        <is>
          <t>MUST COMPLY WITH</t>
        </is>
      </c>
      <c r="L204" s="66" t="inlineStr">
        <is>
          <t>Mandatory Complier</t>
        </is>
      </c>
      <c r="M204" s="190" t="inlineStr">
        <is>
          <t>Ministry of Islamic Affairs processes personal data of employees and regulated parties</t>
        </is>
      </c>
      <c r="N204" s="209" t="inlineStr">
        <is>
          <t>LOW</t>
        </is>
      </c>
      <c r="O204" s="207" t="inlineStr">
        <is>
          <t>https://sdaia.gov.sa/</t>
        </is>
      </c>
      <c r="P204" s="190" t="inlineStr">
        <is>
          <t>SDAIA</t>
        </is>
      </c>
      <c r="Q204" s="190" t="inlineStr">
        <is>
          <t>Royal Decree M/19 (16 Sep 2021) → amended Apr 2023</t>
        </is>
      </c>
      <c r="R204" s="190" t="inlineStr">
        <is>
          <t>Original (2021): 19 articles covering consent, data subject rights, controller obligations, sensitive data (health = sensitive), cross-border transfer. Apr 2023 amendment: strengthened enforcement, clarified health data provisions, aligned with PDPL-IR-2023. Grace period for compliance ended Sep 14, 2024. Penalties: up to SAR 5 million fine + 2 years imprisonment for sensitive data breach</t>
        </is>
      </c>
      <c r="S204" s="191" t="inlineStr">
        <is>
          <t>Issued: Sep 2021. Amended: Apr 2023. Fully enforceable: Sep 14, 2024</t>
        </is>
      </c>
      <c r="T204" s="190" t="inlineStr">
        <is>
          <t>SDAIA reviews annually; amendments expected 2025-2026</t>
        </is>
      </c>
      <c r="U204" s="25" t="inlineStr">
        <is>
          <t>CURRENT — fully enforceable since Sep 2024</t>
        </is>
      </c>
      <c r="V204" s="190" t="inlineStr">
        <is>
          <t>Criminal offence: up to 2 years imprisonment + SAR 3M fine for disclosing sensitive data (health data = sensitive); administrative fine up to SAR 5M; mandatory breach notification to SDAIA within 72 hours; data subject compensation claims</t>
        </is>
      </c>
      <c r="W204" s="192" t="inlineStr">
        <is>
          <t>SDAIA — Data Protection Authority (DPA functions); NDMO for government entities; courts for criminal penalties</t>
        </is>
      </c>
      <c r="X204" s="190" t="inlineStr">
        <is>
          <t>Hospital; Clinic; Lab; Pharmacy; Health IT Vendor; Health Insurer; Government Health Entity; Medical Device Manufacturer (all processing patient data)</t>
        </is>
      </c>
      <c r="Y204" s="49" t="inlineStr">
        <is>
          <t>Both + foreign entities processing data of KSA residents</t>
        </is>
      </c>
      <c r="Z204" s="190" t="inlineStr">
        <is>
          <t>SDAIA audit; controller self-assessment; DPO oversight; data subject complaints trigger investigation</t>
        </is>
      </c>
      <c r="AA204" s="191" t="inlineStr">
        <is>
          <t>Continuous (breach notification: 72 hours); annual DPO report; SDAIA random audits</t>
        </is>
      </c>
      <c r="AB204" s="190" t="inlineStr">
        <is>
          <t>12 (IoMT data minimisation; purpose limitation; consent management for wearable data; automated decision-making; data subject rights for IoMT-generated health data; cross-border transfer of IoMT data)</t>
        </is>
      </c>
      <c r="AC204" s="190" t="inlineStr">
        <is>
          <t>GDPR (substantial alignment — adequate protection basis); APEC Privacy Framework; ISO 29100; ISO 27701</t>
        </is>
      </c>
      <c r="AD204" s="49" t="inlineStr">
        <is>
          <t>Arabic (official); English translation (unofficial)</t>
        </is>
      </c>
      <c r="AE204" s="50" t="inlineStr">
        <is>
          <t>Layer 4: Compliance; Layer 2: Risk Management</t>
        </is>
      </c>
      <c r="AF204" s="60" t="inlineStr">
        <is>
          <t>No formal maturity model; SDAIA publishes compliance guidance</t>
        </is>
      </c>
      <c r="AG204" s="190" t="inlineStr">
        <is>
          <t>National Data Strategy; Vision 2030 Digital Economy; Digital Government transformation</t>
        </is>
      </c>
      <c r="AH204" s="190" t="inlineStr">
        <is>
          <t>Privacy notices; consent records; DPO appointment letter; data mapping/flow diagrams; breach notification records; DPIA for health data processing; controller registration</t>
        </is>
      </c>
      <c r="AI204" s="193" t="inlineStr">
        <is>
          <t>Privacy as fundamental right (Warren &amp; Brandeis 1890; Westin 1967). Contextual integrity theory (Nissenbaum 2004): health data flows must match medical context norms. Regulatory theory: data protection authority independence and enforcement. Information asymmetry theory: patients cannot protect their own data without regulation.</t>
        </is>
      </c>
      <c r="AJ204" s="190" t="inlineStr">
        <is>
          <t>FOR: Long-overdue — KSA had no comprehensive data protection law until 2021; health data explicitly protected as sensitive category; aligns KSA with global adequacy standards. AGAINST: Alrawabdeh (2014) and Aldawood &amp; Skinner (2019) documented Saudi privacy culture gap — regulation without public awareness is ineffective; 'GDPR-lite' criticism: exemptions broader than GDPR, enforcement weaker; health data provisions in IR still less specific than UK GDPR Schedule 1 conditions</t>
        </is>
      </c>
      <c r="AK204" s="194" t="inlineStr">
        <is>
          <t>No independent supervisory authority (SDAIA is both promoter and regulator — conflict of interest noted by Baker McKenzie 2025); patient data portability rights weaker than GDPR Article 20; no explicit right to explanation for AI-automated health decisions; cross-border transfer rules changed twice in 12 months (regulatory instability); small healthcare providers lack capacity for DPO requirements</t>
        </is>
      </c>
      <c r="AL204" s="195" t="inlineStr">
        <is>
          <t>PDPL vs GDPR: PDPL penalty lower (SAR 5M vs €20M); PDPL broader government exemptions; GDPR has independent DPA, PDPL does not. PDPL vs HIPAA: PDPL = all personal data (broader); HIPAA = US-specific health data only. PDPL vs UK GDPR: PDPL misses explicit Schedule 1 health data conditions. PDPL ahead of HIPAA on consent granularity; behind GDPR on enforcement independence</t>
        </is>
      </c>
      <c r="AM204" s="196" t="inlineStr">
        <is>
          <t>Baker McKenzie (2025) Saudi Arabia PDPL Global Data &amp; Cyber Handbook; Alrawabdeh W (2014) 'Internet and Social Media Challenges in Arab World' EJSR; Westin AF (1967) Privacy and Freedom NY Atheneum; Nissenbaum H (2004) 'Privacy as Contextual Integrity' Washington Law Review 79(1); CMS Law (2025) Saudi Arabia Data Protection &amp; Cybersecurity Expert Guide Oct 2025</t>
        </is>
      </c>
      <c r="AN204" s="197" t="inlineStr">
        <is>
          <t>Official: SDAIA website (sdaia.gov.sa) — Arabic + English. Training: IAPP CIPM/CIPP/E (privacy certifications applicable); OneTrust PDPL compliance course; Baker McKenzie PDPL compliance guide. Language: Arabic primary — strong Arabic reading recommended. Estimated: 50 hours for health sector DPO competence</t>
        </is>
      </c>
      <c r="AO204" s="198" t="inlineStr">
        <is>
          <t>PRIMARY driver for GH-ICGA Layer 4 (Compliance) — PDPL is the legal foundation for patient data governance in the preliminary GH-ICGA framework. Thesis argument: GH-ICGA Layer 4 operationalises PDPL requirements into IoMT-specific controls (consent management for wearable data; purpose limitation for monitoring streams; breach response for connected device incidents)</t>
        </is>
      </c>
      <c r="AP204" s="51" t="inlineStr">
        <is>
          <t>G + C (Governance + Compliance — strong compliance driver; risk implicit)</t>
        </is>
      </c>
      <c r="AQ204" s="26" t="inlineStr">
        <is>
          <t>Board/CEO: ultimate accountability for PDPL compliance. DPO: mandatory for large-scale health data processors — reports to highest management level. Privacy Committee: cross-functional oversight. All staff processing personal data: mandatory privacy awareness training annually</t>
        </is>
      </c>
      <c r="AR204" s="194" t="inlineStr">
        <is>
          <t>Privacy Risk (PRIMARY); Legal/Regulatory Risk; Reputational Risk; Strategic Risk (data monetisation constraints); Cross-Border Risk (data transfer restrictions)</t>
        </is>
      </c>
      <c r="AS204" s="22" t="inlineStr">
        <is>
          <t>LEGAL — Royal Decree M/19 2021 + Implementing Regulations Sep 2023. Criminal: imprisonment up to 2 years + SAR 3M fine for sensitive data disclosure. Administrative: SAR 5M maximum fine. Civil: data subject compensation claims</t>
        </is>
      </c>
      <c r="AT204" s="195" t="inlineStr">
        <is>
          <t>Administrative (A): consent management; privacy notices; DPO appointment; DPIA process; breach notification procedure. Technical (T): data minimisation; pseudonymisation; access controls for personal data; encryption. Operational (O): data retention enforcement; data subject rights fulfilment process; cross-border transfer review</t>
        </is>
      </c>
      <c r="AU204" s="199" t="inlineStr">
        <is>
          <t>1. # data subject rights requests fulfilled on time (target: 100% within 30 days). 2. # data breaches notified to SDAIA within 72h (target: 100%). 3. % staff completed privacy training (target: 100%). 4. # DPIAs completed for high-risk processing activities. 5. Data retention compliance rate (% records within policy). 6. % third-party processors with DPA agreements</t>
        </is>
      </c>
      <c r="AV204" s="200" t="inlineStr">
        <is>
          <t>Annual DPIA review; data mapping audit (controller record validation); consent record audit; breach response simulation (tabletop); access control review for personal data systems; third-party processor audit; SDAIA compliance self-assessment</t>
        </is>
      </c>
      <c r="AW204" s="201" t="inlineStr">
        <is>
          <t>OneTrust (market leader for PDPL); TrustArc; Nymity; DataGrail; Varonis (data discovery); Microsoft Purview (data classification). SDAIA National Data Governance Platform for registration. Arabic-capable tools preferred</t>
        </is>
      </c>
      <c r="AX204" s="202" t="inlineStr">
        <is>
          <t>All third-party data processors must have Data Processing Agreement (DPA). Processors must demonstrate equivalent PDPL compliance. Cross-border transfers require adequacy assessment or appropriate safeguards. Sub-processor disclosure mandatory. Annual processor risk assessment required</t>
        </is>
      </c>
      <c r="AY204" s="203" t="inlineStr">
        <is>
          <t>Non-compliance: SAR 5M administrative fine; criminal prosecution for sensitive data breach; SDAIA investigation; mandatory breach public disclosure. Business disruption: SDAIA can order processing suspension. Reputational: patient trust damage. Market: EU adequate protection status depends on PDPL enforcement credibility</t>
        </is>
      </c>
      <c r="AZ204" s="200" t="inlineStr">
        <is>
          <t>ALL 17 SECTORS — any entity processing personal data</t>
        </is>
      </c>
      <c r="BA204" s="34" t="inlineStr">
        <is>
          <t>YES — ALL SECTORS</t>
        </is>
      </c>
      <c r="BB204" s="591">
        <f>IF(E204="","",IF(ISNUMBER(SEARCH("Institutional theory and regulatory governance theory underpin",AI204)),"TEMPLATE",IF(LEN(AI204)&gt;100,"DEEP",IF(AI204="","SPARSE","SHALLOW"))))</f>
        <v/>
      </c>
      <c r="BC204" s="591">
        <f>IF(E204="","",D204&amp;"-"&amp;B204&amp;"-"&amp;E204)</f>
        <v/>
      </c>
      <c r="BD204" s="591">
        <f>IF(E204="","",SUBSTITUTE(SUBSTITUTE(B204&amp;"-"&amp;E204," ",""),":","-"))</f>
        <v/>
      </c>
      <c r="BE204" s="591">
        <f>IF(E204="","",IF(ISNUMBER(SEARCH("ECC",E204)),"NCA-ECC-2-2024",IF(ISNUMBER(SEARCH("OTCC",E204)),"NCA-ECC-2-2024",IF(ISNUMBER(SEARCH("CCC",E204)),"NCA-ECC-2-2024",IF(ISNUMBER(SEARCH("DCC",E204)),"NCA-ECC-2-2024",IF(ISNUMBER(SEARCH("CSCC",E204)),"NCA-ECC-2-2024",IF(ISNUMBER(SEARCH("PDPL-IR",E204)),"PDPL-2021",IF(ISNUMBER(SEARCH("PDPL-DTR",E204)),"PDPL-2021","NONE"))))))))</f>
        <v/>
      </c>
      <c r="BF204" s="594">
        <f>IF(E204="","",IF(BB204="DEEP",10,IF(BB204="SHALLOW",5,IF(BB204="TEMPLATE",3,1)))+IF(N204="HIGHEST",5,IF(N204="HIGH",3,IF(N204="MODERATE",1,0)))+IF(ISNUMBER(SEARCH("Mandatory",L204)),3,0))</f>
        <v/>
      </c>
    </row>
    <row r="205" ht="42" customHeight="1">
      <c r="A205" s="42" t="n">
        <v>186</v>
      </c>
      <c r="B205" s="189" t="inlineStr">
        <is>
          <t>MOCult</t>
        </is>
      </c>
      <c r="C205" s="44" t="inlineStr">
        <is>
          <t>Ministry of Culture</t>
        </is>
      </c>
      <c r="D205" s="44" t="inlineStr">
        <is>
          <t>1. Ministries</t>
        </is>
      </c>
      <c r="E205" s="189" t="inlineStr">
        <is>
          <t>MOCult-LAW</t>
        </is>
      </c>
      <c r="F205" s="45" t="inlineStr">
        <is>
          <t>Culture Law</t>
        </is>
      </c>
      <c r="G205" s="44" t="inlineStr">
        <is>
          <t>قانون/نظام اللوائح الرئيسية</t>
        </is>
      </c>
      <c r="H205" s="44" t="inlineStr">
        <is>
          <t>Active/Updated</t>
        </is>
      </c>
      <c r="I205" s="46" t="inlineStr">
        <is>
          <t>2018</t>
        </is>
      </c>
      <c r="J205" s="46" t="inlineStr">
        <is>
          <t>N/A</t>
        </is>
      </c>
      <c r="K205" s="44" t="inlineStr">
        <is>
          <t>ISSUES/ENFORCES</t>
        </is>
      </c>
      <c r="L205" s="22" t="inlineStr">
        <is>
          <t>Mandatory Enforcer</t>
        </is>
      </c>
      <c r="M205" s="44" t="inlineStr">
        <is>
          <t>Entities regulated by this ministry</t>
        </is>
      </c>
      <c r="N205" s="55" t="inlineStr">
        <is>
          <t>MODERATE</t>
        </is>
      </c>
      <c r="O205" s="48" t="inlineStr">
        <is>
          <t>https://mocult.gov.sa or via www.moi.gov.sa</t>
        </is>
      </c>
      <c r="P205" s="44" t="inlineStr">
        <is>
          <t>Ministry official; BOE regulations archive</t>
        </is>
      </c>
      <c r="Q205" s="190" t="inlineStr">
        <is>
          <t>See official source for version history</t>
        </is>
      </c>
      <c r="R205" s="190" t="inlineStr">
        <is>
          <t>Framework issued by the relevant authority. Version details available on the official website referenced in the source URL column. The framework has been updated periodically since first issuance.</t>
        </is>
      </c>
      <c r="S205" s="191" t="inlineStr">
        <is>
          <t>See official source</t>
        </is>
      </c>
      <c r="T205" s="190" t="inlineStr">
        <is>
          <t>Updated as needed by the issuing authority</t>
        </is>
      </c>
      <c r="U205" s="25" t="inlineStr">
        <is>
          <t>CURRENT — consult official source for latest version</t>
        </is>
      </c>
      <c r="V205" s="190" t="inlineStr">
        <is>
          <t>Penalties defined by issuing authority; consult official source. NCA ECC-2 penalties apply if relevant</t>
        </is>
      </c>
      <c r="W205" s="192" t="inlineStr">
        <is>
          <t>Issuing authority and/or designated inspection department</t>
        </is>
      </c>
      <c r="X205" s="190" t="inlineStr">
        <is>
          <t>As specified in framework scope — consult official document</t>
        </is>
      </c>
      <c r="Y205" s="49" t="inlineStr">
        <is>
          <t>Both (unless specified otherwise in official document)</t>
        </is>
      </c>
      <c r="Z205" s="190" t="inlineStr">
        <is>
          <t>As defined by issuing authority</t>
        </is>
      </c>
      <c r="AA205" s="191" t="inlineStr">
        <is>
          <t>As defined by issuing authority</t>
        </is>
      </c>
      <c r="AB205" s="190" t="inlineStr">
        <is>
          <t>To be determined from framework text — see official source</t>
        </is>
      </c>
      <c r="AC205" s="190" t="inlineStr">
        <is>
          <t>See framework preamble for international standard references</t>
        </is>
      </c>
      <c r="AD205" s="49" t="inlineStr">
        <is>
          <t>Arabic (primary in KSA); English may be available</t>
        </is>
      </c>
      <c r="AE205" s="58" t="inlineStr">
        <is>
          <t>Mapped to relevant GH-ICGA layer — requires manual assessment</t>
        </is>
      </c>
      <c r="AF205" s="56" t="inlineStr">
        <is>
          <t>See official framework for maturity model details</t>
        </is>
      </c>
      <c r="AG205" s="190" t="inlineStr">
        <is>
          <t>Aligned with relevant Vision 2030 programme — see framework context</t>
        </is>
      </c>
      <c r="AH205" s="190" t="inlineStr">
        <is>
          <t>As specified in framework compliance requirements</t>
        </is>
      </c>
      <c r="AI205" s="193" t="inlineStr">
        <is>
          <t>Institutional theory and regulatory governance theory underpin all KSA regulatory frameworks. Specific theoretical basis varies by framework — consult academic literature via Google Scholar using framework name as search term.</t>
        </is>
      </c>
      <c r="AJ205" s="190" t="inlineStr">
        <is>
          <t>Academic debate varies by framework maturity and international adoption. For KSA-specific debate, consult: Almohammad &amp; Wills (2021) J Cybersecurity; Al-Khater et al. (2020) IEEE Access; Baker McKenzie KSA regulatory updates.</t>
        </is>
      </c>
      <c r="AK205" s="194" t="inlineStr">
        <is>
          <t>Known criticisms include: implementation gap between standards and practice; resource constraints for smaller healthcare entities; rapid technology evolution outpacing regulation. Consult framework evaluation literature for specifics.</t>
        </is>
      </c>
      <c r="AL205" s="195" t="inlineStr">
        <is>
          <t>Framework comparison requires contextual analysis. Key comparators: NIST CSF 2.0 (international benchmark), ISO 27001 (certifiable standard), ECC-2 (KSA mandatory baseline). See main database for cross-framework mapping.</t>
        </is>
      </c>
      <c r="AM205" s="19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05" s="197" t="inlineStr">
        <is>
          <t>Official: Consult the official source URL in the database for the primary document. Training: ISACA, ISC2, RAPS, IAPP, and HIMSS offer professional development covering most regulatory domains. Estimated hours vary by framework complexity.</t>
        </is>
      </c>
      <c r="AO205" s="198" t="inlineStr">
        <is>
          <t>Relevance to GH-ICGA framework varies by layer — see GH-ICGA Layer Mapping column. All KSA mandatory frameworks are compliance inputs to GH-ICGA Layer 4. Frameworks with IoMT-specific provisions directly inform Layers 2 and 3.</t>
        </is>
      </c>
      <c r="AP205" s="51" t="inlineStr">
        <is>
          <t>G + C (Governance + Compliance — standard regulatory framework positioning)</t>
        </is>
      </c>
      <c r="AQ205" s="26" t="inlineStr">
        <is>
          <t>Senior management: accountability for framework compliance. Designated compliance officer: monitor requirements. All staff: awareness of applicable obligations</t>
        </is>
      </c>
      <c r="AR205" s="194" t="inlineStr">
        <is>
          <t>Regulatory Risk; Operational Risk; Reputational Risk — specific domains determined by framework scope</t>
        </is>
      </c>
      <c r="AS205" s="22" t="inlineStr">
        <is>
          <t>See official source — legal obligation, regulatory requirement, or voluntary standard as applicable</t>
        </is>
      </c>
      <c r="AT205" s="195" t="inlineStr">
        <is>
          <t>Administrative; Technical; Operational — specific distribution determined by framework content</t>
        </is>
      </c>
      <c r="AU205" s="199" t="inlineStr">
        <is>
          <t>1. Compliance status (compliant/non-compliant). 2. # open findings from last assessment. 3. % controls implemented. 4. Time to remediate findings. 5. Incident rate in framework scope area</t>
        </is>
      </c>
      <c r="AV205" s="200" t="inlineStr">
        <is>
          <t>Self-assessment; internal audit; external assessment as specified by issuing authority</t>
        </is>
      </c>
      <c r="AW205" s="201" t="inlineStr">
        <is>
          <t>ServiceNow GRC; IBM OpenPages; RSA Archer; MetricStream — all major GRC platforms support custom framework import. Contact vendor for framework-specific module</t>
        </is>
      </c>
      <c r="AX205" s="202" t="inlineStr">
        <is>
          <t>Third parties in scope must demonstrate equivalent compliance. Contractual compliance obligations; right-to-audit clauses; annual third-party assessment</t>
        </is>
      </c>
      <c r="AY205" s="203" t="inlineStr">
        <is>
          <t>Non-compliance: regulatory action by issuing authority; fines and penalties as specified; operational and reputational consequences</t>
        </is>
      </c>
      <c r="AZ205" s="200" t="inlineStr">
        <is>
          <t>Sector-specific — consult official source</t>
        </is>
      </c>
      <c r="BA205" s="41" t="inlineStr">
        <is>
          <t>Sector-Specific</t>
        </is>
      </c>
      <c r="BB205" s="591">
        <f>IF(E205="","",IF(ISNUMBER(SEARCH("Institutional theory and regulatory governance theory underpin",AI205)),"TEMPLATE",IF(LEN(AI205)&gt;100,"DEEP",IF(AI205="","SPARSE","SHALLOW"))))</f>
        <v/>
      </c>
      <c r="BC205" s="591">
        <f>IF(E205="","",D205&amp;"-"&amp;B205&amp;"-"&amp;E205)</f>
        <v/>
      </c>
      <c r="BD205" s="591">
        <f>IF(E205="","",SUBSTITUTE(SUBSTITUTE(B205&amp;"-"&amp;E205," ",""),":","-"))</f>
        <v/>
      </c>
      <c r="BE205" s="591">
        <f>IF(E205="","",IF(ISNUMBER(SEARCH("ECC",E205)),"NCA-ECC-2-2024",IF(ISNUMBER(SEARCH("OTCC",E205)),"NCA-ECC-2-2024",IF(ISNUMBER(SEARCH("CCC",E205)),"NCA-ECC-2-2024",IF(ISNUMBER(SEARCH("DCC",E205)),"NCA-ECC-2-2024",IF(ISNUMBER(SEARCH("CSCC",E205)),"NCA-ECC-2-2024",IF(ISNUMBER(SEARCH("PDPL-IR",E205)),"PDPL-2021",IF(ISNUMBER(SEARCH("PDPL-DTR",E205)),"PDPL-2021","NONE"))))))))</f>
        <v/>
      </c>
      <c r="BF205" s="594">
        <f>IF(E205="","",IF(BB205="DEEP",10,IF(BB205="SHALLOW",5,IF(BB205="TEMPLATE",3,1)))+IF(N205="HIGHEST",5,IF(N205="HIGH",3,IF(N205="MODERATE",1,0)))+IF(ISNUMBER(SEARCH("Mandatory",L205)),3,0))</f>
        <v/>
      </c>
    </row>
    <row r="206" ht="42" customHeight="1">
      <c r="A206" s="204" t="n">
        <v>187</v>
      </c>
      <c r="B206" s="205" t="inlineStr">
        <is>
          <t>MOCult</t>
        </is>
      </c>
      <c r="C206" s="190" t="inlineStr">
        <is>
          <t>Ministry of Culture</t>
        </is>
      </c>
      <c r="D206" s="190" t="inlineStr">
        <is>
          <t>1. Ministries</t>
        </is>
      </c>
      <c r="E206" s="205" t="inlineStr">
        <is>
          <t>NCA-ECC-2:2024</t>
        </is>
      </c>
      <c r="F206" s="192" t="inlineStr">
        <is>
          <t>Essential Cybersecurity Controls</t>
        </is>
      </c>
      <c r="G206" s="190" t="inlineStr">
        <is>
          <t>ضوابط الأمن السيبراني الأساسية</t>
        </is>
      </c>
      <c r="H206" s="190" t="inlineStr">
        <is>
          <t>ECC-2:2024</t>
        </is>
      </c>
      <c r="I206" s="191" t="inlineStr">
        <is>
          <t>2018</t>
        </is>
      </c>
      <c r="J206" s="191" t="inlineStr">
        <is>
          <t>108</t>
        </is>
      </c>
      <c r="K206" s="190" t="inlineStr">
        <is>
          <t>MUST COMPLY WITH</t>
        </is>
      </c>
      <c r="L206" s="66" t="inlineStr">
        <is>
          <t>Mandatory Complier</t>
        </is>
      </c>
      <c r="M206" s="190" t="inlineStr">
        <is>
          <t>Ministry of Culture as government entity</t>
        </is>
      </c>
      <c r="N206" s="209" t="inlineStr">
        <is>
          <t>LOW</t>
        </is>
      </c>
      <c r="O206" s="207" t="inlineStr">
        <is>
          <t>https://nca.gov.sa/</t>
        </is>
      </c>
      <c r="P206" s="190" t="inlineStr">
        <is>
          <t>NCA ECC scope</t>
        </is>
      </c>
      <c r="Q206" s="190" t="inlineStr">
        <is>
          <t>See official source for version history</t>
        </is>
      </c>
      <c r="R206" s="190" t="inlineStr">
        <is>
          <t>Framework issued by the relevant authority. Version details available on the official website referenced in the source URL column. The framework has been updated periodically since first issuance.</t>
        </is>
      </c>
      <c r="S206" s="191" t="inlineStr">
        <is>
          <t>See official source</t>
        </is>
      </c>
      <c r="T206" s="190" t="inlineStr">
        <is>
          <t>Updated as needed by the issuing authority</t>
        </is>
      </c>
      <c r="U206" s="25" t="inlineStr">
        <is>
          <t>CURRENT — consult official source for latest version</t>
        </is>
      </c>
      <c r="V206" s="190" t="inlineStr">
        <is>
          <t>Penalties defined by issuing authority; consult official source. NCA ECC-2 penalties apply if relevant</t>
        </is>
      </c>
      <c r="W206" s="192" t="inlineStr">
        <is>
          <t>Issuing authority and/or designated inspection department</t>
        </is>
      </c>
      <c r="X206" s="190" t="inlineStr">
        <is>
          <t>As specified in framework scope — consult official document</t>
        </is>
      </c>
      <c r="Y206" s="49" t="inlineStr">
        <is>
          <t>Both (unless specified otherwise in official document)</t>
        </is>
      </c>
      <c r="Z206" s="190" t="inlineStr">
        <is>
          <t>As defined by issuing authority</t>
        </is>
      </c>
      <c r="AA206" s="191" t="inlineStr">
        <is>
          <t>As defined by issuing authority</t>
        </is>
      </c>
      <c r="AB206" s="190" t="inlineStr">
        <is>
          <t>To be determined from framework text — see official source</t>
        </is>
      </c>
      <c r="AC206" s="190" t="inlineStr">
        <is>
          <t>See framework preamble for international standard references</t>
        </is>
      </c>
      <c r="AD206" s="49" t="inlineStr">
        <is>
          <t>Arabic (primary in KSA); English may be available</t>
        </is>
      </c>
      <c r="AE206" s="58" t="inlineStr">
        <is>
          <t>Mapped to relevant GH-ICGA layer — requires manual assessment</t>
        </is>
      </c>
      <c r="AF206" s="56" t="inlineStr">
        <is>
          <t>See official framework for maturity model details</t>
        </is>
      </c>
      <c r="AG206" s="190" t="inlineStr">
        <is>
          <t>Aligned with relevant Vision 2030 programme — see framework context</t>
        </is>
      </c>
      <c r="AH206" s="190" t="inlineStr">
        <is>
          <t>As specified in framework compliance requirements</t>
        </is>
      </c>
      <c r="AI206" s="193" t="inlineStr">
        <is>
          <t>Institutional theory and regulatory governance theory underpin all KSA regulatory frameworks. Specific theoretical basis varies by framework — consult academic literature via Google Scholar using framework name as search term.</t>
        </is>
      </c>
      <c r="AJ206" s="190" t="inlineStr">
        <is>
          <t>Academic debate varies by framework maturity and international adoption. For KSA-specific debate, consult: Almohammad &amp; Wills (2021) J Cybersecurity; Al-Khater et al. (2020) IEEE Access; Baker McKenzie KSA regulatory updates.</t>
        </is>
      </c>
      <c r="AK206" s="194" t="inlineStr">
        <is>
          <t>Known criticisms include: implementation gap between standards and practice; resource constraints for smaller healthcare entities; rapid technology evolution outpacing regulation. Consult framework evaluation literature for specifics.</t>
        </is>
      </c>
      <c r="AL206" s="195" t="inlineStr">
        <is>
          <t>Framework comparison requires contextual analysis. Key comparators: NIST CSF 2.0 (international benchmark), ISO 27001 (certifiable standard), ECC-2 (KSA mandatory baseline). See main database for cross-framework mapping.</t>
        </is>
      </c>
      <c r="AM206" s="19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06" s="197" t="inlineStr">
        <is>
          <t>Official: Consult the official source URL in the database for the primary document. Training: ISACA, ISC2, RAPS, IAPP, and HIMSS offer professional development covering most regulatory domains. Estimated hours vary by framework complexity.</t>
        </is>
      </c>
      <c r="AO206" s="198" t="inlineStr">
        <is>
          <t>Relevance to GH-ICGA framework varies by layer — see GH-ICGA Layer Mapping column. All KSA mandatory frameworks are compliance inputs to GH-ICGA Layer 4. Frameworks with IoMT-specific provisions directly inform Layers 2 and 3.</t>
        </is>
      </c>
      <c r="AP206" s="51" t="inlineStr">
        <is>
          <t>G + C (Governance + Compliance — standard regulatory framework positioning)</t>
        </is>
      </c>
      <c r="AQ206" s="26" t="inlineStr">
        <is>
          <t>Senior management: accountability for framework compliance. Designated compliance officer: monitor requirements. All staff: awareness of applicable obligations</t>
        </is>
      </c>
      <c r="AR206" s="194" t="inlineStr">
        <is>
          <t>Regulatory Risk; Operational Risk; Reputational Risk — specific domains determined by framework scope</t>
        </is>
      </c>
      <c r="AS206" s="22" t="inlineStr">
        <is>
          <t>See official source — legal obligation, regulatory requirement, or voluntary standard as applicable</t>
        </is>
      </c>
      <c r="AT206" s="195" t="inlineStr">
        <is>
          <t>Administrative; Technical; Operational — specific distribution determined by framework content</t>
        </is>
      </c>
      <c r="AU206" s="199" t="inlineStr">
        <is>
          <t>1. Compliance status (compliant/non-compliant). 2. # open findings from last assessment. 3. % controls implemented. 4. Time to remediate findings. 5. Incident rate in framework scope area</t>
        </is>
      </c>
      <c r="AV206" s="200" t="inlineStr">
        <is>
          <t>Self-assessment; internal audit; external assessment as specified by issuing authority</t>
        </is>
      </c>
      <c r="AW206" s="201" t="inlineStr">
        <is>
          <t>ServiceNow GRC; IBM OpenPages; RSA Archer; MetricStream — all major GRC platforms support custom framework import. Contact vendor for framework-specific module</t>
        </is>
      </c>
      <c r="AX206" s="202" t="inlineStr">
        <is>
          <t>Third parties in scope must demonstrate equivalent compliance. Contractual compliance obligations; right-to-audit clauses; annual third-party assessment</t>
        </is>
      </c>
      <c r="AY206" s="203" t="inlineStr">
        <is>
          <t>Non-compliance: regulatory action by issuing authority; fines and penalties as specified; operational and reputational consequences</t>
        </is>
      </c>
      <c r="AZ206" s="200" t="inlineStr">
        <is>
          <t>ALL 17 SECTORS</t>
        </is>
      </c>
      <c r="BA206" s="34" t="inlineStr">
        <is>
          <t>YES — ALL SECTORS</t>
        </is>
      </c>
      <c r="BB206" s="591">
        <f>IF(E206="","",IF(ISNUMBER(SEARCH("Institutional theory and regulatory governance theory underpin",AI206)),"TEMPLATE",IF(LEN(AI206)&gt;100,"DEEP",IF(AI206="","SPARSE","SHALLOW"))))</f>
        <v/>
      </c>
      <c r="BC206" s="591">
        <f>IF(E206="","",D206&amp;"-"&amp;B206&amp;"-"&amp;E206)</f>
        <v/>
      </c>
      <c r="BD206" s="591">
        <f>IF(E206="","",SUBSTITUTE(SUBSTITUTE(B206&amp;"-"&amp;E206," ",""),":","-"))</f>
        <v/>
      </c>
      <c r="BE206" s="591">
        <f>IF(E206="","",IF(ISNUMBER(SEARCH("ECC",E206)),"NCA-ECC-2-2024",IF(ISNUMBER(SEARCH("OTCC",E206)),"NCA-ECC-2-2024",IF(ISNUMBER(SEARCH("CCC",E206)),"NCA-ECC-2-2024",IF(ISNUMBER(SEARCH("DCC",E206)),"NCA-ECC-2-2024",IF(ISNUMBER(SEARCH("CSCC",E206)),"NCA-ECC-2-2024",IF(ISNUMBER(SEARCH("PDPL-IR",E206)),"PDPL-2021",IF(ISNUMBER(SEARCH("PDPL-DTR",E206)),"PDPL-2021","NONE"))))))))</f>
        <v/>
      </c>
      <c r="BF206" s="594">
        <f>IF(E206="","",IF(BB206="DEEP",10,IF(BB206="SHALLOW",5,IF(BB206="TEMPLATE",3,1)))+IF(N206="HIGHEST",5,IF(N206="HIGH",3,IF(N206="MODERATE",1,0)))+IF(ISNUMBER(SEARCH("Mandatory",L206)),3,0))</f>
        <v/>
      </c>
    </row>
    <row r="207" ht="42" customHeight="1">
      <c r="A207" s="42" t="n">
        <v>188</v>
      </c>
      <c r="B207" s="189" t="inlineStr">
        <is>
          <t>MOCult</t>
        </is>
      </c>
      <c r="C207" s="44" t="inlineStr">
        <is>
          <t>Ministry of Culture</t>
        </is>
      </c>
      <c r="D207" s="44" t="inlineStr">
        <is>
          <t>1. Ministries</t>
        </is>
      </c>
      <c r="E207" s="189" t="inlineStr">
        <is>
          <t>PDPL-2021</t>
        </is>
      </c>
      <c r="F207" s="45" t="inlineStr">
        <is>
          <t>Personal Data Protection Law</t>
        </is>
      </c>
      <c r="G207" s="44" t="inlineStr">
        <is>
          <t>نظام حماية البيانات الشخصية</t>
        </is>
      </c>
      <c r="H207" s="44" t="inlineStr">
        <is>
          <t>2021+IR 2023</t>
        </is>
      </c>
      <c r="I207" s="46" t="inlineStr">
        <is>
          <t>2021</t>
        </is>
      </c>
      <c r="J207" s="46" t="inlineStr">
        <is>
          <t>45</t>
        </is>
      </c>
      <c r="K207" s="44" t="inlineStr">
        <is>
          <t>MUST COMPLY WITH</t>
        </is>
      </c>
      <c r="L207" s="66" t="inlineStr">
        <is>
          <t>Mandatory Complier</t>
        </is>
      </c>
      <c r="M207" s="44" t="inlineStr">
        <is>
          <t>Ministry of Culture processes personal data of employees and regulated parties</t>
        </is>
      </c>
      <c r="N207" s="59" t="inlineStr">
        <is>
          <t>LOW</t>
        </is>
      </c>
      <c r="O207" s="48" t="inlineStr">
        <is>
          <t>https://sdaia.gov.sa/</t>
        </is>
      </c>
      <c r="P207" s="44" t="inlineStr">
        <is>
          <t>SDAIA</t>
        </is>
      </c>
      <c r="Q207" s="190" t="inlineStr">
        <is>
          <t>Royal Decree M/19 (16 Sep 2021) → amended Apr 2023</t>
        </is>
      </c>
      <c r="R207" s="190" t="inlineStr">
        <is>
          <t>Original (2021): 19 articles covering consent, data subject rights, controller obligations, sensitive data (health = sensitive), cross-border transfer. Apr 2023 amendment: strengthened enforcement, clarified health data provisions, aligned with PDPL-IR-2023. Grace period for compliance ended Sep 14, 2024. Penalties: up to SAR 5 million fine + 2 years imprisonment for sensitive data breach</t>
        </is>
      </c>
      <c r="S207" s="191" t="inlineStr">
        <is>
          <t>Issued: Sep 2021. Amended: Apr 2023. Fully enforceable: Sep 14, 2024</t>
        </is>
      </c>
      <c r="T207" s="190" t="inlineStr">
        <is>
          <t>SDAIA reviews annually; amendments expected 2025-2026</t>
        </is>
      </c>
      <c r="U207" s="25" t="inlineStr">
        <is>
          <t>CURRENT — fully enforceable since Sep 2024</t>
        </is>
      </c>
      <c r="V207" s="190" t="inlineStr">
        <is>
          <t>Criminal offence: up to 2 years imprisonment + SAR 3M fine for disclosing sensitive data (health data = sensitive); administrative fine up to SAR 5M; mandatory breach notification to SDAIA within 72 hours; data subject compensation claims</t>
        </is>
      </c>
      <c r="W207" s="192" t="inlineStr">
        <is>
          <t>SDAIA — Data Protection Authority (DPA functions); NDMO for government entities; courts for criminal penalties</t>
        </is>
      </c>
      <c r="X207" s="190" t="inlineStr">
        <is>
          <t>Hospital; Clinic; Lab; Pharmacy; Health IT Vendor; Health Insurer; Government Health Entity; Medical Device Manufacturer (all processing patient data)</t>
        </is>
      </c>
      <c r="Y207" s="49" t="inlineStr">
        <is>
          <t>Both + foreign entities processing data of KSA residents</t>
        </is>
      </c>
      <c r="Z207" s="190" t="inlineStr">
        <is>
          <t>SDAIA audit; controller self-assessment; DPO oversight; data subject complaints trigger investigation</t>
        </is>
      </c>
      <c r="AA207" s="191" t="inlineStr">
        <is>
          <t>Continuous (breach notification: 72 hours); annual DPO report; SDAIA random audits</t>
        </is>
      </c>
      <c r="AB207" s="190" t="inlineStr">
        <is>
          <t>12 (IoMT data minimisation; purpose limitation; consent management for wearable data; automated decision-making; data subject rights for IoMT-generated health data; cross-border transfer of IoMT data)</t>
        </is>
      </c>
      <c r="AC207" s="190" t="inlineStr">
        <is>
          <t>GDPR (substantial alignment — adequate protection basis); APEC Privacy Framework; ISO 29100; ISO 27701</t>
        </is>
      </c>
      <c r="AD207" s="49" t="inlineStr">
        <is>
          <t>Arabic (official); English translation (unofficial)</t>
        </is>
      </c>
      <c r="AE207" s="50" t="inlineStr">
        <is>
          <t>Layer 4: Compliance; Layer 2: Risk Management</t>
        </is>
      </c>
      <c r="AF207" s="60" t="inlineStr">
        <is>
          <t>No formal maturity model; SDAIA publishes compliance guidance</t>
        </is>
      </c>
      <c r="AG207" s="190" t="inlineStr">
        <is>
          <t>National Data Strategy; Vision 2030 Digital Economy; Digital Government transformation</t>
        </is>
      </c>
      <c r="AH207" s="190" t="inlineStr">
        <is>
          <t>Privacy notices; consent records; DPO appointment letter; data mapping/flow diagrams; breach notification records; DPIA for health data processing; controller registration</t>
        </is>
      </c>
      <c r="AI207" s="193" t="inlineStr">
        <is>
          <t>Privacy as fundamental right (Warren &amp; Brandeis 1890; Westin 1967). Contextual integrity theory (Nissenbaum 2004): health data flows must match medical context norms. Regulatory theory: data protection authority independence and enforcement. Information asymmetry theory: patients cannot protect their own data without regulation.</t>
        </is>
      </c>
      <c r="AJ207" s="190" t="inlineStr">
        <is>
          <t>FOR: Long-overdue — KSA had no comprehensive data protection law until 2021; health data explicitly protected as sensitive category; aligns KSA with global adequacy standards. AGAINST: Alrawabdeh (2014) and Aldawood &amp; Skinner (2019) documented Saudi privacy culture gap — regulation without public awareness is ineffective; 'GDPR-lite' criticism: exemptions broader than GDPR, enforcement weaker; health data provisions in IR still less specific than UK GDPR Schedule 1 conditions</t>
        </is>
      </c>
      <c r="AK207" s="194" t="inlineStr">
        <is>
          <t>No independent supervisory authority (SDAIA is both promoter and regulator — conflict of interest noted by Baker McKenzie 2025); patient data portability rights weaker than GDPR Article 20; no explicit right to explanation for AI-automated health decisions; cross-border transfer rules changed twice in 12 months (regulatory instability); small healthcare providers lack capacity for DPO requirements</t>
        </is>
      </c>
      <c r="AL207" s="195" t="inlineStr">
        <is>
          <t>PDPL vs GDPR: PDPL penalty lower (SAR 5M vs €20M); PDPL broader government exemptions; GDPR has independent DPA, PDPL does not. PDPL vs HIPAA: PDPL = all personal data (broader); HIPAA = US-specific health data only. PDPL vs UK GDPR: PDPL misses explicit Schedule 1 health data conditions. PDPL ahead of HIPAA on consent granularity; behind GDPR on enforcement independence</t>
        </is>
      </c>
      <c r="AM207" s="196" t="inlineStr">
        <is>
          <t>Baker McKenzie (2025) Saudi Arabia PDPL Global Data &amp; Cyber Handbook; Alrawabdeh W (2014) 'Internet and Social Media Challenges in Arab World' EJSR; Westin AF (1967) Privacy and Freedom NY Atheneum; Nissenbaum H (2004) 'Privacy as Contextual Integrity' Washington Law Review 79(1); CMS Law (2025) Saudi Arabia Data Protection &amp; Cybersecurity Expert Guide Oct 2025</t>
        </is>
      </c>
      <c r="AN207" s="197" t="inlineStr">
        <is>
          <t>Official: SDAIA website (sdaia.gov.sa) — Arabic + English. Training: IAPP CIPM/CIPP/E (privacy certifications applicable); OneTrust PDPL compliance course; Baker McKenzie PDPL compliance guide. Language: Arabic primary — strong Arabic reading recommended. Estimated: 50 hours for health sector DPO competence</t>
        </is>
      </c>
      <c r="AO207" s="198" t="inlineStr">
        <is>
          <t>PRIMARY driver for GH-ICGA Layer 4 (Compliance) — PDPL is the legal foundation for patient data governance in the preliminary GH-ICGA framework. Thesis argument: GH-ICGA Layer 4 operationalises PDPL requirements into IoMT-specific controls (consent management for wearable data; purpose limitation for monitoring streams; breach response for connected device incidents)</t>
        </is>
      </c>
      <c r="AP207" s="51" t="inlineStr">
        <is>
          <t>G + C (Governance + Compliance — strong compliance driver; risk implicit)</t>
        </is>
      </c>
      <c r="AQ207" s="26" t="inlineStr">
        <is>
          <t>Board/CEO: ultimate accountability for PDPL compliance. DPO: mandatory for large-scale health data processors — reports to highest management level. Privacy Committee: cross-functional oversight. All staff processing personal data: mandatory privacy awareness training annually</t>
        </is>
      </c>
      <c r="AR207" s="194" t="inlineStr">
        <is>
          <t>Privacy Risk (PRIMARY); Legal/Regulatory Risk; Reputational Risk; Strategic Risk (data monetisation constraints); Cross-Border Risk (data transfer restrictions)</t>
        </is>
      </c>
      <c r="AS207" s="22" t="inlineStr">
        <is>
          <t>LEGAL — Royal Decree M/19 2021 + Implementing Regulations Sep 2023. Criminal: imprisonment up to 2 years + SAR 3M fine for sensitive data disclosure. Administrative: SAR 5M maximum fine. Civil: data subject compensation claims</t>
        </is>
      </c>
      <c r="AT207" s="195" t="inlineStr">
        <is>
          <t>Administrative (A): consent management; privacy notices; DPO appointment; DPIA process; breach notification procedure. Technical (T): data minimisation; pseudonymisation; access controls for personal data; encryption. Operational (O): data retention enforcement; data subject rights fulfilment process; cross-border transfer review</t>
        </is>
      </c>
      <c r="AU207" s="199" t="inlineStr">
        <is>
          <t>1. # data subject rights requests fulfilled on time (target: 100% within 30 days). 2. # data breaches notified to SDAIA within 72h (target: 100%). 3. % staff completed privacy training (target: 100%). 4. # DPIAs completed for high-risk processing activities. 5. Data retention compliance rate (% records within policy). 6. % third-party processors with DPA agreements</t>
        </is>
      </c>
      <c r="AV207" s="200" t="inlineStr">
        <is>
          <t>Annual DPIA review; data mapping audit (controller record validation); consent record audit; breach response simulation (tabletop); access control review for personal data systems; third-party processor audit; SDAIA compliance self-assessment</t>
        </is>
      </c>
      <c r="AW207" s="201" t="inlineStr">
        <is>
          <t>OneTrust (market leader for PDPL); TrustArc; Nymity; DataGrail; Varonis (data discovery); Microsoft Purview (data classification). SDAIA National Data Governance Platform for registration. Arabic-capable tools preferred</t>
        </is>
      </c>
      <c r="AX207" s="202" t="inlineStr">
        <is>
          <t>All third-party data processors must have Data Processing Agreement (DPA). Processors must demonstrate equivalent PDPL compliance. Cross-border transfers require adequacy assessment or appropriate safeguards. Sub-processor disclosure mandatory. Annual processor risk assessment required</t>
        </is>
      </c>
      <c r="AY207" s="203" t="inlineStr">
        <is>
          <t>Non-compliance: SAR 5M administrative fine; criminal prosecution for sensitive data breach; SDAIA investigation; mandatory breach public disclosure. Business disruption: SDAIA can order processing suspension. Reputational: patient trust damage. Market: EU adequate protection status depends on PDPL enforcement credibility</t>
        </is>
      </c>
      <c r="AZ207" s="200" t="inlineStr">
        <is>
          <t>ALL 17 SECTORS — any entity processing personal data</t>
        </is>
      </c>
      <c r="BA207" s="34" t="inlineStr">
        <is>
          <t>YES — ALL SECTORS</t>
        </is>
      </c>
      <c r="BB207" s="591">
        <f>IF(E207="","",IF(ISNUMBER(SEARCH("Institutional theory and regulatory governance theory underpin",AI207)),"TEMPLATE",IF(LEN(AI207)&gt;100,"DEEP",IF(AI207="","SPARSE","SHALLOW"))))</f>
        <v/>
      </c>
      <c r="BC207" s="591">
        <f>IF(E207="","",D207&amp;"-"&amp;B207&amp;"-"&amp;E207)</f>
        <v/>
      </c>
      <c r="BD207" s="591">
        <f>IF(E207="","",SUBSTITUTE(SUBSTITUTE(B207&amp;"-"&amp;E207," ",""),":","-"))</f>
        <v/>
      </c>
      <c r="BE207" s="591">
        <f>IF(E207="","",IF(ISNUMBER(SEARCH("ECC",E207)),"NCA-ECC-2-2024",IF(ISNUMBER(SEARCH("OTCC",E207)),"NCA-ECC-2-2024",IF(ISNUMBER(SEARCH("CCC",E207)),"NCA-ECC-2-2024",IF(ISNUMBER(SEARCH("DCC",E207)),"NCA-ECC-2-2024",IF(ISNUMBER(SEARCH("CSCC",E207)),"NCA-ECC-2-2024",IF(ISNUMBER(SEARCH("PDPL-IR",E207)),"PDPL-2021",IF(ISNUMBER(SEARCH("PDPL-DTR",E207)),"PDPL-2021","NONE"))))))))</f>
        <v/>
      </c>
      <c r="BF207" s="594">
        <f>IF(E207="","",IF(BB207="DEEP",10,IF(BB207="SHALLOW",5,IF(BB207="TEMPLATE",3,1)))+IF(N207="HIGHEST",5,IF(N207="HIGH",3,IF(N207="MODERATE",1,0)))+IF(ISNUMBER(SEARCH("Mandatory",L207)),3,0))</f>
        <v/>
      </c>
    </row>
    <row r="208" ht="42" customHeight="1">
      <c r="A208" s="204" t="n">
        <v>189</v>
      </c>
      <c r="B208" s="205" t="inlineStr">
        <is>
          <t>MOMedia</t>
        </is>
      </c>
      <c r="C208" s="190" t="inlineStr">
        <is>
          <t>Ministry of Media</t>
        </is>
      </c>
      <c r="D208" s="190" t="inlineStr">
        <is>
          <t>1. Ministries</t>
        </is>
      </c>
      <c r="E208" s="205" t="inlineStr">
        <is>
          <t>MOMedia-LAW</t>
        </is>
      </c>
      <c r="F208" s="192" t="inlineStr">
        <is>
          <t>Audiovisual Media Law</t>
        </is>
      </c>
      <c r="G208" s="190" t="inlineStr">
        <is>
          <t>قانون/نظام اللوائح الرئيسية</t>
        </is>
      </c>
      <c r="H208" s="190" t="inlineStr">
        <is>
          <t>Active/Updated</t>
        </is>
      </c>
      <c r="I208" s="191" t="inlineStr">
        <is>
          <t>2018</t>
        </is>
      </c>
      <c r="J208" s="191" t="inlineStr">
        <is>
          <t>N/A</t>
        </is>
      </c>
      <c r="K208" s="190" t="inlineStr">
        <is>
          <t>ISSUES/ENFORCES</t>
        </is>
      </c>
      <c r="L208" s="22" t="inlineStr">
        <is>
          <t>Mandatory Enforcer</t>
        </is>
      </c>
      <c r="M208" s="190" t="inlineStr">
        <is>
          <t>Entities regulated by this ministry</t>
        </is>
      </c>
      <c r="N208" s="208" t="inlineStr">
        <is>
          <t>MODERATE</t>
        </is>
      </c>
      <c r="O208" s="207" t="inlineStr">
        <is>
          <t>https://momedia.gov.sa or via www.moi.gov.sa</t>
        </is>
      </c>
      <c r="P208" s="190" t="inlineStr">
        <is>
          <t>Ministry official; BOE regulations archive</t>
        </is>
      </c>
      <c r="Q208" s="190" t="inlineStr">
        <is>
          <t>See official source for version history</t>
        </is>
      </c>
      <c r="R208" s="190" t="inlineStr">
        <is>
          <t>Framework issued by the relevant authority. Version details available on the official website referenced in the source URL column. The framework has been updated periodically since first issuance.</t>
        </is>
      </c>
      <c r="S208" s="191" t="inlineStr">
        <is>
          <t>See official source</t>
        </is>
      </c>
      <c r="T208" s="190" t="inlineStr">
        <is>
          <t>Updated as needed by the issuing authority</t>
        </is>
      </c>
      <c r="U208" s="25" t="inlineStr">
        <is>
          <t>CURRENT — consult official source for latest version</t>
        </is>
      </c>
      <c r="V208" s="190" t="inlineStr">
        <is>
          <t>Penalties defined by issuing authority; consult official source. NCA ECC-2 penalties apply if relevant</t>
        </is>
      </c>
      <c r="W208" s="192" t="inlineStr">
        <is>
          <t>Issuing authority and/or designated inspection department</t>
        </is>
      </c>
      <c r="X208" s="190" t="inlineStr">
        <is>
          <t>As specified in framework scope — consult official document</t>
        </is>
      </c>
      <c r="Y208" s="49" t="inlineStr">
        <is>
          <t>Both (unless specified otherwise in official document)</t>
        </is>
      </c>
      <c r="Z208" s="190" t="inlineStr">
        <is>
          <t>As defined by issuing authority</t>
        </is>
      </c>
      <c r="AA208" s="191" t="inlineStr">
        <is>
          <t>As defined by issuing authority</t>
        </is>
      </c>
      <c r="AB208" s="190" t="inlineStr">
        <is>
          <t>To be determined from framework text — see official source</t>
        </is>
      </c>
      <c r="AC208" s="190" t="inlineStr">
        <is>
          <t>See framework preamble for international standard references</t>
        </is>
      </c>
      <c r="AD208" s="49" t="inlineStr">
        <is>
          <t>Arabic (primary in KSA); English may be available</t>
        </is>
      </c>
      <c r="AE208" s="58" t="inlineStr">
        <is>
          <t>Mapped to relevant GH-ICGA layer — requires manual assessment</t>
        </is>
      </c>
      <c r="AF208" s="56" t="inlineStr">
        <is>
          <t>See official framework for maturity model details</t>
        </is>
      </c>
      <c r="AG208" s="190" t="inlineStr">
        <is>
          <t>Aligned with relevant Vision 2030 programme — see framework context</t>
        </is>
      </c>
      <c r="AH208" s="190" t="inlineStr">
        <is>
          <t>As specified in framework compliance requirements</t>
        </is>
      </c>
      <c r="AI208" s="193" t="inlineStr">
        <is>
          <t>Institutional theory and regulatory governance theory underpin all KSA regulatory frameworks. Specific theoretical basis varies by framework — consult academic literature via Google Scholar using framework name as search term.</t>
        </is>
      </c>
      <c r="AJ208" s="190" t="inlineStr">
        <is>
          <t>Academic debate varies by framework maturity and international adoption. For KSA-specific debate, consult: Almohammad &amp; Wills (2021) J Cybersecurity; Al-Khater et al. (2020) IEEE Access; Baker McKenzie KSA regulatory updates.</t>
        </is>
      </c>
      <c r="AK208" s="194" t="inlineStr">
        <is>
          <t>Known criticisms include: implementation gap between standards and practice; resource constraints for smaller healthcare entities; rapid technology evolution outpacing regulation. Consult framework evaluation literature for specifics.</t>
        </is>
      </c>
      <c r="AL208" s="195" t="inlineStr">
        <is>
          <t>Framework comparison requires contextual analysis. Key comparators: NIST CSF 2.0 (international benchmark), ISO 27001 (certifiable standard), ECC-2 (KSA mandatory baseline). See main database for cross-framework mapping.</t>
        </is>
      </c>
      <c r="AM208" s="19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08" s="197" t="inlineStr">
        <is>
          <t>Official: Consult the official source URL in the database for the primary document. Training: ISACA, ISC2, RAPS, IAPP, and HIMSS offer professional development covering most regulatory domains. Estimated hours vary by framework complexity.</t>
        </is>
      </c>
      <c r="AO208" s="198" t="inlineStr">
        <is>
          <t>Relevance to GH-ICGA framework varies by layer — see GH-ICGA Layer Mapping column. All KSA mandatory frameworks are compliance inputs to GH-ICGA Layer 4. Frameworks with IoMT-specific provisions directly inform Layers 2 and 3.</t>
        </is>
      </c>
      <c r="AP208" s="51" t="inlineStr">
        <is>
          <t>G + C (Governance + Compliance — standard regulatory framework positioning)</t>
        </is>
      </c>
      <c r="AQ208" s="26" t="inlineStr">
        <is>
          <t>Senior management: accountability for framework compliance. Designated compliance officer: monitor requirements. All staff: awareness of applicable obligations</t>
        </is>
      </c>
      <c r="AR208" s="194" t="inlineStr">
        <is>
          <t>Regulatory Risk; Operational Risk; Reputational Risk — specific domains determined by framework scope</t>
        </is>
      </c>
      <c r="AS208" s="22" t="inlineStr">
        <is>
          <t>See official source — legal obligation, regulatory requirement, or voluntary standard as applicable</t>
        </is>
      </c>
      <c r="AT208" s="195" t="inlineStr">
        <is>
          <t>Administrative; Technical; Operational — specific distribution determined by framework content</t>
        </is>
      </c>
      <c r="AU208" s="199" t="inlineStr">
        <is>
          <t>1. Compliance status (compliant/non-compliant). 2. # open findings from last assessment. 3. % controls implemented. 4. Time to remediate findings. 5. Incident rate in framework scope area</t>
        </is>
      </c>
      <c r="AV208" s="200" t="inlineStr">
        <is>
          <t>Self-assessment; internal audit; external assessment as specified by issuing authority</t>
        </is>
      </c>
      <c r="AW208" s="201" t="inlineStr">
        <is>
          <t>ServiceNow GRC; IBM OpenPages; RSA Archer; MetricStream — all major GRC platforms support custom framework import. Contact vendor for framework-specific module</t>
        </is>
      </c>
      <c r="AX208" s="202" t="inlineStr">
        <is>
          <t>Third parties in scope must demonstrate equivalent compliance. Contractual compliance obligations; right-to-audit clauses; annual third-party assessment</t>
        </is>
      </c>
      <c r="AY208" s="203" t="inlineStr">
        <is>
          <t>Non-compliance: regulatory action by issuing authority; fines and penalties as specified; operational and reputational consequences</t>
        </is>
      </c>
      <c r="AZ208" s="200" t="inlineStr">
        <is>
          <t>Sector-specific — consult official source</t>
        </is>
      </c>
      <c r="BA208" s="41" t="inlineStr">
        <is>
          <t>Sector-Specific</t>
        </is>
      </c>
      <c r="BB208" s="591">
        <f>IF(E208="","",IF(ISNUMBER(SEARCH("Institutional theory and regulatory governance theory underpin",AI208)),"TEMPLATE",IF(LEN(AI208)&gt;100,"DEEP",IF(AI208="","SPARSE","SHALLOW"))))</f>
        <v/>
      </c>
      <c r="BC208" s="591">
        <f>IF(E208="","",D208&amp;"-"&amp;B208&amp;"-"&amp;E208)</f>
        <v/>
      </c>
      <c r="BD208" s="591">
        <f>IF(E208="","",SUBSTITUTE(SUBSTITUTE(B208&amp;"-"&amp;E208," ",""),":","-"))</f>
        <v/>
      </c>
      <c r="BE208" s="591">
        <f>IF(E208="","",IF(ISNUMBER(SEARCH("ECC",E208)),"NCA-ECC-2-2024",IF(ISNUMBER(SEARCH("OTCC",E208)),"NCA-ECC-2-2024",IF(ISNUMBER(SEARCH("CCC",E208)),"NCA-ECC-2-2024",IF(ISNUMBER(SEARCH("DCC",E208)),"NCA-ECC-2-2024",IF(ISNUMBER(SEARCH("CSCC",E208)),"NCA-ECC-2-2024",IF(ISNUMBER(SEARCH("PDPL-IR",E208)),"PDPL-2021",IF(ISNUMBER(SEARCH("PDPL-DTR",E208)),"PDPL-2021","NONE"))))))))</f>
        <v/>
      </c>
      <c r="BF208" s="594">
        <f>IF(E208="","",IF(BB208="DEEP",10,IF(BB208="SHALLOW",5,IF(BB208="TEMPLATE",3,1)))+IF(N208="HIGHEST",5,IF(N208="HIGH",3,IF(N208="MODERATE",1,0)))+IF(ISNUMBER(SEARCH("Mandatory",L208)),3,0))</f>
        <v/>
      </c>
    </row>
    <row r="209" ht="42" customHeight="1">
      <c r="A209" s="42" t="n">
        <v>190</v>
      </c>
      <c r="B209" s="189" t="inlineStr">
        <is>
          <t>MOMedia</t>
        </is>
      </c>
      <c r="C209" s="44" t="inlineStr">
        <is>
          <t>Ministry of Media</t>
        </is>
      </c>
      <c r="D209" s="44" t="inlineStr">
        <is>
          <t>1. Ministries</t>
        </is>
      </c>
      <c r="E209" s="189" t="inlineStr">
        <is>
          <t>NCA-ECC-2:2024</t>
        </is>
      </c>
      <c r="F209" s="45" t="inlineStr">
        <is>
          <t>Essential Cybersecurity Controls</t>
        </is>
      </c>
      <c r="G209" s="44" t="inlineStr">
        <is>
          <t>ضوابط الأمن السيبراني الأساسية</t>
        </is>
      </c>
      <c r="H209" s="44" t="inlineStr">
        <is>
          <t>ECC-2:2024</t>
        </is>
      </c>
      <c r="I209" s="46" t="inlineStr">
        <is>
          <t>2018</t>
        </is>
      </c>
      <c r="J209" s="46" t="inlineStr">
        <is>
          <t>108</t>
        </is>
      </c>
      <c r="K209" s="44" t="inlineStr">
        <is>
          <t>MUST COMPLY WITH</t>
        </is>
      </c>
      <c r="L209" s="66" t="inlineStr">
        <is>
          <t>Mandatory Complier</t>
        </is>
      </c>
      <c r="M209" s="44" t="inlineStr">
        <is>
          <t>Ministry of Media as government entity</t>
        </is>
      </c>
      <c r="N209" s="59" t="inlineStr">
        <is>
          <t>LOW</t>
        </is>
      </c>
      <c r="O209" s="48" t="inlineStr">
        <is>
          <t>https://nca.gov.sa/</t>
        </is>
      </c>
      <c r="P209" s="44" t="inlineStr">
        <is>
          <t>NCA ECC scope</t>
        </is>
      </c>
      <c r="Q209" s="190" t="inlineStr">
        <is>
          <t>See official source for version history</t>
        </is>
      </c>
      <c r="R209" s="190" t="inlineStr">
        <is>
          <t>Framework issued by the relevant authority. Version details available on the official website referenced in the source URL column. The framework has been updated periodically since first issuance.</t>
        </is>
      </c>
      <c r="S209" s="191" t="inlineStr">
        <is>
          <t>See official source</t>
        </is>
      </c>
      <c r="T209" s="190" t="inlineStr">
        <is>
          <t>Updated as needed by the issuing authority</t>
        </is>
      </c>
      <c r="U209" s="25" t="inlineStr">
        <is>
          <t>CURRENT — consult official source for latest version</t>
        </is>
      </c>
      <c r="V209" s="190" t="inlineStr">
        <is>
          <t>Penalties defined by issuing authority; consult official source. NCA ECC-2 penalties apply if relevant</t>
        </is>
      </c>
      <c r="W209" s="192" t="inlineStr">
        <is>
          <t>Issuing authority and/or designated inspection department</t>
        </is>
      </c>
      <c r="X209" s="190" t="inlineStr">
        <is>
          <t>As specified in framework scope — consult official document</t>
        </is>
      </c>
      <c r="Y209" s="49" t="inlineStr">
        <is>
          <t>Both (unless specified otherwise in official document)</t>
        </is>
      </c>
      <c r="Z209" s="190" t="inlineStr">
        <is>
          <t>As defined by issuing authority</t>
        </is>
      </c>
      <c r="AA209" s="191" t="inlineStr">
        <is>
          <t>As defined by issuing authority</t>
        </is>
      </c>
      <c r="AB209" s="190" t="inlineStr">
        <is>
          <t>To be determined from framework text — see official source</t>
        </is>
      </c>
      <c r="AC209" s="190" t="inlineStr">
        <is>
          <t>See framework preamble for international standard references</t>
        </is>
      </c>
      <c r="AD209" s="49" t="inlineStr">
        <is>
          <t>Arabic (primary in KSA); English may be available</t>
        </is>
      </c>
      <c r="AE209" s="58" t="inlineStr">
        <is>
          <t>Mapped to relevant GH-ICGA layer — requires manual assessment</t>
        </is>
      </c>
      <c r="AF209" s="56" t="inlineStr">
        <is>
          <t>See official framework for maturity model details</t>
        </is>
      </c>
      <c r="AG209" s="190" t="inlineStr">
        <is>
          <t>Aligned with relevant Vision 2030 programme — see framework context</t>
        </is>
      </c>
      <c r="AH209" s="190" t="inlineStr">
        <is>
          <t>As specified in framework compliance requirements</t>
        </is>
      </c>
      <c r="AI209" s="193" t="inlineStr">
        <is>
          <t>Institutional theory and regulatory governance theory underpin all KSA regulatory frameworks. Specific theoretical basis varies by framework — consult academic literature via Google Scholar using framework name as search term.</t>
        </is>
      </c>
      <c r="AJ209" s="190" t="inlineStr">
        <is>
          <t>Academic debate varies by framework maturity and international adoption. For KSA-specific debate, consult: Almohammad &amp; Wills (2021) J Cybersecurity; Al-Khater et al. (2020) IEEE Access; Baker McKenzie KSA regulatory updates.</t>
        </is>
      </c>
      <c r="AK209" s="194" t="inlineStr">
        <is>
          <t>Known criticisms include: implementation gap between standards and practice; resource constraints for smaller healthcare entities; rapid technology evolution outpacing regulation. Consult framework evaluation literature for specifics.</t>
        </is>
      </c>
      <c r="AL209" s="195" t="inlineStr">
        <is>
          <t>Framework comparison requires contextual analysis. Key comparators: NIST CSF 2.0 (international benchmark), ISO 27001 (certifiable standard), ECC-2 (KSA mandatory baseline). See main database for cross-framework mapping.</t>
        </is>
      </c>
      <c r="AM209" s="19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09" s="197" t="inlineStr">
        <is>
          <t>Official: Consult the official source URL in the database for the primary document. Training: ISACA, ISC2, RAPS, IAPP, and HIMSS offer professional development covering most regulatory domains. Estimated hours vary by framework complexity.</t>
        </is>
      </c>
      <c r="AO209" s="198" t="inlineStr">
        <is>
          <t>Relevance to GH-ICGA framework varies by layer — see GH-ICGA Layer Mapping column. All KSA mandatory frameworks are compliance inputs to GH-ICGA Layer 4. Frameworks with IoMT-specific provisions directly inform Layers 2 and 3.</t>
        </is>
      </c>
      <c r="AP209" s="51" t="inlineStr">
        <is>
          <t>G + C (Governance + Compliance — standard regulatory framework positioning)</t>
        </is>
      </c>
      <c r="AQ209" s="26" t="inlineStr">
        <is>
          <t>Senior management: accountability for framework compliance. Designated compliance officer: monitor requirements. All staff: awareness of applicable obligations</t>
        </is>
      </c>
      <c r="AR209" s="194" t="inlineStr">
        <is>
          <t>Regulatory Risk; Operational Risk; Reputational Risk — specific domains determined by framework scope</t>
        </is>
      </c>
      <c r="AS209" s="22" t="inlineStr">
        <is>
          <t>See official source — legal obligation, regulatory requirement, or voluntary standard as applicable</t>
        </is>
      </c>
      <c r="AT209" s="195" t="inlineStr">
        <is>
          <t>Administrative; Technical; Operational — specific distribution determined by framework content</t>
        </is>
      </c>
      <c r="AU209" s="199" t="inlineStr">
        <is>
          <t>1. Compliance status (compliant/non-compliant). 2. # open findings from last assessment. 3. % controls implemented. 4. Time to remediate findings. 5. Incident rate in framework scope area</t>
        </is>
      </c>
      <c r="AV209" s="200" t="inlineStr">
        <is>
          <t>Self-assessment; internal audit; external assessment as specified by issuing authority</t>
        </is>
      </c>
      <c r="AW209" s="201" t="inlineStr">
        <is>
          <t>ServiceNow GRC; IBM OpenPages; RSA Archer; MetricStream — all major GRC platforms support custom framework import. Contact vendor for framework-specific module</t>
        </is>
      </c>
      <c r="AX209" s="202" t="inlineStr">
        <is>
          <t>Third parties in scope must demonstrate equivalent compliance. Contractual compliance obligations; right-to-audit clauses; annual third-party assessment</t>
        </is>
      </c>
      <c r="AY209" s="203" t="inlineStr">
        <is>
          <t>Non-compliance: regulatory action by issuing authority; fines and penalties as specified; operational and reputational consequences</t>
        </is>
      </c>
      <c r="AZ209" s="200" t="inlineStr">
        <is>
          <t>ALL 17 SECTORS</t>
        </is>
      </c>
      <c r="BA209" s="34" t="inlineStr">
        <is>
          <t>YES — ALL SECTORS</t>
        </is>
      </c>
      <c r="BB209" s="591">
        <f>IF(E209="","",IF(ISNUMBER(SEARCH("Institutional theory and regulatory governance theory underpin",AI209)),"TEMPLATE",IF(LEN(AI209)&gt;100,"DEEP",IF(AI209="","SPARSE","SHALLOW"))))</f>
        <v/>
      </c>
      <c r="BC209" s="591">
        <f>IF(E209="","",D209&amp;"-"&amp;B209&amp;"-"&amp;E209)</f>
        <v/>
      </c>
      <c r="BD209" s="591">
        <f>IF(E209="","",SUBSTITUTE(SUBSTITUTE(B209&amp;"-"&amp;E209," ",""),":","-"))</f>
        <v/>
      </c>
      <c r="BE209" s="591">
        <f>IF(E209="","",IF(ISNUMBER(SEARCH("ECC",E209)),"NCA-ECC-2-2024",IF(ISNUMBER(SEARCH("OTCC",E209)),"NCA-ECC-2-2024",IF(ISNUMBER(SEARCH("CCC",E209)),"NCA-ECC-2-2024",IF(ISNUMBER(SEARCH("DCC",E209)),"NCA-ECC-2-2024",IF(ISNUMBER(SEARCH("CSCC",E209)),"NCA-ECC-2-2024",IF(ISNUMBER(SEARCH("PDPL-IR",E209)),"PDPL-2021",IF(ISNUMBER(SEARCH("PDPL-DTR",E209)),"PDPL-2021","NONE"))))))))</f>
        <v/>
      </c>
      <c r="BF209" s="594">
        <f>IF(E209="","",IF(BB209="DEEP",10,IF(BB209="SHALLOW",5,IF(BB209="TEMPLATE",3,1)))+IF(N209="HIGHEST",5,IF(N209="HIGH",3,IF(N209="MODERATE",1,0)))+IF(ISNUMBER(SEARCH("Mandatory",L209)),3,0))</f>
        <v/>
      </c>
    </row>
    <row r="210" ht="42" customHeight="1">
      <c r="A210" s="204" t="n">
        <v>191</v>
      </c>
      <c r="B210" s="205" t="inlineStr">
        <is>
          <t>MOMedia</t>
        </is>
      </c>
      <c r="C210" s="190" t="inlineStr">
        <is>
          <t>Ministry of Media</t>
        </is>
      </c>
      <c r="D210" s="190" t="inlineStr">
        <is>
          <t>1. Ministries</t>
        </is>
      </c>
      <c r="E210" s="205" t="inlineStr">
        <is>
          <t>PDPL-2021</t>
        </is>
      </c>
      <c r="F210" s="192" t="inlineStr">
        <is>
          <t>Personal Data Protection Law</t>
        </is>
      </c>
      <c r="G210" s="190" t="inlineStr">
        <is>
          <t>نظام حماية البيانات الشخصية</t>
        </is>
      </c>
      <c r="H210" s="190" t="inlineStr">
        <is>
          <t>2021+IR 2023</t>
        </is>
      </c>
      <c r="I210" s="191" t="inlineStr">
        <is>
          <t>2021</t>
        </is>
      </c>
      <c r="J210" s="191" t="inlineStr">
        <is>
          <t>45</t>
        </is>
      </c>
      <c r="K210" s="190" t="inlineStr">
        <is>
          <t>MUST COMPLY WITH</t>
        </is>
      </c>
      <c r="L210" s="66" t="inlineStr">
        <is>
          <t>Mandatory Complier</t>
        </is>
      </c>
      <c r="M210" s="190" t="inlineStr">
        <is>
          <t>Ministry of Media processes personal data of employees and regulated parties</t>
        </is>
      </c>
      <c r="N210" s="209" t="inlineStr">
        <is>
          <t>LOW</t>
        </is>
      </c>
      <c r="O210" s="207" t="inlineStr">
        <is>
          <t>https://sdaia.gov.sa/</t>
        </is>
      </c>
      <c r="P210" s="190" t="inlineStr">
        <is>
          <t>SDAIA</t>
        </is>
      </c>
      <c r="Q210" s="190" t="inlineStr">
        <is>
          <t>Royal Decree M/19 (16 Sep 2021) → amended Apr 2023</t>
        </is>
      </c>
      <c r="R210" s="190" t="inlineStr">
        <is>
          <t>Original (2021): 19 articles covering consent, data subject rights, controller obligations, sensitive data (health = sensitive), cross-border transfer. Apr 2023 amendment: strengthened enforcement, clarified health data provisions, aligned with PDPL-IR-2023. Grace period for compliance ended Sep 14, 2024. Penalties: up to SAR 5 million fine + 2 years imprisonment for sensitive data breach</t>
        </is>
      </c>
      <c r="S210" s="191" t="inlineStr">
        <is>
          <t>Issued: Sep 2021. Amended: Apr 2023. Fully enforceable: Sep 14, 2024</t>
        </is>
      </c>
      <c r="T210" s="190" t="inlineStr">
        <is>
          <t>SDAIA reviews annually; amendments expected 2025-2026</t>
        </is>
      </c>
      <c r="U210" s="25" t="inlineStr">
        <is>
          <t>CURRENT — fully enforceable since Sep 2024</t>
        </is>
      </c>
      <c r="V210" s="190" t="inlineStr">
        <is>
          <t>Criminal offence: up to 2 years imprisonment + SAR 3M fine for disclosing sensitive data (health data = sensitive); administrative fine up to SAR 5M; mandatory breach notification to SDAIA within 72 hours; data subject compensation claims</t>
        </is>
      </c>
      <c r="W210" s="192" t="inlineStr">
        <is>
          <t>SDAIA — Data Protection Authority (DPA functions); NDMO for government entities; courts for criminal penalties</t>
        </is>
      </c>
      <c r="X210" s="190" t="inlineStr">
        <is>
          <t>Hospital; Clinic; Lab; Pharmacy; Health IT Vendor; Health Insurer; Government Health Entity; Medical Device Manufacturer (all processing patient data)</t>
        </is>
      </c>
      <c r="Y210" s="49" t="inlineStr">
        <is>
          <t>Both + foreign entities processing data of KSA residents</t>
        </is>
      </c>
      <c r="Z210" s="190" t="inlineStr">
        <is>
          <t>SDAIA audit; controller self-assessment; DPO oversight; data subject complaints trigger investigation</t>
        </is>
      </c>
      <c r="AA210" s="191" t="inlineStr">
        <is>
          <t>Continuous (breach notification: 72 hours); annual DPO report; SDAIA random audits</t>
        </is>
      </c>
      <c r="AB210" s="190" t="inlineStr">
        <is>
          <t>12 (IoMT data minimisation; purpose limitation; consent management for wearable data; automated decision-making; data subject rights for IoMT-generated health data; cross-border transfer of IoMT data)</t>
        </is>
      </c>
      <c r="AC210" s="190" t="inlineStr">
        <is>
          <t>GDPR (substantial alignment — adequate protection basis); APEC Privacy Framework; ISO 29100; ISO 27701</t>
        </is>
      </c>
      <c r="AD210" s="49" t="inlineStr">
        <is>
          <t>Arabic (official); English translation (unofficial)</t>
        </is>
      </c>
      <c r="AE210" s="50" t="inlineStr">
        <is>
          <t>Layer 4: Compliance; Layer 2: Risk Management</t>
        </is>
      </c>
      <c r="AF210" s="60" t="inlineStr">
        <is>
          <t>No formal maturity model; SDAIA publishes compliance guidance</t>
        </is>
      </c>
      <c r="AG210" s="190" t="inlineStr">
        <is>
          <t>National Data Strategy; Vision 2030 Digital Economy; Digital Government transformation</t>
        </is>
      </c>
      <c r="AH210" s="190" t="inlineStr">
        <is>
          <t>Privacy notices; consent records; DPO appointment letter; data mapping/flow diagrams; breach notification records; DPIA for health data processing; controller registration</t>
        </is>
      </c>
      <c r="AI210" s="193" t="inlineStr">
        <is>
          <t>Privacy as fundamental right (Warren &amp; Brandeis 1890; Westin 1967). Contextual integrity theory (Nissenbaum 2004): health data flows must match medical context norms. Regulatory theory: data protection authority independence and enforcement. Information asymmetry theory: patients cannot protect their own data without regulation.</t>
        </is>
      </c>
      <c r="AJ210" s="190" t="inlineStr">
        <is>
          <t>FOR: Long-overdue — KSA had no comprehensive data protection law until 2021; health data explicitly protected as sensitive category; aligns KSA with global adequacy standards. AGAINST: Alrawabdeh (2014) and Aldawood &amp; Skinner (2019) documented Saudi privacy culture gap — regulation without public awareness is ineffective; 'GDPR-lite' criticism: exemptions broader than GDPR, enforcement weaker; health data provisions in IR still less specific than UK GDPR Schedule 1 conditions</t>
        </is>
      </c>
      <c r="AK210" s="194" t="inlineStr">
        <is>
          <t>No independent supervisory authority (SDAIA is both promoter and regulator — conflict of interest noted by Baker McKenzie 2025); patient data portability rights weaker than GDPR Article 20; no explicit right to explanation for AI-automated health decisions; cross-border transfer rules changed twice in 12 months (regulatory instability); small healthcare providers lack capacity for DPO requirements</t>
        </is>
      </c>
      <c r="AL210" s="195" t="inlineStr">
        <is>
          <t>PDPL vs GDPR: PDPL penalty lower (SAR 5M vs €20M); PDPL broader government exemptions; GDPR has independent DPA, PDPL does not. PDPL vs HIPAA: PDPL = all personal data (broader); HIPAA = US-specific health data only. PDPL vs UK GDPR: PDPL misses explicit Schedule 1 health data conditions. PDPL ahead of HIPAA on consent granularity; behind GDPR on enforcement independence</t>
        </is>
      </c>
      <c r="AM210" s="196" t="inlineStr">
        <is>
          <t>Baker McKenzie (2025) Saudi Arabia PDPL Global Data &amp; Cyber Handbook; Alrawabdeh W (2014) 'Internet and Social Media Challenges in Arab World' EJSR; Westin AF (1967) Privacy and Freedom NY Atheneum; Nissenbaum H (2004) 'Privacy as Contextual Integrity' Washington Law Review 79(1); CMS Law (2025) Saudi Arabia Data Protection &amp; Cybersecurity Expert Guide Oct 2025</t>
        </is>
      </c>
      <c r="AN210" s="197" t="inlineStr">
        <is>
          <t>Official: SDAIA website (sdaia.gov.sa) — Arabic + English. Training: IAPP CIPM/CIPP/E (privacy certifications applicable); OneTrust PDPL compliance course; Baker McKenzie PDPL compliance guide. Language: Arabic primary — strong Arabic reading recommended. Estimated: 50 hours for health sector DPO competence</t>
        </is>
      </c>
      <c r="AO210" s="198" t="inlineStr">
        <is>
          <t>PRIMARY driver for GH-ICGA Layer 4 (Compliance) — PDPL is the legal foundation for patient data governance in the preliminary GH-ICGA framework. Thesis argument: GH-ICGA Layer 4 operationalises PDPL requirements into IoMT-specific controls (consent management for wearable data; purpose limitation for monitoring streams; breach response for connected device incidents)</t>
        </is>
      </c>
      <c r="AP210" s="51" t="inlineStr">
        <is>
          <t>G + C (Governance + Compliance — strong compliance driver; risk implicit)</t>
        </is>
      </c>
      <c r="AQ210" s="26" t="inlineStr">
        <is>
          <t>Board/CEO: ultimate accountability for PDPL compliance. DPO: mandatory for large-scale health data processors — reports to highest management level. Privacy Committee: cross-functional oversight. All staff processing personal data: mandatory privacy awareness training annually</t>
        </is>
      </c>
      <c r="AR210" s="194" t="inlineStr">
        <is>
          <t>Privacy Risk (PRIMARY); Legal/Regulatory Risk; Reputational Risk; Strategic Risk (data monetisation constraints); Cross-Border Risk (data transfer restrictions)</t>
        </is>
      </c>
      <c r="AS210" s="22" t="inlineStr">
        <is>
          <t>LEGAL — Royal Decree M/19 2021 + Implementing Regulations Sep 2023. Criminal: imprisonment up to 2 years + SAR 3M fine for sensitive data disclosure. Administrative: SAR 5M maximum fine. Civil: data subject compensation claims</t>
        </is>
      </c>
      <c r="AT210" s="195" t="inlineStr">
        <is>
          <t>Administrative (A): consent management; privacy notices; DPO appointment; DPIA process; breach notification procedure. Technical (T): data minimisation; pseudonymisation; access controls for personal data; encryption. Operational (O): data retention enforcement; data subject rights fulfilment process; cross-border transfer review</t>
        </is>
      </c>
      <c r="AU210" s="199" t="inlineStr">
        <is>
          <t>1. # data subject rights requests fulfilled on time (target: 100% within 30 days). 2. # data breaches notified to SDAIA within 72h (target: 100%). 3. % staff completed privacy training (target: 100%). 4. # DPIAs completed for high-risk processing activities. 5. Data retention compliance rate (% records within policy). 6. % third-party processors with DPA agreements</t>
        </is>
      </c>
      <c r="AV210" s="200" t="inlineStr">
        <is>
          <t>Annual DPIA review; data mapping audit (controller record validation); consent record audit; breach response simulation (tabletop); access control review for personal data systems; third-party processor audit; SDAIA compliance self-assessment</t>
        </is>
      </c>
      <c r="AW210" s="201" t="inlineStr">
        <is>
          <t>OneTrust (market leader for PDPL); TrustArc; Nymity; DataGrail; Varonis (data discovery); Microsoft Purview (data classification). SDAIA National Data Governance Platform for registration. Arabic-capable tools preferred</t>
        </is>
      </c>
      <c r="AX210" s="202" t="inlineStr">
        <is>
          <t>All third-party data processors must have Data Processing Agreement (DPA). Processors must demonstrate equivalent PDPL compliance. Cross-border transfers require adequacy assessment or appropriate safeguards. Sub-processor disclosure mandatory. Annual processor risk assessment required</t>
        </is>
      </c>
      <c r="AY210" s="203" t="inlineStr">
        <is>
          <t>Non-compliance: SAR 5M administrative fine; criminal prosecution for sensitive data breach; SDAIA investigation; mandatory breach public disclosure. Business disruption: SDAIA can order processing suspension. Reputational: patient trust damage. Market: EU adequate protection status depends on PDPL enforcement credibility</t>
        </is>
      </c>
      <c r="AZ210" s="200" t="inlineStr">
        <is>
          <t>ALL 17 SECTORS — any entity processing personal data</t>
        </is>
      </c>
      <c r="BA210" s="34" t="inlineStr">
        <is>
          <t>YES — ALL SECTORS</t>
        </is>
      </c>
      <c r="BB210" s="591">
        <f>IF(E210="","",IF(ISNUMBER(SEARCH("Institutional theory and regulatory governance theory underpin",AI210)),"TEMPLATE",IF(LEN(AI210)&gt;100,"DEEP",IF(AI210="","SPARSE","SHALLOW"))))</f>
        <v/>
      </c>
      <c r="BC210" s="591">
        <f>IF(E210="","",D210&amp;"-"&amp;B210&amp;"-"&amp;E210)</f>
        <v/>
      </c>
      <c r="BD210" s="591">
        <f>IF(E210="","",SUBSTITUTE(SUBSTITUTE(B210&amp;"-"&amp;E210," ",""),":","-"))</f>
        <v/>
      </c>
      <c r="BE210" s="591">
        <f>IF(E210="","",IF(ISNUMBER(SEARCH("ECC",E210)),"NCA-ECC-2-2024",IF(ISNUMBER(SEARCH("OTCC",E210)),"NCA-ECC-2-2024",IF(ISNUMBER(SEARCH("CCC",E210)),"NCA-ECC-2-2024",IF(ISNUMBER(SEARCH("DCC",E210)),"NCA-ECC-2-2024",IF(ISNUMBER(SEARCH("CSCC",E210)),"NCA-ECC-2-2024",IF(ISNUMBER(SEARCH("PDPL-IR",E210)),"PDPL-2021",IF(ISNUMBER(SEARCH("PDPL-DTR",E210)),"PDPL-2021","NONE"))))))))</f>
        <v/>
      </c>
      <c r="BF210" s="594">
        <f>IF(E210="","",IF(BB210="DEEP",10,IF(BB210="SHALLOW",5,IF(BB210="TEMPLATE",3,1)))+IF(N210="HIGHEST",5,IF(N210="HIGH",3,IF(N210="MODERATE",1,0)))+IF(ISNUMBER(SEARCH("Mandatory",L210)),3,0))</f>
        <v/>
      </c>
    </row>
    <row r="211" ht="42" customHeight="1">
      <c r="A211" s="42" t="n">
        <v>192</v>
      </c>
      <c r="B211" s="189" t="inlineStr">
        <is>
          <t>MIM</t>
        </is>
      </c>
      <c r="C211" s="44" t="inlineStr">
        <is>
          <t>Ministry of Industry &amp; Mineral Resources</t>
        </is>
      </c>
      <c r="D211" s="44" t="inlineStr">
        <is>
          <t>1. Ministries</t>
        </is>
      </c>
      <c r="E211" s="189" t="inlineStr">
        <is>
          <t>MIM-LAW</t>
        </is>
      </c>
      <c r="F211" s="45" t="inlineStr">
        <is>
          <t>Industry &amp; Mining Law</t>
        </is>
      </c>
      <c r="G211" s="44" t="inlineStr">
        <is>
          <t>قانون/نظام اللوائح الرئيسية</t>
        </is>
      </c>
      <c r="H211" s="44" t="inlineStr">
        <is>
          <t>Active/Updated</t>
        </is>
      </c>
      <c r="I211" s="46" t="inlineStr">
        <is>
          <t>1967</t>
        </is>
      </c>
      <c r="J211" s="46" t="inlineStr">
        <is>
          <t>N/A</t>
        </is>
      </c>
      <c r="K211" s="44" t="inlineStr">
        <is>
          <t>ISSUES/ENFORCES</t>
        </is>
      </c>
      <c r="L211" s="22" t="inlineStr">
        <is>
          <t>Mandatory Enforcer</t>
        </is>
      </c>
      <c r="M211" s="44" t="inlineStr">
        <is>
          <t>Entities regulated by this ministry</t>
        </is>
      </c>
      <c r="N211" s="55" t="inlineStr">
        <is>
          <t>MODERATE</t>
        </is>
      </c>
      <c r="O211" s="48" t="inlineStr">
        <is>
          <t>https://mim.gov.sa or via www.moi.gov.sa</t>
        </is>
      </c>
      <c r="P211" s="44" t="inlineStr">
        <is>
          <t>Ministry official; BOE regulations archive</t>
        </is>
      </c>
      <c r="Q211" s="190" t="inlineStr">
        <is>
          <t>See official source for version history</t>
        </is>
      </c>
      <c r="R211" s="190" t="inlineStr">
        <is>
          <t>Framework issued by the relevant authority. Version details available on the official website referenced in the source URL column. The framework has been updated periodically since first issuance.</t>
        </is>
      </c>
      <c r="S211" s="191" t="inlineStr">
        <is>
          <t>See official source</t>
        </is>
      </c>
      <c r="T211" s="190" t="inlineStr">
        <is>
          <t>Updated as needed by the issuing authority</t>
        </is>
      </c>
      <c r="U211" s="25" t="inlineStr">
        <is>
          <t>CURRENT — consult official source for latest version</t>
        </is>
      </c>
      <c r="V211" s="190" t="inlineStr">
        <is>
          <t>Penalties defined by issuing authority; consult official source. NCA ECC-2 penalties apply if relevant</t>
        </is>
      </c>
      <c r="W211" s="192" t="inlineStr">
        <is>
          <t>Issuing authority and/or designated inspection department</t>
        </is>
      </c>
      <c r="X211" s="190" t="inlineStr">
        <is>
          <t>As specified in framework scope — consult official document</t>
        </is>
      </c>
      <c r="Y211" s="49" t="inlineStr">
        <is>
          <t>Both (unless specified otherwise in official document)</t>
        </is>
      </c>
      <c r="Z211" s="190" t="inlineStr">
        <is>
          <t>As defined by issuing authority</t>
        </is>
      </c>
      <c r="AA211" s="191" t="inlineStr">
        <is>
          <t>As defined by issuing authority</t>
        </is>
      </c>
      <c r="AB211" s="190" t="inlineStr">
        <is>
          <t>To be determined from framework text — see official source</t>
        </is>
      </c>
      <c r="AC211" s="190" t="inlineStr">
        <is>
          <t>See framework preamble for international standard references</t>
        </is>
      </c>
      <c r="AD211" s="49" t="inlineStr">
        <is>
          <t>Arabic (primary in KSA); English may be available</t>
        </is>
      </c>
      <c r="AE211" s="58" t="inlineStr">
        <is>
          <t>Mapped to relevant GH-ICGA layer — requires manual assessment</t>
        </is>
      </c>
      <c r="AF211" s="56" t="inlineStr">
        <is>
          <t>See official framework for maturity model details</t>
        </is>
      </c>
      <c r="AG211" s="190" t="inlineStr">
        <is>
          <t>Aligned with relevant Vision 2030 programme — see framework context</t>
        </is>
      </c>
      <c r="AH211" s="190" t="inlineStr">
        <is>
          <t>As specified in framework compliance requirements</t>
        </is>
      </c>
      <c r="AI211" s="193" t="inlineStr">
        <is>
          <t>Institutional theory and regulatory governance theory underpin all KSA regulatory frameworks. Specific theoretical basis varies by framework — consult academic literature via Google Scholar using framework name as search term.</t>
        </is>
      </c>
      <c r="AJ211" s="190" t="inlineStr">
        <is>
          <t>Academic debate varies by framework maturity and international adoption. For KSA-specific debate, consult: Almohammad &amp; Wills (2021) J Cybersecurity; Al-Khater et al. (2020) IEEE Access; Baker McKenzie KSA regulatory updates.</t>
        </is>
      </c>
      <c r="AK211" s="194" t="inlineStr">
        <is>
          <t>Known criticisms include: implementation gap between standards and practice; resource constraints for smaller healthcare entities; rapid technology evolution outpacing regulation. Consult framework evaluation literature for specifics.</t>
        </is>
      </c>
      <c r="AL211" s="195" t="inlineStr">
        <is>
          <t>Framework comparison requires contextual analysis. Key comparators: NIST CSF 2.0 (international benchmark), ISO 27001 (certifiable standard), ECC-2 (KSA mandatory baseline). See main database for cross-framework mapping.</t>
        </is>
      </c>
      <c r="AM211" s="19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11" s="197" t="inlineStr">
        <is>
          <t>Official: Consult the official source URL in the database for the primary document. Training: ISACA, ISC2, RAPS, IAPP, and HIMSS offer professional development covering most regulatory domains. Estimated hours vary by framework complexity.</t>
        </is>
      </c>
      <c r="AO211" s="198" t="inlineStr">
        <is>
          <t>Relevance to GH-ICGA framework varies by layer — see GH-ICGA Layer Mapping column. All KSA mandatory frameworks are compliance inputs to GH-ICGA Layer 4. Frameworks with IoMT-specific provisions directly inform Layers 2 and 3.</t>
        </is>
      </c>
      <c r="AP211" s="51" t="inlineStr">
        <is>
          <t>G + C (Governance + Compliance — standard regulatory framework positioning)</t>
        </is>
      </c>
      <c r="AQ211" s="26" t="inlineStr">
        <is>
          <t>Senior management: accountability for framework compliance. Designated compliance officer: monitor requirements. All staff: awareness of applicable obligations</t>
        </is>
      </c>
      <c r="AR211" s="194" t="inlineStr">
        <is>
          <t>Regulatory Risk; Operational Risk; Reputational Risk — specific domains determined by framework scope</t>
        </is>
      </c>
      <c r="AS211" s="22" t="inlineStr">
        <is>
          <t>See official source — legal obligation, regulatory requirement, or voluntary standard as applicable</t>
        </is>
      </c>
      <c r="AT211" s="195" t="inlineStr">
        <is>
          <t>Administrative; Technical; Operational — specific distribution determined by framework content</t>
        </is>
      </c>
      <c r="AU211" s="199" t="inlineStr">
        <is>
          <t>1. Compliance status (compliant/non-compliant). 2. # open findings from last assessment. 3. % controls implemented. 4. Time to remediate findings. 5. Incident rate in framework scope area</t>
        </is>
      </c>
      <c r="AV211" s="200" t="inlineStr">
        <is>
          <t>Self-assessment; internal audit; external assessment as specified by issuing authority</t>
        </is>
      </c>
      <c r="AW211" s="201" t="inlineStr">
        <is>
          <t>ServiceNow GRC; IBM OpenPages; RSA Archer; MetricStream — all major GRC platforms support custom framework import. Contact vendor for framework-specific module</t>
        </is>
      </c>
      <c r="AX211" s="202" t="inlineStr">
        <is>
          <t>Third parties in scope must demonstrate equivalent compliance. Contractual compliance obligations; right-to-audit clauses; annual third-party assessment</t>
        </is>
      </c>
      <c r="AY211" s="203" t="inlineStr">
        <is>
          <t>Non-compliance: regulatory action by issuing authority; fines and penalties as specified; operational and reputational consequences</t>
        </is>
      </c>
      <c r="AZ211" s="200" t="inlineStr">
        <is>
          <t>Sector-specific — consult official source</t>
        </is>
      </c>
      <c r="BA211" s="41" t="inlineStr">
        <is>
          <t>Sector-Specific</t>
        </is>
      </c>
      <c r="BB211" s="591">
        <f>IF(E211="","",IF(ISNUMBER(SEARCH("Institutional theory and regulatory governance theory underpin",AI211)),"TEMPLATE",IF(LEN(AI211)&gt;100,"DEEP",IF(AI211="","SPARSE","SHALLOW"))))</f>
        <v/>
      </c>
      <c r="BC211" s="591">
        <f>IF(E211="","",D211&amp;"-"&amp;B211&amp;"-"&amp;E211)</f>
        <v/>
      </c>
      <c r="BD211" s="591">
        <f>IF(E211="","",SUBSTITUTE(SUBSTITUTE(B211&amp;"-"&amp;E211," ",""),":","-"))</f>
        <v/>
      </c>
      <c r="BE211" s="591">
        <f>IF(E211="","",IF(ISNUMBER(SEARCH("ECC",E211)),"NCA-ECC-2-2024",IF(ISNUMBER(SEARCH("OTCC",E211)),"NCA-ECC-2-2024",IF(ISNUMBER(SEARCH("CCC",E211)),"NCA-ECC-2-2024",IF(ISNUMBER(SEARCH("DCC",E211)),"NCA-ECC-2-2024",IF(ISNUMBER(SEARCH("CSCC",E211)),"NCA-ECC-2-2024",IF(ISNUMBER(SEARCH("PDPL-IR",E211)),"PDPL-2021",IF(ISNUMBER(SEARCH("PDPL-DTR",E211)),"PDPL-2021","NONE"))))))))</f>
        <v/>
      </c>
      <c r="BF211" s="594">
        <f>IF(E211="","",IF(BB211="DEEP",10,IF(BB211="SHALLOW",5,IF(BB211="TEMPLATE",3,1)))+IF(N211="HIGHEST",5,IF(N211="HIGH",3,IF(N211="MODERATE",1,0)))+IF(ISNUMBER(SEARCH("Mandatory",L211)),3,0))</f>
        <v/>
      </c>
    </row>
    <row r="212" ht="42" customHeight="1">
      <c r="A212" s="204" t="n">
        <v>193</v>
      </c>
      <c r="B212" s="205" t="inlineStr">
        <is>
          <t>MIM</t>
        </is>
      </c>
      <c r="C212" s="190" t="inlineStr">
        <is>
          <t>Ministry of Industry &amp; Mineral Resources</t>
        </is>
      </c>
      <c r="D212" s="190" t="inlineStr">
        <is>
          <t>1. Ministries</t>
        </is>
      </c>
      <c r="E212" s="205" t="inlineStr">
        <is>
          <t>NCA-ECC-2:2024</t>
        </is>
      </c>
      <c r="F212" s="192" t="inlineStr">
        <is>
          <t>Essential Cybersecurity Controls</t>
        </is>
      </c>
      <c r="G212" s="190" t="inlineStr">
        <is>
          <t>ضوابط الأمن السيبراني الأساسية</t>
        </is>
      </c>
      <c r="H212" s="190" t="inlineStr">
        <is>
          <t>ECC-2:2024</t>
        </is>
      </c>
      <c r="I212" s="191" t="inlineStr">
        <is>
          <t>2018</t>
        </is>
      </c>
      <c r="J212" s="191" t="inlineStr">
        <is>
          <t>108</t>
        </is>
      </c>
      <c r="K212" s="190" t="inlineStr">
        <is>
          <t>MUST COMPLY WITH</t>
        </is>
      </c>
      <c r="L212" s="66" t="inlineStr">
        <is>
          <t>Mandatory Complier</t>
        </is>
      </c>
      <c r="M212" s="190" t="inlineStr">
        <is>
          <t>Ministry of Industry &amp; Mineral Resources as government entity</t>
        </is>
      </c>
      <c r="N212" s="209" t="inlineStr">
        <is>
          <t>LOW</t>
        </is>
      </c>
      <c r="O212" s="207" t="inlineStr">
        <is>
          <t>https://nca.gov.sa/</t>
        </is>
      </c>
      <c r="P212" s="190" t="inlineStr">
        <is>
          <t>NCA ECC scope</t>
        </is>
      </c>
      <c r="Q212" s="190" t="inlineStr">
        <is>
          <t>See official source for version history</t>
        </is>
      </c>
      <c r="R212" s="190" t="inlineStr">
        <is>
          <t>Framework issued by the relevant authority. Version details available on the official website referenced in the source URL column. The framework has been updated periodically since first issuance.</t>
        </is>
      </c>
      <c r="S212" s="191" t="inlineStr">
        <is>
          <t>See official source</t>
        </is>
      </c>
      <c r="T212" s="190" t="inlineStr">
        <is>
          <t>Updated as needed by the issuing authority</t>
        </is>
      </c>
      <c r="U212" s="25" t="inlineStr">
        <is>
          <t>CURRENT — consult official source for latest version</t>
        </is>
      </c>
      <c r="V212" s="190" t="inlineStr">
        <is>
          <t>Penalties defined by issuing authority; consult official source. NCA ECC-2 penalties apply if relevant</t>
        </is>
      </c>
      <c r="W212" s="192" t="inlineStr">
        <is>
          <t>Issuing authority and/or designated inspection department</t>
        </is>
      </c>
      <c r="X212" s="190" t="inlineStr">
        <is>
          <t>As specified in framework scope — consult official document</t>
        </is>
      </c>
      <c r="Y212" s="49" t="inlineStr">
        <is>
          <t>Both (unless specified otherwise in official document)</t>
        </is>
      </c>
      <c r="Z212" s="190" t="inlineStr">
        <is>
          <t>As defined by issuing authority</t>
        </is>
      </c>
      <c r="AA212" s="191" t="inlineStr">
        <is>
          <t>As defined by issuing authority</t>
        </is>
      </c>
      <c r="AB212" s="190" t="inlineStr">
        <is>
          <t>To be determined from framework text — see official source</t>
        </is>
      </c>
      <c r="AC212" s="190" t="inlineStr">
        <is>
          <t>See framework preamble for international standard references</t>
        </is>
      </c>
      <c r="AD212" s="49" t="inlineStr">
        <is>
          <t>Arabic (primary in KSA); English may be available</t>
        </is>
      </c>
      <c r="AE212" s="58" t="inlineStr">
        <is>
          <t>Mapped to relevant GH-ICGA layer — requires manual assessment</t>
        </is>
      </c>
      <c r="AF212" s="56" t="inlineStr">
        <is>
          <t>See official framework for maturity model details</t>
        </is>
      </c>
      <c r="AG212" s="190" t="inlineStr">
        <is>
          <t>Aligned with relevant Vision 2030 programme — see framework context</t>
        </is>
      </c>
      <c r="AH212" s="190" t="inlineStr">
        <is>
          <t>As specified in framework compliance requirements</t>
        </is>
      </c>
      <c r="AI212" s="193" t="inlineStr">
        <is>
          <t>Institutional theory and regulatory governance theory underpin all KSA regulatory frameworks. Specific theoretical basis varies by framework — consult academic literature via Google Scholar using framework name as search term.</t>
        </is>
      </c>
      <c r="AJ212" s="190" t="inlineStr">
        <is>
          <t>Academic debate varies by framework maturity and international adoption. For KSA-specific debate, consult: Almohammad &amp; Wills (2021) J Cybersecurity; Al-Khater et al. (2020) IEEE Access; Baker McKenzie KSA regulatory updates.</t>
        </is>
      </c>
      <c r="AK212" s="194" t="inlineStr">
        <is>
          <t>Known criticisms include: implementation gap between standards and practice; resource constraints for smaller healthcare entities; rapid technology evolution outpacing regulation. Consult framework evaluation literature for specifics.</t>
        </is>
      </c>
      <c r="AL212" s="195" t="inlineStr">
        <is>
          <t>Framework comparison requires contextual analysis. Key comparators: NIST CSF 2.0 (international benchmark), ISO 27001 (certifiable standard), ECC-2 (KSA mandatory baseline). See main database for cross-framework mapping.</t>
        </is>
      </c>
      <c r="AM212" s="19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12" s="197" t="inlineStr">
        <is>
          <t>Official: Consult the official source URL in the database for the primary document. Training: ISACA, ISC2, RAPS, IAPP, and HIMSS offer professional development covering most regulatory domains. Estimated hours vary by framework complexity.</t>
        </is>
      </c>
      <c r="AO212" s="198" t="inlineStr">
        <is>
          <t>Relevance to GH-ICGA framework varies by layer — see GH-ICGA Layer Mapping column. All KSA mandatory frameworks are compliance inputs to GH-ICGA Layer 4. Frameworks with IoMT-specific provisions directly inform Layers 2 and 3.</t>
        </is>
      </c>
      <c r="AP212" s="51" t="inlineStr">
        <is>
          <t>G + C (Governance + Compliance — standard regulatory framework positioning)</t>
        </is>
      </c>
      <c r="AQ212" s="26" t="inlineStr">
        <is>
          <t>Senior management: accountability for framework compliance. Designated compliance officer: monitor requirements. All staff: awareness of applicable obligations</t>
        </is>
      </c>
      <c r="AR212" s="194" t="inlineStr">
        <is>
          <t>Regulatory Risk; Operational Risk; Reputational Risk — specific domains determined by framework scope</t>
        </is>
      </c>
      <c r="AS212" s="22" t="inlineStr">
        <is>
          <t>See official source — legal obligation, regulatory requirement, or voluntary standard as applicable</t>
        </is>
      </c>
      <c r="AT212" s="195" t="inlineStr">
        <is>
          <t>Administrative; Technical; Operational — specific distribution determined by framework content</t>
        </is>
      </c>
      <c r="AU212" s="199" t="inlineStr">
        <is>
          <t>1. Compliance status (compliant/non-compliant). 2. # open findings from last assessment. 3. % controls implemented. 4. Time to remediate findings. 5. Incident rate in framework scope area</t>
        </is>
      </c>
      <c r="AV212" s="200" t="inlineStr">
        <is>
          <t>Self-assessment; internal audit; external assessment as specified by issuing authority</t>
        </is>
      </c>
      <c r="AW212" s="201" t="inlineStr">
        <is>
          <t>ServiceNow GRC; IBM OpenPages; RSA Archer; MetricStream — all major GRC platforms support custom framework import. Contact vendor for framework-specific module</t>
        </is>
      </c>
      <c r="AX212" s="202" t="inlineStr">
        <is>
          <t>Third parties in scope must demonstrate equivalent compliance. Contractual compliance obligations; right-to-audit clauses; annual third-party assessment</t>
        </is>
      </c>
      <c r="AY212" s="203" t="inlineStr">
        <is>
          <t>Non-compliance: regulatory action by issuing authority; fines and penalties as specified; operational and reputational consequences</t>
        </is>
      </c>
      <c r="AZ212" s="200" t="inlineStr">
        <is>
          <t>ALL 17 SECTORS</t>
        </is>
      </c>
      <c r="BA212" s="34" t="inlineStr">
        <is>
          <t>YES — ALL SECTORS</t>
        </is>
      </c>
      <c r="BB212" s="591">
        <f>IF(E212="","",IF(ISNUMBER(SEARCH("Institutional theory and regulatory governance theory underpin",AI212)),"TEMPLATE",IF(LEN(AI212)&gt;100,"DEEP",IF(AI212="","SPARSE","SHALLOW"))))</f>
        <v/>
      </c>
      <c r="BC212" s="591">
        <f>IF(E212="","",D212&amp;"-"&amp;B212&amp;"-"&amp;E212)</f>
        <v/>
      </c>
      <c r="BD212" s="591">
        <f>IF(E212="","",SUBSTITUTE(SUBSTITUTE(B212&amp;"-"&amp;E212," ",""),":","-"))</f>
        <v/>
      </c>
      <c r="BE212" s="591">
        <f>IF(E212="","",IF(ISNUMBER(SEARCH("ECC",E212)),"NCA-ECC-2-2024",IF(ISNUMBER(SEARCH("OTCC",E212)),"NCA-ECC-2-2024",IF(ISNUMBER(SEARCH("CCC",E212)),"NCA-ECC-2-2024",IF(ISNUMBER(SEARCH("DCC",E212)),"NCA-ECC-2-2024",IF(ISNUMBER(SEARCH("CSCC",E212)),"NCA-ECC-2-2024",IF(ISNUMBER(SEARCH("PDPL-IR",E212)),"PDPL-2021",IF(ISNUMBER(SEARCH("PDPL-DTR",E212)),"PDPL-2021","NONE"))))))))</f>
        <v/>
      </c>
      <c r="BF212" s="594">
        <f>IF(E212="","",IF(BB212="DEEP",10,IF(BB212="SHALLOW",5,IF(BB212="TEMPLATE",3,1)))+IF(N212="HIGHEST",5,IF(N212="HIGH",3,IF(N212="MODERATE",1,0)))+IF(ISNUMBER(SEARCH("Mandatory",L212)),3,0))</f>
        <v/>
      </c>
    </row>
    <row r="213" ht="42" customHeight="1">
      <c r="A213" s="42" t="n">
        <v>194</v>
      </c>
      <c r="B213" s="189" t="inlineStr">
        <is>
          <t>MIM</t>
        </is>
      </c>
      <c r="C213" s="44" t="inlineStr">
        <is>
          <t>Ministry of Industry &amp; Mineral Resources</t>
        </is>
      </c>
      <c r="D213" s="44" t="inlineStr">
        <is>
          <t>1. Ministries</t>
        </is>
      </c>
      <c r="E213" s="189" t="inlineStr">
        <is>
          <t>PDPL-2021</t>
        </is>
      </c>
      <c r="F213" s="45" t="inlineStr">
        <is>
          <t>Personal Data Protection Law</t>
        </is>
      </c>
      <c r="G213" s="44" t="inlineStr">
        <is>
          <t>نظام حماية البيانات الشخصية</t>
        </is>
      </c>
      <c r="H213" s="44" t="inlineStr">
        <is>
          <t>2021+IR 2023</t>
        </is>
      </c>
      <c r="I213" s="46" t="inlineStr">
        <is>
          <t>2021</t>
        </is>
      </c>
      <c r="J213" s="46" t="inlineStr">
        <is>
          <t>45</t>
        </is>
      </c>
      <c r="K213" s="44" t="inlineStr">
        <is>
          <t>MUST COMPLY WITH</t>
        </is>
      </c>
      <c r="L213" s="66" t="inlineStr">
        <is>
          <t>Mandatory Complier</t>
        </is>
      </c>
      <c r="M213" s="44" t="inlineStr">
        <is>
          <t>Ministry of Industry &amp; Mineral Resources processes personal data of employees and regulated parties</t>
        </is>
      </c>
      <c r="N213" s="59" t="inlineStr">
        <is>
          <t>LOW</t>
        </is>
      </c>
      <c r="O213" s="48" t="inlineStr">
        <is>
          <t>https://sdaia.gov.sa/</t>
        </is>
      </c>
      <c r="P213" s="44" t="inlineStr">
        <is>
          <t>SDAIA</t>
        </is>
      </c>
      <c r="Q213" s="190" t="inlineStr">
        <is>
          <t>Royal Decree M/19 (16 Sep 2021) → amended Apr 2023</t>
        </is>
      </c>
      <c r="R213" s="190" t="inlineStr">
        <is>
          <t>Original (2021): 19 articles covering consent, data subject rights, controller obligations, sensitive data (health = sensitive), cross-border transfer. Apr 2023 amendment: strengthened enforcement, clarified health data provisions, aligned with PDPL-IR-2023. Grace period for compliance ended Sep 14, 2024. Penalties: up to SAR 5 million fine + 2 years imprisonment for sensitive data breach</t>
        </is>
      </c>
      <c r="S213" s="191" t="inlineStr">
        <is>
          <t>Issued: Sep 2021. Amended: Apr 2023. Fully enforceable: Sep 14, 2024</t>
        </is>
      </c>
      <c r="T213" s="190" t="inlineStr">
        <is>
          <t>SDAIA reviews annually; amendments expected 2025-2026</t>
        </is>
      </c>
      <c r="U213" s="25" t="inlineStr">
        <is>
          <t>CURRENT — fully enforceable since Sep 2024</t>
        </is>
      </c>
      <c r="V213" s="190" t="inlineStr">
        <is>
          <t>Criminal offence: up to 2 years imprisonment + SAR 3M fine for disclosing sensitive data (health data = sensitive); administrative fine up to SAR 5M; mandatory breach notification to SDAIA within 72 hours; data subject compensation claims</t>
        </is>
      </c>
      <c r="W213" s="192" t="inlineStr">
        <is>
          <t>SDAIA — Data Protection Authority (DPA functions); NDMO for government entities; courts for criminal penalties</t>
        </is>
      </c>
      <c r="X213" s="190" t="inlineStr">
        <is>
          <t>Hospital; Clinic; Lab; Pharmacy; Health IT Vendor; Health Insurer; Government Health Entity; Medical Device Manufacturer (all processing patient data)</t>
        </is>
      </c>
      <c r="Y213" s="49" t="inlineStr">
        <is>
          <t>Both + foreign entities processing data of KSA residents</t>
        </is>
      </c>
      <c r="Z213" s="190" t="inlineStr">
        <is>
          <t>SDAIA audit; controller self-assessment; DPO oversight; data subject complaints trigger investigation</t>
        </is>
      </c>
      <c r="AA213" s="191" t="inlineStr">
        <is>
          <t>Continuous (breach notification: 72 hours); annual DPO report; SDAIA random audits</t>
        </is>
      </c>
      <c r="AB213" s="190" t="inlineStr">
        <is>
          <t>12 (IoMT data minimisation; purpose limitation; consent management for wearable data; automated decision-making; data subject rights for IoMT-generated health data; cross-border transfer of IoMT data)</t>
        </is>
      </c>
      <c r="AC213" s="190" t="inlineStr">
        <is>
          <t>GDPR (substantial alignment — adequate protection basis); APEC Privacy Framework; ISO 29100; ISO 27701</t>
        </is>
      </c>
      <c r="AD213" s="49" t="inlineStr">
        <is>
          <t>Arabic (official); English translation (unofficial)</t>
        </is>
      </c>
      <c r="AE213" s="50" t="inlineStr">
        <is>
          <t>Layer 4: Compliance; Layer 2: Risk Management</t>
        </is>
      </c>
      <c r="AF213" s="60" t="inlineStr">
        <is>
          <t>No formal maturity model; SDAIA publishes compliance guidance</t>
        </is>
      </c>
      <c r="AG213" s="190" t="inlineStr">
        <is>
          <t>National Data Strategy; Vision 2030 Digital Economy; Digital Government transformation</t>
        </is>
      </c>
      <c r="AH213" s="190" t="inlineStr">
        <is>
          <t>Privacy notices; consent records; DPO appointment letter; data mapping/flow diagrams; breach notification records; DPIA for health data processing; controller registration</t>
        </is>
      </c>
      <c r="AI213" s="193" t="inlineStr">
        <is>
          <t>Privacy as fundamental right (Warren &amp; Brandeis 1890; Westin 1967). Contextual integrity theory (Nissenbaum 2004): health data flows must match medical context norms. Regulatory theory: data protection authority independence and enforcement. Information asymmetry theory: patients cannot protect their own data without regulation.</t>
        </is>
      </c>
      <c r="AJ213" s="190" t="inlineStr">
        <is>
          <t>FOR: Long-overdue — KSA had no comprehensive data protection law until 2021; health data explicitly protected as sensitive category; aligns KSA with global adequacy standards. AGAINST: Alrawabdeh (2014) and Aldawood &amp; Skinner (2019) documented Saudi privacy culture gap — regulation without public awareness is ineffective; 'GDPR-lite' criticism: exemptions broader than GDPR, enforcement weaker; health data provisions in IR still less specific than UK GDPR Schedule 1 conditions</t>
        </is>
      </c>
      <c r="AK213" s="194" t="inlineStr">
        <is>
          <t>No independent supervisory authority (SDAIA is both promoter and regulator — conflict of interest noted by Baker McKenzie 2025); patient data portability rights weaker than GDPR Article 20; no explicit right to explanation for AI-automated health decisions; cross-border transfer rules changed twice in 12 months (regulatory instability); small healthcare providers lack capacity for DPO requirements</t>
        </is>
      </c>
      <c r="AL213" s="195" t="inlineStr">
        <is>
          <t>PDPL vs GDPR: PDPL penalty lower (SAR 5M vs €20M); PDPL broader government exemptions; GDPR has independent DPA, PDPL does not. PDPL vs HIPAA: PDPL = all personal data (broader); HIPAA = US-specific health data only. PDPL vs UK GDPR: PDPL misses explicit Schedule 1 health data conditions. PDPL ahead of HIPAA on consent granularity; behind GDPR on enforcement independence</t>
        </is>
      </c>
      <c r="AM213" s="196" t="inlineStr">
        <is>
          <t>Baker McKenzie (2025) Saudi Arabia PDPL Global Data &amp; Cyber Handbook; Alrawabdeh W (2014) 'Internet and Social Media Challenges in Arab World' EJSR; Westin AF (1967) Privacy and Freedom NY Atheneum; Nissenbaum H (2004) 'Privacy as Contextual Integrity' Washington Law Review 79(1); CMS Law (2025) Saudi Arabia Data Protection &amp; Cybersecurity Expert Guide Oct 2025</t>
        </is>
      </c>
      <c r="AN213" s="197" t="inlineStr">
        <is>
          <t>Official: SDAIA website (sdaia.gov.sa) — Arabic + English. Training: IAPP CIPM/CIPP/E (privacy certifications applicable); OneTrust PDPL compliance course; Baker McKenzie PDPL compliance guide. Language: Arabic primary — strong Arabic reading recommended. Estimated: 50 hours for health sector DPO competence</t>
        </is>
      </c>
      <c r="AO213" s="198" t="inlineStr">
        <is>
          <t>PRIMARY driver for GH-ICGA Layer 4 (Compliance) — PDPL is the legal foundation for patient data governance in the preliminary GH-ICGA framework. Thesis argument: GH-ICGA Layer 4 operationalises PDPL requirements into IoMT-specific controls (consent management for wearable data; purpose limitation for monitoring streams; breach response for connected device incidents)</t>
        </is>
      </c>
      <c r="AP213" s="51" t="inlineStr">
        <is>
          <t>G + C (Governance + Compliance — strong compliance driver; risk implicit)</t>
        </is>
      </c>
      <c r="AQ213" s="26" t="inlineStr">
        <is>
          <t>Board/CEO: ultimate accountability for PDPL compliance. DPO: mandatory for large-scale health data processors — reports to highest management level. Privacy Committee: cross-functional oversight. All staff processing personal data: mandatory privacy awareness training annually</t>
        </is>
      </c>
      <c r="AR213" s="194" t="inlineStr">
        <is>
          <t>Privacy Risk (PRIMARY); Legal/Regulatory Risk; Reputational Risk; Strategic Risk (data monetisation constraints); Cross-Border Risk (data transfer restrictions)</t>
        </is>
      </c>
      <c r="AS213" s="22" t="inlineStr">
        <is>
          <t>LEGAL — Royal Decree M/19 2021 + Implementing Regulations Sep 2023. Criminal: imprisonment up to 2 years + SAR 3M fine for sensitive data disclosure. Administrative: SAR 5M maximum fine. Civil: data subject compensation claims</t>
        </is>
      </c>
      <c r="AT213" s="195" t="inlineStr">
        <is>
          <t>Administrative (A): consent management; privacy notices; DPO appointment; DPIA process; breach notification procedure. Technical (T): data minimisation; pseudonymisation; access controls for personal data; encryption. Operational (O): data retention enforcement; data subject rights fulfilment process; cross-border transfer review</t>
        </is>
      </c>
      <c r="AU213" s="199" t="inlineStr">
        <is>
          <t>1. # data subject rights requests fulfilled on time (target: 100% within 30 days). 2. # data breaches notified to SDAIA within 72h (target: 100%). 3. % staff completed privacy training (target: 100%). 4. # DPIAs completed for high-risk processing activities. 5. Data retention compliance rate (% records within policy). 6. % third-party processors with DPA agreements</t>
        </is>
      </c>
      <c r="AV213" s="200" t="inlineStr">
        <is>
          <t>Annual DPIA review; data mapping audit (controller record validation); consent record audit; breach response simulation (tabletop); access control review for personal data systems; third-party processor audit; SDAIA compliance self-assessment</t>
        </is>
      </c>
      <c r="AW213" s="201" t="inlineStr">
        <is>
          <t>OneTrust (market leader for PDPL); TrustArc; Nymity; DataGrail; Varonis (data discovery); Microsoft Purview (data classification). SDAIA National Data Governance Platform for registration. Arabic-capable tools preferred</t>
        </is>
      </c>
      <c r="AX213" s="202" t="inlineStr">
        <is>
          <t>All third-party data processors must have Data Processing Agreement (DPA). Processors must demonstrate equivalent PDPL compliance. Cross-border transfers require adequacy assessment or appropriate safeguards. Sub-processor disclosure mandatory. Annual processor risk assessment required</t>
        </is>
      </c>
      <c r="AY213" s="203" t="inlineStr">
        <is>
          <t>Non-compliance: SAR 5M administrative fine; criminal prosecution for sensitive data breach; SDAIA investigation; mandatory breach public disclosure. Business disruption: SDAIA can order processing suspension. Reputational: patient trust damage. Market: EU adequate protection status depends on PDPL enforcement credibility</t>
        </is>
      </c>
      <c r="AZ213" s="200" t="inlineStr">
        <is>
          <t>ALL 17 SECTORS — any entity processing personal data</t>
        </is>
      </c>
      <c r="BA213" s="34" t="inlineStr">
        <is>
          <t>YES — ALL SECTORS</t>
        </is>
      </c>
      <c r="BB213" s="591">
        <f>IF(E213="","",IF(ISNUMBER(SEARCH("Institutional theory and regulatory governance theory underpin",AI213)),"TEMPLATE",IF(LEN(AI213)&gt;100,"DEEP",IF(AI213="","SPARSE","SHALLOW"))))</f>
        <v/>
      </c>
      <c r="BC213" s="591">
        <f>IF(E213="","",D213&amp;"-"&amp;B213&amp;"-"&amp;E213)</f>
        <v/>
      </c>
      <c r="BD213" s="591">
        <f>IF(E213="","",SUBSTITUTE(SUBSTITUTE(B213&amp;"-"&amp;E213," ",""),":","-"))</f>
        <v/>
      </c>
      <c r="BE213" s="591">
        <f>IF(E213="","",IF(ISNUMBER(SEARCH("ECC",E213)),"NCA-ECC-2-2024",IF(ISNUMBER(SEARCH("OTCC",E213)),"NCA-ECC-2-2024",IF(ISNUMBER(SEARCH("CCC",E213)),"NCA-ECC-2-2024",IF(ISNUMBER(SEARCH("DCC",E213)),"NCA-ECC-2-2024",IF(ISNUMBER(SEARCH("CSCC",E213)),"NCA-ECC-2-2024",IF(ISNUMBER(SEARCH("PDPL-IR",E213)),"PDPL-2021",IF(ISNUMBER(SEARCH("PDPL-DTR",E213)),"PDPL-2021","NONE"))))))))</f>
        <v/>
      </c>
      <c r="BF213" s="594">
        <f>IF(E213="","",IF(BB213="DEEP",10,IF(BB213="SHALLOW",5,IF(BB213="TEMPLATE",3,1)))+IF(N213="HIGHEST",5,IF(N213="HIGH",3,IF(N213="MODERATE",1,0)))+IF(ISNUMBER(SEARCH("Mandatory",L213)),3,0))</f>
        <v/>
      </c>
    </row>
    <row r="214" ht="42" customHeight="1">
      <c r="A214" s="204" t="n">
        <v>195</v>
      </c>
      <c r="B214" s="205" t="inlineStr">
        <is>
          <t>MISA</t>
        </is>
      </c>
      <c r="C214" s="190" t="inlineStr">
        <is>
          <t>Ministry of Investment</t>
        </is>
      </c>
      <c r="D214" s="190" t="inlineStr">
        <is>
          <t>1. Ministries</t>
        </is>
      </c>
      <c r="E214" s="205" t="inlineStr">
        <is>
          <t>MISA-LAW</t>
        </is>
      </c>
      <c r="F214" s="192" t="inlineStr">
        <is>
          <t>Investment Law</t>
        </is>
      </c>
      <c r="G214" s="190" t="inlineStr">
        <is>
          <t>قانون/نظام اللوائح الرئيسية</t>
        </is>
      </c>
      <c r="H214" s="190" t="inlineStr">
        <is>
          <t>Active/Updated</t>
        </is>
      </c>
      <c r="I214" s="191" t="inlineStr">
        <is>
          <t>2000</t>
        </is>
      </c>
      <c r="J214" s="191" t="inlineStr">
        <is>
          <t>N/A</t>
        </is>
      </c>
      <c r="K214" s="190" t="inlineStr">
        <is>
          <t>ISSUES/ENFORCES</t>
        </is>
      </c>
      <c r="L214" s="22" t="inlineStr">
        <is>
          <t>Mandatory Enforcer</t>
        </is>
      </c>
      <c r="M214" s="190" t="inlineStr">
        <is>
          <t>Entities regulated by this ministry</t>
        </is>
      </c>
      <c r="N214" s="208" t="inlineStr">
        <is>
          <t>MODERATE</t>
        </is>
      </c>
      <c r="O214" s="207" t="inlineStr">
        <is>
          <t>https://misa.gov.sa or via www.moi.gov.sa</t>
        </is>
      </c>
      <c r="P214" s="190" t="inlineStr">
        <is>
          <t>Ministry official; BOE regulations archive</t>
        </is>
      </c>
      <c r="Q214" s="190" t="inlineStr">
        <is>
          <t>See official source for version history</t>
        </is>
      </c>
      <c r="R214" s="190" t="inlineStr">
        <is>
          <t>Framework issued by the relevant authority. Version details available on the official website referenced in the source URL column. The framework has been updated periodically since first issuance.</t>
        </is>
      </c>
      <c r="S214" s="191" t="inlineStr">
        <is>
          <t>See official source</t>
        </is>
      </c>
      <c r="T214" s="190" t="inlineStr">
        <is>
          <t>Updated as needed by the issuing authority</t>
        </is>
      </c>
      <c r="U214" s="25" t="inlineStr">
        <is>
          <t>CURRENT — consult official source for latest version</t>
        </is>
      </c>
      <c r="V214" s="190" t="inlineStr">
        <is>
          <t>Penalties defined by issuing authority; consult official source. NCA ECC-2 penalties apply if relevant</t>
        </is>
      </c>
      <c r="W214" s="192" t="inlineStr">
        <is>
          <t>Issuing authority and/or designated inspection department</t>
        </is>
      </c>
      <c r="X214" s="190" t="inlineStr">
        <is>
          <t>As specified in framework scope — consult official document</t>
        </is>
      </c>
      <c r="Y214" s="49" t="inlineStr">
        <is>
          <t>Both (unless specified otherwise in official document)</t>
        </is>
      </c>
      <c r="Z214" s="190" t="inlineStr">
        <is>
          <t>As defined by issuing authority</t>
        </is>
      </c>
      <c r="AA214" s="191" t="inlineStr">
        <is>
          <t>As defined by issuing authority</t>
        </is>
      </c>
      <c r="AB214" s="190" t="inlineStr">
        <is>
          <t>To be determined from framework text — see official source</t>
        </is>
      </c>
      <c r="AC214" s="190" t="inlineStr">
        <is>
          <t>See framework preamble for international standard references</t>
        </is>
      </c>
      <c r="AD214" s="49" t="inlineStr">
        <is>
          <t>Arabic (primary in KSA); English may be available</t>
        </is>
      </c>
      <c r="AE214" s="58" t="inlineStr">
        <is>
          <t>Mapped to relevant GH-ICGA layer — requires manual assessment</t>
        </is>
      </c>
      <c r="AF214" s="56" t="inlineStr">
        <is>
          <t>See official framework for maturity model details</t>
        </is>
      </c>
      <c r="AG214" s="190" t="inlineStr">
        <is>
          <t>Aligned with relevant Vision 2030 programme — see framework context</t>
        </is>
      </c>
      <c r="AH214" s="190" t="inlineStr">
        <is>
          <t>As specified in framework compliance requirements</t>
        </is>
      </c>
      <c r="AI214" s="193" t="inlineStr">
        <is>
          <t>Institutional theory and regulatory governance theory underpin all KSA regulatory frameworks. Specific theoretical basis varies by framework — consult academic literature via Google Scholar using framework name as search term.</t>
        </is>
      </c>
      <c r="AJ214" s="190" t="inlineStr">
        <is>
          <t>Academic debate varies by framework maturity and international adoption. For KSA-specific debate, consult: Almohammad &amp; Wills (2021) J Cybersecurity; Al-Khater et al. (2020) IEEE Access; Baker McKenzie KSA regulatory updates.</t>
        </is>
      </c>
      <c r="AK214" s="194" t="inlineStr">
        <is>
          <t>Known criticisms include: implementation gap between standards and practice; resource constraints for smaller healthcare entities; rapid technology evolution outpacing regulation. Consult framework evaluation literature for specifics.</t>
        </is>
      </c>
      <c r="AL214" s="195" t="inlineStr">
        <is>
          <t>Framework comparison requires contextual analysis. Key comparators: NIST CSF 2.0 (international benchmark), ISO 27001 (certifiable standard), ECC-2 (KSA mandatory baseline). See main database for cross-framework mapping.</t>
        </is>
      </c>
      <c r="AM214" s="19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14" s="197" t="inlineStr">
        <is>
          <t>Official: Consult the official source URL in the database for the primary document. Training: ISACA, ISC2, RAPS, IAPP, and HIMSS offer professional development covering most regulatory domains. Estimated hours vary by framework complexity.</t>
        </is>
      </c>
      <c r="AO214" s="198" t="inlineStr">
        <is>
          <t>Relevance to GH-ICGA framework varies by layer — see GH-ICGA Layer Mapping column. All KSA mandatory frameworks are compliance inputs to GH-ICGA Layer 4. Frameworks with IoMT-specific provisions directly inform Layers 2 and 3.</t>
        </is>
      </c>
      <c r="AP214" s="51" t="inlineStr">
        <is>
          <t>G + C (Governance + Compliance — standard regulatory framework positioning)</t>
        </is>
      </c>
      <c r="AQ214" s="26" t="inlineStr">
        <is>
          <t>Senior management: accountability for framework compliance. Designated compliance officer: monitor requirements. All staff: awareness of applicable obligations</t>
        </is>
      </c>
      <c r="AR214" s="194" t="inlineStr">
        <is>
          <t>Regulatory Risk; Operational Risk; Reputational Risk — specific domains determined by framework scope</t>
        </is>
      </c>
      <c r="AS214" s="22" t="inlineStr">
        <is>
          <t>See official source — legal obligation, regulatory requirement, or voluntary standard as applicable</t>
        </is>
      </c>
      <c r="AT214" s="195" t="inlineStr">
        <is>
          <t>Administrative; Technical; Operational — specific distribution determined by framework content</t>
        </is>
      </c>
      <c r="AU214" s="199" t="inlineStr">
        <is>
          <t>1. Compliance status (compliant/non-compliant). 2. # open findings from last assessment. 3. % controls implemented. 4. Time to remediate findings. 5. Incident rate in framework scope area</t>
        </is>
      </c>
      <c r="AV214" s="200" t="inlineStr">
        <is>
          <t>Self-assessment; internal audit; external assessment as specified by issuing authority</t>
        </is>
      </c>
      <c r="AW214" s="201" t="inlineStr">
        <is>
          <t>ServiceNow GRC; IBM OpenPages; RSA Archer; MetricStream — all major GRC platforms support custom framework import. Contact vendor for framework-specific module</t>
        </is>
      </c>
      <c r="AX214" s="202" t="inlineStr">
        <is>
          <t>Third parties in scope must demonstrate equivalent compliance. Contractual compliance obligations; right-to-audit clauses; annual third-party assessment</t>
        </is>
      </c>
      <c r="AY214" s="203" t="inlineStr">
        <is>
          <t>Non-compliance: regulatory action by issuing authority; fines and penalties as specified; operational and reputational consequences</t>
        </is>
      </c>
      <c r="AZ214" s="200" t="inlineStr">
        <is>
          <t>Sector-specific — consult official source</t>
        </is>
      </c>
      <c r="BA214" s="41" t="inlineStr">
        <is>
          <t>Sector-Specific</t>
        </is>
      </c>
      <c r="BB214" s="591">
        <f>IF(E214="","",IF(ISNUMBER(SEARCH("Institutional theory and regulatory governance theory underpin",AI214)),"TEMPLATE",IF(LEN(AI214)&gt;100,"DEEP",IF(AI214="","SPARSE","SHALLOW"))))</f>
        <v/>
      </c>
      <c r="BC214" s="591">
        <f>IF(E214="","",D214&amp;"-"&amp;B214&amp;"-"&amp;E214)</f>
        <v/>
      </c>
      <c r="BD214" s="591">
        <f>IF(E214="","",SUBSTITUTE(SUBSTITUTE(B214&amp;"-"&amp;E214," ",""),":","-"))</f>
        <v/>
      </c>
      <c r="BE214" s="591">
        <f>IF(E214="","",IF(ISNUMBER(SEARCH("ECC",E214)),"NCA-ECC-2-2024",IF(ISNUMBER(SEARCH("OTCC",E214)),"NCA-ECC-2-2024",IF(ISNUMBER(SEARCH("CCC",E214)),"NCA-ECC-2-2024",IF(ISNUMBER(SEARCH("DCC",E214)),"NCA-ECC-2-2024",IF(ISNUMBER(SEARCH("CSCC",E214)),"NCA-ECC-2-2024",IF(ISNUMBER(SEARCH("PDPL-IR",E214)),"PDPL-2021",IF(ISNUMBER(SEARCH("PDPL-DTR",E214)),"PDPL-2021","NONE"))))))))</f>
        <v/>
      </c>
      <c r="BF214" s="594">
        <f>IF(E214="","",IF(BB214="DEEP",10,IF(BB214="SHALLOW",5,IF(BB214="TEMPLATE",3,1)))+IF(N214="HIGHEST",5,IF(N214="HIGH",3,IF(N214="MODERATE",1,0)))+IF(ISNUMBER(SEARCH("Mandatory",L214)),3,0))</f>
        <v/>
      </c>
    </row>
    <row r="215" ht="42" customHeight="1">
      <c r="A215" s="42" t="n">
        <v>196</v>
      </c>
      <c r="B215" s="189" t="inlineStr">
        <is>
          <t>MISA</t>
        </is>
      </c>
      <c r="C215" s="44" t="inlineStr">
        <is>
          <t>Ministry of Investment</t>
        </is>
      </c>
      <c r="D215" s="44" t="inlineStr">
        <is>
          <t>1. Ministries</t>
        </is>
      </c>
      <c r="E215" s="189" t="inlineStr">
        <is>
          <t>NCA-ECC-2:2024</t>
        </is>
      </c>
      <c r="F215" s="45" t="inlineStr">
        <is>
          <t>Essential Cybersecurity Controls</t>
        </is>
      </c>
      <c r="G215" s="44" t="inlineStr">
        <is>
          <t>ضوابط الأمن السيبراني الأساسية</t>
        </is>
      </c>
      <c r="H215" s="44" t="inlineStr">
        <is>
          <t>ECC-2:2024</t>
        </is>
      </c>
      <c r="I215" s="46" t="inlineStr">
        <is>
          <t>2018</t>
        </is>
      </c>
      <c r="J215" s="46" t="inlineStr">
        <is>
          <t>108</t>
        </is>
      </c>
      <c r="K215" s="44" t="inlineStr">
        <is>
          <t>MUST COMPLY WITH</t>
        </is>
      </c>
      <c r="L215" s="66" t="inlineStr">
        <is>
          <t>Mandatory Complier</t>
        </is>
      </c>
      <c r="M215" s="44" t="inlineStr">
        <is>
          <t>Ministry of Investment as government entity</t>
        </is>
      </c>
      <c r="N215" s="59" t="inlineStr">
        <is>
          <t>LOW</t>
        </is>
      </c>
      <c r="O215" s="48" t="inlineStr">
        <is>
          <t>https://nca.gov.sa/</t>
        </is>
      </c>
      <c r="P215" s="44" t="inlineStr">
        <is>
          <t>NCA ECC scope</t>
        </is>
      </c>
      <c r="Q215" s="190" t="inlineStr">
        <is>
          <t>See official source for version history</t>
        </is>
      </c>
      <c r="R215" s="190" t="inlineStr">
        <is>
          <t>Framework issued by the relevant authority. Version details available on the official website referenced in the source URL column. The framework has been updated periodically since first issuance.</t>
        </is>
      </c>
      <c r="S215" s="191" t="inlineStr">
        <is>
          <t>See official source</t>
        </is>
      </c>
      <c r="T215" s="190" t="inlineStr">
        <is>
          <t>Updated as needed by the issuing authority</t>
        </is>
      </c>
      <c r="U215" s="25" t="inlineStr">
        <is>
          <t>CURRENT — consult official source for latest version</t>
        </is>
      </c>
      <c r="V215" s="190" t="inlineStr">
        <is>
          <t>Penalties defined by issuing authority; consult official source. NCA ECC-2 penalties apply if relevant</t>
        </is>
      </c>
      <c r="W215" s="192" t="inlineStr">
        <is>
          <t>Issuing authority and/or designated inspection department</t>
        </is>
      </c>
      <c r="X215" s="190" t="inlineStr">
        <is>
          <t>As specified in framework scope — consult official document</t>
        </is>
      </c>
      <c r="Y215" s="49" t="inlineStr">
        <is>
          <t>Both (unless specified otherwise in official document)</t>
        </is>
      </c>
      <c r="Z215" s="190" t="inlineStr">
        <is>
          <t>As defined by issuing authority</t>
        </is>
      </c>
      <c r="AA215" s="191" t="inlineStr">
        <is>
          <t>As defined by issuing authority</t>
        </is>
      </c>
      <c r="AB215" s="190" t="inlineStr">
        <is>
          <t>To be determined from framework text — see official source</t>
        </is>
      </c>
      <c r="AC215" s="190" t="inlineStr">
        <is>
          <t>See framework preamble for international standard references</t>
        </is>
      </c>
      <c r="AD215" s="49" t="inlineStr">
        <is>
          <t>Arabic (primary in KSA); English may be available</t>
        </is>
      </c>
      <c r="AE215" s="58" t="inlineStr">
        <is>
          <t>Mapped to relevant GH-ICGA layer — requires manual assessment</t>
        </is>
      </c>
      <c r="AF215" s="56" t="inlineStr">
        <is>
          <t>See official framework for maturity model details</t>
        </is>
      </c>
      <c r="AG215" s="190" t="inlineStr">
        <is>
          <t>Aligned with relevant Vision 2030 programme — see framework context</t>
        </is>
      </c>
      <c r="AH215" s="190" t="inlineStr">
        <is>
          <t>As specified in framework compliance requirements</t>
        </is>
      </c>
      <c r="AI215" s="193" t="inlineStr">
        <is>
          <t>Institutional theory and regulatory governance theory underpin all KSA regulatory frameworks. Specific theoretical basis varies by framework — consult academic literature via Google Scholar using framework name as search term.</t>
        </is>
      </c>
      <c r="AJ215" s="190" t="inlineStr">
        <is>
          <t>Academic debate varies by framework maturity and international adoption. For KSA-specific debate, consult: Almohammad &amp; Wills (2021) J Cybersecurity; Al-Khater et al. (2020) IEEE Access; Baker McKenzie KSA regulatory updates.</t>
        </is>
      </c>
      <c r="AK215" s="194" t="inlineStr">
        <is>
          <t>Known criticisms include: implementation gap between standards and practice; resource constraints for smaller healthcare entities; rapid technology evolution outpacing regulation. Consult framework evaluation literature for specifics.</t>
        </is>
      </c>
      <c r="AL215" s="195" t="inlineStr">
        <is>
          <t>Framework comparison requires contextual analysis. Key comparators: NIST CSF 2.0 (international benchmark), ISO 27001 (certifiable standard), ECC-2 (KSA mandatory baseline). See main database for cross-framework mapping.</t>
        </is>
      </c>
      <c r="AM215" s="19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15" s="197" t="inlineStr">
        <is>
          <t>Official: Consult the official source URL in the database for the primary document. Training: ISACA, ISC2, RAPS, IAPP, and HIMSS offer professional development covering most regulatory domains. Estimated hours vary by framework complexity.</t>
        </is>
      </c>
      <c r="AO215" s="198" t="inlineStr">
        <is>
          <t>Relevance to GH-ICGA framework varies by layer — see GH-ICGA Layer Mapping column. All KSA mandatory frameworks are compliance inputs to GH-ICGA Layer 4. Frameworks with IoMT-specific provisions directly inform Layers 2 and 3.</t>
        </is>
      </c>
      <c r="AP215" s="51" t="inlineStr">
        <is>
          <t>G + C (Governance + Compliance — standard regulatory framework positioning)</t>
        </is>
      </c>
      <c r="AQ215" s="26" t="inlineStr">
        <is>
          <t>Senior management: accountability for framework compliance. Designated compliance officer: monitor requirements. All staff: awareness of applicable obligations</t>
        </is>
      </c>
      <c r="AR215" s="194" t="inlineStr">
        <is>
          <t>Regulatory Risk; Operational Risk; Reputational Risk — specific domains determined by framework scope</t>
        </is>
      </c>
      <c r="AS215" s="22" t="inlineStr">
        <is>
          <t>See official source — legal obligation, regulatory requirement, or voluntary standard as applicable</t>
        </is>
      </c>
      <c r="AT215" s="195" t="inlineStr">
        <is>
          <t>Administrative; Technical; Operational — specific distribution determined by framework content</t>
        </is>
      </c>
      <c r="AU215" s="199" t="inlineStr">
        <is>
          <t>1. Compliance status (compliant/non-compliant). 2. # open findings from last assessment. 3. % controls implemented. 4. Time to remediate findings. 5. Incident rate in framework scope area</t>
        </is>
      </c>
      <c r="AV215" s="200" t="inlineStr">
        <is>
          <t>Self-assessment; internal audit; external assessment as specified by issuing authority</t>
        </is>
      </c>
      <c r="AW215" s="201" t="inlineStr">
        <is>
          <t>ServiceNow GRC; IBM OpenPages; RSA Archer; MetricStream — all major GRC platforms support custom framework import. Contact vendor for framework-specific module</t>
        </is>
      </c>
      <c r="AX215" s="202" t="inlineStr">
        <is>
          <t>Third parties in scope must demonstrate equivalent compliance. Contractual compliance obligations; right-to-audit clauses; annual third-party assessment</t>
        </is>
      </c>
      <c r="AY215" s="203" t="inlineStr">
        <is>
          <t>Non-compliance: regulatory action by issuing authority; fines and penalties as specified; operational and reputational consequences</t>
        </is>
      </c>
      <c r="AZ215" s="200" t="inlineStr">
        <is>
          <t>ALL 17 SECTORS</t>
        </is>
      </c>
      <c r="BA215" s="34" t="inlineStr">
        <is>
          <t>YES — ALL SECTORS</t>
        </is>
      </c>
      <c r="BB215" s="591">
        <f>IF(E215="","",IF(ISNUMBER(SEARCH("Institutional theory and regulatory governance theory underpin",AI215)),"TEMPLATE",IF(LEN(AI215)&gt;100,"DEEP",IF(AI215="","SPARSE","SHALLOW"))))</f>
        <v/>
      </c>
      <c r="BC215" s="591">
        <f>IF(E215="","",D215&amp;"-"&amp;B215&amp;"-"&amp;E215)</f>
        <v/>
      </c>
      <c r="BD215" s="591">
        <f>IF(E215="","",SUBSTITUTE(SUBSTITUTE(B215&amp;"-"&amp;E215," ",""),":","-"))</f>
        <v/>
      </c>
      <c r="BE215" s="591">
        <f>IF(E215="","",IF(ISNUMBER(SEARCH("ECC",E215)),"NCA-ECC-2-2024",IF(ISNUMBER(SEARCH("OTCC",E215)),"NCA-ECC-2-2024",IF(ISNUMBER(SEARCH("CCC",E215)),"NCA-ECC-2-2024",IF(ISNUMBER(SEARCH("DCC",E215)),"NCA-ECC-2-2024",IF(ISNUMBER(SEARCH("CSCC",E215)),"NCA-ECC-2-2024",IF(ISNUMBER(SEARCH("PDPL-IR",E215)),"PDPL-2021",IF(ISNUMBER(SEARCH("PDPL-DTR",E215)),"PDPL-2021","NONE"))))))))</f>
        <v/>
      </c>
      <c r="BF215" s="594">
        <f>IF(E215="","",IF(BB215="DEEP",10,IF(BB215="SHALLOW",5,IF(BB215="TEMPLATE",3,1)))+IF(N215="HIGHEST",5,IF(N215="HIGH",3,IF(N215="MODERATE",1,0)))+IF(ISNUMBER(SEARCH("Mandatory",L215)),3,0))</f>
        <v/>
      </c>
    </row>
    <row r="216" ht="42" customHeight="1">
      <c r="A216" s="204" t="n">
        <v>197</v>
      </c>
      <c r="B216" s="205" t="inlineStr">
        <is>
          <t>MISA</t>
        </is>
      </c>
      <c r="C216" s="190" t="inlineStr">
        <is>
          <t>Ministry of Investment</t>
        </is>
      </c>
      <c r="D216" s="190" t="inlineStr">
        <is>
          <t>1. Ministries</t>
        </is>
      </c>
      <c r="E216" s="205" t="inlineStr">
        <is>
          <t>PDPL-2021</t>
        </is>
      </c>
      <c r="F216" s="192" t="inlineStr">
        <is>
          <t>Personal Data Protection Law</t>
        </is>
      </c>
      <c r="G216" s="190" t="inlineStr">
        <is>
          <t>نظام حماية البيانات الشخصية</t>
        </is>
      </c>
      <c r="H216" s="190" t="inlineStr">
        <is>
          <t>2021+IR 2023</t>
        </is>
      </c>
      <c r="I216" s="191" t="inlineStr">
        <is>
          <t>2021</t>
        </is>
      </c>
      <c r="J216" s="191" t="inlineStr">
        <is>
          <t>45</t>
        </is>
      </c>
      <c r="K216" s="190" t="inlineStr">
        <is>
          <t>MUST COMPLY WITH</t>
        </is>
      </c>
      <c r="L216" s="66" t="inlineStr">
        <is>
          <t>Mandatory Complier</t>
        </is>
      </c>
      <c r="M216" s="190" t="inlineStr">
        <is>
          <t>Ministry of Investment processes personal data of employees and regulated parties</t>
        </is>
      </c>
      <c r="N216" s="209" t="inlineStr">
        <is>
          <t>LOW</t>
        </is>
      </c>
      <c r="O216" s="207" t="inlineStr">
        <is>
          <t>https://sdaia.gov.sa/</t>
        </is>
      </c>
      <c r="P216" s="190" t="inlineStr">
        <is>
          <t>SDAIA</t>
        </is>
      </c>
      <c r="Q216" s="190" t="inlineStr">
        <is>
          <t>Royal Decree M/19 (16 Sep 2021) → amended Apr 2023</t>
        </is>
      </c>
      <c r="R216" s="190" t="inlineStr">
        <is>
          <t>Original (2021): 19 articles covering consent, data subject rights, controller obligations, sensitive data (health = sensitive), cross-border transfer. Apr 2023 amendment: strengthened enforcement, clarified health data provisions, aligned with PDPL-IR-2023. Grace period for compliance ended Sep 14, 2024. Penalties: up to SAR 5 million fine + 2 years imprisonment for sensitive data breach</t>
        </is>
      </c>
      <c r="S216" s="191" t="inlineStr">
        <is>
          <t>Issued: Sep 2021. Amended: Apr 2023. Fully enforceable: Sep 14, 2024</t>
        </is>
      </c>
      <c r="T216" s="190" t="inlineStr">
        <is>
          <t>SDAIA reviews annually; amendments expected 2025-2026</t>
        </is>
      </c>
      <c r="U216" s="25" t="inlineStr">
        <is>
          <t>CURRENT — fully enforceable since Sep 2024</t>
        </is>
      </c>
      <c r="V216" s="190" t="inlineStr">
        <is>
          <t>Criminal offence: up to 2 years imprisonment + SAR 3M fine for disclosing sensitive data (health data = sensitive); administrative fine up to SAR 5M; mandatory breach notification to SDAIA within 72 hours; data subject compensation claims</t>
        </is>
      </c>
      <c r="W216" s="192" t="inlineStr">
        <is>
          <t>SDAIA — Data Protection Authority (DPA functions); NDMO for government entities; courts for criminal penalties</t>
        </is>
      </c>
      <c r="X216" s="190" t="inlineStr">
        <is>
          <t>Hospital; Clinic; Lab; Pharmacy; Health IT Vendor; Health Insurer; Government Health Entity; Medical Device Manufacturer (all processing patient data)</t>
        </is>
      </c>
      <c r="Y216" s="49" t="inlineStr">
        <is>
          <t>Both + foreign entities processing data of KSA residents</t>
        </is>
      </c>
      <c r="Z216" s="190" t="inlineStr">
        <is>
          <t>SDAIA audit; controller self-assessment; DPO oversight; data subject complaints trigger investigation</t>
        </is>
      </c>
      <c r="AA216" s="191" t="inlineStr">
        <is>
          <t>Continuous (breach notification: 72 hours); annual DPO report; SDAIA random audits</t>
        </is>
      </c>
      <c r="AB216" s="190" t="inlineStr">
        <is>
          <t>12 (IoMT data minimisation; purpose limitation; consent management for wearable data; automated decision-making; data subject rights for IoMT-generated health data; cross-border transfer of IoMT data)</t>
        </is>
      </c>
      <c r="AC216" s="190" t="inlineStr">
        <is>
          <t>GDPR (substantial alignment — adequate protection basis); APEC Privacy Framework; ISO 29100; ISO 27701</t>
        </is>
      </c>
      <c r="AD216" s="49" t="inlineStr">
        <is>
          <t>Arabic (official); English translation (unofficial)</t>
        </is>
      </c>
      <c r="AE216" s="50" t="inlineStr">
        <is>
          <t>Layer 4: Compliance; Layer 2: Risk Management</t>
        </is>
      </c>
      <c r="AF216" s="60" t="inlineStr">
        <is>
          <t>No formal maturity model; SDAIA publishes compliance guidance</t>
        </is>
      </c>
      <c r="AG216" s="190" t="inlineStr">
        <is>
          <t>National Data Strategy; Vision 2030 Digital Economy; Digital Government transformation</t>
        </is>
      </c>
      <c r="AH216" s="190" t="inlineStr">
        <is>
          <t>Privacy notices; consent records; DPO appointment letter; data mapping/flow diagrams; breach notification records; DPIA for health data processing; controller registration</t>
        </is>
      </c>
      <c r="AI216" s="193" t="inlineStr">
        <is>
          <t>Privacy as fundamental right (Warren &amp; Brandeis 1890; Westin 1967). Contextual integrity theory (Nissenbaum 2004): health data flows must match medical context norms. Regulatory theory: data protection authority independence and enforcement. Information asymmetry theory: patients cannot protect their own data without regulation.</t>
        </is>
      </c>
      <c r="AJ216" s="190" t="inlineStr">
        <is>
          <t>FOR: Long-overdue — KSA had no comprehensive data protection law until 2021; health data explicitly protected as sensitive category; aligns KSA with global adequacy standards. AGAINST: Alrawabdeh (2014) and Aldawood &amp; Skinner (2019) documented Saudi privacy culture gap — regulation without public awareness is ineffective; 'GDPR-lite' criticism: exemptions broader than GDPR, enforcement weaker; health data provisions in IR still less specific than UK GDPR Schedule 1 conditions</t>
        </is>
      </c>
      <c r="AK216" s="194" t="inlineStr">
        <is>
          <t>No independent supervisory authority (SDAIA is both promoter and regulator — conflict of interest noted by Baker McKenzie 2025); patient data portability rights weaker than GDPR Article 20; no explicit right to explanation for AI-automated health decisions; cross-border transfer rules changed twice in 12 months (regulatory instability); small healthcare providers lack capacity for DPO requirements</t>
        </is>
      </c>
      <c r="AL216" s="195" t="inlineStr">
        <is>
          <t>PDPL vs GDPR: PDPL penalty lower (SAR 5M vs €20M); PDPL broader government exemptions; GDPR has independent DPA, PDPL does not. PDPL vs HIPAA: PDPL = all personal data (broader); HIPAA = US-specific health data only. PDPL vs UK GDPR: PDPL misses explicit Schedule 1 health data conditions. PDPL ahead of HIPAA on consent granularity; behind GDPR on enforcement independence</t>
        </is>
      </c>
      <c r="AM216" s="196" t="inlineStr">
        <is>
          <t>Baker McKenzie (2025) Saudi Arabia PDPL Global Data &amp; Cyber Handbook; Alrawabdeh W (2014) 'Internet and Social Media Challenges in Arab World' EJSR; Westin AF (1967) Privacy and Freedom NY Atheneum; Nissenbaum H (2004) 'Privacy as Contextual Integrity' Washington Law Review 79(1); CMS Law (2025) Saudi Arabia Data Protection &amp; Cybersecurity Expert Guide Oct 2025</t>
        </is>
      </c>
      <c r="AN216" s="197" t="inlineStr">
        <is>
          <t>Official: SDAIA website (sdaia.gov.sa) — Arabic + English. Training: IAPP CIPM/CIPP/E (privacy certifications applicable); OneTrust PDPL compliance course; Baker McKenzie PDPL compliance guide. Language: Arabic primary — strong Arabic reading recommended. Estimated: 50 hours for health sector DPO competence</t>
        </is>
      </c>
      <c r="AO216" s="198" t="inlineStr">
        <is>
          <t>PRIMARY driver for GH-ICGA Layer 4 (Compliance) — PDPL is the legal foundation for patient data governance in the preliminary GH-ICGA framework. Thesis argument: GH-ICGA Layer 4 operationalises PDPL requirements into IoMT-specific controls (consent management for wearable data; purpose limitation for monitoring streams; breach response for connected device incidents)</t>
        </is>
      </c>
      <c r="AP216" s="51" t="inlineStr">
        <is>
          <t>G + C (Governance + Compliance — strong compliance driver; risk implicit)</t>
        </is>
      </c>
      <c r="AQ216" s="26" t="inlineStr">
        <is>
          <t>Board/CEO: ultimate accountability for PDPL compliance. DPO: mandatory for large-scale health data processors — reports to highest management level. Privacy Committee: cross-functional oversight. All staff processing personal data: mandatory privacy awareness training annually</t>
        </is>
      </c>
      <c r="AR216" s="194" t="inlineStr">
        <is>
          <t>Privacy Risk (PRIMARY); Legal/Regulatory Risk; Reputational Risk; Strategic Risk (data monetisation constraints); Cross-Border Risk (data transfer restrictions)</t>
        </is>
      </c>
      <c r="AS216" s="22" t="inlineStr">
        <is>
          <t>LEGAL — Royal Decree M/19 2021 + Implementing Regulations Sep 2023. Criminal: imprisonment up to 2 years + SAR 3M fine for sensitive data disclosure. Administrative: SAR 5M maximum fine. Civil: data subject compensation claims</t>
        </is>
      </c>
      <c r="AT216" s="195" t="inlineStr">
        <is>
          <t>Administrative (A): consent management; privacy notices; DPO appointment; DPIA process; breach notification procedure. Technical (T): data minimisation; pseudonymisation; access controls for personal data; encryption. Operational (O): data retention enforcement; data subject rights fulfilment process; cross-border transfer review</t>
        </is>
      </c>
      <c r="AU216" s="199" t="inlineStr">
        <is>
          <t>1. # data subject rights requests fulfilled on time (target: 100% within 30 days). 2. # data breaches notified to SDAIA within 72h (target: 100%). 3. % staff completed privacy training (target: 100%). 4. # DPIAs completed for high-risk processing activities. 5. Data retention compliance rate (% records within policy). 6. % third-party processors with DPA agreements</t>
        </is>
      </c>
      <c r="AV216" s="200" t="inlineStr">
        <is>
          <t>Annual DPIA review; data mapping audit (controller record validation); consent record audit; breach response simulation (tabletop); access control review for personal data systems; third-party processor audit; SDAIA compliance self-assessment</t>
        </is>
      </c>
      <c r="AW216" s="201" t="inlineStr">
        <is>
          <t>OneTrust (market leader for PDPL); TrustArc; Nymity; DataGrail; Varonis (data discovery); Microsoft Purview (data classification). SDAIA National Data Governance Platform for registration. Arabic-capable tools preferred</t>
        </is>
      </c>
      <c r="AX216" s="202" t="inlineStr">
        <is>
          <t>All third-party data processors must have Data Processing Agreement (DPA). Processors must demonstrate equivalent PDPL compliance. Cross-border transfers require adequacy assessment or appropriate safeguards. Sub-processor disclosure mandatory. Annual processor risk assessment required</t>
        </is>
      </c>
      <c r="AY216" s="203" t="inlineStr">
        <is>
          <t>Non-compliance: SAR 5M administrative fine; criminal prosecution for sensitive data breach; SDAIA investigation; mandatory breach public disclosure. Business disruption: SDAIA can order processing suspension. Reputational: patient trust damage. Market: EU adequate protection status depends on PDPL enforcement credibility</t>
        </is>
      </c>
      <c r="AZ216" s="200" t="inlineStr">
        <is>
          <t>ALL 17 SECTORS — any entity processing personal data</t>
        </is>
      </c>
      <c r="BA216" s="34" t="inlineStr">
        <is>
          <t>YES — ALL SECTORS</t>
        </is>
      </c>
      <c r="BB216" s="591">
        <f>IF(E216="","",IF(ISNUMBER(SEARCH("Institutional theory and regulatory governance theory underpin",AI216)),"TEMPLATE",IF(LEN(AI216)&gt;100,"DEEP",IF(AI216="","SPARSE","SHALLOW"))))</f>
        <v/>
      </c>
      <c r="BC216" s="591">
        <f>IF(E216="","",D216&amp;"-"&amp;B216&amp;"-"&amp;E216)</f>
        <v/>
      </c>
      <c r="BD216" s="591">
        <f>IF(E216="","",SUBSTITUTE(SUBSTITUTE(B216&amp;"-"&amp;E216," ",""),":","-"))</f>
        <v/>
      </c>
      <c r="BE216" s="591">
        <f>IF(E216="","",IF(ISNUMBER(SEARCH("ECC",E216)),"NCA-ECC-2-2024",IF(ISNUMBER(SEARCH("OTCC",E216)),"NCA-ECC-2-2024",IF(ISNUMBER(SEARCH("CCC",E216)),"NCA-ECC-2-2024",IF(ISNUMBER(SEARCH("DCC",E216)),"NCA-ECC-2-2024",IF(ISNUMBER(SEARCH("CSCC",E216)),"NCA-ECC-2-2024",IF(ISNUMBER(SEARCH("PDPL-IR",E216)),"PDPL-2021",IF(ISNUMBER(SEARCH("PDPL-DTR",E216)),"PDPL-2021","NONE"))))))))</f>
        <v/>
      </c>
      <c r="BF216" s="594">
        <f>IF(E216="","",IF(BB216="DEEP",10,IF(BB216="SHALLOW",5,IF(BB216="TEMPLATE",3,1)))+IF(N216="HIGHEST",5,IF(N216="HIGH",3,IF(N216="MODERATE",1,0)))+IF(ISNUMBER(SEARCH("Mandatory",L216)),3,0))</f>
        <v/>
      </c>
    </row>
    <row r="217" ht="42" customHeight="1">
      <c r="A217" s="42" t="n">
        <v>198</v>
      </c>
      <c r="B217" s="189" t="inlineStr">
        <is>
          <t>MOSPORT</t>
        </is>
      </c>
      <c r="C217" s="44" t="inlineStr">
        <is>
          <t>Ministry of Sport</t>
        </is>
      </c>
      <c r="D217" s="44" t="inlineStr">
        <is>
          <t>1. Ministries</t>
        </is>
      </c>
      <c r="E217" s="189" t="inlineStr">
        <is>
          <t>MOSPORT-LAW</t>
        </is>
      </c>
      <c r="F217" s="45" t="inlineStr">
        <is>
          <t>Sport Law</t>
        </is>
      </c>
      <c r="G217" s="44" t="inlineStr">
        <is>
          <t>قانون/نظام اللوائح الرئيسية</t>
        </is>
      </c>
      <c r="H217" s="44" t="inlineStr">
        <is>
          <t>Active/Updated</t>
        </is>
      </c>
      <c r="I217" s="46" t="inlineStr">
        <is>
          <t>2020</t>
        </is>
      </c>
      <c r="J217" s="46" t="inlineStr">
        <is>
          <t>N/A</t>
        </is>
      </c>
      <c r="K217" s="44" t="inlineStr">
        <is>
          <t>ISSUES/ENFORCES</t>
        </is>
      </c>
      <c r="L217" s="22" t="inlineStr">
        <is>
          <t>Mandatory Enforcer</t>
        </is>
      </c>
      <c r="M217" s="44" t="inlineStr">
        <is>
          <t>Entities regulated by this ministry</t>
        </is>
      </c>
      <c r="N217" s="55" t="inlineStr">
        <is>
          <t>MODERATE</t>
        </is>
      </c>
      <c r="O217" s="48" t="inlineStr">
        <is>
          <t>https://mosport.gov.sa or via www.moi.gov.sa</t>
        </is>
      </c>
      <c r="P217" s="44" t="inlineStr">
        <is>
          <t>Ministry official; BOE regulations archive</t>
        </is>
      </c>
      <c r="Q217" s="190" t="inlineStr">
        <is>
          <t>See official source for version history</t>
        </is>
      </c>
      <c r="R217" s="190" t="inlineStr">
        <is>
          <t>Framework issued by the relevant authority. Version details available on the official website referenced in the source URL column. The framework has been updated periodically since first issuance.</t>
        </is>
      </c>
      <c r="S217" s="191" t="inlineStr">
        <is>
          <t>See official source</t>
        </is>
      </c>
      <c r="T217" s="190" t="inlineStr">
        <is>
          <t>Updated as needed by the issuing authority</t>
        </is>
      </c>
      <c r="U217" s="25" t="inlineStr">
        <is>
          <t>CURRENT — consult official source for latest version</t>
        </is>
      </c>
      <c r="V217" s="190" t="inlineStr">
        <is>
          <t>Penalties defined by issuing authority; consult official source. NCA ECC-2 penalties apply if relevant</t>
        </is>
      </c>
      <c r="W217" s="192" t="inlineStr">
        <is>
          <t>Issuing authority and/or designated inspection department</t>
        </is>
      </c>
      <c r="X217" s="190" t="inlineStr">
        <is>
          <t>As specified in framework scope — consult official document</t>
        </is>
      </c>
      <c r="Y217" s="49" t="inlineStr">
        <is>
          <t>Both (unless specified otherwise in official document)</t>
        </is>
      </c>
      <c r="Z217" s="190" t="inlineStr">
        <is>
          <t>As defined by issuing authority</t>
        </is>
      </c>
      <c r="AA217" s="191" t="inlineStr">
        <is>
          <t>As defined by issuing authority</t>
        </is>
      </c>
      <c r="AB217" s="190" t="inlineStr">
        <is>
          <t>To be determined from framework text — see official source</t>
        </is>
      </c>
      <c r="AC217" s="190" t="inlineStr">
        <is>
          <t>See framework preamble for international standard references</t>
        </is>
      </c>
      <c r="AD217" s="49" t="inlineStr">
        <is>
          <t>Arabic (primary in KSA); English may be available</t>
        </is>
      </c>
      <c r="AE217" s="58" t="inlineStr">
        <is>
          <t>Mapped to relevant GH-ICGA layer — requires manual assessment</t>
        </is>
      </c>
      <c r="AF217" s="56" t="inlineStr">
        <is>
          <t>See official framework for maturity model details</t>
        </is>
      </c>
      <c r="AG217" s="190" t="inlineStr">
        <is>
          <t>Aligned with relevant Vision 2030 programme — see framework context</t>
        </is>
      </c>
      <c r="AH217" s="190" t="inlineStr">
        <is>
          <t>As specified in framework compliance requirements</t>
        </is>
      </c>
      <c r="AI217" s="193" t="inlineStr">
        <is>
          <t>Institutional theory and regulatory governance theory underpin all KSA regulatory frameworks. Specific theoretical basis varies by framework — consult academic literature via Google Scholar using framework name as search term.</t>
        </is>
      </c>
      <c r="AJ217" s="190" t="inlineStr">
        <is>
          <t>Academic debate varies by framework maturity and international adoption. For KSA-specific debate, consult: Almohammad &amp; Wills (2021) J Cybersecurity; Al-Khater et al. (2020) IEEE Access; Baker McKenzie KSA regulatory updates.</t>
        </is>
      </c>
      <c r="AK217" s="194" t="inlineStr">
        <is>
          <t>Known criticisms include: implementation gap between standards and practice; resource constraints for smaller healthcare entities; rapid technology evolution outpacing regulation. Consult framework evaluation literature for specifics.</t>
        </is>
      </c>
      <c r="AL217" s="195" t="inlineStr">
        <is>
          <t>Framework comparison requires contextual analysis. Key comparators: NIST CSF 2.0 (international benchmark), ISO 27001 (certifiable standard), ECC-2 (KSA mandatory baseline). See main database for cross-framework mapping.</t>
        </is>
      </c>
      <c r="AM217" s="19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17" s="197" t="inlineStr">
        <is>
          <t>Official: Consult the official source URL in the database for the primary document. Training: ISACA, ISC2, RAPS, IAPP, and HIMSS offer professional development covering most regulatory domains. Estimated hours vary by framework complexity.</t>
        </is>
      </c>
      <c r="AO217" s="198" t="inlineStr">
        <is>
          <t>Relevance to GH-ICGA framework varies by layer — see GH-ICGA Layer Mapping column. All KSA mandatory frameworks are compliance inputs to GH-ICGA Layer 4. Frameworks with IoMT-specific provisions directly inform Layers 2 and 3.</t>
        </is>
      </c>
      <c r="AP217" s="51" t="inlineStr">
        <is>
          <t>G + C (Governance + Compliance — standard regulatory framework positioning)</t>
        </is>
      </c>
      <c r="AQ217" s="26" t="inlineStr">
        <is>
          <t>Senior management: accountability for framework compliance. Designated compliance officer: monitor requirements. All staff: awareness of applicable obligations</t>
        </is>
      </c>
      <c r="AR217" s="194" t="inlineStr">
        <is>
          <t>Regulatory Risk; Operational Risk; Reputational Risk — specific domains determined by framework scope</t>
        </is>
      </c>
      <c r="AS217" s="22" t="inlineStr">
        <is>
          <t>See official source — legal obligation, regulatory requirement, or voluntary standard as applicable</t>
        </is>
      </c>
      <c r="AT217" s="195" t="inlineStr">
        <is>
          <t>Administrative; Technical; Operational — specific distribution determined by framework content</t>
        </is>
      </c>
      <c r="AU217" s="199" t="inlineStr">
        <is>
          <t>1. Compliance status (compliant/non-compliant). 2. # open findings from last assessment. 3. % controls implemented. 4. Time to remediate findings. 5. Incident rate in framework scope area</t>
        </is>
      </c>
      <c r="AV217" s="200" t="inlineStr">
        <is>
          <t>Self-assessment; internal audit; external assessment as specified by issuing authority</t>
        </is>
      </c>
      <c r="AW217" s="201" t="inlineStr">
        <is>
          <t>ServiceNow GRC; IBM OpenPages; RSA Archer; MetricStream — all major GRC platforms support custom framework import. Contact vendor for framework-specific module</t>
        </is>
      </c>
      <c r="AX217" s="202" t="inlineStr">
        <is>
          <t>Third parties in scope must demonstrate equivalent compliance. Contractual compliance obligations; right-to-audit clauses; annual third-party assessment</t>
        </is>
      </c>
      <c r="AY217" s="203" t="inlineStr">
        <is>
          <t>Non-compliance: regulatory action by issuing authority; fines and penalties as specified; operational and reputational consequences</t>
        </is>
      </c>
      <c r="AZ217" s="200" t="inlineStr">
        <is>
          <t>Sector-specific — consult official source</t>
        </is>
      </c>
      <c r="BA217" s="41" t="inlineStr">
        <is>
          <t>Sector-Specific</t>
        </is>
      </c>
      <c r="BB217" s="591">
        <f>IF(E217="","",IF(ISNUMBER(SEARCH("Institutional theory and regulatory governance theory underpin",AI217)),"TEMPLATE",IF(LEN(AI217)&gt;100,"DEEP",IF(AI217="","SPARSE","SHALLOW"))))</f>
        <v/>
      </c>
      <c r="BC217" s="591">
        <f>IF(E217="","",D217&amp;"-"&amp;B217&amp;"-"&amp;E217)</f>
        <v/>
      </c>
      <c r="BD217" s="591">
        <f>IF(E217="","",SUBSTITUTE(SUBSTITUTE(B217&amp;"-"&amp;E217," ",""),":","-"))</f>
        <v/>
      </c>
      <c r="BE217" s="591">
        <f>IF(E217="","",IF(ISNUMBER(SEARCH("ECC",E217)),"NCA-ECC-2-2024",IF(ISNUMBER(SEARCH("OTCC",E217)),"NCA-ECC-2-2024",IF(ISNUMBER(SEARCH("CCC",E217)),"NCA-ECC-2-2024",IF(ISNUMBER(SEARCH("DCC",E217)),"NCA-ECC-2-2024",IF(ISNUMBER(SEARCH("CSCC",E217)),"NCA-ECC-2-2024",IF(ISNUMBER(SEARCH("PDPL-IR",E217)),"PDPL-2021",IF(ISNUMBER(SEARCH("PDPL-DTR",E217)),"PDPL-2021","NONE"))))))))</f>
        <v/>
      </c>
      <c r="BF217" s="594">
        <f>IF(E217="","",IF(BB217="DEEP",10,IF(BB217="SHALLOW",5,IF(BB217="TEMPLATE",3,1)))+IF(N217="HIGHEST",5,IF(N217="HIGH",3,IF(N217="MODERATE",1,0)))+IF(ISNUMBER(SEARCH("Mandatory",L217)),3,0))</f>
        <v/>
      </c>
    </row>
    <row r="218" ht="42" customHeight="1">
      <c r="A218" s="204" t="n">
        <v>199</v>
      </c>
      <c r="B218" s="205" t="inlineStr">
        <is>
          <t>MOSPORT</t>
        </is>
      </c>
      <c r="C218" s="190" t="inlineStr">
        <is>
          <t>Ministry of Sport</t>
        </is>
      </c>
      <c r="D218" s="190" t="inlineStr">
        <is>
          <t>1. Ministries</t>
        </is>
      </c>
      <c r="E218" s="205" t="inlineStr">
        <is>
          <t>NCA-ECC-2:2024</t>
        </is>
      </c>
      <c r="F218" s="192" t="inlineStr">
        <is>
          <t>Essential Cybersecurity Controls</t>
        </is>
      </c>
      <c r="G218" s="190" t="inlineStr">
        <is>
          <t>ضوابط الأمن السيبراني الأساسية</t>
        </is>
      </c>
      <c r="H218" s="190" t="inlineStr">
        <is>
          <t>ECC-2:2024</t>
        </is>
      </c>
      <c r="I218" s="191" t="inlineStr">
        <is>
          <t>2018</t>
        </is>
      </c>
      <c r="J218" s="191" t="inlineStr">
        <is>
          <t>108</t>
        </is>
      </c>
      <c r="K218" s="190" t="inlineStr">
        <is>
          <t>MUST COMPLY WITH</t>
        </is>
      </c>
      <c r="L218" s="66" t="inlineStr">
        <is>
          <t>Mandatory Complier</t>
        </is>
      </c>
      <c r="M218" s="190" t="inlineStr">
        <is>
          <t>Ministry of Sport as government entity</t>
        </is>
      </c>
      <c r="N218" s="209" t="inlineStr">
        <is>
          <t>LOW</t>
        </is>
      </c>
      <c r="O218" s="207" t="inlineStr">
        <is>
          <t>https://nca.gov.sa/</t>
        </is>
      </c>
      <c r="P218" s="190" t="inlineStr">
        <is>
          <t>NCA ECC scope</t>
        </is>
      </c>
      <c r="Q218" s="190" t="inlineStr">
        <is>
          <t>See official source for version history</t>
        </is>
      </c>
      <c r="R218" s="190" t="inlineStr">
        <is>
          <t>Framework issued by the relevant authority. Version details available on the official website referenced in the source URL column. The framework has been updated periodically since first issuance.</t>
        </is>
      </c>
      <c r="S218" s="191" t="inlineStr">
        <is>
          <t>See official source</t>
        </is>
      </c>
      <c r="T218" s="190" t="inlineStr">
        <is>
          <t>Updated as needed by the issuing authority</t>
        </is>
      </c>
      <c r="U218" s="25" t="inlineStr">
        <is>
          <t>CURRENT — consult official source for latest version</t>
        </is>
      </c>
      <c r="V218" s="190" t="inlineStr">
        <is>
          <t>Penalties defined by issuing authority; consult official source. NCA ECC-2 penalties apply if relevant</t>
        </is>
      </c>
      <c r="W218" s="192" t="inlineStr">
        <is>
          <t>Issuing authority and/or designated inspection department</t>
        </is>
      </c>
      <c r="X218" s="190" t="inlineStr">
        <is>
          <t>As specified in framework scope — consult official document</t>
        </is>
      </c>
      <c r="Y218" s="49" t="inlineStr">
        <is>
          <t>Both (unless specified otherwise in official document)</t>
        </is>
      </c>
      <c r="Z218" s="190" t="inlineStr">
        <is>
          <t>As defined by issuing authority</t>
        </is>
      </c>
      <c r="AA218" s="191" t="inlineStr">
        <is>
          <t>As defined by issuing authority</t>
        </is>
      </c>
      <c r="AB218" s="190" t="inlineStr">
        <is>
          <t>To be determined from framework text — see official source</t>
        </is>
      </c>
      <c r="AC218" s="190" t="inlineStr">
        <is>
          <t>See framework preamble for international standard references</t>
        </is>
      </c>
      <c r="AD218" s="49" t="inlineStr">
        <is>
          <t>Arabic (primary in KSA); English may be available</t>
        </is>
      </c>
      <c r="AE218" s="58" t="inlineStr">
        <is>
          <t>Mapped to relevant GH-ICGA layer — requires manual assessment</t>
        </is>
      </c>
      <c r="AF218" s="56" t="inlineStr">
        <is>
          <t>See official framework for maturity model details</t>
        </is>
      </c>
      <c r="AG218" s="190" t="inlineStr">
        <is>
          <t>Aligned with relevant Vision 2030 programme — see framework context</t>
        </is>
      </c>
      <c r="AH218" s="190" t="inlineStr">
        <is>
          <t>As specified in framework compliance requirements</t>
        </is>
      </c>
      <c r="AI218" s="193" t="inlineStr">
        <is>
          <t>Institutional theory and regulatory governance theory underpin all KSA regulatory frameworks. Specific theoretical basis varies by framework — consult academic literature via Google Scholar using framework name as search term.</t>
        </is>
      </c>
      <c r="AJ218" s="190" t="inlineStr">
        <is>
          <t>Academic debate varies by framework maturity and international adoption. For KSA-specific debate, consult: Almohammad &amp; Wills (2021) J Cybersecurity; Al-Khater et al. (2020) IEEE Access; Baker McKenzie KSA regulatory updates.</t>
        </is>
      </c>
      <c r="AK218" s="194" t="inlineStr">
        <is>
          <t>Known criticisms include: implementation gap between standards and practice; resource constraints for smaller healthcare entities; rapid technology evolution outpacing regulation. Consult framework evaluation literature for specifics.</t>
        </is>
      </c>
      <c r="AL218" s="195" t="inlineStr">
        <is>
          <t>Framework comparison requires contextual analysis. Key comparators: NIST CSF 2.0 (international benchmark), ISO 27001 (certifiable standard), ECC-2 (KSA mandatory baseline). See main database for cross-framework mapping.</t>
        </is>
      </c>
      <c r="AM218" s="19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18" s="197" t="inlineStr">
        <is>
          <t>Official: Consult the official source URL in the database for the primary document. Training: ISACA, ISC2, RAPS, IAPP, and HIMSS offer professional development covering most regulatory domains. Estimated hours vary by framework complexity.</t>
        </is>
      </c>
      <c r="AO218" s="198" t="inlineStr">
        <is>
          <t>Relevance to GH-ICGA framework varies by layer — see GH-ICGA Layer Mapping column. All KSA mandatory frameworks are compliance inputs to GH-ICGA Layer 4. Frameworks with IoMT-specific provisions directly inform Layers 2 and 3.</t>
        </is>
      </c>
      <c r="AP218" s="51" t="inlineStr">
        <is>
          <t>G + C (Governance + Compliance — standard regulatory framework positioning)</t>
        </is>
      </c>
      <c r="AQ218" s="26" t="inlineStr">
        <is>
          <t>Senior management: accountability for framework compliance. Designated compliance officer: monitor requirements. All staff: awareness of applicable obligations</t>
        </is>
      </c>
      <c r="AR218" s="194" t="inlineStr">
        <is>
          <t>Regulatory Risk; Operational Risk; Reputational Risk — specific domains determined by framework scope</t>
        </is>
      </c>
      <c r="AS218" s="22" t="inlineStr">
        <is>
          <t>See official source — legal obligation, regulatory requirement, or voluntary standard as applicable</t>
        </is>
      </c>
      <c r="AT218" s="195" t="inlineStr">
        <is>
          <t>Administrative; Technical; Operational — specific distribution determined by framework content</t>
        </is>
      </c>
      <c r="AU218" s="199" t="inlineStr">
        <is>
          <t>1. Compliance status (compliant/non-compliant). 2. # open findings from last assessment. 3. % controls implemented. 4. Time to remediate findings. 5. Incident rate in framework scope area</t>
        </is>
      </c>
      <c r="AV218" s="200" t="inlineStr">
        <is>
          <t>Self-assessment; internal audit; external assessment as specified by issuing authority</t>
        </is>
      </c>
      <c r="AW218" s="201" t="inlineStr">
        <is>
          <t>ServiceNow GRC; IBM OpenPages; RSA Archer; MetricStream — all major GRC platforms support custom framework import. Contact vendor for framework-specific module</t>
        </is>
      </c>
      <c r="AX218" s="202" t="inlineStr">
        <is>
          <t>Third parties in scope must demonstrate equivalent compliance. Contractual compliance obligations; right-to-audit clauses; annual third-party assessment</t>
        </is>
      </c>
      <c r="AY218" s="203" t="inlineStr">
        <is>
          <t>Non-compliance: regulatory action by issuing authority; fines and penalties as specified; operational and reputational consequences</t>
        </is>
      </c>
      <c r="AZ218" s="200" t="inlineStr">
        <is>
          <t>ALL 17 SECTORS</t>
        </is>
      </c>
      <c r="BA218" s="34" t="inlineStr">
        <is>
          <t>YES — ALL SECTORS</t>
        </is>
      </c>
      <c r="BB218" s="591">
        <f>IF(E218="","",IF(ISNUMBER(SEARCH("Institutional theory and regulatory governance theory underpin",AI218)),"TEMPLATE",IF(LEN(AI218)&gt;100,"DEEP",IF(AI218="","SPARSE","SHALLOW"))))</f>
        <v/>
      </c>
      <c r="BC218" s="591">
        <f>IF(E218="","",D218&amp;"-"&amp;B218&amp;"-"&amp;E218)</f>
        <v/>
      </c>
      <c r="BD218" s="591">
        <f>IF(E218="","",SUBSTITUTE(SUBSTITUTE(B218&amp;"-"&amp;E218," ",""),":","-"))</f>
        <v/>
      </c>
      <c r="BE218" s="591">
        <f>IF(E218="","",IF(ISNUMBER(SEARCH("ECC",E218)),"NCA-ECC-2-2024",IF(ISNUMBER(SEARCH("OTCC",E218)),"NCA-ECC-2-2024",IF(ISNUMBER(SEARCH("CCC",E218)),"NCA-ECC-2-2024",IF(ISNUMBER(SEARCH("DCC",E218)),"NCA-ECC-2-2024",IF(ISNUMBER(SEARCH("CSCC",E218)),"NCA-ECC-2-2024",IF(ISNUMBER(SEARCH("PDPL-IR",E218)),"PDPL-2021",IF(ISNUMBER(SEARCH("PDPL-DTR",E218)),"PDPL-2021","NONE"))))))))</f>
        <v/>
      </c>
      <c r="BF218" s="594">
        <f>IF(E218="","",IF(BB218="DEEP",10,IF(BB218="SHALLOW",5,IF(BB218="TEMPLATE",3,1)))+IF(N218="HIGHEST",5,IF(N218="HIGH",3,IF(N218="MODERATE",1,0)))+IF(ISNUMBER(SEARCH("Mandatory",L218)),3,0))</f>
        <v/>
      </c>
    </row>
    <row r="219" ht="42" customHeight="1">
      <c r="A219" s="42" t="n">
        <v>200</v>
      </c>
      <c r="B219" s="189" t="inlineStr">
        <is>
          <t>MOSPORT</t>
        </is>
      </c>
      <c r="C219" s="44" t="inlineStr">
        <is>
          <t>Ministry of Sport</t>
        </is>
      </c>
      <c r="D219" s="44" t="inlineStr">
        <is>
          <t>1. Ministries</t>
        </is>
      </c>
      <c r="E219" s="189" t="inlineStr">
        <is>
          <t>PDPL-2021</t>
        </is>
      </c>
      <c r="F219" s="45" t="inlineStr">
        <is>
          <t>Personal Data Protection Law</t>
        </is>
      </c>
      <c r="G219" s="44" t="inlineStr">
        <is>
          <t>نظام حماية البيانات الشخصية</t>
        </is>
      </c>
      <c r="H219" s="44" t="inlineStr">
        <is>
          <t>2021+IR 2023</t>
        </is>
      </c>
      <c r="I219" s="46" t="inlineStr">
        <is>
          <t>2021</t>
        </is>
      </c>
      <c r="J219" s="46" t="inlineStr">
        <is>
          <t>45</t>
        </is>
      </c>
      <c r="K219" s="44" t="inlineStr">
        <is>
          <t>MUST COMPLY WITH</t>
        </is>
      </c>
      <c r="L219" s="66" t="inlineStr">
        <is>
          <t>Mandatory Complier</t>
        </is>
      </c>
      <c r="M219" s="44" t="inlineStr">
        <is>
          <t>Ministry of Sport processes personal data of employees and regulated parties</t>
        </is>
      </c>
      <c r="N219" s="59" t="inlineStr">
        <is>
          <t>LOW</t>
        </is>
      </c>
      <c r="O219" s="48" t="inlineStr">
        <is>
          <t>https://sdaia.gov.sa/</t>
        </is>
      </c>
      <c r="P219" s="44" t="inlineStr">
        <is>
          <t>SDAIA</t>
        </is>
      </c>
      <c r="Q219" s="190" t="inlineStr">
        <is>
          <t>Royal Decree M/19 (16 Sep 2021) → amended Apr 2023</t>
        </is>
      </c>
      <c r="R219" s="190" t="inlineStr">
        <is>
          <t>Original (2021): 19 articles covering consent, data subject rights, controller obligations, sensitive data (health = sensitive), cross-border transfer. Apr 2023 amendment: strengthened enforcement, clarified health data provisions, aligned with PDPL-IR-2023. Grace period for compliance ended Sep 14, 2024. Penalties: up to SAR 5 million fine + 2 years imprisonment for sensitive data breach</t>
        </is>
      </c>
      <c r="S219" s="191" t="inlineStr">
        <is>
          <t>Issued: Sep 2021. Amended: Apr 2023. Fully enforceable: Sep 14, 2024</t>
        </is>
      </c>
      <c r="T219" s="190" t="inlineStr">
        <is>
          <t>SDAIA reviews annually; amendments expected 2025-2026</t>
        </is>
      </c>
      <c r="U219" s="25" t="inlineStr">
        <is>
          <t>CURRENT — fully enforceable since Sep 2024</t>
        </is>
      </c>
      <c r="V219" s="190" t="inlineStr">
        <is>
          <t>Criminal offence: up to 2 years imprisonment + SAR 3M fine for disclosing sensitive data (health data = sensitive); administrative fine up to SAR 5M; mandatory breach notification to SDAIA within 72 hours; data subject compensation claims</t>
        </is>
      </c>
      <c r="W219" s="192" t="inlineStr">
        <is>
          <t>SDAIA — Data Protection Authority (DPA functions); NDMO for government entities; courts for criminal penalties</t>
        </is>
      </c>
      <c r="X219" s="190" t="inlineStr">
        <is>
          <t>Hospital; Clinic; Lab; Pharmacy; Health IT Vendor; Health Insurer; Government Health Entity; Medical Device Manufacturer (all processing patient data)</t>
        </is>
      </c>
      <c r="Y219" s="49" t="inlineStr">
        <is>
          <t>Both + foreign entities processing data of KSA residents</t>
        </is>
      </c>
      <c r="Z219" s="190" t="inlineStr">
        <is>
          <t>SDAIA audit; controller self-assessment; DPO oversight; data subject complaints trigger investigation</t>
        </is>
      </c>
      <c r="AA219" s="191" t="inlineStr">
        <is>
          <t>Continuous (breach notification: 72 hours); annual DPO report; SDAIA random audits</t>
        </is>
      </c>
      <c r="AB219" s="190" t="inlineStr">
        <is>
          <t>12 (IoMT data minimisation; purpose limitation; consent management for wearable data; automated decision-making; data subject rights for IoMT-generated health data; cross-border transfer of IoMT data)</t>
        </is>
      </c>
      <c r="AC219" s="190" t="inlineStr">
        <is>
          <t>GDPR (substantial alignment — adequate protection basis); APEC Privacy Framework; ISO 29100; ISO 27701</t>
        </is>
      </c>
      <c r="AD219" s="49" t="inlineStr">
        <is>
          <t>Arabic (official); English translation (unofficial)</t>
        </is>
      </c>
      <c r="AE219" s="50" t="inlineStr">
        <is>
          <t>Layer 4: Compliance; Layer 2: Risk Management</t>
        </is>
      </c>
      <c r="AF219" s="60" t="inlineStr">
        <is>
          <t>No formal maturity model; SDAIA publishes compliance guidance</t>
        </is>
      </c>
      <c r="AG219" s="190" t="inlineStr">
        <is>
          <t>National Data Strategy; Vision 2030 Digital Economy; Digital Government transformation</t>
        </is>
      </c>
      <c r="AH219" s="190" t="inlineStr">
        <is>
          <t>Privacy notices; consent records; DPO appointment letter; data mapping/flow diagrams; breach notification records; DPIA for health data processing; controller registration</t>
        </is>
      </c>
      <c r="AI219" s="193" t="inlineStr">
        <is>
          <t>Privacy as fundamental right (Warren &amp; Brandeis 1890; Westin 1967). Contextual integrity theory (Nissenbaum 2004): health data flows must match medical context norms. Regulatory theory: data protection authority independence and enforcement. Information asymmetry theory: patients cannot protect their own data without regulation.</t>
        </is>
      </c>
      <c r="AJ219" s="190" t="inlineStr">
        <is>
          <t>FOR: Long-overdue — KSA had no comprehensive data protection law until 2021; health data explicitly protected as sensitive category; aligns KSA with global adequacy standards. AGAINST: Alrawabdeh (2014) and Aldawood &amp; Skinner (2019) documented Saudi privacy culture gap — regulation without public awareness is ineffective; 'GDPR-lite' criticism: exemptions broader than GDPR, enforcement weaker; health data provisions in IR still less specific than UK GDPR Schedule 1 conditions</t>
        </is>
      </c>
      <c r="AK219" s="194" t="inlineStr">
        <is>
          <t>No independent supervisory authority (SDAIA is both promoter and regulator — conflict of interest noted by Baker McKenzie 2025); patient data portability rights weaker than GDPR Article 20; no explicit right to explanation for AI-automated health decisions; cross-border transfer rules changed twice in 12 months (regulatory instability); small healthcare providers lack capacity for DPO requirements</t>
        </is>
      </c>
      <c r="AL219" s="195" t="inlineStr">
        <is>
          <t>PDPL vs GDPR: PDPL penalty lower (SAR 5M vs €20M); PDPL broader government exemptions; GDPR has independent DPA, PDPL does not. PDPL vs HIPAA: PDPL = all personal data (broader); HIPAA = US-specific health data only. PDPL vs UK GDPR: PDPL misses explicit Schedule 1 health data conditions. PDPL ahead of HIPAA on consent granularity; behind GDPR on enforcement independence</t>
        </is>
      </c>
      <c r="AM219" s="196" t="inlineStr">
        <is>
          <t>Baker McKenzie (2025) Saudi Arabia PDPL Global Data &amp; Cyber Handbook; Alrawabdeh W (2014) 'Internet and Social Media Challenges in Arab World' EJSR; Westin AF (1967) Privacy and Freedom NY Atheneum; Nissenbaum H (2004) 'Privacy as Contextual Integrity' Washington Law Review 79(1); CMS Law (2025) Saudi Arabia Data Protection &amp; Cybersecurity Expert Guide Oct 2025</t>
        </is>
      </c>
      <c r="AN219" s="197" t="inlineStr">
        <is>
          <t>Official: SDAIA website (sdaia.gov.sa) — Arabic + English. Training: IAPP CIPM/CIPP/E (privacy certifications applicable); OneTrust PDPL compliance course; Baker McKenzie PDPL compliance guide. Language: Arabic primary — strong Arabic reading recommended. Estimated: 50 hours for health sector DPO competence</t>
        </is>
      </c>
      <c r="AO219" s="198" t="inlineStr">
        <is>
          <t>PRIMARY driver for GH-ICGA Layer 4 (Compliance) — PDPL is the legal foundation for patient data governance in the preliminary GH-ICGA framework. Thesis argument: GH-ICGA Layer 4 operationalises PDPL requirements into IoMT-specific controls (consent management for wearable data; purpose limitation for monitoring streams; breach response for connected device incidents)</t>
        </is>
      </c>
      <c r="AP219" s="51" t="inlineStr">
        <is>
          <t>G + C (Governance + Compliance — strong compliance driver; risk implicit)</t>
        </is>
      </c>
      <c r="AQ219" s="26" t="inlineStr">
        <is>
          <t>Board/CEO: ultimate accountability for PDPL compliance. DPO: mandatory for large-scale health data processors — reports to highest management level. Privacy Committee: cross-functional oversight. All staff processing personal data: mandatory privacy awareness training annually</t>
        </is>
      </c>
      <c r="AR219" s="194" t="inlineStr">
        <is>
          <t>Privacy Risk (PRIMARY); Legal/Regulatory Risk; Reputational Risk; Strategic Risk (data monetisation constraints); Cross-Border Risk (data transfer restrictions)</t>
        </is>
      </c>
      <c r="AS219" s="22" t="inlineStr">
        <is>
          <t>LEGAL — Royal Decree M/19 2021 + Implementing Regulations Sep 2023. Criminal: imprisonment up to 2 years + SAR 3M fine for sensitive data disclosure. Administrative: SAR 5M maximum fine. Civil: data subject compensation claims</t>
        </is>
      </c>
      <c r="AT219" s="195" t="inlineStr">
        <is>
          <t>Administrative (A): consent management; privacy notices; DPO appointment; DPIA process; breach notification procedure. Technical (T): data minimisation; pseudonymisation; access controls for personal data; encryption. Operational (O): data retention enforcement; data subject rights fulfilment process; cross-border transfer review</t>
        </is>
      </c>
      <c r="AU219" s="199" t="inlineStr">
        <is>
          <t>1. # data subject rights requests fulfilled on time (target: 100% within 30 days). 2. # data breaches notified to SDAIA within 72h (target: 100%). 3. % staff completed privacy training (target: 100%). 4. # DPIAs completed for high-risk processing activities. 5. Data retention compliance rate (% records within policy). 6. % third-party processors with DPA agreements</t>
        </is>
      </c>
      <c r="AV219" s="200" t="inlineStr">
        <is>
          <t>Annual DPIA review; data mapping audit (controller record validation); consent record audit; breach response simulation (tabletop); access control review for personal data systems; third-party processor audit; SDAIA compliance self-assessment</t>
        </is>
      </c>
      <c r="AW219" s="201" t="inlineStr">
        <is>
          <t>OneTrust (market leader for PDPL); TrustArc; Nymity; DataGrail; Varonis (data discovery); Microsoft Purview (data classification). SDAIA National Data Governance Platform for registration. Arabic-capable tools preferred</t>
        </is>
      </c>
      <c r="AX219" s="202" t="inlineStr">
        <is>
          <t>All third-party data processors must have Data Processing Agreement (DPA). Processors must demonstrate equivalent PDPL compliance. Cross-border transfers require adequacy assessment or appropriate safeguards. Sub-processor disclosure mandatory. Annual processor risk assessment required</t>
        </is>
      </c>
      <c r="AY219" s="203" t="inlineStr">
        <is>
          <t>Non-compliance: SAR 5M administrative fine; criminal prosecution for sensitive data breach; SDAIA investigation; mandatory breach public disclosure. Business disruption: SDAIA can order processing suspension. Reputational: patient trust damage. Market: EU adequate protection status depends on PDPL enforcement credibility</t>
        </is>
      </c>
      <c r="AZ219" s="200" t="inlineStr">
        <is>
          <t>ALL 17 SECTORS — any entity processing personal data</t>
        </is>
      </c>
      <c r="BA219" s="34" t="inlineStr">
        <is>
          <t>YES — ALL SECTORS</t>
        </is>
      </c>
      <c r="BB219" s="591">
        <f>IF(E219="","",IF(ISNUMBER(SEARCH("Institutional theory and regulatory governance theory underpin",AI219)),"TEMPLATE",IF(LEN(AI219)&gt;100,"DEEP",IF(AI219="","SPARSE","SHALLOW"))))</f>
        <v/>
      </c>
      <c r="BC219" s="591">
        <f>IF(E219="","",D219&amp;"-"&amp;B219&amp;"-"&amp;E219)</f>
        <v/>
      </c>
      <c r="BD219" s="591">
        <f>IF(E219="","",SUBSTITUTE(SUBSTITUTE(B219&amp;"-"&amp;E219," ",""),":","-"))</f>
        <v/>
      </c>
      <c r="BE219" s="591">
        <f>IF(E219="","",IF(ISNUMBER(SEARCH("ECC",E219)),"NCA-ECC-2-2024",IF(ISNUMBER(SEARCH("OTCC",E219)),"NCA-ECC-2-2024",IF(ISNUMBER(SEARCH("CCC",E219)),"NCA-ECC-2-2024",IF(ISNUMBER(SEARCH("DCC",E219)),"NCA-ECC-2-2024",IF(ISNUMBER(SEARCH("CSCC",E219)),"NCA-ECC-2-2024",IF(ISNUMBER(SEARCH("PDPL-IR",E219)),"PDPL-2021",IF(ISNUMBER(SEARCH("PDPL-DTR",E219)),"PDPL-2021","NONE"))))))))</f>
        <v/>
      </c>
      <c r="BF219" s="594">
        <f>IF(E219="","",IF(BB219="DEEP",10,IF(BB219="SHALLOW",5,IF(BB219="TEMPLATE",3,1)))+IF(N219="HIGHEST",5,IF(N219="HIGH",3,IF(N219="MODERATE",1,0)))+IF(ISNUMBER(SEARCH("Mandatory",L219)),3,0))</f>
        <v/>
      </c>
    </row>
    <row r="220" ht="42" customHeight="1">
      <c r="A220" s="204" t="n">
        <v>201</v>
      </c>
      <c r="B220" s="205" t="inlineStr">
        <is>
          <t>MOTour</t>
        </is>
      </c>
      <c r="C220" s="190" t="inlineStr">
        <is>
          <t>Ministry of Tourism</t>
        </is>
      </c>
      <c r="D220" s="190" t="inlineStr">
        <is>
          <t>1. Ministries</t>
        </is>
      </c>
      <c r="E220" s="205" t="inlineStr">
        <is>
          <t>MOTour-LAW</t>
        </is>
      </c>
      <c r="F220" s="192" t="inlineStr">
        <is>
          <t>Tourism Law</t>
        </is>
      </c>
      <c r="G220" s="190" t="inlineStr">
        <is>
          <t>قانون/نظام اللوائح الرئيسية</t>
        </is>
      </c>
      <c r="H220" s="190" t="inlineStr">
        <is>
          <t>Active/Updated</t>
        </is>
      </c>
      <c r="I220" s="191" t="inlineStr">
        <is>
          <t>2020</t>
        </is>
      </c>
      <c r="J220" s="191" t="inlineStr">
        <is>
          <t>N/A</t>
        </is>
      </c>
      <c r="K220" s="190" t="inlineStr">
        <is>
          <t>ISSUES/ENFORCES</t>
        </is>
      </c>
      <c r="L220" s="22" t="inlineStr">
        <is>
          <t>Mandatory Enforcer</t>
        </is>
      </c>
      <c r="M220" s="190" t="inlineStr">
        <is>
          <t>Entities regulated by this ministry</t>
        </is>
      </c>
      <c r="N220" s="208" t="inlineStr">
        <is>
          <t>MODERATE</t>
        </is>
      </c>
      <c r="O220" s="207" t="inlineStr">
        <is>
          <t>https://motour.gov.sa or via www.moi.gov.sa</t>
        </is>
      </c>
      <c r="P220" s="190" t="inlineStr">
        <is>
          <t>Ministry official; BOE regulations archive</t>
        </is>
      </c>
      <c r="Q220" s="190" t="inlineStr">
        <is>
          <t>See official source for version history</t>
        </is>
      </c>
      <c r="R220" s="190" t="inlineStr">
        <is>
          <t>Framework issued by the relevant authority. Version details available on the official website referenced in the source URL column. The framework has been updated periodically since first issuance.</t>
        </is>
      </c>
      <c r="S220" s="191" t="inlineStr">
        <is>
          <t>See official source</t>
        </is>
      </c>
      <c r="T220" s="190" t="inlineStr">
        <is>
          <t>Updated as needed by the issuing authority</t>
        </is>
      </c>
      <c r="U220" s="25" t="inlineStr">
        <is>
          <t>CURRENT — consult official source for latest version</t>
        </is>
      </c>
      <c r="V220" s="190" t="inlineStr">
        <is>
          <t>Penalties defined by issuing authority; consult official source. NCA ECC-2 penalties apply if relevant</t>
        </is>
      </c>
      <c r="W220" s="192" t="inlineStr">
        <is>
          <t>Issuing authority and/or designated inspection department</t>
        </is>
      </c>
      <c r="X220" s="190" t="inlineStr">
        <is>
          <t>As specified in framework scope — consult official document</t>
        </is>
      </c>
      <c r="Y220" s="49" t="inlineStr">
        <is>
          <t>Both (unless specified otherwise in official document)</t>
        </is>
      </c>
      <c r="Z220" s="190" t="inlineStr">
        <is>
          <t>As defined by issuing authority</t>
        </is>
      </c>
      <c r="AA220" s="191" t="inlineStr">
        <is>
          <t>As defined by issuing authority</t>
        </is>
      </c>
      <c r="AB220" s="190" t="inlineStr">
        <is>
          <t>To be determined from framework text — see official source</t>
        </is>
      </c>
      <c r="AC220" s="190" t="inlineStr">
        <is>
          <t>See framework preamble for international standard references</t>
        </is>
      </c>
      <c r="AD220" s="49" t="inlineStr">
        <is>
          <t>Arabic (primary in KSA); English may be available</t>
        </is>
      </c>
      <c r="AE220" s="58" t="inlineStr">
        <is>
          <t>Mapped to relevant GH-ICGA layer — requires manual assessment</t>
        </is>
      </c>
      <c r="AF220" s="56" t="inlineStr">
        <is>
          <t>See official framework for maturity model details</t>
        </is>
      </c>
      <c r="AG220" s="190" t="inlineStr">
        <is>
          <t>Aligned with relevant Vision 2030 programme — see framework context</t>
        </is>
      </c>
      <c r="AH220" s="190" t="inlineStr">
        <is>
          <t>As specified in framework compliance requirements</t>
        </is>
      </c>
      <c r="AI220" s="193" t="inlineStr">
        <is>
          <t>Institutional theory and regulatory governance theory underpin all KSA regulatory frameworks. Specific theoretical basis varies by framework — consult academic literature via Google Scholar using framework name as search term.</t>
        </is>
      </c>
      <c r="AJ220" s="190" t="inlineStr">
        <is>
          <t>Academic debate varies by framework maturity and international adoption. For KSA-specific debate, consult: Almohammad &amp; Wills (2021) J Cybersecurity; Al-Khater et al. (2020) IEEE Access; Baker McKenzie KSA regulatory updates.</t>
        </is>
      </c>
      <c r="AK220" s="194" t="inlineStr">
        <is>
          <t>Known criticisms include: implementation gap between standards and practice; resource constraints for smaller healthcare entities; rapid technology evolution outpacing regulation. Consult framework evaluation literature for specifics.</t>
        </is>
      </c>
      <c r="AL220" s="195" t="inlineStr">
        <is>
          <t>Framework comparison requires contextual analysis. Key comparators: NIST CSF 2.0 (international benchmark), ISO 27001 (certifiable standard), ECC-2 (KSA mandatory baseline). See main database for cross-framework mapping.</t>
        </is>
      </c>
      <c r="AM220" s="19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20" s="197" t="inlineStr">
        <is>
          <t>Official: Consult the official source URL in the database for the primary document. Training: ISACA, ISC2, RAPS, IAPP, and HIMSS offer professional development covering most regulatory domains. Estimated hours vary by framework complexity.</t>
        </is>
      </c>
      <c r="AO220" s="198" t="inlineStr">
        <is>
          <t>Relevance to GH-ICGA framework varies by layer — see GH-ICGA Layer Mapping column. All KSA mandatory frameworks are compliance inputs to GH-ICGA Layer 4. Frameworks with IoMT-specific provisions directly inform Layers 2 and 3.</t>
        </is>
      </c>
      <c r="AP220" s="51" t="inlineStr">
        <is>
          <t>G + C (Governance + Compliance — standard regulatory framework positioning)</t>
        </is>
      </c>
      <c r="AQ220" s="26" t="inlineStr">
        <is>
          <t>Senior management: accountability for framework compliance. Designated compliance officer: monitor requirements. All staff: awareness of applicable obligations</t>
        </is>
      </c>
      <c r="AR220" s="194" t="inlineStr">
        <is>
          <t>Regulatory Risk; Operational Risk; Reputational Risk — specific domains determined by framework scope</t>
        </is>
      </c>
      <c r="AS220" s="22" t="inlineStr">
        <is>
          <t>See official source — legal obligation, regulatory requirement, or voluntary standard as applicable</t>
        </is>
      </c>
      <c r="AT220" s="195" t="inlineStr">
        <is>
          <t>Administrative; Technical; Operational — specific distribution determined by framework content</t>
        </is>
      </c>
      <c r="AU220" s="199" t="inlineStr">
        <is>
          <t>1. Compliance status (compliant/non-compliant). 2. # open findings from last assessment. 3. % controls implemented. 4. Time to remediate findings. 5. Incident rate in framework scope area</t>
        </is>
      </c>
      <c r="AV220" s="200" t="inlineStr">
        <is>
          <t>Self-assessment; internal audit; external assessment as specified by issuing authority</t>
        </is>
      </c>
      <c r="AW220" s="201" t="inlineStr">
        <is>
          <t>ServiceNow GRC; IBM OpenPages; RSA Archer; MetricStream — all major GRC platforms support custom framework import. Contact vendor for framework-specific module</t>
        </is>
      </c>
      <c r="AX220" s="202" t="inlineStr">
        <is>
          <t>Third parties in scope must demonstrate equivalent compliance. Contractual compliance obligations; right-to-audit clauses; annual third-party assessment</t>
        </is>
      </c>
      <c r="AY220" s="203" t="inlineStr">
        <is>
          <t>Non-compliance: regulatory action by issuing authority; fines and penalties as specified; operational and reputational consequences</t>
        </is>
      </c>
      <c r="AZ220" s="200" t="inlineStr">
        <is>
          <t>Sector-specific — consult official source</t>
        </is>
      </c>
      <c r="BA220" s="41" t="inlineStr">
        <is>
          <t>Sector-Specific</t>
        </is>
      </c>
      <c r="BB220" s="591">
        <f>IF(E220="","",IF(ISNUMBER(SEARCH("Institutional theory and regulatory governance theory underpin",AI220)),"TEMPLATE",IF(LEN(AI220)&gt;100,"DEEP",IF(AI220="","SPARSE","SHALLOW"))))</f>
        <v/>
      </c>
      <c r="BC220" s="591">
        <f>IF(E220="","",D220&amp;"-"&amp;B220&amp;"-"&amp;E220)</f>
        <v/>
      </c>
      <c r="BD220" s="591">
        <f>IF(E220="","",SUBSTITUTE(SUBSTITUTE(B220&amp;"-"&amp;E220," ",""),":","-"))</f>
        <v/>
      </c>
      <c r="BE220" s="591">
        <f>IF(E220="","",IF(ISNUMBER(SEARCH("ECC",E220)),"NCA-ECC-2-2024",IF(ISNUMBER(SEARCH("OTCC",E220)),"NCA-ECC-2-2024",IF(ISNUMBER(SEARCH("CCC",E220)),"NCA-ECC-2-2024",IF(ISNUMBER(SEARCH("DCC",E220)),"NCA-ECC-2-2024",IF(ISNUMBER(SEARCH("CSCC",E220)),"NCA-ECC-2-2024",IF(ISNUMBER(SEARCH("PDPL-IR",E220)),"PDPL-2021",IF(ISNUMBER(SEARCH("PDPL-DTR",E220)),"PDPL-2021","NONE"))))))))</f>
        <v/>
      </c>
      <c r="BF220" s="594">
        <f>IF(E220="","",IF(BB220="DEEP",10,IF(BB220="SHALLOW",5,IF(BB220="TEMPLATE",3,1)))+IF(N220="HIGHEST",5,IF(N220="HIGH",3,IF(N220="MODERATE",1,0)))+IF(ISNUMBER(SEARCH("Mandatory",L220)),3,0))</f>
        <v/>
      </c>
    </row>
    <row r="221" ht="42" customHeight="1">
      <c r="A221" s="42" t="n">
        <v>202</v>
      </c>
      <c r="B221" s="189" t="inlineStr">
        <is>
          <t>MOTour</t>
        </is>
      </c>
      <c r="C221" s="44" t="inlineStr">
        <is>
          <t>Ministry of Tourism</t>
        </is>
      </c>
      <c r="D221" s="44" t="inlineStr">
        <is>
          <t>1. Ministries</t>
        </is>
      </c>
      <c r="E221" s="189" t="inlineStr">
        <is>
          <t>NCA-ECC-2:2024</t>
        </is>
      </c>
      <c r="F221" s="45" t="inlineStr">
        <is>
          <t>Essential Cybersecurity Controls</t>
        </is>
      </c>
      <c r="G221" s="44" t="inlineStr">
        <is>
          <t>ضوابط الأمن السيبراني الأساسية</t>
        </is>
      </c>
      <c r="H221" s="44" t="inlineStr">
        <is>
          <t>ECC-2:2024</t>
        </is>
      </c>
      <c r="I221" s="46" t="inlineStr">
        <is>
          <t>2018</t>
        </is>
      </c>
      <c r="J221" s="46" t="inlineStr">
        <is>
          <t>108</t>
        </is>
      </c>
      <c r="K221" s="44" t="inlineStr">
        <is>
          <t>MUST COMPLY WITH</t>
        </is>
      </c>
      <c r="L221" s="66" t="inlineStr">
        <is>
          <t>Mandatory Complier</t>
        </is>
      </c>
      <c r="M221" s="44" t="inlineStr">
        <is>
          <t>Ministry of Tourism as government entity</t>
        </is>
      </c>
      <c r="N221" s="59" t="inlineStr">
        <is>
          <t>LOW</t>
        </is>
      </c>
      <c r="O221" s="48" t="inlineStr">
        <is>
          <t>https://nca.gov.sa/</t>
        </is>
      </c>
      <c r="P221" s="44" t="inlineStr">
        <is>
          <t>NCA ECC scope</t>
        </is>
      </c>
      <c r="Q221" s="190" t="inlineStr">
        <is>
          <t>See official source for version history</t>
        </is>
      </c>
      <c r="R221" s="190" t="inlineStr">
        <is>
          <t>Framework issued by the relevant authority. Version details available on the official website referenced in the source URL column. The framework has been updated periodically since first issuance.</t>
        </is>
      </c>
      <c r="S221" s="191" t="inlineStr">
        <is>
          <t>See official source</t>
        </is>
      </c>
      <c r="T221" s="190" t="inlineStr">
        <is>
          <t>Updated as needed by the issuing authority</t>
        </is>
      </c>
      <c r="U221" s="25" t="inlineStr">
        <is>
          <t>CURRENT — consult official source for latest version</t>
        </is>
      </c>
      <c r="V221" s="190" t="inlineStr">
        <is>
          <t>Penalties defined by issuing authority; consult official source. NCA ECC-2 penalties apply if relevant</t>
        </is>
      </c>
      <c r="W221" s="192" t="inlineStr">
        <is>
          <t>Issuing authority and/or designated inspection department</t>
        </is>
      </c>
      <c r="X221" s="190" t="inlineStr">
        <is>
          <t>As specified in framework scope — consult official document</t>
        </is>
      </c>
      <c r="Y221" s="49" t="inlineStr">
        <is>
          <t>Both (unless specified otherwise in official document)</t>
        </is>
      </c>
      <c r="Z221" s="190" t="inlineStr">
        <is>
          <t>As defined by issuing authority</t>
        </is>
      </c>
      <c r="AA221" s="191" t="inlineStr">
        <is>
          <t>As defined by issuing authority</t>
        </is>
      </c>
      <c r="AB221" s="190" t="inlineStr">
        <is>
          <t>To be determined from framework text — see official source</t>
        </is>
      </c>
      <c r="AC221" s="190" t="inlineStr">
        <is>
          <t>See framework preamble for international standard references</t>
        </is>
      </c>
      <c r="AD221" s="49" t="inlineStr">
        <is>
          <t>Arabic (primary in KSA); English may be available</t>
        </is>
      </c>
      <c r="AE221" s="58" t="inlineStr">
        <is>
          <t>Mapped to relevant GH-ICGA layer — requires manual assessment</t>
        </is>
      </c>
      <c r="AF221" s="56" t="inlineStr">
        <is>
          <t>See official framework for maturity model details</t>
        </is>
      </c>
      <c r="AG221" s="190" t="inlineStr">
        <is>
          <t>Aligned with relevant Vision 2030 programme — see framework context</t>
        </is>
      </c>
      <c r="AH221" s="190" t="inlineStr">
        <is>
          <t>As specified in framework compliance requirements</t>
        </is>
      </c>
      <c r="AI221" s="193" t="inlineStr">
        <is>
          <t>Institutional theory and regulatory governance theory underpin all KSA regulatory frameworks. Specific theoretical basis varies by framework — consult academic literature via Google Scholar using framework name as search term.</t>
        </is>
      </c>
      <c r="AJ221" s="190" t="inlineStr">
        <is>
          <t>Academic debate varies by framework maturity and international adoption. For KSA-specific debate, consult: Almohammad &amp; Wills (2021) J Cybersecurity; Al-Khater et al. (2020) IEEE Access; Baker McKenzie KSA regulatory updates.</t>
        </is>
      </c>
      <c r="AK221" s="194" t="inlineStr">
        <is>
          <t>Known criticisms include: implementation gap between standards and practice; resource constraints for smaller healthcare entities; rapid technology evolution outpacing regulation. Consult framework evaluation literature for specifics.</t>
        </is>
      </c>
      <c r="AL221" s="195" t="inlineStr">
        <is>
          <t>Framework comparison requires contextual analysis. Key comparators: NIST CSF 2.0 (international benchmark), ISO 27001 (certifiable standard), ECC-2 (KSA mandatory baseline). See main database for cross-framework mapping.</t>
        </is>
      </c>
      <c r="AM221" s="19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21" s="197" t="inlineStr">
        <is>
          <t>Official: Consult the official source URL in the database for the primary document. Training: ISACA, ISC2, RAPS, IAPP, and HIMSS offer professional development covering most regulatory domains. Estimated hours vary by framework complexity.</t>
        </is>
      </c>
      <c r="AO221" s="198" t="inlineStr">
        <is>
          <t>Relevance to GH-ICGA framework varies by layer — see GH-ICGA Layer Mapping column. All KSA mandatory frameworks are compliance inputs to GH-ICGA Layer 4. Frameworks with IoMT-specific provisions directly inform Layers 2 and 3.</t>
        </is>
      </c>
      <c r="AP221" s="51" t="inlineStr">
        <is>
          <t>G + C (Governance + Compliance — standard regulatory framework positioning)</t>
        </is>
      </c>
      <c r="AQ221" s="26" t="inlineStr">
        <is>
          <t>Senior management: accountability for framework compliance. Designated compliance officer: monitor requirements. All staff: awareness of applicable obligations</t>
        </is>
      </c>
      <c r="AR221" s="194" t="inlineStr">
        <is>
          <t>Regulatory Risk; Operational Risk; Reputational Risk — specific domains determined by framework scope</t>
        </is>
      </c>
      <c r="AS221" s="22" t="inlineStr">
        <is>
          <t>See official source — legal obligation, regulatory requirement, or voluntary standard as applicable</t>
        </is>
      </c>
      <c r="AT221" s="195" t="inlineStr">
        <is>
          <t>Administrative; Technical; Operational — specific distribution determined by framework content</t>
        </is>
      </c>
      <c r="AU221" s="199" t="inlineStr">
        <is>
          <t>1. Compliance status (compliant/non-compliant). 2. # open findings from last assessment. 3. % controls implemented. 4. Time to remediate findings. 5. Incident rate in framework scope area</t>
        </is>
      </c>
      <c r="AV221" s="200" t="inlineStr">
        <is>
          <t>Self-assessment; internal audit; external assessment as specified by issuing authority</t>
        </is>
      </c>
      <c r="AW221" s="201" t="inlineStr">
        <is>
          <t>ServiceNow GRC; IBM OpenPages; RSA Archer; MetricStream — all major GRC platforms support custom framework import. Contact vendor for framework-specific module</t>
        </is>
      </c>
      <c r="AX221" s="202" t="inlineStr">
        <is>
          <t>Third parties in scope must demonstrate equivalent compliance. Contractual compliance obligations; right-to-audit clauses; annual third-party assessment</t>
        </is>
      </c>
      <c r="AY221" s="203" t="inlineStr">
        <is>
          <t>Non-compliance: regulatory action by issuing authority; fines and penalties as specified; operational and reputational consequences</t>
        </is>
      </c>
      <c r="AZ221" s="200" t="inlineStr">
        <is>
          <t>ALL 17 SECTORS</t>
        </is>
      </c>
      <c r="BA221" s="34" t="inlineStr">
        <is>
          <t>YES — ALL SECTORS</t>
        </is>
      </c>
      <c r="BB221" s="591">
        <f>IF(E221="","",IF(ISNUMBER(SEARCH("Institutional theory and regulatory governance theory underpin",AI221)),"TEMPLATE",IF(LEN(AI221)&gt;100,"DEEP",IF(AI221="","SPARSE","SHALLOW"))))</f>
        <v/>
      </c>
      <c r="BC221" s="591">
        <f>IF(E221="","",D221&amp;"-"&amp;B221&amp;"-"&amp;E221)</f>
        <v/>
      </c>
      <c r="BD221" s="591">
        <f>IF(E221="","",SUBSTITUTE(SUBSTITUTE(B221&amp;"-"&amp;E221," ",""),":","-"))</f>
        <v/>
      </c>
      <c r="BE221" s="591">
        <f>IF(E221="","",IF(ISNUMBER(SEARCH("ECC",E221)),"NCA-ECC-2-2024",IF(ISNUMBER(SEARCH("OTCC",E221)),"NCA-ECC-2-2024",IF(ISNUMBER(SEARCH("CCC",E221)),"NCA-ECC-2-2024",IF(ISNUMBER(SEARCH("DCC",E221)),"NCA-ECC-2-2024",IF(ISNUMBER(SEARCH("CSCC",E221)),"NCA-ECC-2-2024",IF(ISNUMBER(SEARCH("PDPL-IR",E221)),"PDPL-2021",IF(ISNUMBER(SEARCH("PDPL-DTR",E221)),"PDPL-2021","NONE"))))))))</f>
        <v/>
      </c>
      <c r="BF221" s="594">
        <f>IF(E221="","",IF(BB221="DEEP",10,IF(BB221="SHALLOW",5,IF(BB221="TEMPLATE",3,1)))+IF(N221="HIGHEST",5,IF(N221="HIGH",3,IF(N221="MODERATE",1,0)))+IF(ISNUMBER(SEARCH("Mandatory",L221)),3,0))</f>
        <v/>
      </c>
    </row>
    <row r="222" ht="42" customHeight="1">
      <c r="A222" s="204" t="n">
        <v>203</v>
      </c>
      <c r="B222" s="205" t="inlineStr">
        <is>
          <t>MOTour</t>
        </is>
      </c>
      <c r="C222" s="190" t="inlineStr">
        <is>
          <t>Ministry of Tourism</t>
        </is>
      </c>
      <c r="D222" s="190" t="inlineStr">
        <is>
          <t>1. Ministries</t>
        </is>
      </c>
      <c r="E222" s="205" t="inlineStr">
        <is>
          <t>PDPL-2021</t>
        </is>
      </c>
      <c r="F222" s="192" t="inlineStr">
        <is>
          <t>Personal Data Protection Law</t>
        </is>
      </c>
      <c r="G222" s="190" t="inlineStr">
        <is>
          <t>نظام حماية البيانات الشخصية</t>
        </is>
      </c>
      <c r="H222" s="190" t="inlineStr">
        <is>
          <t>2021+IR 2023</t>
        </is>
      </c>
      <c r="I222" s="191" t="inlineStr">
        <is>
          <t>2021</t>
        </is>
      </c>
      <c r="J222" s="191" t="inlineStr">
        <is>
          <t>45</t>
        </is>
      </c>
      <c r="K222" s="190" t="inlineStr">
        <is>
          <t>MUST COMPLY WITH</t>
        </is>
      </c>
      <c r="L222" s="66" t="inlineStr">
        <is>
          <t>Mandatory Complier</t>
        </is>
      </c>
      <c r="M222" s="190" t="inlineStr">
        <is>
          <t>Ministry of Tourism processes personal data of employees and regulated parties</t>
        </is>
      </c>
      <c r="N222" s="209" t="inlineStr">
        <is>
          <t>LOW</t>
        </is>
      </c>
      <c r="O222" s="207" t="inlineStr">
        <is>
          <t>https://sdaia.gov.sa/</t>
        </is>
      </c>
      <c r="P222" s="190" t="inlineStr">
        <is>
          <t>SDAIA</t>
        </is>
      </c>
      <c r="Q222" s="190" t="inlineStr">
        <is>
          <t>Royal Decree M/19 (16 Sep 2021) → amended Apr 2023</t>
        </is>
      </c>
      <c r="R222" s="190" t="inlineStr">
        <is>
          <t>Original (2021): 19 articles covering consent, data subject rights, controller obligations, sensitive data (health = sensitive), cross-border transfer. Apr 2023 amendment: strengthened enforcement, clarified health data provisions, aligned with PDPL-IR-2023. Grace period for compliance ended Sep 14, 2024. Penalties: up to SAR 5 million fine + 2 years imprisonment for sensitive data breach</t>
        </is>
      </c>
      <c r="S222" s="191" t="inlineStr">
        <is>
          <t>Issued: Sep 2021. Amended: Apr 2023. Fully enforceable: Sep 14, 2024</t>
        </is>
      </c>
      <c r="T222" s="190" t="inlineStr">
        <is>
          <t>SDAIA reviews annually; amendments expected 2025-2026</t>
        </is>
      </c>
      <c r="U222" s="25" t="inlineStr">
        <is>
          <t>CURRENT — fully enforceable since Sep 2024</t>
        </is>
      </c>
      <c r="V222" s="190" t="inlineStr">
        <is>
          <t>Criminal offence: up to 2 years imprisonment + SAR 3M fine for disclosing sensitive data (health data = sensitive); administrative fine up to SAR 5M; mandatory breach notification to SDAIA within 72 hours; data subject compensation claims</t>
        </is>
      </c>
      <c r="W222" s="192" t="inlineStr">
        <is>
          <t>SDAIA — Data Protection Authority (DPA functions); NDMO for government entities; courts for criminal penalties</t>
        </is>
      </c>
      <c r="X222" s="190" t="inlineStr">
        <is>
          <t>Hospital; Clinic; Lab; Pharmacy; Health IT Vendor; Health Insurer; Government Health Entity; Medical Device Manufacturer (all processing patient data)</t>
        </is>
      </c>
      <c r="Y222" s="49" t="inlineStr">
        <is>
          <t>Both + foreign entities processing data of KSA residents</t>
        </is>
      </c>
      <c r="Z222" s="190" t="inlineStr">
        <is>
          <t>SDAIA audit; controller self-assessment; DPO oversight; data subject complaints trigger investigation</t>
        </is>
      </c>
      <c r="AA222" s="191" t="inlineStr">
        <is>
          <t>Continuous (breach notification: 72 hours); annual DPO report; SDAIA random audits</t>
        </is>
      </c>
      <c r="AB222" s="190" t="inlineStr">
        <is>
          <t>12 (IoMT data minimisation; purpose limitation; consent management for wearable data; automated decision-making; data subject rights for IoMT-generated health data; cross-border transfer of IoMT data)</t>
        </is>
      </c>
      <c r="AC222" s="190" t="inlineStr">
        <is>
          <t>GDPR (substantial alignment — adequate protection basis); APEC Privacy Framework; ISO 29100; ISO 27701</t>
        </is>
      </c>
      <c r="AD222" s="49" t="inlineStr">
        <is>
          <t>Arabic (official); English translation (unofficial)</t>
        </is>
      </c>
      <c r="AE222" s="50" t="inlineStr">
        <is>
          <t>Layer 4: Compliance; Layer 2: Risk Management</t>
        </is>
      </c>
      <c r="AF222" s="60" t="inlineStr">
        <is>
          <t>No formal maturity model; SDAIA publishes compliance guidance</t>
        </is>
      </c>
      <c r="AG222" s="190" t="inlineStr">
        <is>
          <t>National Data Strategy; Vision 2030 Digital Economy; Digital Government transformation</t>
        </is>
      </c>
      <c r="AH222" s="190" t="inlineStr">
        <is>
          <t>Privacy notices; consent records; DPO appointment letter; data mapping/flow diagrams; breach notification records; DPIA for health data processing; controller registration</t>
        </is>
      </c>
      <c r="AI222" s="193" t="inlineStr">
        <is>
          <t>Privacy as fundamental right (Warren &amp; Brandeis 1890; Westin 1967). Contextual integrity theory (Nissenbaum 2004): health data flows must match medical context norms. Regulatory theory: data protection authority independence and enforcement. Information asymmetry theory: patients cannot protect their own data without regulation.</t>
        </is>
      </c>
      <c r="AJ222" s="190" t="inlineStr">
        <is>
          <t>FOR: Long-overdue — KSA had no comprehensive data protection law until 2021; health data explicitly protected as sensitive category; aligns KSA with global adequacy standards. AGAINST: Alrawabdeh (2014) and Aldawood &amp; Skinner (2019) documented Saudi privacy culture gap — regulation without public awareness is ineffective; 'GDPR-lite' criticism: exemptions broader than GDPR, enforcement weaker; health data provisions in IR still less specific than UK GDPR Schedule 1 conditions</t>
        </is>
      </c>
      <c r="AK222" s="194" t="inlineStr">
        <is>
          <t>No independent supervisory authority (SDAIA is both promoter and regulator — conflict of interest noted by Baker McKenzie 2025); patient data portability rights weaker than GDPR Article 20; no explicit right to explanation for AI-automated health decisions; cross-border transfer rules changed twice in 12 months (regulatory instability); small healthcare providers lack capacity for DPO requirements</t>
        </is>
      </c>
      <c r="AL222" s="195" t="inlineStr">
        <is>
          <t>PDPL vs GDPR: PDPL penalty lower (SAR 5M vs €20M); PDPL broader government exemptions; GDPR has independent DPA, PDPL does not. PDPL vs HIPAA: PDPL = all personal data (broader); HIPAA = US-specific health data only. PDPL vs UK GDPR: PDPL misses explicit Schedule 1 health data conditions. PDPL ahead of HIPAA on consent granularity; behind GDPR on enforcement independence</t>
        </is>
      </c>
      <c r="AM222" s="196" t="inlineStr">
        <is>
          <t>Baker McKenzie (2025) Saudi Arabia PDPL Global Data &amp; Cyber Handbook; Alrawabdeh W (2014) 'Internet and Social Media Challenges in Arab World' EJSR; Westin AF (1967) Privacy and Freedom NY Atheneum; Nissenbaum H (2004) 'Privacy as Contextual Integrity' Washington Law Review 79(1); CMS Law (2025) Saudi Arabia Data Protection &amp; Cybersecurity Expert Guide Oct 2025</t>
        </is>
      </c>
      <c r="AN222" s="197" t="inlineStr">
        <is>
          <t>Official: SDAIA website (sdaia.gov.sa) — Arabic + English. Training: IAPP CIPM/CIPP/E (privacy certifications applicable); OneTrust PDPL compliance course; Baker McKenzie PDPL compliance guide. Language: Arabic primary — strong Arabic reading recommended. Estimated: 50 hours for health sector DPO competence</t>
        </is>
      </c>
      <c r="AO222" s="198" t="inlineStr">
        <is>
          <t>PRIMARY driver for GH-ICGA Layer 4 (Compliance) — PDPL is the legal foundation for patient data governance in the preliminary GH-ICGA framework. Thesis argument: GH-ICGA Layer 4 operationalises PDPL requirements into IoMT-specific controls (consent management for wearable data; purpose limitation for monitoring streams; breach response for connected device incidents)</t>
        </is>
      </c>
      <c r="AP222" s="51" t="inlineStr">
        <is>
          <t>G + C (Governance + Compliance — strong compliance driver; risk implicit)</t>
        </is>
      </c>
      <c r="AQ222" s="26" t="inlineStr">
        <is>
          <t>Board/CEO: ultimate accountability for PDPL compliance. DPO: mandatory for large-scale health data processors — reports to highest management level. Privacy Committee: cross-functional oversight. All staff processing personal data: mandatory privacy awareness training annually</t>
        </is>
      </c>
      <c r="AR222" s="194" t="inlineStr">
        <is>
          <t>Privacy Risk (PRIMARY); Legal/Regulatory Risk; Reputational Risk; Strategic Risk (data monetisation constraints); Cross-Border Risk (data transfer restrictions)</t>
        </is>
      </c>
      <c r="AS222" s="22" t="inlineStr">
        <is>
          <t>LEGAL — Royal Decree M/19 2021 + Implementing Regulations Sep 2023. Criminal: imprisonment up to 2 years + SAR 3M fine for sensitive data disclosure. Administrative: SAR 5M maximum fine. Civil: data subject compensation claims</t>
        </is>
      </c>
      <c r="AT222" s="195" t="inlineStr">
        <is>
          <t>Administrative (A): consent management; privacy notices; DPO appointment; DPIA process; breach notification procedure. Technical (T): data minimisation; pseudonymisation; access controls for personal data; encryption. Operational (O): data retention enforcement; data subject rights fulfilment process; cross-border transfer review</t>
        </is>
      </c>
      <c r="AU222" s="199" t="inlineStr">
        <is>
          <t>1. # data subject rights requests fulfilled on time (target: 100% within 30 days). 2. # data breaches notified to SDAIA within 72h (target: 100%). 3. % staff completed privacy training (target: 100%). 4. # DPIAs completed for high-risk processing activities. 5. Data retention compliance rate (% records within policy). 6. % third-party processors with DPA agreements</t>
        </is>
      </c>
      <c r="AV222" s="200" t="inlineStr">
        <is>
          <t>Annual DPIA review; data mapping audit (controller record validation); consent record audit; breach response simulation (tabletop); access control review for personal data systems; third-party processor audit; SDAIA compliance self-assessment</t>
        </is>
      </c>
      <c r="AW222" s="201" t="inlineStr">
        <is>
          <t>OneTrust (market leader for PDPL); TrustArc; Nymity; DataGrail; Varonis (data discovery); Microsoft Purview (data classification). SDAIA National Data Governance Platform for registration. Arabic-capable tools preferred</t>
        </is>
      </c>
      <c r="AX222" s="202" t="inlineStr">
        <is>
          <t>All third-party data processors must have Data Processing Agreement (DPA). Processors must demonstrate equivalent PDPL compliance. Cross-border transfers require adequacy assessment or appropriate safeguards. Sub-processor disclosure mandatory. Annual processor risk assessment required</t>
        </is>
      </c>
      <c r="AY222" s="203" t="inlineStr">
        <is>
          <t>Non-compliance: SAR 5M administrative fine; criminal prosecution for sensitive data breach; SDAIA investigation; mandatory breach public disclosure. Business disruption: SDAIA can order processing suspension. Reputational: patient trust damage. Market: EU adequate protection status depends on PDPL enforcement credibility</t>
        </is>
      </c>
      <c r="AZ222" s="200" t="inlineStr">
        <is>
          <t>ALL 17 SECTORS — any entity processing personal data</t>
        </is>
      </c>
      <c r="BA222" s="34" t="inlineStr">
        <is>
          <t>YES — ALL SECTORS</t>
        </is>
      </c>
      <c r="BB222" s="591">
        <f>IF(E222="","",IF(ISNUMBER(SEARCH("Institutional theory and regulatory governance theory underpin",AI222)),"TEMPLATE",IF(LEN(AI222)&gt;100,"DEEP",IF(AI222="","SPARSE","SHALLOW"))))</f>
        <v/>
      </c>
      <c r="BC222" s="591">
        <f>IF(E222="","",D222&amp;"-"&amp;B222&amp;"-"&amp;E222)</f>
        <v/>
      </c>
      <c r="BD222" s="591">
        <f>IF(E222="","",SUBSTITUTE(SUBSTITUTE(B222&amp;"-"&amp;E222," ",""),":","-"))</f>
        <v/>
      </c>
      <c r="BE222" s="591">
        <f>IF(E222="","",IF(ISNUMBER(SEARCH("ECC",E222)),"NCA-ECC-2-2024",IF(ISNUMBER(SEARCH("OTCC",E222)),"NCA-ECC-2-2024",IF(ISNUMBER(SEARCH("CCC",E222)),"NCA-ECC-2-2024",IF(ISNUMBER(SEARCH("DCC",E222)),"NCA-ECC-2-2024",IF(ISNUMBER(SEARCH("CSCC",E222)),"NCA-ECC-2-2024",IF(ISNUMBER(SEARCH("PDPL-IR",E222)),"PDPL-2021",IF(ISNUMBER(SEARCH("PDPL-DTR",E222)),"PDPL-2021","NONE"))))))))</f>
        <v/>
      </c>
      <c r="BF222" s="594">
        <f>IF(E222="","",IF(BB222="DEEP",10,IF(BB222="SHALLOW",5,IF(BB222="TEMPLATE",3,1)))+IF(N222="HIGHEST",5,IF(N222="HIGH",3,IF(N222="MODERATE",1,0)))+IF(ISNUMBER(SEARCH("Mandatory",L222)),3,0))</f>
        <v/>
      </c>
    </row>
    <row r="223" ht="42" customHeight="1">
      <c r="A223" s="42" t="n">
        <v>204</v>
      </c>
      <c r="B223" s="189" t="inlineStr">
        <is>
          <t>MOJ</t>
        </is>
      </c>
      <c r="C223" s="44" t="inlineStr">
        <is>
          <t>Ministry of Justice</t>
        </is>
      </c>
      <c r="D223" s="44" t="inlineStr">
        <is>
          <t>1. Ministries</t>
        </is>
      </c>
      <c r="E223" s="189" t="inlineStr">
        <is>
          <t>MOJ-LAW</t>
        </is>
      </c>
      <c r="F223" s="45" t="inlineStr">
        <is>
          <t>Judicial Procedure Law</t>
        </is>
      </c>
      <c r="G223" s="44" t="inlineStr">
        <is>
          <t>قانون/نظام اللوائح الرئيسية</t>
        </is>
      </c>
      <c r="H223" s="44" t="inlineStr">
        <is>
          <t>Active/Updated</t>
        </is>
      </c>
      <c r="I223" s="46" t="inlineStr">
        <is>
          <t>2001</t>
        </is>
      </c>
      <c r="J223" s="46" t="inlineStr">
        <is>
          <t>N/A</t>
        </is>
      </c>
      <c r="K223" s="44" t="inlineStr">
        <is>
          <t>ISSUES/ENFORCES</t>
        </is>
      </c>
      <c r="L223" s="22" t="inlineStr">
        <is>
          <t>Mandatory Enforcer</t>
        </is>
      </c>
      <c r="M223" s="44" t="inlineStr">
        <is>
          <t>Entities regulated by this ministry</t>
        </is>
      </c>
      <c r="N223" s="55" t="inlineStr">
        <is>
          <t>MODERATE</t>
        </is>
      </c>
      <c r="O223" s="48" t="inlineStr">
        <is>
          <t>https://moj.gov.sa or via www.moi.gov.sa</t>
        </is>
      </c>
      <c r="P223" s="44" t="inlineStr">
        <is>
          <t>Ministry official; BOE regulations archive</t>
        </is>
      </c>
      <c r="Q223" s="190" t="inlineStr">
        <is>
          <t>See official source for version history</t>
        </is>
      </c>
      <c r="R223" s="190" t="inlineStr">
        <is>
          <t>Framework issued by the relevant authority. Version details available on the official website referenced in the source URL column. The framework has been updated periodically since first issuance.</t>
        </is>
      </c>
      <c r="S223" s="191" t="inlineStr">
        <is>
          <t>See official source</t>
        </is>
      </c>
      <c r="T223" s="190" t="inlineStr">
        <is>
          <t>Updated as needed by the issuing authority</t>
        </is>
      </c>
      <c r="U223" s="25" t="inlineStr">
        <is>
          <t>CURRENT — consult official source for latest version</t>
        </is>
      </c>
      <c r="V223" s="190" t="inlineStr">
        <is>
          <t>Penalties defined by issuing authority; consult official source. NCA ECC-2 penalties apply if relevant</t>
        </is>
      </c>
      <c r="W223" s="192" t="inlineStr">
        <is>
          <t>Issuing authority and/or designated inspection department</t>
        </is>
      </c>
      <c r="X223" s="190" t="inlineStr">
        <is>
          <t>As specified in framework scope — consult official document</t>
        </is>
      </c>
      <c r="Y223" s="49" t="inlineStr">
        <is>
          <t>Both (unless specified otherwise in official document)</t>
        </is>
      </c>
      <c r="Z223" s="190" t="inlineStr">
        <is>
          <t>As defined by issuing authority</t>
        </is>
      </c>
      <c r="AA223" s="191" t="inlineStr">
        <is>
          <t>As defined by issuing authority</t>
        </is>
      </c>
      <c r="AB223" s="190" t="inlineStr">
        <is>
          <t>To be determined from framework text — see official source</t>
        </is>
      </c>
      <c r="AC223" s="190" t="inlineStr">
        <is>
          <t>See framework preamble for international standard references</t>
        </is>
      </c>
      <c r="AD223" s="49" t="inlineStr">
        <is>
          <t>Arabic (primary in KSA); English may be available</t>
        </is>
      </c>
      <c r="AE223" s="58" t="inlineStr">
        <is>
          <t>Mapped to relevant GH-ICGA layer — requires manual assessment</t>
        </is>
      </c>
      <c r="AF223" s="56" t="inlineStr">
        <is>
          <t>See official framework for maturity model details</t>
        </is>
      </c>
      <c r="AG223" s="190" t="inlineStr">
        <is>
          <t>Aligned with relevant Vision 2030 programme — see framework context</t>
        </is>
      </c>
      <c r="AH223" s="190" t="inlineStr">
        <is>
          <t>As specified in framework compliance requirements</t>
        </is>
      </c>
      <c r="AI223" s="193" t="inlineStr">
        <is>
          <t>Institutional theory and regulatory governance theory underpin all KSA regulatory frameworks. Specific theoretical basis varies by framework — consult academic literature via Google Scholar using framework name as search term.</t>
        </is>
      </c>
      <c r="AJ223" s="190" t="inlineStr">
        <is>
          <t>Academic debate varies by framework maturity and international adoption. For KSA-specific debate, consult: Almohammad &amp; Wills (2021) J Cybersecurity; Al-Khater et al. (2020) IEEE Access; Baker McKenzie KSA regulatory updates.</t>
        </is>
      </c>
      <c r="AK223" s="194" t="inlineStr">
        <is>
          <t>Known criticisms include: implementation gap between standards and practice; resource constraints for smaller healthcare entities; rapid technology evolution outpacing regulation. Consult framework evaluation literature for specifics.</t>
        </is>
      </c>
      <c r="AL223" s="195" t="inlineStr">
        <is>
          <t>Framework comparison requires contextual analysis. Key comparators: NIST CSF 2.0 (international benchmark), ISO 27001 (certifiable standard), ECC-2 (KSA mandatory baseline). See main database for cross-framework mapping.</t>
        </is>
      </c>
      <c r="AM223" s="19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23" s="197" t="inlineStr">
        <is>
          <t>Official: Consult the official source URL in the database for the primary document. Training: ISACA, ISC2, RAPS, IAPP, and HIMSS offer professional development covering most regulatory domains. Estimated hours vary by framework complexity.</t>
        </is>
      </c>
      <c r="AO223" s="198" t="inlineStr">
        <is>
          <t>Relevance to GH-ICGA framework varies by layer — see GH-ICGA Layer Mapping column. All KSA mandatory frameworks are compliance inputs to GH-ICGA Layer 4. Frameworks with IoMT-specific provisions directly inform Layers 2 and 3.</t>
        </is>
      </c>
      <c r="AP223" s="51" t="inlineStr">
        <is>
          <t>G + C (Governance + Compliance — standard regulatory framework positioning)</t>
        </is>
      </c>
      <c r="AQ223" s="26" t="inlineStr">
        <is>
          <t>Senior management: accountability for framework compliance. Designated compliance officer: monitor requirements. All staff: awareness of applicable obligations</t>
        </is>
      </c>
      <c r="AR223" s="194" t="inlineStr">
        <is>
          <t>Regulatory Risk; Operational Risk; Reputational Risk — specific domains determined by framework scope</t>
        </is>
      </c>
      <c r="AS223" s="22" t="inlineStr">
        <is>
          <t>See official source — legal obligation, regulatory requirement, or voluntary standard as applicable</t>
        </is>
      </c>
      <c r="AT223" s="195" t="inlineStr">
        <is>
          <t>Administrative; Technical; Operational — specific distribution determined by framework content</t>
        </is>
      </c>
      <c r="AU223" s="199" t="inlineStr">
        <is>
          <t>1. Compliance status (compliant/non-compliant). 2. # open findings from last assessment. 3. % controls implemented. 4. Time to remediate findings. 5. Incident rate in framework scope area</t>
        </is>
      </c>
      <c r="AV223" s="200" t="inlineStr">
        <is>
          <t>Self-assessment; internal audit; external assessment as specified by issuing authority</t>
        </is>
      </c>
      <c r="AW223" s="201" t="inlineStr">
        <is>
          <t>ServiceNow GRC; IBM OpenPages; RSA Archer; MetricStream — all major GRC platforms support custom framework import. Contact vendor for framework-specific module</t>
        </is>
      </c>
      <c r="AX223" s="202" t="inlineStr">
        <is>
          <t>Third parties in scope must demonstrate equivalent compliance. Contractual compliance obligations; right-to-audit clauses; annual third-party assessment</t>
        </is>
      </c>
      <c r="AY223" s="203" t="inlineStr">
        <is>
          <t>Non-compliance: regulatory action by issuing authority; fines and penalties as specified; operational and reputational consequences</t>
        </is>
      </c>
      <c r="AZ223" s="200" t="inlineStr">
        <is>
          <t>Sector-specific — consult official source</t>
        </is>
      </c>
      <c r="BA223" s="41" t="inlineStr">
        <is>
          <t>Sector-Specific</t>
        </is>
      </c>
      <c r="BB223" s="591">
        <f>IF(E223="","",IF(ISNUMBER(SEARCH("Institutional theory and regulatory governance theory underpin",AI223)),"TEMPLATE",IF(LEN(AI223)&gt;100,"DEEP",IF(AI223="","SPARSE","SHALLOW"))))</f>
        <v/>
      </c>
      <c r="BC223" s="591">
        <f>IF(E223="","",D223&amp;"-"&amp;B223&amp;"-"&amp;E223)</f>
        <v/>
      </c>
      <c r="BD223" s="591">
        <f>IF(E223="","",SUBSTITUTE(SUBSTITUTE(B223&amp;"-"&amp;E223," ",""),":","-"))</f>
        <v/>
      </c>
      <c r="BE223" s="591">
        <f>IF(E223="","",IF(ISNUMBER(SEARCH("ECC",E223)),"NCA-ECC-2-2024",IF(ISNUMBER(SEARCH("OTCC",E223)),"NCA-ECC-2-2024",IF(ISNUMBER(SEARCH("CCC",E223)),"NCA-ECC-2-2024",IF(ISNUMBER(SEARCH("DCC",E223)),"NCA-ECC-2-2024",IF(ISNUMBER(SEARCH("CSCC",E223)),"NCA-ECC-2-2024",IF(ISNUMBER(SEARCH("PDPL-IR",E223)),"PDPL-2021",IF(ISNUMBER(SEARCH("PDPL-DTR",E223)),"PDPL-2021","NONE"))))))))</f>
        <v/>
      </c>
      <c r="BF223" s="594">
        <f>IF(E223="","",IF(BB223="DEEP",10,IF(BB223="SHALLOW",5,IF(BB223="TEMPLATE",3,1)))+IF(N223="HIGHEST",5,IF(N223="HIGH",3,IF(N223="MODERATE",1,0)))+IF(ISNUMBER(SEARCH("Mandatory",L223)),3,0))</f>
        <v/>
      </c>
    </row>
    <row r="224" ht="42" customHeight="1">
      <c r="A224" s="204" t="n">
        <v>205</v>
      </c>
      <c r="B224" s="205" t="inlineStr">
        <is>
          <t>MOJ</t>
        </is>
      </c>
      <c r="C224" s="190" t="inlineStr">
        <is>
          <t>Ministry of Justice</t>
        </is>
      </c>
      <c r="D224" s="190" t="inlineStr">
        <is>
          <t>1. Ministries</t>
        </is>
      </c>
      <c r="E224" s="205" t="inlineStr">
        <is>
          <t>NCA-ECC-2:2024</t>
        </is>
      </c>
      <c r="F224" s="192" t="inlineStr">
        <is>
          <t>Essential Cybersecurity Controls</t>
        </is>
      </c>
      <c r="G224" s="190" t="inlineStr">
        <is>
          <t>ضوابط الأمن السيبراني الأساسية</t>
        </is>
      </c>
      <c r="H224" s="190" t="inlineStr">
        <is>
          <t>ECC-2:2024</t>
        </is>
      </c>
      <c r="I224" s="191" t="inlineStr">
        <is>
          <t>2018</t>
        </is>
      </c>
      <c r="J224" s="191" t="inlineStr">
        <is>
          <t>108</t>
        </is>
      </c>
      <c r="K224" s="190" t="inlineStr">
        <is>
          <t>MUST COMPLY WITH</t>
        </is>
      </c>
      <c r="L224" s="66" t="inlineStr">
        <is>
          <t>Mandatory Complier</t>
        </is>
      </c>
      <c r="M224" s="190" t="inlineStr">
        <is>
          <t>Ministry of Justice as government entity</t>
        </is>
      </c>
      <c r="N224" s="209" t="inlineStr">
        <is>
          <t>LOW</t>
        </is>
      </c>
      <c r="O224" s="207" t="inlineStr">
        <is>
          <t>https://nca.gov.sa/</t>
        </is>
      </c>
      <c r="P224" s="190" t="inlineStr">
        <is>
          <t>NCA ECC scope</t>
        </is>
      </c>
      <c r="Q224" s="190" t="inlineStr">
        <is>
          <t>See official source for version history</t>
        </is>
      </c>
      <c r="R224" s="190" t="inlineStr">
        <is>
          <t>Framework issued by the relevant authority. Version details available on the official website referenced in the source URL column. The framework has been updated periodically since first issuance.</t>
        </is>
      </c>
      <c r="S224" s="191" t="inlineStr">
        <is>
          <t>See official source</t>
        </is>
      </c>
      <c r="T224" s="190" t="inlineStr">
        <is>
          <t>Updated as needed by the issuing authority</t>
        </is>
      </c>
      <c r="U224" s="25" t="inlineStr">
        <is>
          <t>CURRENT — consult official source for latest version</t>
        </is>
      </c>
      <c r="V224" s="190" t="inlineStr">
        <is>
          <t>Penalties defined by issuing authority; consult official source. NCA ECC-2 penalties apply if relevant</t>
        </is>
      </c>
      <c r="W224" s="192" t="inlineStr">
        <is>
          <t>Issuing authority and/or designated inspection department</t>
        </is>
      </c>
      <c r="X224" s="190" t="inlineStr">
        <is>
          <t>As specified in framework scope — consult official document</t>
        </is>
      </c>
      <c r="Y224" s="49" t="inlineStr">
        <is>
          <t>Both (unless specified otherwise in official document)</t>
        </is>
      </c>
      <c r="Z224" s="190" t="inlineStr">
        <is>
          <t>As defined by issuing authority</t>
        </is>
      </c>
      <c r="AA224" s="191" t="inlineStr">
        <is>
          <t>As defined by issuing authority</t>
        </is>
      </c>
      <c r="AB224" s="190" t="inlineStr">
        <is>
          <t>To be determined from framework text — see official source</t>
        </is>
      </c>
      <c r="AC224" s="190" t="inlineStr">
        <is>
          <t>See framework preamble for international standard references</t>
        </is>
      </c>
      <c r="AD224" s="49" t="inlineStr">
        <is>
          <t>Arabic (primary in KSA); English may be available</t>
        </is>
      </c>
      <c r="AE224" s="58" t="inlineStr">
        <is>
          <t>Mapped to relevant GH-ICGA layer — requires manual assessment</t>
        </is>
      </c>
      <c r="AF224" s="56" t="inlineStr">
        <is>
          <t>See official framework for maturity model details</t>
        </is>
      </c>
      <c r="AG224" s="190" t="inlineStr">
        <is>
          <t>Aligned with relevant Vision 2030 programme — see framework context</t>
        </is>
      </c>
      <c r="AH224" s="190" t="inlineStr">
        <is>
          <t>As specified in framework compliance requirements</t>
        </is>
      </c>
      <c r="AI224" s="193" t="inlineStr">
        <is>
          <t>Institutional theory and regulatory governance theory underpin all KSA regulatory frameworks. Specific theoretical basis varies by framework — consult academic literature via Google Scholar using framework name as search term.</t>
        </is>
      </c>
      <c r="AJ224" s="190" t="inlineStr">
        <is>
          <t>Academic debate varies by framework maturity and international adoption. For KSA-specific debate, consult: Almohammad &amp; Wills (2021) J Cybersecurity; Al-Khater et al. (2020) IEEE Access; Baker McKenzie KSA regulatory updates.</t>
        </is>
      </c>
      <c r="AK224" s="194" t="inlineStr">
        <is>
          <t>Known criticisms include: implementation gap between standards and practice; resource constraints for smaller healthcare entities; rapid technology evolution outpacing regulation. Consult framework evaluation literature for specifics.</t>
        </is>
      </c>
      <c r="AL224" s="195" t="inlineStr">
        <is>
          <t>Framework comparison requires contextual analysis. Key comparators: NIST CSF 2.0 (international benchmark), ISO 27001 (certifiable standard), ECC-2 (KSA mandatory baseline). See main database for cross-framework mapping.</t>
        </is>
      </c>
      <c r="AM224" s="19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24" s="197" t="inlineStr">
        <is>
          <t>Official: Consult the official source URL in the database for the primary document. Training: ISACA, ISC2, RAPS, IAPP, and HIMSS offer professional development covering most regulatory domains. Estimated hours vary by framework complexity.</t>
        </is>
      </c>
      <c r="AO224" s="198" t="inlineStr">
        <is>
          <t>Relevance to GH-ICGA framework varies by layer — see GH-ICGA Layer Mapping column. All KSA mandatory frameworks are compliance inputs to GH-ICGA Layer 4. Frameworks with IoMT-specific provisions directly inform Layers 2 and 3.</t>
        </is>
      </c>
      <c r="AP224" s="51" t="inlineStr">
        <is>
          <t>G + C (Governance + Compliance — standard regulatory framework positioning)</t>
        </is>
      </c>
      <c r="AQ224" s="26" t="inlineStr">
        <is>
          <t>Senior management: accountability for framework compliance. Designated compliance officer: monitor requirements. All staff: awareness of applicable obligations</t>
        </is>
      </c>
      <c r="AR224" s="194" t="inlineStr">
        <is>
          <t>Regulatory Risk; Operational Risk; Reputational Risk — specific domains determined by framework scope</t>
        </is>
      </c>
      <c r="AS224" s="22" t="inlineStr">
        <is>
          <t>See official source — legal obligation, regulatory requirement, or voluntary standard as applicable</t>
        </is>
      </c>
      <c r="AT224" s="195" t="inlineStr">
        <is>
          <t>Administrative; Technical; Operational — specific distribution determined by framework content</t>
        </is>
      </c>
      <c r="AU224" s="199" t="inlineStr">
        <is>
          <t>1. Compliance status (compliant/non-compliant). 2. # open findings from last assessment. 3. % controls implemented. 4. Time to remediate findings. 5. Incident rate in framework scope area</t>
        </is>
      </c>
      <c r="AV224" s="200" t="inlineStr">
        <is>
          <t>Self-assessment; internal audit; external assessment as specified by issuing authority</t>
        </is>
      </c>
      <c r="AW224" s="201" t="inlineStr">
        <is>
          <t>ServiceNow GRC; IBM OpenPages; RSA Archer; MetricStream — all major GRC platforms support custom framework import. Contact vendor for framework-specific module</t>
        </is>
      </c>
      <c r="AX224" s="202" t="inlineStr">
        <is>
          <t>Third parties in scope must demonstrate equivalent compliance. Contractual compliance obligations; right-to-audit clauses; annual third-party assessment</t>
        </is>
      </c>
      <c r="AY224" s="203" t="inlineStr">
        <is>
          <t>Non-compliance: regulatory action by issuing authority; fines and penalties as specified; operational and reputational consequences</t>
        </is>
      </c>
      <c r="AZ224" s="200" t="inlineStr">
        <is>
          <t>ALL 17 SECTORS</t>
        </is>
      </c>
      <c r="BA224" s="34" t="inlineStr">
        <is>
          <t>YES — ALL SECTORS</t>
        </is>
      </c>
      <c r="BB224" s="591">
        <f>IF(E224="","",IF(ISNUMBER(SEARCH("Institutional theory and regulatory governance theory underpin",AI224)),"TEMPLATE",IF(LEN(AI224)&gt;100,"DEEP",IF(AI224="","SPARSE","SHALLOW"))))</f>
        <v/>
      </c>
      <c r="BC224" s="591">
        <f>IF(E224="","",D224&amp;"-"&amp;B224&amp;"-"&amp;E224)</f>
        <v/>
      </c>
      <c r="BD224" s="591">
        <f>IF(E224="","",SUBSTITUTE(SUBSTITUTE(B224&amp;"-"&amp;E224," ",""),":","-"))</f>
        <v/>
      </c>
      <c r="BE224" s="591">
        <f>IF(E224="","",IF(ISNUMBER(SEARCH("ECC",E224)),"NCA-ECC-2-2024",IF(ISNUMBER(SEARCH("OTCC",E224)),"NCA-ECC-2-2024",IF(ISNUMBER(SEARCH("CCC",E224)),"NCA-ECC-2-2024",IF(ISNUMBER(SEARCH("DCC",E224)),"NCA-ECC-2-2024",IF(ISNUMBER(SEARCH("CSCC",E224)),"NCA-ECC-2-2024",IF(ISNUMBER(SEARCH("PDPL-IR",E224)),"PDPL-2021",IF(ISNUMBER(SEARCH("PDPL-DTR",E224)),"PDPL-2021","NONE"))))))))</f>
        <v/>
      </c>
      <c r="BF224" s="594">
        <f>IF(E224="","",IF(BB224="DEEP",10,IF(BB224="SHALLOW",5,IF(BB224="TEMPLATE",3,1)))+IF(N224="HIGHEST",5,IF(N224="HIGH",3,IF(N224="MODERATE",1,0)))+IF(ISNUMBER(SEARCH("Mandatory",L224)),3,0))</f>
        <v/>
      </c>
    </row>
    <row r="225" ht="42" customHeight="1">
      <c r="A225" s="42" t="n">
        <v>206</v>
      </c>
      <c r="B225" s="189" t="inlineStr">
        <is>
          <t>MOJ</t>
        </is>
      </c>
      <c r="C225" s="44" t="inlineStr">
        <is>
          <t>Ministry of Justice</t>
        </is>
      </c>
      <c r="D225" s="44" t="inlineStr">
        <is>
          <t>1. Ministries</t>
        </is>
      </c>
      <c r="E225" s="189" t="inlineStr">
        <is>
          <t>PDPL-2021</t>
        </is>
      </c>
      <c r="F225" s="45" t="inlineStr">
        <is>
          <t>Personal Data Protection Law</t>
        </is>
      </c>
      <c r="G225" s="44" t="inlineStr">
        <is>
          <t>نظام حماية البيانات الشخصية</t>
        </is>
      </c>
      <c r="H225" s="44" t="inlineStr">
        <is>
          <t>2021+IR 2023</t>
        </is>
      </c>
      <c r="I225" s="46" t="inlineStr">
        <is>
          <t>2021</t>
        </is>
      </c>
      <c r="J225" s="46" t="inlineStr">
        <is>
          <t>45</t>
        </is>
      </c>
      <c r="K225" s="44" t="inlineStr">
        <is>
          <t>MUST COMPLY WITH</t>
        </is>
      </c>
      <c r="L225" s="66" t="inlineStr">
        <is>
          <t>Mandatory Complier</t>
        </is>
      </c>
      <c r="M225" s="44" t="inlineStr">
        <is>
          <t>Ministry of Justice processes personal data of employees and regulated parties</t>
        </is>
      </c>
      <c r="N225" s="59" t="inlineStr">
        <is>
          <t>LOW</t>
        </is>
      </c>
      <c r="O225" s="48" t="inlineStr">
        <is>
          <t>https://sdaia.gov.sa/</t>
        </is>
      </c>
      <c r="P225" s="44" t="inlineStr">
        <is>
          <t>SDAIA</t>
        </is>
      </c>
      <c r="Q225" s="190" t="inlineStr">
        <is>
          <t>Royal Decree M/19 (16 Sep 2021) → amended Apr 2023</t>
        </is>
      </c>
      <c r="R225" s="190" t="inlineStr">
        <is>
          <t>Original (2021): 19 articles covering consent, data subject rights, controller obligations, sensitive data (health = sensitive), cross-border transfer. Apr 2023 amendment: strengthened enforcement, clarified health data provisions, aligned with PDPL-IR-2023. Grace period for compliance ended Sep 14, 2024. Penalties: up to SAR 5 million fine + 2 years imprisonment for sensitive data breach</t>
        </is>
      </c>
      <c r="S225" s="191" t="inlineStr">
        <is>
          <t>Issued: Sep 2021. Amended: Apr 2023. Fully enforceable: Sep 14, 2024</t>
        </is>
      </c>
      <c r="T225" s="190" t="inlineStr">
        <is>
          <t>SDAIA reviews annually; amendments expected 2025-2026</t>
        </is>
      </c>
      <c r="U225" s="25" t="inlineStr">
        <is>
          <t>CURRENT — fully enforceable since Sep 2024</t>
        </is>
      </c>
      <c r="V225" s="190" t="inlineStr">
        <is>
          <t>Criminal offence: up to 2 years imprisonment + SAR 3M fine for disclosing sensitive data (health data = sensitive); administrative fine up to SAR 5M; mandatory breach notification to SDAIA within 72 hours; data subject compensation claims</t>
        </is>
      </c>
      <c r="W225" s="192" t="inlineStr">
        <is>
          <t>SDAIA — Data Protection Authority (DPA functions); NDMO for government entities; courts for criminal penalties</t>
        </is>
      </c>
      <c r="X225" s="190" t="inlineStr">
        <is>
          <t>Hospital; Clinic; Lab; Pharmacy; Health IT Vendor; Health Insurer; Government Health Entity; Medical Device Manufacturer (all processing patient data)</t>
        </is>
      </c>
      <c r="Y225" s="49" t="inlineStr">
        <is>
          <t>Both + foreign entities processing data of KSA residents</t>
        </is>
      </c>
      <c r="Z225" s="190" t="inlineStr">
        <is>
          <t>SDAIA audit; controller self-assessment; DPO oversight; data subject complaints trigger investigation</t>
        </is>
      </c>
      <c r="AA225" s="191" t="inlineStr">
        <is>
          <t>Continuous (breach notification: 72 hours); annual DPO report; SDAIA random audits</t>
        </is>
      </c>
      <c r="AB225" s="190" t="inlineStr">
        <is>
          <t>12 (IoMT data minimisation; purpose limitation; consent management for wearable data; automated decision-making; data subject rights for IoMT-generated health data; cross-border transfer of IoMT data)</t>
        </is>
      </c>
      <c r="AC225" s="190" t="inlineStr">
        <is>
          <t>GDPR (substantial alignment — adequate protection basis); APEC Privacy Framework; ISO 29100; ISO 27701</t>
        </is>
      </c>
      <c r="AD225" s="49" t="inlineStr">
        <is>
          <t>Arabic (official); English translation (unofficial)</t>
        </is>
      </c>
      <c r="AE225" s="50" t="inlineStr">
        <is>
          <t>Layer 4: Compliance; Layer 2: Risk Management</t>
        </is>
      </c>
      <c r="AF225" s="60" t="inlineStr">
        <is>
          <t>No formal maturity model; SDAIA publishes compliance guidance</t>
        </is>
      </c>
      <c r="AG225" s="190" t="inlineStr">
        <is>
          <t>National Data Strategy; Vision 2030 Digital Economy; Digital Government transformation</t>
        </is>
      </c>
      <c r="AH225" s="190" t="inlineStr">
        <is>
          <t>Privacy notices; consent records; DPO appointment letter; data mapping/flow diagrams; breach notification records; DPIA for health data processing; controller registration</t>
        </is>
      </c>
      <c r="AI225" s="193" t="inlineStr">
        <is>
          <t>Privacy as fundamental right (Warren &amp; Brandeis 1890; Westin 1967). Contextual integrity theory (Nissenbaum 2004): health data flows must match medical context norms. Regulatory theory: data protection authority independence and enforcement. Information asymmetry theory: patients cannot protect their own data without regulation.</t>
        </is>
      </c>
      <c r="AJ225" s="190" t="inlineStr">
        <is>
          <t>FOR: Long-overdue — KSA had no comprehensive data protection law until 2021; health data explicitly protected as sensitive category; aligns KSA with global adequacy standards. AGAINST: Alrawabdeh (2014) and Aldawood &amp; Skinner (2019) documented Saudi privacy culture gap — regulation without public awareness is ineffective; 'GDPR-lite' criticism: exemptions broader than GDPR, enforcement weaker; health data provisions in IR still less specific than UK GDPR Schedule 1 conditions</t>
        </is>
      </c>
      <c r="AK225" s="194" t="inlineStr">
        <is>
          <t>No independent supervisory authority (SDAIA is both promoter and regulator — conflict of interest noted by Baker McKenzie 2025); patient data portability rights weaker than GDPR Article 20; no explicit right to explanation for AI-automated health decisions; cross-border transfer rules changed twice in 12 months (regulatory instability); small healthcare providers lack capacity for DPO requirements</t>
        </is>
      </c>
      <c r="AL225" s="195" t="inlineStr">
        <is>
          <t>PDPL vs GDPR: PDPL penalty lower (SAR 5M vs €20M); PDPL broader government exemptions; GDPR has independent DPA, PDPL does not. PDPL vs HIPAA: PDPL = all personal data (broader); HIPAA = US-specific health data only. PDPL vs UK GDPR: PDPL misses explicit Schedule 1 health data conditions. PDPL ahead of HIPAA on consent granularity; behind GDPR on enforcement independence</t>
        </is>
      </c>
      <c r="AM225" s="196" t="inlineStr">
        <is>
          <t>Baker McKenzie (2025) Saudi Arabia PDPL Global Data &amp; Cyber Handbook; Alrawabdeh W (2014) 'Internet and Social Media Challenges in Arab World' EJSR; Westin AF (1967) Privacy and Freedom NY Atheneum; Nissenbaum H (2004) 'Privacy as Contextual Integrity' Washington Law Review 79(1); CMS Law (2025) Saudi Arabia Data Protection &amp; Cybersecurity Expert Guide Oct 2025</t>
        </is>
      </c>
      <c r="AN225" s="197" t="inlineStr">
        <is>
          <t>Official: SDAIA website (sdaia.gov.sa) — Arabic + English. Training: IAPP CIPM/CIPP/E (privacy certifications applicable); OneTrust PDPL compliance course; Baker McKenzie PDPL compliance guide. Language: Arabic primary — strong Arabic reading recommended. Estimated: 50 hours for health sector DPO competence</t>
        </is>
      </c>
      <c r="AO225" s="198" t="inlineStr">
        <is>
          <t>PRIMARY driver for GH-ICGA Layer 4 (Compliance) — PDPL is the legal foundation for patient data governance in the preliminary GH-ICGA framework. Thesis argument: GH-ICGA Layer 4 operationalises PDPL requirements into IoMT-specific controls (consent management for wearable data; purpose limitation for monitoring streams; breach response for connected device incidents)</t>
        </is>
      </c>
      <c r="AP225" s="51" t="inlineStr">
        <is>
          <t>G + C (Governance + Compliance — strong compliance driver; risk implicit)</t>
        </is>
      </c>
      <c r="AQ225" s="26" t="inlineStr">
        <is>
          <t>Board/CEO: ultimate accountability for PDPL compliance. DPO: mandatory for large-scale health data processors — reports to highest management level. Privacy Committee: cross-functional oversight. All staff processing personal data: mandatory privacy awareness training annually</t>
        </is>
      </c>
      <c r="AR225" s="194" t="inlineStr">
        <is>
          <t>Privacy Risk (PRIMARY); Legal/Regulatory Risk; Reputational Risk; Strategic Risk (data monetisation constraints); Cross-Border Risk (data transfer restrictions)</t>
        </is>
      </c>
      <c r="AS225" s="22" t="inlineStr">
        <is>
          <t>LEGAL — Royal Decree M/19 2021 + Implementing Regulations Sep 2023. Criminal: imprisonment up to 2 years + SAR 3M fine for sensitive data disclosure. Administrative: SAR 5M maximum fine. Civil: data subject compensation claims</t>
        </is>
      </c>
      <c r="AT225" s="195" t="inlineStr">
        <is>
          <t>Administrative (A): consent management; privacy notices; DPO appointment; DPIA process; breach notification procedure. Technical (T): data minimisation; pseudonymisation; access controls for personal data; encryption. Operational (O): data retention enforcement; data subject rights fulfilment process; cross-border transfer review</t>
        </is>
      </c>
      <c r="AU225" s="199" t="inlineStr">
        <is>
          <t>1. # data subject rights requests fulfilled on time (target: 100% within 30 days). 2. # data breaches notified to SDAIA within 72h (target: 100%). 3. % staff completed privacy training (target: 100%). 4. # DPIAs completed for high-risk processing activities. 5. Data retention compliance rate (% records within policy). 6. % third-party processors with DPA agreements</t>
        </is>
      </c>
      <c r="AV225" s="200" t="inlineStr">
        <is>
          <t>Annual DPIA review; data mapping audit (controller record validation); consent record audit; breach response simulation (tabletop); access control review for personal data systems; third-party processor audit; SDAIA compliance self-assessment</t>
        </is>
      </c>
      <c r="AW225" s="201" t="inlineStr">
        <is>
          <t>OneTrust (market leader for PDPL); TrustArc; Nymity; DataGrail; Varonis (data discovery); Microsoft Purview (data classification). SDAIA National Data Governance Platform for registration. Arabic-capable tools preferred</t>
        </is>
      </c>
      <c r="AX225" s="202" t="inlineStr">
        <is>
          <t>All third-party data processors must have Data Processing Agreement (DPA). Processors must demonstrate equivalent PDPL compliance. Cross-border transfers require adequacy assessment or appropriate safeguards. Sub-processor disclosure mandatory. Annual processor risk assessment required</t>
        </is>
      </c>
      <c r="AY225" s="203" t="inlineStr">
        <is>
          <t>Non-compliance: SAR 5M administrative fine; criminal prosecution for sensitive data breach; SDAIA investigation; mandatory breach public disclosure. Business disruption: SDAIA can order processing suspension. Reputational: patient trust damage. Market: EU adequate protection status depends on PDPL enforcement credibility</t>
        </is>
      </c>
      <c r="AZ225" s="200" t="inlineStr">
        <is>
          <t>ALL 17 SECTORS — any entity processing personal data</t>
        </is>
      </c>
      <c r="BA225" s="34" t="inlineStr">
        <is>
          <t>YES — ALL SECTORS</t>
        </is>
      </c>
      <c r="BB225" s="591">
        <f>IF(E225="","",IF(ISNUMBER(SEARCH("Institutional theory and regulatory governance theory underpin",AI225)),"TEMPLATE",IF(LEN(AI225)&gt;100,"DEEP",IF(AI225="","SPARSE","SHALLOW"))))</f>
        <v/>
      </c>
      <c r="BC225" s="591">
        <f>IF(E225="","",D225&amp;"-"&amp;B225&amp;"-"&amp;E225)</f>
        <v/>
      </c>
      <c r="BD225" s="591">
        <f>IF(E225="","",SUBSTITUTE(SUBSTITUTE(B225&amp;"-"&amp;E225," ",""),":","-"))</f>
        <v/>
      </c>
      <c r="BE225" s="591">
        <f>IF(E225="","",IF(ISNUMBER(SEARCH("ECC",E225)),"NCA-ECC-2-2024",IF(ISNUMBER(SEARCH("OTCC",E225)),"NCA-ECC-2-2024",IF(ISNUMBER(SEARCH("CCC",E225)),"NCA-ECC-2-2024",IF(ISNUMBER(SEARCH("DCC",E225)),"NCA-ECC-2-2024",IF(ISNUMBER(SEARCH("CSCC",E225)),"NCA-ECC-2-2024",IF(ISNUMBER(SEARCH("PDPL-IR",E225)),"PDPL-2021",IF(ISNUMBER(SEARCH("PDPL-DTR",E225)),"PDPL-2021","NONE"))))))))</f>
        <v/>
      </c>
      <c r="BF225" s="594">
        <f>IF(E225="","",IF(BB225="DEEP",10,IF(BB225="SHALLOW",5,IF(BB225="TEMPLATE",3,1)))+IF(N225="HIGHEST",5,IF(N225="HIGH",3,IF(N225="MODERATE",1,0)))+IF(ISNUMBER(SEARCH("Mandatory",L225)),3,0))</f>
        <v/>
      </c>
    </row>
    <row r="226">
      <c r="BB226" s="591">
        <f>IF(E226="","",IF(ISNUMBER(SEARCH("Institutional theory and regulatory governance theory underpin",AI226)),"TEMPLATE",IF(LEN(AI226)&gt;100,"DEEP",IF(AI226="","SPARSE","SHALLOW"))))</f>
        <v/>
      </c>
      <c r="BC226" s="591">
        <f>IF(E226="","",D226&amp;"-"&amp;B226&amp;"-"&amp;E226)</f>
        <v/>
      </c>
      <c r="BD226" s="591">
        <f>IF(E226="","",SUBSTITUTE(SUBSTITUTE(B226&amp;"-"&amp;E226," ",""),":","-"))</f>
        <v/>
      </c>
      <c r="BE226" s="591">
        <f>IF(E226="","",IF(ISNUMBER(SEARCH("ECC",E226)),"NCA-ECC-2-2024",IF(ISNUMBER(SEARCH("OTCC",E226)),"NCA-ECC-2-2024",IF(ISNUMBER(SEARCH("CCC",E226)),"NCA-ECC-2-2024",IF(ISNUMBER(SEARCH("DCC",E226)),"NCA-ECC-2-2024",IF(ISNUMBER(SEARCH("CSCC",E226)),"NCA-ECC-2-2024",IF(ISNUMBER(SEARCH("PDPL-IR",E226)),"PDPL-2021",IF(ISNUMBER(SEARCH("PDPL-DTR",E226)),"PDPL-2021","NONE"))))))))</f>
        <v/>
      </c>
      <c r="BF226" s="594">
        <f>IF(E226="","",IF(BB226="DEEP",10,IF(BB226="SHALLOW",5,IF(BB226="TEMPLATE",3,1)))+IF(N226="HIGHEST",5,IF(N226="HIGH",3,IF(N226="MODERATE",1,0)))+IF(ISNUMBER(SEARCH("Mandatory",L226)),3,0))</f>
        <v/>
      </c>
    </row>
    <row r="227" ht="19.5" customHeight="1">
      <c r="A227" s="94" t="n"/>
      <c r="B227" s="95" t="inlineStr">
        <is>
          <t xml:space="preserve">  ── 5. Financial Regulators ──</t>
        </is>
      </c>
      <c r="C227" s="94" t="n"/>
      <c r="D227" s="94" t="n"/>
      <c r="E227" s="94" t="n"/>
      <c r="F227" s="94" t="n"/>
      <c r="G227" s="94" t="n"/>
      <c r="H227" s="94" t="n"/>
      <c r="I227" s="94" t="n"/>
      <c r="J227" s="94" t="n"/>
      <c r="K227" s="94" t="n"/>
      <c r="L227" s="94" t="n"/>
      <c r="M227" s="94" t="n"/>
      <c r="N227" s="94" t="n"/>
      <c r="O227" s="94" t="n"/>
      <c r="P227" s="94" t="n"/>
      <c r="BB227" s="591">
        <f>IF(E227="","",IF(ISNUMBER(SEARCH("Institutional theory and regulatory governance theory underpin",AI227)),"TEMPLATE",IF(LEN(AI227)&gt;100,"DEEP",IF(AI227="","SPARSE","SHALLOW"))))</f>
        <v/>
      </c>
      <c r="BC227" s="591">
        <f>IF(E227="","",D227&amp;"-"&amp;B227&amp;"-"&amp;E227)</f>
        <v/>
      </c>
      <c r="BD227" s="591">
        <f>IF(E227="","",SUBSTITUTE(SUBSTITUTE(B227&amp;"-"&amp;E227," ",""),":","-"))</f>
        <v/>
      </c>
      <c r="BE227" s="591">
        <f>IF(E227="","",IF(ISNUMBER(SEARCH("ECC",E227)),"NCA-ECC-2-2024",IF(ISNUMBER(SEARCH("OTCC",E227)),"NCA-ECC-2-2024",IF(ISNUMBER(SEARCH("CCC",E227)),"NCA-ECC-2-2024",IF(ISNUMBER(SEARCH("DCC",E227)),"NCA-ECC-2-2024",IF(ISNUMBER(SEARCH("CSCC",E227)),"NCA-ECC-2-2024",IF(ISNUMBER(SEARCH("PDPL-IR",E227)),"PDPL-2021",IF(ISNUMBER(SEARCH("PDPL-DTR",E227)),"PDPL-2021","NONE"))))))))</f>
        <v/>
      </c>
      <c r="BF227" s="594">
        <f>IF(E227="","",IF(BB227="DEEP",10,IF(BB227="SHALLOW",5,IF(BB227="TEMPLATE",3,1)))+IF(N227="HIGHEST",5,IF(N227="HIGH",3,IF(N227="MODERATE",1,0)))+IF(ISNUMBER(SEARCH("Mandatory",L227)),3,0))</f>
        <v/>
      </c>
    </row>
    <row r="228" ht="42" customHeight="1">
      <c r="A228" s="96" t="n">
        <v>207</v>
      </c>
      <c r="B228" s="97" t="inlineStr">
        <is>
          <t>PPA</t>
        </is>
      </c>
      <c r="C228" s="98" t="inlineStr">
        <is>
          <t>Public Pension Agency</t>
        </is>
      </c>
      <c r="D228" s="98" t="inlineStr">
        <is>
          <t>5. Financial Regulators</t>
        </is>
      </c>
      <c r="E228" s="97" t="inlineStr">
        <is>
          <t>PPA-FW</t>
        </is>
      </c>
      <c r="F228" s="99" t="inlineStr">
        <is>
          <t>Pension Regulations for Government Employees</t>
        </is>
      </c>
      <c r="G228" s="98" t="inlineStr">
        <is>
          <t>الإطار التنظيمي الرئيسي</t>
        </is>
      </c>
      <c r="H228" s="98" t="inlineStr">
        <is>
          <t>Active/Updated</t>
        </is>
      </c>
      <c r="I228" s="100" t="inlineStr">
        <is>
          <t>1974</t>
        </is>
      </c>
      <c r="J228" s="100" t="inlineStr">
        <is>
          <t>N/A</t>
        </is>
      </c>
      <c r="K228" s="98" t="inlineStr">
        <is>
          <t>ISSUES/ENFORCES</t>
        </is>
      </c>
      <c r="L228" s="22" t="inlineStr">
        <is>
          <t>Mandatory Enforcer</t>
        </is>
      </c>
      <c r="M228" s="98" t="inlineStr">
        <is>
          <t>Entities regulated by this authority</t>
        </is>
      </c>
      <c r="N228" s="101" t="inlineStr">
        <is>
          <t>MODERATE</t>
        </is>
      </c>
      <c r="O228" s="102" t="inlineStr">
        <is>
          <t>https://www.gov.sa/</t>
        </is>
      </c>
      <c r="P228" s="98" t="inlineStr">
        <is>
          <t>Ministry/Authority official site</t>
        </is>
      </c>
      <c r="Q228" s="98" t="inlineStr">
        <is>
          <t>See official source for version history</t>
        </is>
      </c>
      <c r="R228" s="98" t="inlineStr">
        <is>
          <t>Framework issued by the relevant authority. Version details available on the official website referenced in the source URL column. The framework has been updated periodically since first issuance.</t>
        </is>
      </c>
      <c r="S228" s="100" t="inlineStr">
        <is>
          <t>See official source</t>
        </is>
      </c>
      <c r="T228" s="98" t="inlineStr">
        <is>
          <t>Updated as needed by the issuing authority</t>
        </is>
      </c>
      <c r="U228" s="25" t="inlineStr">
        <is>
          <t>CURRENT — consult official source for latest version</t>
        </is>
      </c>
      <c r="V228" s="98" t="inlineStr">
        <is>
          <t>Penalties defined by issuing authority; consult official source. NCA ECC-2 penalties apply if relevant</t>
        </is>
      </c>
      <c r="W228" s="99" t="inlineStr">
        <is>
          <t>Issuing authority and/or designated inspection department</t>
        </is>
      </c>
      <c r="X228" s="98" t="inlineStr">
        <is>
          <t>As specified in framework scope — consult official document</t>
        </is>
      </c>
      <c r="Y228" s="49" t="inlineStr">
        <is>
          <t>Both (unless specified otherwise in official document)</t>
        </is>
      </c>
      <c r="Z228" s="98" t="inlineStr">
        <is>
          <t>As defined by issuing authority</t>
        </is>
      </c>
      <c r="AA228" s="100" t="inlineStr">
        <is>
          <t>As defined by issuing authority</t>
        </is>
      </c>
      <c r="AB228" s="98" t="inlineStr">
        <is>
          <t>To be determined from framework text — see official source</t>
        </is>
      </c>
      <c r="AC228" s="98" t="inlineStr">
        <is>
          <t>See framework preamble for international standard references</t>
        </is>
      </c>
      <c r="AD228" s="49" t="inlineStr">
        <is>
          <t>Arabic (primary in KSA); English may be available</t>
        </is>
      </c>
      <c r="AE228" s="58" t="inlineStr">
        <is>
          <t>Mapped to relevant GH-ICGA layer — requires manual assessment</t>
        </is>
      </c>
      <c r="AF228" s="56" t="inlineStr">
        <is>
          <t>See official framework for maturity model details</t>
        </is>
      </c>
      <c r="AG228" s="98" t="inlineStr">
        <is>
          <t>Aligned with relevant Vision 2030 programme — see framework context</t>
        </is>
      </c>
      <c r="AH228" s="98" t="inlineStr">
        <is>
          <t>As specified in framework compliance requirements</t>
        </is>
      </c>
      <c r="AI228" s="103" t="inlineStr">
        <is>
          <t>Institutional theory and regulatory governance theory underpin all KSA regulatory frameworks. Specific theoretical basis varies by framework — consult academic literature via Google Scholar using framework name as search term.</t>
        </is>
      </c>
      <c r="AJ228" s="98" t="inlineStr">
        <is>
          <t>Academic debate varies by framework maturity and international adoption. For KSA-specific debate, consult: Almohammad &amp; Wills (2021) J Cybersecurity; Al-Khater et al. (2020) IEEE Access; Baker McKenzie KSA regulatory updates.</t>
        </is>
      </c>
      <c r="AK228" s="104" t="inlineStr">
        <is>
          <t>Known criticisms include: implementation gap between standards and practice; resource constraints for smaller healthcare entities; rapid technology evolution outpacing regulation. Consult framework evaluation literature for specifics.</t>
        </is>
      </c>
      <c r="AL228" s="105" t="inlineStr">
        <is>
          <t>Framework comparison requires contextual analysis. Key comparators: NIST CSF 2.0 (international benchmark), ISO 27001 (certifiable standard), ECC-2 (KSA mandatory baseline). See main database for cross-framework mapping.</t>
        </is>
      </c>
      <c r="AM228" s="10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28" s="107" t="inlineStr">
        <is>
          <t>Official: Consult the official source URL in the database for the primary document. Training: ISACA, ISC2, RAPS, IAPP, and HIMSS offer professional development covering most regulatory domains. Estimated hours vary by framework complexity.</t>
        </is>
      </c>
      <c r="AO228" s="108" t="inlineStr">
        <is>
          <t>Relevance to GH-ICGA framework varies by layer — see GH-ICGA Layer Mapping column. All KSA mandatory frameworks are compliance inputs to GH-ICGA Layer 4. Frameworks with IoMT-specific provisions directly inform Layers 2 and 3.</t>
        </is>
      </c>
      <c r="AP228" s="51" t="inlineStr">
        <is>
          <t>G + C (Governance + Compliance — standard regulatory framework positioning)</t>
        </is>
      </c>
      <c r="AQ228" s="109" t="inlineStr">
        <is>
          <t>Senior management: accountability for framework compliance. Designated compliance officer: monitor requirements. All staff: awareness of applicable obligations</t>
        </is>
      </c>
      <c r="AR228" s="104" t="inlineStr">
        <is>
          <t>Regulatory Risk; Operational Risk; Reputational Risk — specific domains determined by framework scope</t>
        </is>
      </c>
      <c r="AS228" s="22" t="inlineStr">
        <is>
          <t>See official source — legal obligation, regulatory requirement, or voluntary standard as applicable</t>
        </is>
      </c>
      <c r="AT228" s="105" t="inlineStr">
        <is>
          <t>Administrative; Technical; Operational — specific distribution determined by framework content</t>
        </is>
      </c>
      <c r="AU228" s="110" t="inlineStr">
        <is>
          <t>1. Compliance status (compliant/non-compliant). 2. # open findings from last assessment. 3. % controls implemented. 4. Time to remediate findings. 5. Incident rate in framework scope area</t>
        </is>
      </c>
      <c r="AV228" s="111" t="inlineStr">
        <is>
          <t>Self-assessment; internal audit; external assessment as specified by issuing authority</t>
        </is>
      </c>
      <c r="AW228" s="112" t="inlineStr">
        <is>
          <t>ServiceNow GRC; IBM OpenPages; RSA Archer; MetricStream — all major GRC platforms support custom framework import. Contact vendor for framework-specific module</t>
        </is>
      </c>
      <c r="AX228" s="113" t="inlineStr">
        <is>
          <t>Third parties in scope must demonstrate equivalent compliance. Contractual compliance obligations; right-to-audit clauses; annual third-party assessment</t>
        </is>
      </c>
      <c r="AY228" s="114" t="inlineStr">
        <is>
          <t>Non-compliance: regulatory action by issuing authority; fines and penalties as specified; operational and reputational consequences</t>
        </is>
      </c>
      <c r="AZ228" s="111" t="inlineStr">
        <is>
          <t>Sector-specific — consult official source</t>
        </is>
      </c>
      <c r="BA228" s="41" t="inlineStr">
        <is>
          <t>Sector-Specific</t>
        </is>
      </c>
      <c r="BB228" s="591">
        <f>IF(E228="","",IF(ISNUMBER(SEARCH("Institutional theory and regulatory governance theory underpin",AI228)),"TEMPLATE",IF(LEN(AI228)&gt;100,"DEEP",IF(AI228="","SPARSE","SHALLOW"))))</f>
        <v/>
      </c>
      <c r="BC228" s="591">
        <f>IF(E228="","",D228&amp;"-"&amp;B228&amp;"-"&amp;E228)</f>
        <v/>
      </c>
      <c r="BD228" s="591">
        <f>IF(E228="","",SUBSTITUTE(SUBSTITUTE(B228&amp;"-"&amp;E228," ",""),":","-"))</f>
        <v/>
      </c>
      <c r="BE228" s="591">
        <f>IF(E228="","",IF(ISNUMBER(SEARCH("ECC",E228)),"NCA-ECC-2-2024",IF(ISNUMBER(SEARCH("OTCC",E228)),"NCA-ECC-2-2024",IF(ISNUMBER(SEARCH("CCC",E228)),"NCA-ECC-2-2024",IF(ISNUMBER(SEARCH("DCC",E228)),"NCA-ECC-2-2024",IF(ISNUMBER(SEARCH("CSCC",E228)),"NCA-ECC-2-2024",IF(ISNUMBER(SEARCH("PDPL-IR",E228)),"PDPL-2021",IF(ISNUMBER(SEARCH("PDPL-DTR",E228)),"PDPL-2021","NONE"))))))))</f>
        <v/>
      </c>
      <c r="BF228" s="594">
        <f>IF(E228="","",IF(BB228="DEEP",10,IF(BB228="SHALLOW",5,IF(BB228="TEMPLATE",3,1)))+IF(N228="HIGHEST",5,IF(N228="HIGH",3,IF(N228="MODERATE",1,0)))+IF(ISNUMBER(SEARCH("Mandatory",L228)),3,0))</f>
        <v/>
      </c>
    </row>
    <row r="229" ht="42" customHeight="1">
      <c r="A229" s="42" t="n">
        <v>208</v>
      </c>
      <c r="B229" s="115" t="inlineStr">
        <is>
          <t>PPA</t>
        </is>
      </c>
      <c r="C229" s="44" t="inlineStr">
        <is>
          <t>Public Pension Agency</t>
        </is>
      </c>
      <c r="D229" s="44" t="inlineStr">
        <is>
          <t>5. Financial Regulators</t>
        </is>
      </c>
      <c r="E229" s="115" t="inlineStr">
        <is>
          <t>NCA-ECC-2:2024</t>
        </is>
      </c>
      <c r="F229" s="45" t="inlineStr">
        <is>
          <t>Essential Cybersecurity Controls</t>
        </is>
      </c>
      <c r="G229" s="44" t="inlineStr">
        <is>
          <t>ضوابط الأمن السيبراني الأساسية</t>
        </is>
      </c>
      <c r="H229" s="44" t="inlineStr">
        <is>
          <t>ECC-2:2024</t>
        </is>
      </c>
      <c r="I229" s="46" t="inlineStr">
        <is>
          <t>2018</t>
        </is>
      </c>
      <c r="J229" s="46" t="inlineStr">
        <is>
          <t>108</t>
        </is>
      </c>
      <c r="K229" s="44" t="inlineStr">
        <is>
          <t>MUST COMPLY WITH</t>
        </is>
      </c>
      <c r="L229" s="66" t="inlineStr">
        <is>
          <t>Mandatory Complier</t>
        </is>
      </c>
      <c r="M229" s="44" t="inlineStr">
        <is>
          <t>Public Pension Agency as government entity</t>
        </is>
      </c>
      <c r="N229" s="59" t="inlineStr">
        <is>
          <t>LOW</t>
        </is>
      </c>
      <c r="O229" s="48" t="inlineStr">
        <is>
          <t>https://nca.gov.sa/</t>
        </is>
      </c>
      <c r="P229" s="44" t="inlineStr">
        <is>
          <t>NCA ECC scope</t>
        </is>
      </c>
      <c r="Q229" s="98" t="inlineStr">
        <is>
          <t>See official source for version history</t>
        </is>
      </c>
      <c r="R229" s="98" t="inlineStr">
        <is>
          <t>Framework issued by the relevant authority. Version details available on the official website referenced in the source URL column. The framework has been updated periodically since first issuance.</t>
        </is>
      </c>
      <c r="S229" s="100" t="inlineStr">
        <is>
          <t>See official source</t>
        </is>
      </c>
      <c r="T229" s="98" t="inlineStr">
        <is>
          <t>Updated as needed by the issuing authority</t>
        </is>
      </c>
      <c r="U229" s="25" t="inlineStr">
        <is>
          <t>CURRENT — consult official source for latest version</t>
        </is>
      </c>
      <c r="V229" s="98" t="inlineStr">
        <is>
          <t>Penalties defined by issuing authority; consult official source. NCA ECC-2 penalties apply if relevant</t>
        </is>
      </c>
      <c r="W229" s="99" t="inlineStr">
        <is>
          <t>Issuing authority and/or designated inspection department</t>
        </is>
      </c>
      <c r="X229" s="98" t="inlineStr">
        <is>
          <t>As specified in framework scope — consult official document</t>
        </is>
      </c>
      <c r="Y229" s="49" t="inlineStr">
        <is>
          <t>Both (unless specified otherwise in official document)</t>
        </is>
      </c>
      <c r="Z229" s="98" t="inlineStr">
        <is>
          <t>As defined by issuing authority</t>
        </is>
      </c>
      <c r="AA229" s="100" t="inlineStr">
        <is>
          <t>As defined by issuing authority</t>
        </is>
      </c>
      <c r="AB229" s="98" t="inlineStr">
        <is>
          <t>To be determined from framework text — see official source</t>
        </is>
      </c>
      <c r="AC229" s="98" t="inlineStr">
        <is>
          <t>See framework preamble for international standard references</t>
        </is>
      </c>
      <c r="AD229" s="49" t="inlineStr">
        <is>
          <t>Arabic (primary in KSA); English may be available</t>
        </is>
      </c>
      <c r="AE229" s="58" t="inlineStr">
        <is>
          <t>Mapped to relevant GH-ICGA layer — requires manual assessment</t>
        </is>
      </c>
      <c r="AF229" s="56" t="inlineStr">
        <is>
          <t>See official framework for maturity model details</t>
        </is>
      </c>
      <c r="AG229" s="98" t="inlineStr">
        <is>
          <t>Aligned with relevant Vision 2030 programme — see framework context</t>
        </is>
      </c>
      <c r="AH229" s="98" t="inlineStr">
        <is>
          <t>As specified in framework compliance requirements</t>
        </is>
      </c>
      <c r="AI229" s="103" t="inlineStr">
        <is>
          <t>Institutional theory and regulatory governance theory underpin all KSA regulatory frameworks. Specific theoretical basis varies by framework — consult academic literature via Google Scholar using framework name as search term.</t>
        </is>
      </c>
      <c r="AJ229" s="98" t="inlineStr">
        <is>
          <t>Academic debate varies by framework maturity and international adoption. For KSA-specific debate, consult: Almohammad &amp; Wills (2021) J Cybersecurity; Al-Khater et al. (2020) IEEE Access; Baker McKenzie KSA regulatory updates.</t>
        </is>
      </c>
      <c r="AK229" s="104" t="inlineStr">
        <is>
          <t>Known criticisms include: implementation gap between standards and practice; resource constraints for smaller healthcare entities; rapid technology evolution outpacing regulation. Consult framework evaluation literature for specifics.</t>
        </is>
      </c>
      <c r="AL229" s="105" t="inlineStr">
        <is>
          <t>Framework comparison requires contextual analysis. Key comparators: NIST CSF 2.0 (international benchmark), ISO 27001 (certifiable standard), ECC-2 (KSA mandatory baseline). See main database for cross-framework mapping.</t>
        </is>
      </c>
      <c r="AM229" s="10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29" s="107" t="inlineStr">
        <is>
          <t>Official: Consult the official source URL in the database for the primary document. Training: ISACA, ISC2, RAPS, IAPP, and HIMSS offer professional development covering most regulatory domains. Estimated hours vary by framework complexity.</t>
        </is>
      </c>
      <c r="AO229" s="108" t="inlineStr">
        <is>
          <t>Relevance to GH-ICGA framework varies by layer — see GH-ICGA Layer Mapping column. All KSA mandatory frameworks are compliance inputs to GH-ICGA Layer 4. Frameworks with IoMT-specific provisions directly inform Layers 2 and 3.</t>
        </is>
      </c>
      <c r="AP229" s="51" t="inlineStr">
        <is>
          <t>G + C (Governance + Compliance — standard regulatory framework positioning)</t>
        </is>
      </c>
      <c r="AQ229" s="109" t="inlineStr">
        <is>
          <t>Senior management: accountability for framework compliance. Designated compliance officer: monitor requirements. All staff: awareness of applicable obligations</t>
        </is>
      </c>
      <c r="AR229" s="104" t="inlineStr">
        <is>
          <t>Regulatory Risk; Operational Risk; Reputational Risk — specific domains determined by framework scope</t>
        </is>
      </c>
      <c r="AS229" s="22" t="inlineStr">
        <is>
          <t>See official source — legal obligation, regulatory requirement, or voluntary standard as applicable</t>
        </is>
      </c>
      <c r="AT229" s="105" t="inlineStr">
        <is>
          <t>Administrative; Technical; Operational — specific distribution determined by framework content</t>
        </is>
      </c>
      <c r="AU229" s="110" t="inlineStr">
        <is>
          <t>1. Compliance status (compliant/non-compliant). 2. # open findings from last assessment. 3. % controls implemented. 4. Time to remediate findings. 5. Incident rate in framework scope area</t>
        </is>
      </c>
      <c r="AV229" s="111" t="inlineStr">
        <is>
          <t>Self-assessment; internal audit; external assessment as specified by issuing authority</t>
        </is>
      </c>
      <c r="AW229" s="112" t="inlineStr">
        <is>
          <t>ServiceNow GRC; IBM OpenPages; RSA Archer; MetricStream — all major GRC platforms support custom framework import. Contact vendor for framework-specific module</t>
        </is>
      </c>
      <c r="AX229" s="113" t="inlineStr">
        <is>
          <t>Third parties in scope must demonstrate equivalent compliance. Contractual compliance obligations; right-to-audit clauses; annual third-party assessment</t>
        </is>
      </c>
      <c r="AY229" s="114" t="inlineStr">
        <is>
          <t>Non-compliance: regulatory action by issuing authority; fines and penalties as specified; operational and reputational consequences</t>
        </is>
      </c>
      <c r="AZ229" s="111" t="inlineStr">
        <is>
          <t>ALL 17 SECTORS</t>
        </is>
      </c>
      <c r="BA229" s="34" t="inlineStr">
        <is>
          <t>YES — ALL SECTORS</t>
        </is>
      </c>
      <c r="BB229" s="591">
        <f>IF(E229="","",IF(ISNUMBER(SEARCH("Institutional theory and regulatory governance theory underpin",AI229)),"TEMPLATE",IF(LEN(AI229)&gt;100,"DEEP",IF(AI229="","SPARSE","SHALLOW"))))</f>
        <v/>
      </c>
      <c r="BC229" s="591">
        <f>IF(E229="","",D229&amp;"-"&amp;B229&amp;"-"&amp;E229)</f>
        <v/>
      </c>
      <c r="BD229" s="591">
        <f>IF(E229="","",SUBSTITUTE(SUBSTITUTE(B229&amp;"-"&amp;E229," ",""),":","-"))</f>
        <v/>
      </c>
      <c r="BE229" s="591">
        <f>IF(E229="","",IF(ISNUMBER(SEARCH("ECC",E229)),"NCA-ECC-2-2024",IF(ISNUMBER(SEARCH("OTCC",E229)),"NCA-ECC-2-2024",IF(ISNUMBER(SEARCH("CCC",E229)),"NCA-ECC-2-2024",IF(ISNUMBER(SEARCH("DCC",E229)),"NCA-ECC-2-2024",IF(ISNUMBER(SEARCH("CSCC",E229)),"NCA-ECC-2-2024",IF(ISNUMBER(SEARCH("PDPL-IR",E229)),"PDPL-2021",IF(ISNUMBER(SEARCH("PDPL-DTR",E229)),"PDPL-2021","NONE"))))))))</f>
        <v/>
      </c>
      <c r="BF229" s="594">
        <f>IF(E229="","",IF(BB229="DEEP",10,IF(BB229="SHALLOW",5,IF(BB229="TEMPLATE",3,1)))+IF(N229="HIGHEST",5,IF(N229="HIGH",3,IF(N229="MODERATE",1,0)))+IF(ISNUMBER(SEARCH("Mandatory",L229)),3,0))</f>
        <v/>
      </c>
    </row>
    <row r="230" ht="42" customHeight="1">
      <c r="A230" s="96" t="n">
        <v>209</v>
      </c>
      <c r="B230" s="97" t="inlineStr">
        <is>
          <t>PIF</t>
        </is>
      </c>
      <c r="C230" s="98" t="inlineStr">
        <is>
          <t>Public Investment Fund</t>
        </is>
      </c>
      <c r="D230" s="98" t="inlineStr">
        <is>
          <t>5. Financial Regulators</t>
        </is>
      </c>
      <c r="E230" s="97" t="inlineStr">
        <is>
          <t>PIF-FW</t>
        </is>
      </c>
      <c r="F230" s="99" t="inlineStr">
        <is>
          <t>Investment Framework &amp; Portfolio Standards</t>
        </is>
      </c>
      <c r="G230" s="98" t="inlineStr">
        <is>
          <t>الإطار التنظيمي الرئيسي</t>
        </is>
      </c>
      <c r="H230" s="98" t="inlineStr">
        <is>
          <t>Active/Updated</t>
        </is>
      </c>
      <c r="I230" s="100" t="inlineStr">
        <is>
          <t>2016</t>
        </is>
      </c>
      <c r="J230" s="100" t="inlineStr">
        <is>
          <t>N/A</t>
        </is>
      </c>
      <c r="K230" s="98" t="inlineStr">
        <is>
          <t>ISSUES/ENFORCES</t>
        </is>
      </c>
      <c r="L230" s="22" t="inlineStr">
        <is>
          <t>Mandatory Enforcer</t>
        </is>
      </c>
      <c r="M230" s="98" t="inlineStr">
        <is>
          <t>Entities regulated by this authority</t>
        </is>
      </c>
      <c r="N230" s="101" t="inlineStr">
        <is>
          <t>MODERATE</t>
        </is>
      </c>
      <c r="O230" s="102" t="inlineStr">
        <is>
          <t>https://www.gov.sa/</t>
        </is>
      </c>
      <c r="P230" s="98" t="inlineStr">
        <is>
          <t>Ministry/Authority official site</t>
        </is>
      </c>
      <c r="Q230" s="98" t="inlineStr">
        <is>
          <t>See official source for version history</t>
        </is>
      </c>
      <c r="R230" s="98" t="inlineStr">
        <is>
          <t>Framework issued by the relevant authority. Version details available on the official website referenced in the source URL column. The framework has been updated periodically since first issuance.</t>
        </is>
      </c>
      <c r="S230" s="100" t="inlineStr">
        <is>
          <t>See official source</t>
        </is>
      </c>
      <c r="T230" s="98" t="inlineStr">
        <is>
          <t>Updated as needed by the issuing authority</t>
        </is>
      </c>
      <c r="U230" s="25" t="inlineStr">
        <is>
          <t>CURRENT — consult official source for latest version</t>
        </is>
      </c>
      <c r="V230" s="98" t="inlineStr">
        <is>
          <t>Penalties defined by issuing authority; consult official source. NCA ECC-2 penalties apply if relevant</t>
        </is>
      </c>
      <c r="W230" s="99" t="inlineStr">
        <is>
          <t>Issuing authority and/or designated inspection department</t>
        </is>
      </c>
      <c r="X230" s="98" t="inlineStr">
        <is>
          <t>As specified in framework scope — consult official document</t>
        </is>
      </c>
      <c r="Y230" s="49" t="inlineStr">
        <is>
          <t>Both (unless specified otherwise in official document)</t>
        </is>
      </c>
      <c r="Z230" s="98" t="inlineStr">
        <is>
          <t>As defined by issuing authority</t>
        </is>
      </c>
      <c r="AA230" s="100" t="inlineStr">
        <is>
          <t>As defined by issuing authority</t>
        </is>
      </c>
      <c r="AB230" s="98" t="inlineStr">
        <is>
          <t>To be determined from framework text — see official source</t>
        </is>
      </c>
      <c r="AC230" s="98" t="inlineStr">
        <is>
          <t>See framework preamble for international standard references</t>
        </is>
      </c>
      <c r="AD230" s="49" t="inlineStr">
        <is>
          <t>Arabic (primary in KSA); English may be available</t>
        </is>
      </c>
      <c r="AE230" s="58" t="inlineStr">
        <is>
          <t>Mapped to relevant GH-ICGA layer — requires manual assessment</t>
        </is>
      </c>
      <c r="AF230" s="56" t="inlineStr">
        <is>
          <t>See official framework for maturity model details</t>
        </is>
      </c>
      <c r="AG230" s="98" t="inlineStr">
        <is>
          <t>Aligned with relevant Vision 2030 programme — see framework context</t>
        </is>
      </c>
      <c r="AH230" s="98" t="inlineStr">
        <is>
          <t>As specified in framework compliance requirements</t>
        </is>
      </c>
      <c r="AI230" s="103" t="inlineStr">
        <is>
          <t>Institutional theory and regulatory governance theory underpin all KSA regulatory frameworks. Specific theoretical basis varies by framework — consult academic literature via Google Scholar using framework name as search term.</t>
        </is>
      </c>
      <c r="AJ230" s="98" t="inlineStr">
        <is>
          <t>Academic debate varies by framework maturity and international adoption. For KSA-specific debate, consult: Almohammad &amp; Wills (2021) J Cybersecurity; Al-Khater et al. (2020) IEEE Access; Baker McKenzie KSA regulatory updates.</t>
        </is>
      </c>
      <c r="AK230" s="104" t="inlineStr">
        <is>
          <t>Known criticisms include: implementation gap between standards and practice; resource constraints for smaller healthcare entities; rapid technology evolution outpacing regulation. Consult framework evaluation literature for specifics.</t>
        </is>
      </c>
      <c r="AL230" s="105" t="inlineStr">
        <is>
          <t>Framework comparison requires contextual analysis. Key comparators: NIST CSF 2.0 (international benchmark), ISO 27001 (certifiable standard), ECC-2 (KSA mandatory baseline). See main database for cross-framework mapping.</t>
        </is>
      </c>
      <c r="AM230" s="10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30" s="107" t="inlineStr">
        <is>
          <t>Official: Consult the official source URL in the database for the primary document. Training: ISACA, ISC2, RAPS, IAPP, and HIMSS offer professional development covering most regulatory domains. Estimated hours vary by framework complexity.</t>
        </is>
      </c>
      <c r="AO230" s="108" t="inlineStr">
        <is>
          <t>Relevance to GH-ICGA framework varies by layer — see GH-ICGA Layer Mapping column. All KSA mandatory frameworks are compliance inputs to GH-ICGA Layer 4. Frameworks with IoMT-specific provisions directly inform Layers 2 and 3.</t>
        </is>
      </c>
      <c r="AP230" s="51" t="inlineStr">
        <is>
          <t>G + C (Governance + Compliance — standard regulatory framework positioning)</t>
        </is>
      </c>
      <c r="AQ230" s="109" t="inlineStr">
        <is>
          <t>Senior management: accountability for framework compliance. Designated compliance officer: monitor requirements. All staff: awareness of applicable obligations</t>
        </is>
      </c>
      <c r="AR230" s="104" t="inlineStr">
        <is>
          <t>Regulatory Risk; Operational Risk; Reputational Risk — specific domains determined by framework scope</t>
        </is>
      </c>
      <c r="AS230" s="22" t="inlineStr">
        <is>
          <t>See official source — legal obligation, regulatory requirement, or voluntary standard as applicable</t>
        </is>
      </c>
      <c r="AT230" s="105" t="inlineStr">
        <is>
          <t>Administrative; Technical; Operational — specific distribution determined by framework content</t>
        </is>
      </c>
      <c r="AU230" s="110" t="inlineStr">
        <is>
          <t>1. Compliance status (compliant/non-compliant). 2. # open findings from last assessment. 3. % controls implemented. 4. Time to remediate findings. 5. Incident rate in framework scope area</t>
        </is>
      </c>
      <c r="AV230" s="111" t="inlineStr">
        <is>
          <t>Self-assessment; internal audit; external assessment as specified by issuing authority</t>
        </is>
      </c>
      <c r="AW230" s="112" t="inlineStr">
        <is>
          <t>ServiceNow GRC; IBM OpenPages; RSA Archer; MetricStream — all major GRC platforms support custom framework import. Contact vendor for framework-specific module</t>
        </is>
      </c>
      <c r="AX230" s="113" t="inlineStr">
        <is>
          <t>Third parties in scope must demonstrate equivalent compliance. Contractual compliance obligations; right-to-audit clauses; annual third-party assessment</t>
        </is>
      </c>
      <c r="AY230" s="114" t="inlineStr">
        <is>
          <t>Non-compliance: regulatory action by issuing authority; fines and penalties as specified; operational and reputational consequences</t>
        </is>
      </c>
      <c r="AZ230" s="111" t="inlineStr">
        <is>
          <t>Sector-specific — consult official source</t>
        </is>
      </c>
      <c r="BA230" s="41" t="inlineStr">
        <is>
          <t>Sector-Specific</t>
        </is>
      </c>
      <c r="BB230" s="591">
        <f>IF(E230="","",IF(ISNUMBER(SEARCH("Institutional theory and regulatory governance theory underpin",AI230)),"TEMPLATE",IF(LEN(AI230)&gt;100,"DEEP",IF(AI230="","SPARSE","SHALLOW"))))</f>
        <v/>
      </c>
      <c r="BC230" s="591">
        <f>IF(E230="","",D230&amp;"-"&amp;B230&amp;"-"&amp;E230)</f>
        <v/>
      </c>
      <c r="BD230" s="591">
        <f>IF(E230="","",SUBSTITUTE(SUBSTITUTE(B230&amp;"-"&amp;E230," ",""),":","-"))</f>
        <v/>
      </c>
      <c r="BE230" s="591">
        <f>IF(E230="","",IF(ISNUMBER(SEARCH("ECC",E230)),"NCA-ECC-2-2024",IF(ISNUMBER(SEARCH("OTCC",E230)),"NCA-ECC-2-2024",IF(ISNUMBER(SEARCH("CCC",E230)),"NCA-ECC-2-2024",IF(ISNUMBER(SEARCH("DCC",E230)),"NCA-ECC-2-2024",IF(ISNUMBER(SEARCH("CSCC",E230)),"NCA-ECC-2-2024",IF(ISNUMBER(SEARCH("PDPL-IR",E230)),"PDPL-2021",IF(ISNUMBER(SEARCH("PDPL-DTR",E230)),"PDPL-2021","NONE"))))))))</f>
        <v/>
      </c>
      <c r="BF230" s="594">
        <f>IF(E230="","",IF(BB230="DEEP",10,IF(BB230="SHALLOW",5,IF(BB230="TEMPLATE",3,1)))+IF(N230="HIGHEST",5,IF(N230="HIGH",3,IF(N230="MODERATE",1,0)))+IF(ISNUMBER(SEARCH("Mandatory",L230)),3,0))</f>
        <v/>
      </c>
    </row>
    <row r="231" ht="42" customHeight="1">
      <c r="A231" s="42" t="n">
        <v>210</v>
      </c>
      <c r="B231" s="115" t="inlineStr">
        <is>
          <t>PIF</t>
        </is>
      </c>
      <c r="C231" s="44" t="inlineStr">
        <is>
          <t>Public Investment Fund</t>
        </is>
      </c>
      <c r="D231" s="44" t="inlineStr">
        <is>
          <t>5. Financial Regulators</t>
        </is>
      </c>
      <c r="E231" s="115" t="inlineStr">
        <is>
          <t>NCA-ECC-2:2024</t>
        </is>
      </c>
      <c r="F231" s="45" t="inlineStr">
        <is>
          <t>Essential Cybersecurity Controls</t>
        </is>
      </c>
      <c r="G231" s="44" t="inlineStr">
        <is>
          <t>ضوابط الأمن السيبراني الأساسية</t>
        </is>
      </c>
      <c r="H231" s="44" t="inlineStr">
        <is>
          <t>ECC-2:2024</t>
        </is>
      </c>
      <c r="I231" s="46" t="inlineStr">
        <is>
          <t>2018</t>
        </is>
      </c>
      <c r="J231" s="46" t="inlineStr">
        <is>
          <t>108</t>
        </is>
      </c>
      <c r="K231" s="44" t="inlineStr">
        <is>
          <t>MUST COMPLY WITH</t>
        </is>
      </c>
      <c r="L231" s="66" t="inlineStr">
        <is>
          <t>Mandatory Complier</t>
        </is>
      </c>
      <c r="M231" s="44" t="inlineStr">
        <is>
          <t>Public Investment Fund as government entity</t>
        </is>
      </c>
      <c r="N231" s="59" t="inlineStr">
        <is>
          <t>LOW</t>
        </is>
      </c>
      <c r="O231" s="48" t="inlineStr">
        <is>
          <t>https://nca.gov.sa/</t>
        </is>
      </c>
      <c r="P231" s="44" t="inlineStr">
        <is>
          <t>NCA ECC scope</t>
        </is>
      </c>
      <c r="Q231" s="98" t="inlineStr">
        <is>
          <t>See official source for version history</t>
        </is>
      </c>
      <c r="R231" s="98" t="inlineStr">
        <is>
          <t>Framework issued by the relevant authority. Version details available on the official website referenced in the source URL column. The framework has been updated periodically since first issuance.</t>
        </is>
      </c>
      <c r="S231" s="100" t="inlineStr">
        <is>
          <t>See official source</t>
        </is>
      </c>
      <c r="T231" s="98" t="inlineStr">
        <is>
          <t>Updated as needed by the issuing authority</t>
        </is>
      </c>
      <c r="U231" s="25" t="inlineStr">
        <is>
          <t>CURRENT — consult official source for latest version</t>
        </is>
      </c>
      <c r="V231" s="98" t="inlineStr">
        <is>
          <t>Penalties defined by issuing authority; consult official source. NCA ECC-2 penalties apply if relevant</t>
        </is>
      </c>
      <c r="W231" s="99" t="inlineStr">
        <is>
          <t>Issuing authority and/or designated inspection department</t>
        </is>
      </c>
      <c r="X231" s="98" t="inlineStr">
        <is>
          <t>As specified in framework scope — consult official document</t>
        </is>
      </c>
      <c r="Y231" s="49" t="inlineStr">
        <is>
          <t>Both (unless specified otherwise in official document)</t>
        </is>
      </c>
      <c r="Z231" s="98" t="inlineStr">
        <is>
          <t>As defined by issuing authority</t>
        </is>
      </c>
      <c r="AA231" s="100" t="inlineStr">
        <is>
          <t>As defined by issuing authority</t>
        </is>
      </c>
      <c r="AB231" s="98" t="inlineStr">
        <is>
          <t>To be determined from framework text — see official source</t>
        </is>
      </c>
      <c r="AC231" s="98" t="inlineStr">
        <is>
          <t>See framework preamble for international standard references</t>
        </is>
      </c>
      <c r="AD231" s="49" t="inlineStr">
        <is>
          <t>Arabic (primary in KSA); English may be available</t>
        </is>
      </c>
      <c r="AE231" s="58" t="inlineStr">
        <is>
          <t>Mapped to relevant GH-ICGA layer — requires manual assessment</t>
        </is>
      </c>
      <c r="AF231" s="56" t="inlineStr">
        <is>
          <t>See official framework for maturity model details</t>
        </is>
      </c>
      <c r="AG231" s="98" t="inlineStr">
        <is>
          <t>Aligned with relevant Vision 2030 programme — see framework context</t>
        </is>
      </c>
      <c r="AH231" s="98" t="inlineStr">
        <is>
          <t>As specified in framework compliance requirements</t>
        </is>
      </c>
      <c r="AI231" s="103" t="inlineStr">
        <is>
          <t>Institutional theory and regulatory governance theory underpin all KSA regulatory frameworks. Specific theoretical basis varies by framework — consult academic literature via Google Scholar using framework name as search term.</t>
        </is>
      </c>
      <c r="AJ231" s="98" t="inlineStr">
        <is>
          <t>Academic debate varies by framework maturity and international adoption. For KSA-specific debate, consult: Almohammad &amp; Wills (2021) J Cybersecurity; Al-Khater et al. (2020) IEEE Access; Baker McKenzie KSA regulatory updates.</t>
        </is>
      </c>
      <c r="AK231" s="104" t="inlineStr">
        <is>
          <t>Known criticisms include: implementation gap between standards and practice; resource constraints for smaller healthcare entities; rapid technology evolution outpacing regulation. Consult framework evaluation literature for specifics.</t>
        </is>
      </c>
      <c r="AL231" s="105" t="inlineStr">
        <is>
          <t>Framework comparison requires contextual analysis. Key comparators: NIST CSF 2.0 (international benchmark), ISO 27001 (certifiable standard), ECC-2 (KSA mandatory baseline). See main database for cross-framework mapping.</t>
        </is>
      </c>
      <c r="AM231" s="10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31" s="107" t="inlineStr">
        <is>
          <t>Official: Consult the official source URL in the database for the primary document. Training: ISACA, ISC2, RAPS, IAPP, and HIMSS offer professional development covering most regulatory domains. Estimated hours vary by framework complexity.</t>
        </is>
      </c>
      <c r="AO231" s="108" t="inlineStr">
        <is>
          <t>Relevance to GH-ICGA framework varies by layer — see GH-ICGA Layer Mapping column. All KSA mandatory frameworks are compliance inputs to GH-ICGA Layer 4. Frameworks with IoMT-specific provisions directly inform Layers 2 and 3.</t>
        </is>
      </c>
      <c r="AP231" s="51" t="inlineStr">
        <is>
          <t>G + C (Governance + Compliance — standard regulatory framework positioning)</t>
        </is>
      </c>
      <c r="AQ231" s="109" t="inlineStr">
        <is>
          <t>Senior management: accountability for framework compliance. Designated compliance officer: monitor requirements. All staff: awareness of applicable obligations</t>
        </is>
      </c>
      <c r="AR231" s="104" t="inlineStr">
        <is>
          <t>Regulatory Risk; Operational Risk; Reputational Risk — specific domains determined by framework scope</t>
        </is>
      </c>
      <c r="AS231" s="22" t="inlineStr">
        <is>
          <t>See official source — legal obligation, regulatory requirement, or voluntary standard as applicable</t>
        </is>
      </c>
      <c r="AT231" s="105" t="inlineStr">
        <is>
          <t>Administrative; Technical; Operational — specific distribution determined by framework content</t>
        </is>
      </c>
      <c r="AU231" s="110" t="inlineStr">
        <is>
          <t>1. Compliance status (compliant/non-compliant). 2. # open findings from last assessment. 3. % controls implemented. 4. Time to remediate findings. 5. Incident rate in framework scope area</t>
        </is>
      </c>
      <c r="AV231" s="111" t="inlineStr">
        <is>
          <t>Self-assessment; internal audit; external assessment as specified by issuing authority</t>
        </is>
      </c>
      <c r="AW231" s="112" t="inlineStr">
        <is>
          <t>ServiceNow GRC; IBM OpenPages; RSA Archer; MetricStream — all major GRC platforms support custom framework import. Contact vendor for framework-specific module</t>
        </is>
      </c>
      <c r="AX231" s="113" t="inlineStr">
        <is>
          <t>Third parties in scope must demonstrate equivalent compliance. Contractual compliance obligations; right-to-audit clauses; annual third-party assessment</t>
        </is>
      </c>
      <c r="AY231" s="114" t="inlineStr">
        <is>
          <t>Non-compliance: regulatory action by issuing authority; fines and penalties as specified; operational and reputational consequences</t>
        </is>
      </c>
      <c r="AZ231" s="111" t="inlineStr">
        <is>
          <t>ALL 17 SECTORS</t>
        </is>
      </c>
      <c r="BA231" s="34" t="inlineStr">
        <is>
          <t>YES — ALL SECTORS</t>
        </is>
      </c>
      <c r="BB231" s="591">
        <f>IF(E231="","",IF(ISNUMBER(SEARCH("Institutional theory and regulatory governance theory underpin",AI231)),"TEMPLATE",IF(LEN(AI231)&gt;100,"DEEP",IF(AI231="","SPARSE","SHALLOW"))))</f>
        <v/>
      </c>
      <c r="BC231" s="591">
        <f>IF(E231="","",D231&amp;"-"&amp;B231&amp;"-"&amp;E231)</f>
        <v/>
      </c>
      <c r="BD231" s="591">
        <f>IF(E231="","",SUBSTITUTE(SUBSTITUTE(B231&amp;"-"&amp;E231," ",""),":","-"))</f>
        <v/>
      </c>
      <c r="BE231" s="591">
        <f>IF(E231="","",IF(ISNUMBER(SEARCH("ECC",E231)),"NCA-ECC-2-2024",IF(ISNUMBER(SEARCH("OTCC",E231)),"NCA-ECC-2-2024",IF(ISNUMBER(SEARCH("CCC",E231)),"NCA-ECC-2-2024",IF(ISNUMBER(SEARCH("DCC",E231)),"NCA-ECC-2-2024",IF(ISNUMBER(SEARCH("CSCC",E231)),"NCA-ECC-2-2024",IF(ISNUMBER(SEARCH("PDPL-IR",E231)),"PDPL-2021",IF(ISNUMBER(SEARCH("PDPL-DTR",E231)),"PDPL-2021","NONE"))))))))</f>
        <v/>
      </c>
      <c r="BF231" s="594">
        <f>IF(E231="","",IF(BB231="DEEP",10,IF(BB231="SHALLOW",5,IF(BB231="TEMPLATE",3,1)))+IF(N231="HIGHEST",5,IF(N231="HIGH",3,IF(N231="MODERATE",1,0)))+IF(ISNUMBER(SEARCH("Mandatory",L231)),3,0))</f>
        <v/>
      </c>
    </row>
    <row r="232" ht="42" customHeight="1">
      <c r="A232" s="96" t="n">
        <v>211</v>
      </c>
      <c r="B232" s="97" t="inlineStr">
        <is>
          <t>SIDF</t>
        </is>
      </c>
      <c r="C232" s="98" t="inlineStr">
        <is>
          <t>Saudi Industrial Development Fund</t>
        </is>
      </c>
      <c r="D232" s="98" t="inlineStr">
        <is>
          <t>5. Financial Regulators</t>
        </is>
      </c>
      <c r="E232" s="97" t="inlineStr">
        <is>
          <t>SIDF-FW</t>
        </is>
      </c>
      <c r="F232" s="99" t="inlineStr">
        <is>
          <t>Industrial Lending Regulations</t>
        </is>
      </c>
      <c r="G232" s="98" t="inlineStr">
        <is>
          <t>الإطار التنظيمي الرئيسي</t>
        </is>
      </c>
      <c r="H232" s="98" t="inlineStr">
        <is>
          <t>Active/Updated</t>
        </is>
      </c>
      <c r="I232" s="100" t="inlineStr">
        <is>
          <t>1974</t>
        </is>
      </c>
      <c r="J232" s="100" t="inlineStr">
        <is>
          <t>N/A</t>
        </is>
      </c>
      <c r="K232" s="98" t="inlineStr">
        <is>
          <t>ISSUES/ENFORCES</t>
        </is>
      </c>
      <c r="L232" s="22" t="inlineStr">
        <is>
          <t>Mandatory Enforcer</t>
        </is>
      </c>
      <c r="M232" s="98" t="inlineStr">
        <is>
          <t>Entities regulated by this authority</t>
        </is>
      </c>
      <c r="N232" s="101" t="inlineStr">
        <is>
          <t>MODERATE</t>
        </is>
      </c>
      <c r="O232" s="102" t="inlineStr">
        <is>
          <t>https://www.gov.sa/</t>
        </is>
      </c>
      <c r="P232" s="98" t="inlineStr">
        <is>
          <t>Ministry/Authority official site</t>
        </is>
      </c>
      <c r="Q232" s="98" t="inlineStr">
        <is>
          <t>See official source for version history</t>
        </is>
      </c>
      <c r="R232" s="98" t="inlineStr">
        <is>
          <t>Framework issued by the relevant authority. Version details available on the official website referenced in the source URL column. The framework has been updated periodically since first issuance.</t>
        </is>
      </c>
      <c r="S232" s="100" t="inlineStr">
        <is>
          <t>See official source</t>
        </is>
      </c>
      <c r="T232" s="98" t="inlineStr">
        <is>
          <t>Updated as needed by the issuing authority</t>
        </is>
      </c>
      <c r="U232" s="25" t="inlineStr">
        <is>
          <t>CURRENT — consult official source for latest version</t>
        </is>
      </c>
      <c r="V232" s="98" t="inlineStr">
        <is>
          <t>Penalties defined by issuing authority; consult official source. NCA ECC-2 penalties apply if relevant</t>
        </is>
      </c>
      <c r="W232" s="99" t="inlineStr">
        <is>
          <t>Issuing authority and/or designated inspection department</t>
        </is>
      </c>
      <c r="X232" s="98" t="inlineStr">
        <is>
          <t>As specified in framework scope — consult official document</t>
        </is>
      </c>
      <c r="Y232" s="49" t="inlineStr">
        <is>
          <t>Both (unless specified otherwise in official document)</t>
        </is>
      </c>
      <c r="Z232" s="98" t="inlineStr">
        <is>
          <t>As defined by issuing authority</t>
        </is>
      </c>
      <c r="AA232" s="100" t="inlineStr">
        <is>
          <t>As defined by issuing authority</t>
        </is>
      </c>
      <c r="AB232" s="98" t="inlineStr">
        <is>
          <t>To be determined from framework text — see official source</t>
        </is>
      </c>
      <c r="AC232" s="98" t="inlineStr">
        <is>
          <t>See framework preamble for international standard references</t>
        </is>
      </c>
      <c r="AD232" s="49" t="inlineStr">
        <is>
          <t>Arabic (primary in KSA); English may be available</t>
        </is>
      </c>
      <c r="AE232" s="58" t="inlineStr">
        <is>
          <t>Mapped to relevant GH-ICGA layer — requires manual assessment</t>
        </is>
      </c>
      <c r="AF232" s="56" t="inlineStr">
        <is>
          <t>See official framework for maturity model details</t>
        </is>
      </c>
      <c r="AG232" s="98" t="inlineStr">
        <is>
          <t>Aligned with relevant Vision 2030 programme — see framework context</t>
        </is>
      </c>
      <c r="AH232" s="98" t="inlineStr">
        <is>
          <t>As specified in framework compliance requirements</t>
        </is>
      </c>
      <c r="AI232" s="103" t="inlineStr">
        <is>
          <t>Institutional theory and regulatory governance theory underpin all KSA regulatory frameworks. Specific theoretical basis varies by framework — consult academic literature via Google Scholar using framework name as search term.</t>
        </is>
      </c>
      <c r="AJ232" s="98" t="inlineStr">
        <is>
          <t>Academic debate varies by framework maturity and international adoption. For KSA-specific debate, consult: Almohammad &amp; Wills (2021) J Cybersecurity; Al-Khater et al. (2020) IEEE Access; Baker McKenzie KSA regulatory updates.</t>
        </is>
      </c>
      <c r="AK232" s="104" t="inlineStr">
        <is>
          <t>Known criticisms include: implementation gap between standards and practice; resource constraints for smaller healthcare entities; rapid technology evolution outpacing regulation. Consult framework evaluation literature for specifics.</t>
        </is>
      </c>
      <c r="AL232" s="105" t="inlineStr">
        <is>
          <t>Framework comparison requires contextual analysis. Key comparators: NIST CSF 2.0 (international benchmark), ISO 27001 (certifiable standard), ECC-2 (KSA mandatory baseline). See main database for cross-framework mapping.</t>
        </is>
      </c>
      <c r="AM232" s="10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32" s="107" t="inlineStr">
        <is>
          <t>Official: Consult the official source URL in the database for the primary document. Training: ISACA, ISC2, RAPS, IAPP, and HIMSS offer professional development covering most regulatory domains. Estimated hours vary by framework complexity.</t>
        </is>
      </c>
      <c r="AO232" s="108" t="inlineStr">
        <is>
          <t>Relevance to GH-ICGA framework varies by layer — see GH-ICGA Layer Mapping column. All KSA mandatory frameworks are compliance inputs to GH-ICGA Layer 4. Frameworks with IoMT-specific provisions directly inform Layers 2 and 3.</t>
        </is>
      </c>
      <c r="AP232" s="51" t="inlineStr">
        <is>
          <t>G + C (Governance + Compliance — standard regulatory framework positioning)</t>
        </is>
      </c>
      <c r="AQ232" s="109" t="inlineStr">
        <is>
          <t>Senior management: accountability for framework compliance. Designated compliance officer: monitor requirements. All staff: awareness of applicable obligations</t>
        </is>
      </c>
      <c r="AR232" s="104" t="inlineStr">
        <is>
          <t>Regulatory Risk; Operational Risk; Reputational Risk — specific domains determined by framework scope</t>
        </is>
      </c>
      <c r="AS232" s="22" t="inlineStr">
        <is>
          <t>See official source — legal obligation, regulatory requirement, or voluntary standard as applicable</t>
        </is>
      </c>
      <c r="AT232" s="105" t="inlineStr">
        <is>
          <t>Administrative; Technical; Operational — specific distribution determined by framework content</t>
        </is>
      </c>
      <c r="AU232" s="110" t="inlineStr">
        <is>
          <t>1. Compliance status (compliant/non-compliant). 2. # open findings from last assessment. 3. % controls implemented. 4. Time to remediate findings. 5. Incident rate in framework scope area</t>
        </is>
      </c>
      <c r="AV232" s="111" t="inlineStr">
        <is>
          <t>Self-assessment; internal audit; external assessment as specified by issuing authority</t>
        </is>
      </c>
      <c r="AW232" s="112" t="inlineStr">
        <is>
          <t>ServiceNow GRC; IBM OpenPages; RSA Archer; MetricStream — all major GRC platforms support custom framework import. Contact vendor for framework-specific module</t>
        </is>
      </c>
      <c r="AX232" s="113" t="inlineStr">
        <is>
          <t>Third parties in scope must demonstrate equivalent compliance. Contractual compliance obligations; right-to-audit clauses; annual third-party assessment</t>
        </is>
      </c>
      <c r="AY232" s="114" t="inlineStr">
        <is>
          <t>Non-compliance: regulatory action by issuing authority; fines and penalties as specified; operational and reputational consequences</t>
        </is>
      </c>
      <c r="AZ232" s="111" t="inlineStr">
        <is>
          <t>Sector-specific — consult official source</t>
        </is>
      </c>
      <c r="BA232" s="41" t="inlineStr">
        <is>
          <t>Sector-Specific</t>
        </is>
      </c>
      <c r="BB232" s="591">
        <f>IF(E232="","",IF(ISNUMBER(SEARCH("Institutional theory and regulatory governance theory underpin",AI232)),"TEMPLATE",IF(LEN(AI232)&gt;100,"DEEP",IF(AI232="","SPARSE","SHALLOW"))))</f>
        <v/>
      </c>
      <c r="BC232" s="591">
        <f>IF(E232="","",D232&amp;"-"&amp;B232&amp;"-"&amp;E232)</f>
        <v/>
      </c>
      <c r="BD232" s="591">
        <f>IF(E232="","",SUBSTITUTE(SUBSTITUTE(B232&amp;"-"&amp;E232," ",""),":","-"))</f>
        <v/>
      </c>
      <c r="BE232" s="591">
        <f>IF(E232="","",IF(ISNUMBER(SEARCH("ECC",E232)),"NCA-ECC-2-2024",IF(ISNUMBER(SEARCH("OTCC",E232)),"NCA-ECC-2-2024",IF(ISNUMBER(SEARCH("CCC",E232)),"NCA-ECC-2-2024",IF(ISNUMBER(SEARCH("DCC",E232)),"NCA-ECC-2-2024",IF(ISNUMBER(SEARCH("CSCC",E232)),"NCA-ECC-2-2024",IF(ISNUMBER(SEARCH("PDPL-IR",E232)),"PDPL-2021",IF(ISNUMBER(SEARCH("PDPL-DTR",E232)),"PDPL-2021","NONE"))))))))</f>
        <v/>
      </c>
      <c r="BF232" s="594">
        <f>IF(E232="","",IF(BB232="DEEP",10,IF(BB232="SHALLOW",5,IF(BB232="TEMPLATE",3,1)))+IF(N232="HIGHEST",5,IF(N232="HIGH",3,IF(N232="MODERATE",1,0)))+IF(ISNUMBER(SEARCH("Mandatory",L232)),3,0))</f>
        <v/>
      </c>
    </row>
    <row r="233" ht="42" customHeight="1">
      <c r="A233" s="42" t="n">
        <v>212</v>
      </c>
      <c r="B233" s="115" t="inlineStr">
        <is>
          <t>SIDF</t>
        </is>
      </c>
      <c r="C233" s="44" t="inlineStr">
        <is>
          <t>Saudi Industrial Development Fund</t>
        </is>
      </c>
      <c r="D233" s="44" t="inlineStr">
        <is>
          <t>5. Financial Regulators</t>
        </is>
      </c>
      <c r="E233" s="115" t="inlineStr">
        <is>
          <t>NCA-ECC-2:2024</t>
        </is>
      </c>
      <c r="F233" s="45" t="inlineStr">
        <is>
          <t>Essential Cybersecurity Controls</t>
        </is>
      </c>
      <c r="G233" s="44" t="inlineStr">
        <is>
          <t>ضوابط الأمن السيبراني الأساسية</t>
        </is>
      </c>
      <c r="H233" s="44" t="inlineStr">
        <is>
          <t>ECC-2:2024</t>
        </is>
      </c>
      <c r="I233" s="46" t="inlineStr">
        <is>
          <t>2018</t>
        </is>
      </c>
      <c r="J233" s="46" t="inlineStr">
        <is>
          <t>108</t>
        </is>
      </c>
      <c r="K233" s="44" t="inlineStr">
        <is>
          <t>MUST COMPLY WITH</t>
        </is>
      </c>
      <c r="L233" s="66" t="inlineStr">
        <is>
          <t>Mandatory Complier</t>
        </is>
      </c>
      <c r="M233" s="44" t="inlineStr">
        <is>
          <t>Saudi Industrial Development Fund as government entity</t>
        </is>
      </c>
      <c r="N233" s="59" t="inlineStr">
        <is>
          <t>LOW</t>
        </is>
      </c>
      <c r="O233" s="48" t="inlineStr">
        <is>
          <t>https://nca.gov.sa/</t>
        </is>
      </c>
      <c r="P233" s="44" t="inlineStr">
        <is>
          <t>NCA ECC scope</t>
        </is>
      </c>
      <c r="Q233" s="98" t="inlineStr">
        <is>
          <t>See official source for version history</t>
        </is>
      </c>
      <c r="R233" s="98" t="inlineStr">
        <is>
          <t>Framework issued by the relevant authority. Version details available on the official website referenced in the source URL column. The framework has been updated periodically since first issuance.</t>
        </is>
      </c>
      <c r="S233" s="100" t="inlineStr">
        <is>
          <t>See official source</t>
        </is>
      </c>
      <c r="T233" s="98" t="inlineStr">
        <is>
          <t>Updated as needed by the issuing authority</t>
        </is>
      </c>
      <c r="U233" s="25" t="inlineStr">
        <is>
          <t>CURRENT — consult official source for latest version</t>
        </is>
      </c>
      <c r="V233" s="98" t="inlineStr">
        <is>
          <t>Penalties defined by issuing authority; consult official source. NCA ECC-2 penalties apply if relevant</t>
        </is>
      </c>
      <c r="W233" s="99" t="inlineStr">
        <is>
          <t>Issuing authority and/or designated inspection department</t>
        </is>
      </c>
      <c r="X233" s="98" t="inlineStr">
        <is>
          <t>As specified in framework scope — consult official document</t>
        </is>
      </c>
      <c r="Y233" s="49" t="inlineStr">
        <is>
          <t>Both (unless specified otherwise in official document)</t>
        </is>
      </c>
      <c r="Z233" s="98" t="inlineStr">
        <is>
          <t>As defined by issuing authority</t>
        </is>
      </c>
      <c r="AA233" s="100" t="inlineStr">
        <is>
          <t>As defined by issuing authority</t>
        </is>
      </c>
      <c r="AB233" s="98" t="inlineStr">
        <is>
          <t>To be determined from framework text — see official source</t>
        </is>
      </c>
      <c r="AC233" s="98" t="inlineStr">
        <is>
          <t>See framework preamble for international standard references</t>
        </is>
      </c>
      <c r="AD233" s="49" t="inlineStr">
        <is>
          <t>Arabic (primary in KSA); English may be available</t>
        </is>
      </c>
      <c r="AE233" s="58" t="inlineStr">
        <is>
          <t>Mapped to relevant GH-ICGA layer — requires manual assessment</t>
        </is>
      </c>
      <c r="AF233" s="56" t="inlineStr">
        <is>
          <t>See official framework for maturity model details</t>
        </is>
      </c>
      <c r="AG233" s="98" t="inlineStr">
        <is>
          <t>Aligned with relevant Vision 2030 programme — see framework context</t>
        </is>
      </c>
      <c r="AH233" s="98" t="inlineStr">
        <is>
          <t>As specified in framework compliance requirements</t>
        </is>
      </c>
      <c r="AI233" s="103" t="inlineStr">
        <is>
          <t>Institutional theory and regulatory governance theory underpin all KSA regulatory frameworks. Specific theoretical basis varies by framework — consult academic literature via Google Scholar using framework name as search term.</t>
        </is>
      </c>
      <c r="AJ233" s="98" t="inlineStr">
        <is>
          <t>Academic debate varies by framework maturity and international adoption. For KSA-specific debate, consult: Almohammad &amp; Wills (2021) J Cybersecurity; Al-Khater et al. (2020) IEEE Access; Baker McKenzie KSA regulatory updates.</t>
        </is>
      </c>
      <c r="AK233" s="104" t="inlineStr">
        <is>
          <t>Known criticisms include: implementation gap between standards and practice; resource constraints for smaller healthcare entities; rapid technology evolution outpacing regulation. Consult framework evaluation literature for specifics.</t>
        </is>
      </c>
      <c r="AL233" s="105" t="inlineStr">
        <is>
          <t>Framework comparison requires contextual analysis. Key comparators: NIST CSF 2.0 (international benchmark), ISO 27001 (certifiable standard), ECC-2 (KSA mandatory baseline). See main database for cross-framework mapping.</t>
        </is>
      </c>
      <c r="AM233" s="10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33" s="107" t="inlineStr">
        <is>
          <t>Official: Consult the official source URL in the database for the primary document. Training: ISACA, ISC2, RAPS, IAPP, and HIMSS offer professional development covering most regulatory domains. Estimated hours vary by framework complexity.</t>
        </is>
      </c>
      <c r="AO233" s="108" t="inlineStr">
        <is>
          <t>Relevance to GH-ICGA framework varies by layer — see GH-ICGA Layer Mapping column. All KSA mandatory frameworks are compliance inputs to GH-ICGA Layer 4. Frameworks with IoMT-specific provisions directly inform Layers 2 and 3.</t>
        </is>
      </c>
      <c r="AP233" s="51" t="inlineStr">
        <is>
          <t>G + C (Governance + Compliance — standard regulatory framework positioning)</t>
        </is>
      </c>
      <c r="AQ233" s="109" t="inlineStr">
        <is>
          <t>Senior management: accountability for framework compliance. Designated compliance officer: monitor requirements. All staff: awareness of applicable obligations</t>
        </is>
      </c>
      <c r="AR233" s="104" t="inlineStr">
        <is>
          <t>Regulatory Risk; Operational Risk; Reputational Risk — specific domains determined by framework scope</t>
        </is>
      </c>
      <c r="AS233" s="22" t="inlineStr">
        <is>
          <t>See official source — legal obligation, regulatory requirement, or voluntary standard as applicable</t>
        </is>
      </c>
      <c r="AT233" s="105" t="inlineStr">
        <is>
          <t>Administrative; Technical; Operational — specific distribution determined by framework content</t>
        </is>
      </c>
      <c r="AU233" s="110" t="inlineStr">
        <is>
          <t>1. Compliance status (compliant/non-compliant). 2. # open findings from last assessment. 3. % controls implemented. 4. Time to remediate findings. 5. Incident rate in framework scope area</t>
        </is>
      </c>
      <c r="AV233" s="111" t="inlineStr">
        <is>
          <t>Self-assessment; internal audit; external assessment as specified by issuing authority</t>
        </is>
      </c>
      <c r="AW233" s="112" t="inlineStr">
        <is>
          <t>ServiceNow GRC; IBM OpenPages; RSA Archer; MetricStream — all major GRC platforms support custom framework import. Contact vendor for framework-specific module</t>
        </is>
      </c>
      <c r="AX233" s="113" t="inlineStr">
        <is>
          <t>Third parties in scope must demonstrate equivalent compliance. Contractual compliance obligations; right-to-audit clauses; annual third-party assessment</t>
        </is>
      </c>
      <c r="AY233" s="114" t="inlineStr">
        <is>
          <t>Non-compliance: regulatory action by issuing authority; fines and penalties as specified; operational and reputational consequences</t>
        </is>
      </c>
      <c r="AZ233" s="111" t="inlineStr">
        <is>
          <t>ALL 17 SECTORS</t>
        </is>
      </c>
      <c r="BA233" s="34" t="inlineStr">
        <is>
          <t>YES — ALL SECTORS</t>
        </is>
      </c>
      <c r="BB233" s="591">
        <f>IF(E233="","",IF(ISNUMBER(SEARCH("Institutional theory and regulatory governance theory underpin",AI233)),"TEMPLATE",IF(LEN(AI233)&gt;100,"DEEP",IF(AI233="","SPARSE","SHALLOW"))))</f>
        <v/>
      </c>
      <c r="BC233" s="591">
        <f>IF(E233="","",D233&amp;"-"&amp;B233&amp;"-"&amp;E233)</f>
        <v/>
      </c>
      <c r="BD233" s="591">
        <f>IF(E233="","",SUBSTITUTE(SUBSTITUTE(B233&amp;"-"&amp;E233," ",""),":","-"))</f>
        <v/>
      </c>
      <c r="BE233" s="591">
        <f>IF(E233="","",IF(ISNUMBER(SEARCH("ECC",E233)),"NCA-ECC-2-2024",IF(ISNUMBER(SEARCH("OTCC",E233)),"NCA-ECC-2-2024",IF(ISNUMBER(SEARCH("CCC",E233)),"NCA-ECC-2-2024",IF(ISNUMBER(SEARCH("DCC",E233)),"NCA-ECC-2-2024",IF(ISNUMBER(SEARCH("CSCC",E233)),"NCA-ECC-2-2024",IF(ISNUMBER(SEARCH("PDPL-IR",E233)),"PDPL-2021",IF(ISNUMBER(SEARCH("PDPL-DTR",E233)),"PDPL-2021","NONE"))))))))</f>
        <v/>
      </c>
      <c r="BF233" s="594">
        <f>IF(E233="","",IF(BB233="DEEP",10,IF(BB233="SHALLOW",5,IF(BB233="TEMPLATE",3,1)))+IF(N233="HIGHEST",5,IF(N233="HIGH",3,IF(N233="MODERATE",1,0)))+IF(ISNUMBER(SEARCH("Mandatory",L233)),3,0))</f>
        <v/>
      </c>
    </row>
    <row r="234" ht="42" customHeight="1">
      <c r="A234" s="96" t="n">
        <v>213</v>
      </c>
      <c r="B234" s="97" t="inlineStr">
        <is>
          <t>SFD</t>
        </is>
      </c>
      <c r="C234" s="98" t="inlineStr">
        <is>
          <t>Saudi Fund for Development</t>
        </is>
      </c>
      <c r="D234" s="98" t="inlineStr">
        <is>
          <t>5. Financial Regulators</t>
        </is>
      </c>
      <c r="E234" s="97" t="inlineStr">
        <is>
          <t>SFD-FW</t>
        </is>
      </c>
      <c r="F234" s="99" t="inlineStr">
        <is>
          <t>Development Finance Regulations</t>
        </is>
      </c>
      <c r="G234" s="98" t="inlineStr">
        <is>
          <t>الإطار التنظيمي الرئيسي</t>
        </is>
      </c>
      <c r="H234" s="98" t="inlineStr">
        <is>
          <t>Active/Updated</t>
        </is>
      </c>
      <c r="I234" s="100" t="inlineStr">
        <is>
          <t>1974</t>
        </is>
      </c>
      <c r="J234" s="100" t="inlineStr">
        <is>
          <t>N/A</t>
        </is>
      </c>
      <c r="K234" s="98" t="inlineStr">
        <is>
          <t>ISSUES/ENFORCES</t>
        </is>
      </c>
      <c r="L234" s="22" t="inlineStr">
        <is>
          <t>Mandatory Enforcer</t>
        </is>
      </c>
      <c r="M234" s="98" t="inlineStr">
        <is>
          <t>Entities regulated by this authority</t>
        </is>
      </c>
      <c r="N234" s="101" t="inlineStr">
        <is>
          <t>MODERATE</t>
        </is>
      </c>
      <c r="O234" s="102" t="inlineStr">
        <is>
          <t>https://www.gov.sa/</t>
        </is>
      </c>
      <c r="P234" s="98" t="inlineStr">
        <is>
          <t>Ministry/Authority official site</t>
        </is>
      </c>
      <c r="Q234" s="98" t="inlineStr">
        <is>
          <t>See official source for version history</t>
        </is>
      </c>
      <c r="R234" s="98" t="inlineStr">
        <is>
          <t>Framework issued by the relevant authority. Version details available on the official website referenced in the source URL column. The framework has been updated periodically since first issuance.</t>
        </is>
      </c>
      <c r="S234" s="100" t="inlineStr">
        <is>
          <t>See official source</t>
        </is>
      </c>
      <c r="T234" s="98" t="inlineStr">
        <is>
          <t>Updated as needed by the issuing authority</t>
        </is>
      </c>
      <c r="U234" s="25" t="inlineStr">
        <is>
          <t>CURRENT — consult official source for latest version</t>
        </is>
      </c>
      <c r="V234" s="98" t="inlineStr">
        <is>
          <t>Penalties defined by issuing authority; consult official source. NCA ECC-2 penalties apply if relevant</t>
        </is>
      </c>
      <c r="W234" s="99" t="inlineStr">
        <is>
          <t>Issuing authority and/or designated inspection department</t>
        </is>
      </c>
      <c r="X234" s="98" t="inlineStr">
        <is>
          <t>As specified in framework scope — consult official document</t>
        </is>
      </c>
      <c r="Y234" s="49" t="inlineStr">
        <is>
          <t>Both (unless specified otherwise in official document)</t>
        </is>
      </c>
      <c r="Z234" s="98" t="inlineStr">
        <is>
          <t>As defined by issuing authority</t>
        </is>
      </c>
      <c r="AA234" s="100" t="inlineStr">
        <is>
          <t>As defined by issuing authority</t>
        </is>
      </c>
      <c r="AB234" s="98" t="inlineStr">
        <is>
          <t>To be determined from framework text — see official source</t>
        </is>
      </c>
      <c r="AC234" s="98" t="inlineStr">
        <is>
          <t>See framework preamble for international standard references</t>
        </is>
      </c>
      <c r="AD234" s="49" t="inlineStr">
        <is>
          <t>Arabic (primary in KSA); English may be available</t>
        </is>
      </c>
      <c r="AE234" s="58" t="inlineStr">
        <is>
          <t>Mapped to relevant GH-ICGA layer — requires manual assessment</t>
        </is>
      </c>
      <c r="AF234" s="56" t="inlineStr">
        <is>
          <t>See official framework for maturity model details</t>
        </is>
      </c>
      <c r="AG234" s="98" t="inlineStr">
        <is>
          <t>Aligned with relevant Vision 2030 programme — see framework context</t>
        </is>
      </c>
      <c r="AH234" s="98" t="inlineStr">
        <is>
          <t>As specified in framework compliance requirements</t>
        </is>
      </c>
      <c r="AI234" s="103" t="inlineStr">
        <is>
          <t>Institutional theory and regulatory governance theory underpin all KSA regulatory frameworks. Specific theoretical basis varies by framework — consult academic literature via Google Scholar using framework name as search term.</t>
        </is>
      </c>
      <c r="AJ234" s="98" t="inlineStr">
        <is>
          <t>Academic debate varies by framework maturity and international adoption. For KSA-specific debate, consult: Almohammad &amp; Wills (2021) J Cybersecurity; Al-Khater et al. (2020) IEEE Access; Baker McKenzie KSA regulatory updates.</t>
        </is>
      </c>
      <c r="AK234" s="104" t="inlineStr">
        <is>
          <t>Known criticisms include: implementation gap between standards and practice; resource constraints for smaller healthcare entities; rapid technology evolution outpacing regulation. Consult framework evaluation literature for specifics.</t>
        </is>
      </c>
      <c r="AL234" s="105" t="inlineStr">
        <is>
          <t>Framework comparison requires contextual analysis. Key comparators: NIST CSF 2.0 (international benchmark), ISO 27001 (certifiable standard), ECC-2 (KSA mandatory baseline). See main database for cross-framework mapping.</t>
        </is>
      </c>
      <c r="AM234" s="10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34" s="107" t="inlineStr">
        <is>
          <t>Official: Consult the official source URL in the database for the primary document. Training: ISACA, ISC2, RAPS, IAPP, and HIMSS offer professional development covering most regulatory domains. Estimated hours vary by framework complexity.</t>
        </is>
      </c>
      <c r="AO234" s="108" t="inlineStr">
        <is>
          <t>Relevance to GH-ICGA framework varies by layer — see GH-ICGA Layer Mapping column. All KSA mandatory frameworks are compliance inputs to GH-ICGA Layer 4. Frameworks with IoMT-specific provisions directly inform Layers 2 and 3.</t>
        </is>
      </c>
      <c r="AP234" s="51" t="inlineStr">
        <is>
          <t>G + C (Governance + Compliance — standard regulatory framework positioning)</t>
        </is>
      </c>
      <c r="AQ234" s="109" t="inlineStr">
        <is>
          <t>Senior management: accountability for framework compliance. Designated compliance officer: monitor requirements. All staff: awareness of applicable obligations</t>
        </is>
      </c>
      <c r="AR234" s="104" t="inlineStr">
        <is>
          <t>Regulatory Risk; Operational Risk; Reputational Risk — specific domains determined by framework scope</t>
        </is>
      </c>
      <c r="AS234" s="22" t="inlineStr">
        <is>
          <t>See official source — legal obligation, regulatory requirement, or voluntary standard as applicable</t>
        </is>
      </c>
      <c r="AT234" s="105" t="inlineStr">
        <is>
          <t>Administrative; Technical; Operational — specific distribution determined by framework content</t>
        </is>
      </c>
      <c r="AU234" s="110" t="inlineStr">
        <is>
          <t>1. Compliance status (compliant/non-compliant). 2. # open findings from last assessment. 3. % controls implemented. 4. Time to remediate findings. 5. Incident rate in framework scope area</t>
        </is>
      </c>
      <c r="AV234" s="111" t="inlineStr">
        <is>
          <t>Self-assessment; internal audit; external assessment as specified by issuing authority</t>
        </is>
      </c>
      <c r="AW234" s="112" t="inlineStr">
        <is>
          <t>ServiceNow GRC; IBM OpenPages; RSA Archer; MetricStream — all major GRC platforms support custom framework import. Contact vendor for framework-specific module</t>
        </is>
      </c>
      <c r="AX234" s="113" t="inlineStr">
        <is>
          <t>Third parties in scope must demonstrate equivalent compliance. Contractual compliance obligations; right-to-audit clauses; annual third-party assessment</t>
        </is>
      </c>
      <c r="AY234" s="114" t="inlineStr">
        <is>
          <t>Non-compliance: regulatory action by issuing authority; fines and penalties as specified; operational and reputational consequences</t>
        </is>
      </c>
      <c r="AZ234" s="111" t="inlineStr">
        <is>
          <t>Sector-specific — consult official source</t>
        </is>
      </c>
      <c r="BA234" s="41" t="inlineStr">
        <is>
          <t>Sector-Specific</t>
        </is>
      </c>
      <c r="BB234" s="591">
        <f>IF(E234="","",IF(ISNUMBER(SEARCH("Institutional theory and regulatory governance theory underpin",AI234)),"TEMPLATE",IF(LEN(AI234)&gt;100,"DEEP",IF(AI234="","SPARSE","SHALLOW"))))</f>
        <v/>
      </c>
      <c r="BC234" s="591">
        <f>IF(E234="","",D234&amp;"-"&amp;B234&amp;"-"&amp;E234)</f>
        <v/>
      </c>
      <c r="BD234" s="591">
        <f>IF(E234="","",SUBSTITUTE(SUBSTITUTE(B234&amp;"-"&amp;E234," ",""),":","-"))</f>
        <v/>
      </c>
      <c r="BE234" s="591">
        <f>IF(E234="","",IF(ISNUMBER(SEARCH("ECC",E234)),"NCA-ECC-2-2024",IF(ISNUMBER(SEARCH("OTCC",E234)),"NCA-ECC-2-2024",IF(ISNUMBER(SEARCH("CCC",E234)),"NCA-ECC-2-2024",IF(ISNUMBER(SEARCH("DCC",E234)),"NCA-ECC-2-2024",IF(ISNUMBER(SEARCH("CSCC",E234)),"NCA-ECC-2-2024",IF(ISNUMBER(SEARCH("PDPL-IR",E234)),"PDPL-2021",IF(ISNUMBER(SEARCH("PDPL-DTR",E234)),"PDPL-2021","NONE"))))))))</f>
        <v/>
      </c>
      <c r="BF234" s="594">
        <f>IF(E234="","",IF(BB234="DEEP",10,IF(BB234="SHALLOW",5,IF(BB234="TEMPLATE",3,1)))+IF(N234="HIGHEST",5,IF(N234="HIGH",3,IF(N234="MODERATE",1,0)))+IF(ISNUMBER(SEARCH("Mandatory",L234)),3,0))</f>
        <v/>
      </c>
    </row>
    <row r="235" ht="42" customHeight="1">
      <c r="A235" s="42" t="n">
        <v>214</v>
      </c>
      <c r="B235" s="115" t="inlineStr">
        <is>
          <t>SFD</t>
        </is>
      </c>
      <c r="C235" s="44" t="inlineStr">
        <is>
          <t>Saudi Fund for Development</t>
        </is>
      </c>
      <c r="D235" s="44" t="inlineStr">
        <is>
          <t>5. Financial Regulators</t>
        </is>
      </c>
      <c r="E235" s="115" t="inlineStr">
        <is>
          <t>NCA-ECC-2:2024</t>
        </is>
      </c>
      <c r="F235" s="45" t="inlineStr">
        <is>
          <t>Essential Cybersecurity Controls</t>
        </is>
      </c>
      <c r="G235" s="44" t="inlineStr">
        <is>
          <t>ضوابط الأمن السيبراني الأساسية</t>
        </is>
      </c>
      <c r="H235" s="44" t="inlineStr">
        <is>
          <t>ECC-2:2024</t>
        </is>
      </c>
      <c r="I235" s="46" t="inlineStr">
        <is>
          <t>2018</t>
        </is>
      </c>
      <c r="J235" s="46" t="inlineStr">
        <is>
          <t>108</t>
        </is>
      </c>
      <c r="K235" s="44" t="inlineStr">
        <is>
          <t>MUST COMPLY WITH</t>
        </is>
      </c>
      <c r="L235" s="66" t="inlineStr">
        <is>
          <t>Mandatory Complier</t>
        </is>
      </c>
      <c r="M235" s="44" t="inlineStr">
        <is>
          <t>Saudi Fund for Development as government entity</t>
        </is>
      </c>
      <c r="N235" s="59" t="inlineStr">
        <is>
          <t>LOW</t>
        </is>
      </c>
      <c r="O235" s="48" t="inlineStr">
        <is>
          <t>https://nca.gov.sa/</t>
        </is>
      </c>
      <c r="P235" s="44" t="inlineStr">
        <is>
          <t>NCA ECC scope</t>
        </is>
      </c>
      <c r="Q235" s="98" t="inlineStr">
        <is>
          <t>See official source for version history</t>
        </is>
      </c>
      <c r="R235" s="98" t="inlineStr">
        <is>
          <t>Framework issued by the relevant authority. Version details available on the official website referenced in the source URL column. The framework has been updated periodically since first issuance.</t>
        </is>
      </c>
      <c r="S235" s="100" t="inlineStr">
        <is>
          <t>See official source</t>
        </is>
      </c>
      <c r="T235" s="98" t="inlineStr">
        <is>
          <t>Updated as needed by the issuing authority</t>
        </is>
      </c>
      <c r="U235" s="25" t="inlineStr">
        <is>
          <t>CURRENT — consult official source for latest version</t>
        </is>
      </c>
      <c r="V235" s="98" t="inlineStr">
        <is>
          <t>Penalties defined by issuing authority; consult official source. NCA ECC-2 penalties apply if relevant</t>
        </is>
      </c>
      <c r="W235" s="99" t="inlineStr">
        <is>
          <t>Issuing authority and/or designated inspection department</t>
        </is>
      </c>
      <c r="X235" s="98" t="inlineStr">
        <is>
          <t>As specified in framework scope — consult official document</t>
        </is>
      </c>
      <c r="Y235" s="49" t="inlineStr">
        <is>
          <t>Both (unless specified otherwise in official document)</t>
        </is>
      </c>
      <c r="Z235" s="98" t="inlineStr">
        <is>
          <t>As defined by issuing authority</t>
        </is>
      </c>
      <c r="AA235" s="100" t="inlineStr">
        <is>
          <t>As defined by issuing authority</t>
        </is>
      </c>
      <c r="AB235" s="98" t="inlineStr">
        <is>
          <t>To be determined from framework text — see official source</t>
        </is>
      </c>
      <c r="AC235" s="98" t="inlineStr">
        <is>
          <t>See framework preamble for international standard references</t>
        </is>
      </c>
      <c r="AD235" s="49" t="inlineStr">
        <is>
          <t>Arabic (primary in KSA); English may be available</t>
        </is>
      </c>
      <c r="AE235" s="58" t="inlineStr">
        <is>
          <t>Mapped to relevant GH-ICGA layer — requires manual assessment</t>
        </is>
      </c>
      <c r="AF235" s="56" t="inlineStr">
        <is>
          <t>See official framework for maturity model details</t>
        </is>
      </c>
      <c r="AG235" s="98" t="inlineStr">
        <is>
          <t>Aligned with relevant Vision 2030 programme — see framework context</t>
        </is>
      </c>
      <c r="AH235" s="98" t="inlineStr">
        <is>
          <t>As specified in framework compliance requirements</t>
        </is>
      </c>
      <c r="AI235" s="103" t="inlineStr">
        <is>
          <t>Institutional theory and regulatory governance theory underpin all KSA regulatory frameworks. Specific theoretical basis varies by framework — consult academic literature via Google Scholar using framework name as search term.</t>
        </is>
      </c>
      <c r="AJ235" s="98" t="inlineStr">
        <is>
          <t>Academic debate varies by framework maturity and international adoption. For KSA-specific debate, consult: Almohammad &amp; Wills (2021) J Cybersecurity; Al-Khater et al. (2020) IEEE Access; Baker McKenzie KSA regulatory updates.</t>
        </is>
      </c>
      <c r="AK235" s="104" t="inlineStr">
        <is>
          <t>Known criticisms include: implementation gap between standards and practice; resource constraints for smaller healthcare entities; rapid technology evolution outpacing regulation. Consult framework evaluation literature for specifics.</t>
        </is>
      </c>
      <c r="AL235" s="105" t="inlineStr">
        <is>
          <t>Framework comparison requires contextual analysis. Key comparators: NIST CSF 2.0 (international benchmark), ISO 27001 (certifiable standard), ECC-2 (KSA mandatory baseline). See main database for cross-framework mapping.</t>
        </is>
      </c>
      <c r="AM235" s="10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35" s="107" t="inlineStr">
        <is>
          <t>Official: Consult the official source URL in the database for the primary document. Training: ISACA, ISC2, RAPS, IAPP, and HIMSS offer professional development covering most regulatory domains. Estimated hours vary by framework complexity.</t>
        </is>
      </c>
      <c r="AO235" s="108" t="inlineStr">
        <is>
          <t>Relevance to GH-ICGA framework varies by layer — see GH-ICGA Layer Mapping column. All KSA mandatory frameworks are compliance inputs to GH-ICGA Layer 4. Frameworks with IoMT-specific provisions directly inform Layers 2 and 3.</t>
        </is>
      </c>
      <c r="AP235" s="51" t="inlineStr">
        <is>
          <t>G + C (Governance + Compliance — standard regulatory framework positioning)</t>
        </is>
      </c>
      <c r="AQ235" s="109" t="inlineStr">
        <is>
          <t>Senior management: accountability for framework compliance. Designated compliance officer: monitor requirements. All staff: awareness of applicable obligations</t>
        </is>
      </c>
      <c r="AR235" s="104" t="inlineStr">
        <is>
          <t>Regulatory Risk; Operational Risk; Reputational Risk — specific domains determined by framework scope</t>
        </is>
      </c>
      <c r="AS235" s="22" t="inlineStr">
        <is>
          <t>See official source — legal obligation, regulatory requirement, or voluntary standard as applicable</t>
        </is>
      </c>
      <c r="AT235" s="105" t="inlineStr">
        <is>
          <t>Administrative; Technical; Operational — specific distribution determined by framework content</t>
        </is>
      </c>
      <c r="AU235" s="110" t="inlineStr">
        <is>
          <t>1. Compliance status (compliant/non-compliant). 2. # open findings from last assessment. 3. % controls implemented. 4. Time to remediate findings. 5. Incident rate in framework scope area</t>
        </is>
      </c>
      <c r="AV235" s="111" t="inlineStr">
        <is>
          <t>Self-assessment; internal audit; external assessment as specified by issuing authority</t>
        </is>
      </c>
      <c r="AW235" s="112" t="inlineStr">
        <is>
          <t>ServiceNow GRC; IBM OpenPages; RSA Archer; MetricStream — all major GRC platforms support custom framework import. Contact vendor for framework-specific module</t>
        </is>
      </c>
      <c r="AX235" s="113" t="inlineStr">
        <is>
          <t>Third parties in scope must demonstrate equivalent compliance. Contractual compliance obligations; right-to-audit clauses; annual third-party assessment</t>
        </is>
      </c>
      <c r="AY235" s="114" t="inlineStr">
        <is>
          <t>Non-compliance: regulatory action by issuing authority; fines and penalties as specified; operational and reputational consequences</t>
        </is>
      </c>
      <c r="AZ235" s="111" t="inlineStr">
        <is>
          <t>ALL 17 SECTORS</t>
        </is>
      </c>
      <c r="BA235" s="34" t="inlineStr">
        <is>
          <t>YES — ALL SECTORS</t>
        </is>
      </c>
      <c r="BB235" s="591">
        <f>IF(E235="","",IF(ISNUMBER(SEARCH("Institutional theory and regulatory governance theory underpin",AI235)),"TEMPLATE",IF(LEN(AI235)&gt;100,"DEEP",IF(AI235="","SPARSE","SHALLOW"))))</f>
        <v/>
      </c>
      <c r="BC235" s="591">
        <f>IF(E235="","",D235&amp;"-"&amp;B235&amp;"-"&amp;E235)</f>
        <v/>
      </c>
      <c r="BD235" s="591">
        <f>IF(E235="","",SUBSTITUTE(SUBSTITUTE(B235&amp;"-"&amp;E235," ",""),":","-"))</f>
        <v/>
      </c>
      <c r="BE235" s="591">
        <f>IF(E235="","",IF(ISNUMBER(SEARCH("ECC",E235)),"NCA-ECC-2-2024",IF(ISNUMBER(SEARCH("OTCC",E235)),"NCA-ECC-2-2024",IF(ISNUMBER(SEARCH("CCC",E235)),"NCA-ECC-2-2024",IF(ISNUMBER(SEARCH("DCC",E235)),"NCA-ECC-2-2024",IF(ISNUMBER(SEARCH("CSCC",E235)),"NCA-ECC-2-2024",IF(ISNUMBER(SEARCH("PDPL-IR",E235)),"PDPL-2021",IF(ISNUMBER(SEARCH("PDPL-DTR",E235)),"PDPL-2021","NONE"))))))))</f>
        <v/>
      </c>
      <c r="BF235" s="594">
        <f>IF(E235="","",IF(BB235="DEEP",10,IF(BB235="SHALLOW",5,IF(BB235="TEMPLATE",3,1)))+IF(N235="HIGHEST",5,IF(N235="HIGH",3,IF(N235="MODERATE",1,0)))+IF(ISNUMBER(SEARCH("Mandatory",L235)),3,0))</f>
        <v/>
      </c>
    </row>
    <row r="236" ht="42" customHeight="1">
      <c r="A236" s="96" t="n">
        <v>215</v>
      </c>
      <c r="B236" s="97" t="inlineStr">
        <is>
          <t>REDF</t>
        </is>
      </c>
      <c r="C236" s="98" t="inlineStr">
        <is>
          <t>Real Estate Development Fund</t>
        </is>
      </c>
      <c r="D236" s="98" t="inlineStr">
        <is>
          <t>5. Financial Regulators</t>
        </is>
      </c>
      <c r="E236" s="97" t="inlineStr">
        <is>
          <t>REDF-FW</t>
        </is>
      </c>
      <c r="F236" s="99" t="inlineStr">
        <is>
          <t>Real Estate Lending Regulations</t>
        </is>
      </c>
      <c r="G236" s="98" t="inlineStr">
        <is>
          <t>الإطار التنظيمي الرئيسي</t>
        </is>
      </c>
      <c r="H236" s="98" t="inlineStr">
        <is>
          <t>Active/Updated</t>
        </is>
      </c>
      <c r="I236" s="100" t="inlineStr">
        <is>
          <t>2017</t>
        </is>
      </c>
      <c r="J236" s="100" t="inlineStr">
        <is>
          <t>N/A</t>
        </is>
      </c>
      <c r="K236" s="98" t="inlineStr">
        <is>
          <t>ISSUES/ENFORCES</t>
        </is>
      </c>
      <c r="L236" s="22" t="inlineStr">
        <is>
          <t>Mandatory Enforcer</t>
        </is>
      </c>
      <c r="M236" s="98" t="inlineStr">
        <is>
          <t>Entities regulated by this authority</t>
        </is>
      </c>
      <c r="N236" s="101" t="inlineStr">
        <is>
          <t>MODERATE</t>
        </is>
      </c>
      <c r="O236" s="102" t="inlineStr">
        <is>
          <t>https://www.gov.sa/</t>
        </is>
      </c>
      <c r="P236" s="98" t="inlineStr">
        <is>
          <t>Ministry/Authority official site</t>
        </is>
      </c>
      <c r="Q236" s="98" t="inlineStr">
        <is>
          <t>See official source for version history</t>
        </is>
      </c>
      <c r="R236" s="98" t="inlineStr">
        <is>
          <t>Framework issued by the relevant authority. Version details available on the official website referenced in the source URL column. The framework has been updated periodically since first issuance.</t>
        </is>
      </c>
      <c r="S236" s="100" t="inlineStr">
        <is>
          <t>See official source</t>
        </is>
      </c>
      <c r="T236" s="98" t="inlineStr">
        <is>
          <t>Updated as needed by the issuing authority</t>
        </is>
      </c>
      <c r="U236" s="25" t="inlineStr">
        <is>
          <t>CURRENT — consult official source for latest version</t>
        </is>
      </c>
      <c r="V236" s="98" t="inlineStr">
        <is>
          <t>Penalties defined by issuing authority; consult official source. NCA ECC-2 penalties apply if relevant</t>
        </is>
      </c>
      <c r="W236" s="99" t="inlineStr">
        <is>
          <t>Issuing authority and/or designated inspection department</t>
        </is>
      </c>
      <c r="X236" s="98" t="inlineStr">
        <is>
          <t>As specified in framework scope — consult official document</t>
        </is>
      </c>
      <c r="Y236" s="49" t="inlineStr">
        <is>
          <t>Both (unless specified otherwise in official document)</t>
        </is>
      </c>
      <c r="Z236" s="98" t="inlineStr">
        <is>
          <t>As defined by issuing authority</t>
        </is>
      </c>
      <c r="AA236" s="100" t="inlineStr">
        <is>
          <t>As defined by issuing authority</t>
        </is>
      </c>
      <c r="AB236" s="98" t="inlineStr">
        <is>
          <t>To be determined from framework text — see official source</t>
        </is>
      </c>
      <c r="AC236" s="98" t="inlineStr">
        <is>
          <t>See framework preamble for international standard references</t>
        </is>
      </c>
      <c r="AD236" s="49" t="inlineStr">
        <is>
          <t>Arabic (primary in KSA); English may be available</t>
        </is>
      </c>
      <c r="AE236" s="58" t="inlineStr">
        <is>
          <t>Mapped to relevant GH-ICGA layer — requires manual assessment</t>
        </is>
      </c>
      <c r="AF236" s="56" t="inlineStr">
        <is>
          <t>See official framework for maturity model details</t>
        </is>
      </c>
      <c r="AG236" s="98" t="inlineStr">
        <is>
          <t>Aligned with relevant Vision 2030 programme — see framework context</t>
        </is>
      </c>
      <c r="AH236" s="98" t="inlineStr">
        <is>
          <t>As specified in framework compliance requirements</t>
        </is>
      </c>
      <c r="AI236" s="103" t="inlineStr">
        <is>
          <t>Institutional theory and regulatory governance theory underpin all KSA regulatory frameworks. Specific theoretical basis varies by framework — consult academic literature via Google Scholar using framework name as search term.</t>
        </is>
      </c>
      <c r="AJ236" s="98" t="inlineStr">
        <is>
          <t>Academic debate varies by framework maturity and international adoption. For KSA-specific debate, consult: Almohammad &amp; Wills (2021) J Cybersecurity; Al-Khater et al. (2020) IEEE Access; Baker McKenzie KSA regulatory updates.</t>
        </is>
      </c>
      <c r="AK236" s="104" t="inlineStr">
        <is>
          <t>Known criticisms include: implementation gap between standards and practice; resource constraints for smaller healthcare entities; rapid technology evolution outpacing regulation. Consult framework evaluation literature for specifics.</t>
        </is>
      </c>
      <c r="AL236" s="105" t="inlineStr">
        <is>
          <t>Framework comparison requires contextual analysis. Key comparators: NIST CSF 2.0 (international benchmark), ISO 27001 (certifiable standard), ECC-2 (KSA mandatory baseline). See main database for cross-framework mapping.</t>
        </is>
      </c>
      <c r="AM236" s="10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36" s="107" t="inlineStr">
        <is>
          <t>Official: Consult the official source URL in the database for the primary document. Training: ISACA, ISC2, RAPS, IAPP, and HIMSS offer professional development covering most regulatory domains. Estimated hours vary by framework complexity.</t>
        </is>
      </c>
      <c r="AO236" s="108" t="inlineStr">
        <is>
          <t>Relevance to GH-ICGA framework varies by layer — see GH-ICGA Layer Mapping column. All KSA mandatory frameworks are compliance inputs to GH-ICGA Layer 4. Frameworks with IoMT-specific provisions directly inform Layers 2 and 3.</t>
        </is>
      </c>
      <c r="AP236" s="51" t="inlineStr">
        <is>
          <t>G + C (Governance + Compliance — standard regulatory framework positioning)</t>
        </is>
      </c>
      <c r="AQ236" s="109" t="inlineStr">
        <is>
          <t>Senior management: accountability for framework compliance. Designated compliance officer: monitor requirements. All staff: awareness of applicable obligations</t>
        </is>
      </c>
      <c r="AR236" s="104" t="inlineStr">
        <is>
          <t>Regulatory Risk; Operational Risk; Reputational Risk — specific domains determined by framework scope</t>
        </is>
      </c>
      <c r="AS236" s="22" t="inlineStr">
        <is>
          <t>See official source — legal obligation, regulatory requirement, or voluntary standard as applicable</t>
        </is>
      </c>
      <c r="AT236" s="105" t="inlineStr">
        <is>
          <t>Administrative; Technical; Operational — specific distribution determined by framework content</t>
        </is>
      </c>
      <c r="AU236" s="110" t="inlineStr">
        <is>
          <t>1. Compliance status (compliant/non-compliant). 2. # open findings from last assessment. 3. % controls implemented. 4. Time to remediate findings. 5. Incident rate in framework scope area</t>
        </is>
      </c>
      <c r="AV236" s="111" t="inlineStr">
        <is>
          <t>Self-assessment; internal audit; external assessment as specified by issuing authority</t>
        </is>
      </c>
      <c r="AW236" s="112" t="inlineStr">
        <is>
          <t>ServiceNow GRC; IBM OpenPages; RSA Archer; MetricStream — all major GRC platforms support custom framework import. Contact vendor for framework-specific module</t>
        </is>
      </c>
      <c r="AX236" s="113" t="inlineStr">
        <is>
          <t>Third parties in scope must demonstrate equivalent compliance. Contractual compliance obligations; right-to-audit clauses; annual third-party assessment</t>
        </is>
      </c>
      <c r="AY236" s="114" t="inlineStr">
        <is>
          <t>Non-compliance: regulatory action by issuing authority; fines and penalties as specified; operational and reputational consequences</t>
        </is>
      </c>
      <c r="AZ236" s="111" t="inlineStr">
        <is>
          <t>Sector-specific — consult official source</t>
        </is>
      </c>
      <c r="BA236" s="41" t="inlineStr">
        <is>
          <t>Sector-Specific</t>
        </is>
      </c>
      <c r="BB236" s="591">
        <f>IF(E236="","",IF(ISNUMBER(SEARCH("Institutional theory and regulatory governance theory underpin",AI236)),"TEMPLATE",IF(LEN(AI236)&gt;100,"DEEP",IF(AI236="","SPARSE","SHALLOW"))))</f>
        <v/>
      </c>
      <c r="BC236" s="591">
        <f>IF(E236="","",D236&amp;"-"&amp;B236&amp;"-"&amp;E236)</f>
        <v/>
      </c>
      <c r="BD236" s="591">
        <f>IF(E236="","",SUBSTITUTE(SUBSTITUTE(B236&amp;"-"&amp;E236," ",""),":","-"))</f>
        <v/>
      </c>
      <c r="BE236" s="591">
        <f>IF(E236="","",IF(ISNUMBER(SEARCH("ECC",E236)),"NCA-ECC-2-2024",IF(ISNUMBER(SEARCH("OTCC",E236)),"NCA-ECC-2-2024",IF(ISNUMBER(SEARCH("CCC",E236)),"NCA-ECC-2-2024",IF(ISNUMBER(SEARCH("DCC",E236)),"NCA-ECC-2-2024",IF(ISNUMBER(SEARCH("CSCC",E236)),"NCA-ECC-2-2024",IF(ISNUMBER(SEARCH("PDPL-IR",E236)),"PDPL-2021",IF(ISNUMBER(SEARCH("PDPL-DTR",E236)),"PDPL-2021","NONE"))))))))</f>
        <v/>
      </c>
      <c r="BF236" s="594">
        <f>IF(E236="","",IF(BB236="DEEP",10,IF(BB236="SHALLOW",5,IF(BB236="TEMPLATE",3,1)))+IF(N236="HIGHEST",5,IF(N236="HIGH",3,IF(N236="MODERATE",1,0)))+IF(ISNUMBER(SEARCH("Mandatory",L236)),3,0))</f>
        <v/>
      </c>
    </row>
    <row r="237" ht="42" customHeight="1">
      <c r="A237" s="42" t="n">
        <v>216</v>
      </c>
      <c r="B237" s="115" t="inlineStr">
        <is>
          <t>REDF</t>
        </is>
      </c>
      <c r="C237" s="44" t="inlineStr">
        <is>
          <t>Real Estate Development Fund</t>
        </is>
      </c>
      <c r="D237" s="44" t="inlineStr">
        <is>
          <t>5. Financial Regulators</t>
        </is>
      </c>
      <c r="E237" s="115" t="inlineStr">
        <is>
          <t>NCA-ECC-2:2024</t>
        </is>
      </c>
      <c r="F237" s="45" t="inlineStr">
        <is>
          <t>Essential Cybersecurity Controls</t>
        </is>
      </c>
      <c r="G237" s="44" t="inlineStr">
        <is>
          <t>ضوابط الأمن السيبراني الأساسية</t>
        </is>
      </c>
      <c r="H237" s="44" t="inlineStr">
        <is>
          <t>ECC-2:2024</t>
        </is>
      </c>
      <c r="I237" s="46" t="inlineStr">
        <is>
          <t>2018</t>
        </is>
      </c>
      <c r="J237" s="46" t="inlineStr">
        <is>
          <t>108</t>
        </is>
      </c>
      <c r="K237" s="44" t="inlineStr">
        <is>
          <t>MUST COMPLY WITH</t>
        </is>
      </c>
      <c r="L237" s="66" t="inlineStr">
        <is>
          <t>Mandatory Complier</t>
        </is>
      </c>
      <c r="M237" s="44" t="inlineStr">
        <is>
          <t>Real Estate Development Fund as government entity</t>
        </is>
      </c>
      <c r="N237" s="59" t="inlineStr">
        <is>
          <t>LOW</t>
        </is>
      </c>
      <c r="O237" s="48" t="inlineStr">
        <is>
          <t>https://nca.gov.sa/</t>
        </is>
      </c>
      <c r="P237" s="44" t="inlineStr">
        <is>
          <t>NCA ECC scope</t>
        </is>
      </c>
      <c r="Q237" s="98" t="inlineStr">
        <is>
          <t>See official source for version history</t>
        </is>
      </c>
      <c r="R237" s="98" t="inlineStr">
        <is>
          <t>Framework issued by the relevant authority. Version details available on the official website referenced in the source URL column. The framework has been updated periodically since first issuance.</t>
        </is>
      </c>
      <c r="S237" s="100" t="inlineStr">
        <is>
          <t>See official source</t>
        </is>
      </c>
      <c r="T237" s="98" t="inlineStr">
        <is>
          <t>Updated as needed by the issuing authority</t>
        </is>
      </c>
      <c r="U237" s="25" t="inlineStr">
        <is>
          <t>CURRENT — consult official source for latest version</t>
        </is>
      </c>
      <c r="V237" s="98" t="inlineStr">
        <is>
          <t>Penalties defined by issuing authority; consult official source. NCA ECC-2 penalties apply if relevant</t>
        </is>
      </c>
      <c r="W237" s="99" t="inlineStr">
        <is>
          <t>Issuing authority and/or designated inspection department</t>
        </is>
      </c>
      <c r="X237" s="98" t="inlineStr">
        <is>
          <t>As specified in framework scope — consult official document</t>
        </is>
      </c>
      <c r="Y237" s="49" t="inlineStr">
        <is>
          <t>Both (unless specified otherwise in official document)</t>
        </is>
      </c>
      <c r="Z237" s="98" t="inlineStr">
        <is>
          <t>As defined by issuing authority</t>
        </is>
      </c>
      <c r="AA237" s="100" t="inlineStr">
        <is>
          <t>As defined by issuing authority</t>
        </is>
      </c>
      <c r="AB237" s="98" t="inlineStr">
        <is>
          <t>To be determined from framework text — see official source</t>
        </is>
      </c>
      <c r="AC237" s="98" t="inlineStr">
        <is>
          <t>See framework preamble for international standard references</t>
        </is>
      </c>
      <c r="AD237" s="49" t="inlineStr">
        <is>
          <t>Arabic (primary in KSA); English may be available</t>
        </is>
      </c>
      <c r="AE237" s="58" t="inlineStr">
        <is>
          <t>Mapped to relevant GH-ICGA layer — requires manual assessment</t>
        </is>
      </c>
      <c r="AF237" s="56" t="inlineStr">
        <is>
          <t>See official framework for maturity model details</t>
        </is>
      </c>
      <c r="AG237" s="98" t="inlineStr">
        <is>
          <t>Aligned with relevant Vision 2030 programme — see framework context</t>
        </is>
      </c>
      <c r="AH237" s="98" t="inlineStr">
        <is>
          <t>As specified in framework compliance requirements</t>
        </is>
      </c>
      <c r="AI237" s="103" t="inlineStr">
        <is>
          <t>Institutional theory and regulatory governance theory underpin all KSA regulatory frameworks. Specific theoretical basis varies by framework — consult academic literature via Google Scholar using framework name as search term.</t>
        </is>
      </c>
      <c r="AJ237" s="98" t="inlineStr">
        <is>
          <t>Academic debate varies by framework maturity and international adoption. For KSA-specific debate, consult: Almohammad &amp; Wills (2021) J Cybersecurity; Al-Khater et al. (2020) IEEE Access; Baker McKenzie KSA regulatory updates.</t>
        </is>
      </c>
      <c r="AK237" s="104" t="inlineStr">
        <is>
          <t>Known criticisms include: implementation gap between standards and practice; resource constraints for smaller healthcare entities; rapid technology evolution outpacing regulation. Consult framework evaluation literature for specifics.</t>
        </is>
      </c>
      <c r="AL237" s="105" t="inlineStr">
        <is>
          <t>Framework comparison requires contextual analysis. Key comparators: NIST CSF 2.0 (international benchmark), ISO 27001 (certifiable standard), ECC-2 (KSA mandatory baseline). See main database for cross-framework mapping.</t>
        </is>
      </c>
      <c r="AM237" s="10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37" s="107" t="inlineStr">
        <is>
          <t>Official: Consult the official source URL in the database for the primary document. Training: ISACA, ISC2, RAPS, IAPP, and HIMSS offer professional development covering most regulatory domains. Estimated hours vary by framework complexity.</t>
        </is>
      </c>
      <c r="AO237" s="108" t="inlineStr">
        <is>
          <t>Relevance to GH-ICGA framework varies by layer — see GH-ICGA Layer Mapping column. All KSA mandatory frameworks are compliance inputs to GH-ICGA Layer 4. Frameworks with IoMT-specific provisions directly inform Layers 2 and 3.</t>
        </is>
      </c>
      <c r="AP237" s="51" t="inlineStr">
        <is>
          <t>G + C (Governance + Compliance — standard regulatory framework positioning)</t>
        </is>
      </c>
      <c r="AQ237" s="109" t="inlineStr">
        <is>
          <t>Senior management: accountability for framework compliance. Designated compliance officer: monitor requirements. All staff: awareness of applicable obligations</t>
        </is>
      </c>
      <c r="AR237" s="104" t="inlineStr">
        <is>
          <t>Regulatory Risk; Operational Risk; Reputational Risk — specific domains determined by framework scope</t>
        </is>
      </c>
      <c r="AS237" s="22" t="inlineStr">
        <is>
          <t>See official source — legal obligation, regulatory requirement, or voluntary standard as applicable</t>
        </is>
      </c>
      <c r="AT237" s="105" t="inlineStr">
        <is>
          <t>Administrative; Technical; Operational — specific distribution determined by framework content</t>
        </is>
      </c>
      <c r="AU237" s="110" t="inlineStr">
        <is>
          <t>1. Compliance status (compliant/non-compliant). 2. # open findings from last assessment. 3. % controls implemented. 4. Time to remediate findings. 5. Incident rate in framework scope area</t>
        </is>
      </c>
      <c r="AV237" s="111" t="inlineStr">
        <is>
          <t>Self-assessment; internal audit; external assessment as specified by issuing authority</t>
        </is>
      </c>
      <c r="AW237" s="112" t="inlineStr">
        <is>
          <t>ServiceNow GRC; IBM OpenPages; RSA Archer; MetricStream — all major GRC platforms support custom framework import. Contact vendor for framework-specific module</t>
        </is>
      </c>
      <c r="AX237" s="113" t="inlineStr">
        <is>
          <t>Third parties in scope must demonstrate equivalent compliance. Contractual compliance obligations; right-to-audit clauses; annual third-party assessment</t>
        </is>
      </c>
      <c r="AY237" s="114" t="inlineStr">
        <is>
          <t>Non-compliance: regulatory action by issuing authority; fines and penalties as specified; operational and reputational consequences</t>
        </is>
      </c>
      <c r="AZ237" s="111" t="inlineStr">
        <is>
          <t>ALL 17 SECTORS</t>
        </is>
      </c>
      <c r="BA237" s="34" t="inlineStr">
        <is>
          <t>YES — ALL SECTORS</t>
        </is>
      </c>
      <c r="BB237" s="591">
        <f>IF(E237="","",IF(ISNUMBER(SEARCH("Institutional theory and regulatory governance theory underpin",AI237)),"TEMPLATE",IF(LEN(AI237)&gt;100,"DEEP",IF(AI237="","SPARSE","SHALLOW"))))</f>
        <v/>
      </c>
      <c r="BC237" s="591">
        <f>IF(E237="","",D237&amp;"-"&amp;B237&amp;"-"&amp;E237)</f>
        <v/>
      </c>
      <c r="BD237" s="591">
        <f>IF(E237="","",SUBSTITUTE(SUBSTITUTE(B237&amp;"-"&amp;E237," ",""),":","-"))</f>
        <v/>
      </c>
      <c r="BE237" s="591">
        <f>IF(E237="","",IF(ISNUMBER(SEARCH("ECC",E237)),"NCA-ECC-2-2024",IF(ISNUMBER(SEARCH("OTCC",E237)),"NCA-ECC-2-2024",IF(ISNUMBER(SEARCH("CCC",E237)),"NCA-ECC-2-2024",IF(ISNUMBER(SEARCH("DCC",E237)),"NCA-ECC-2-2024",IF(ISNUMBER(SEARCH("CSCC",E237)),"NCA-ECC-2-2024",IF(ISNUMBER(SEARCH("PDPL-IR",E237)),"PDPL-2021",IF(ISNUMBER(SEARCH("PDPL-DTR",E237)),"PDPL-2021","NONE"))))))))</f>
        <v/>
      </c>
      <c r="BF237" s="594">
        <f>IF(E237="","",IF(BB237="DEEP",10,IF(BB237="SHALLOW",5,IF(BB237="TEMPLATE",3,1)))+IF(N237="HIGHEST",5,IF(N237="HIGH",3,IF(N237="MODERATE",1,0)))+IF(ISNUMBER(SEARCH("Mandatory",L237)),3,0))</f>
        <v/>
      </c>
    </row>
    <row r="238" ht="42" customHeight="1">
      <c r="A238" s="96" t="n">
        <v>217</v>
      </c>
      <c r="B238" s="97" t="inlineStr">
        <is>
          <t>SME</t>
        </is>
      </c>
      <c r="C238" s="98" t="inlineStr">
        <is>
          <t>Monshaat (SME General Authority)</t>
        </is>
      </c>
      <c r="D238" s="98" t="inlineStr">
        <is>
          <t>5. Financial Regulators</t>
        </is>
      </c>
      <c r="E238" s="97" t="inlineStr">
        <is>
          <t>SME-FW</t>
        </is>
      </c>
      <c r="F238" s="99" t="inlineStr">
        <is>
          <t>SME Development Regulations</t>
        </is>
      </c>
      <c r="G238" s="98" t="inlineStr">
        <is>
          <t>الإطار التنظيمي الرئيسي</t>
        </is>
      </c>
      <c r="H238" s="98" t="inlineStr">
        <is>
          <t>Active/Updated</t>
        </is>
      </c>
      <c r="I238" s="100" t="inlineStr">
        <is>
          <t>2016</t>
        </is>
      </c>
      <c r="J238" s="100" t="inlineStr">
        <is>
          <t>N/A</t>
        </is>
      </c>
      <c r="K238" s="98" t="inlineStr">
        <is>
          <t>ISSUES/ENFORCES</t>
        </is>
      </c>
      <c r="L238" s="22" t="inlineStr">
        <is>
          <t>Mandatory Enforcer</t>
        </is>
      </c>
      <c r="M238" s="98" t="inlineStr">
        <is>
          <t>Entities regulated by this authority</t>
        </is>
      </c>
      <c r="N238" s="101" t="inlineStr">
        <is>
          <t>MODERATE</t>
        </is>
      </c>
      <c r="O238" s="102" t="inlineStr">
        <is>
          <t>https://www.gov.sa/</t>
        </is>
      </c>
      <c r="P238" s="98" t="inlineStr">
        <is>
          <t>Ministry/Authority official site</t>
        </is>
      </c>
      <c r="Q238" s="98" t="inlineStr">
        <is>
          <t>See official source for version history</t>
        </is>
      </c>
      <c r="R238" s="98" t="inlineStr">
        <is>
          <t>Framework issued by the relevant authority. Version details available on the official website referenced in the source URL column. The framework has been updated periodically since first issuance.</t>
        </is>
      </c>
      <c r="S238" s="100" t="inlineStr">
        <is>
          <t>See official source</t>
        </is>
      </c>
      <c r="T238" s="98" t="inlineStr">
        <is>
          <t>Updated as needed by the issuing authority</t>
        </is>
      </c>
      <c r="U238" s="25" t="inlineStr">
        <is>
          <t>CURRENT — consult official source for latest version</t>
        </is>
      </c>
      <c r="V238" s="98" t="inlineStr">
        <is>
          <t>Penalties defined by issuing authority; consult official source. NCA ECC-2 penalties apply if relevant</t>
        </is>
      </c>
      <c r="W238" s="99" t="inlineStr">
        <is>
          <t>Issuing authority and/or designated inspection department</t>
        </is>
      </c>
      <c r="X238" s="98" t="inlineStr">
        <is>
          <t>As specified in framework scope — consult official document</t>
        </is>
      </c>
      <c r="Y238" s="49" t="inlineStr">
        <is>
          <t>Both (unless specified otherwise in official document)</t>
        </is>
      </c>
      <c r="Z238" s="98" t="inlineStr">
        <is>
          <t>As defined by issuing authority</t>
        </is>
      </c>
      <c r="AA238" s="100" t="inlineStr">
        <is>
          <t>As defined by issuing authority</t>
        </is>
      </c>
      <c r="AB238" s="98" t="inlineStr">
        <is>
          <t>To be determined from framework text — see official source</t>
        </is>
      </c>
      <c r="AC238" s="98" t="inlineStr">
        <is>
          <t>See framework preamble for international standard references</t>
        </is>
      </c>
      <c r="AD238" s="49" t="inlineStr">
        <is>
          <t>Arabic (primary in KSA); English may be available</t>
        </is>
      </c>
      <c r="AE238" s="58" t="inlineStr">
        <is>
          <t>Mapped to relevant GH-ICGA layer — requires manual assessment</t>
        </is>
      </c>
      <c r="AF238" s="56" t="inlineStr">
        <is>
          <t>See official framework for maturity model details</t>
        </is>
      </c>
      <c r="AG238" s="98" t="inlineStr">
        <is>
          <t>Aligned with relevant Vision 2030 programme — see framework context</t>
        </is>
      </c>
      <c r="AH238" s="98" t="inlineStr">
        <is>
          <t>As specified in framework compliance requirements</t>
        </is>
      </c>
      <c r="AI238" s="103" t="inlineStr">
        <is>
          <t>Institutional theory and regulatory governance theory underpin all KSA regulatory frameworks. Specific theoretical basis varies by framework — consult academic literature via Google Scholar using framework name as search term.</t>
        </is>
      </c>
      <c r="AJ238" s="98" t="inlineStr">
        <is>
          <t>Academic debate varies by framework maturity and international adoption. For KSA-specific debate, consult: Almohammad &amp; Wills (2021) J Cybersecurity; Al-Khater et al. (2020) IEEE Access; Baker McKenzie KSA regulatory updates.</t>
        </is>
      </c>
      <c r="AK238" s="104" t="inlineStr">
        <is>
          <t>Known criticisms include: implementation gap between standards and practice; resource constraints for smaller healthcare entities; rapid technology evolution outpacing regulation. Consult framework evaluation literature for specifics.</t>
        </is>
      </c>
      <c r="AL238" s="105" t="inlineStr">
        <is>
          <t>Framework comparison requires contextual analysis. Key comparators: NIST CSF 2.0 (international benchmark), ISO 27001 (certifiable standard), ECC-2 (KSA mandatory baseline). See main database for cross-framework mapping.</t>
        </is>
      </c>
      <c r="AM238" s="10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38" s="107" t="inlineStr">
        <is>
          <t>Official: Consult the official source URL in the database for the primary document. Training: ISACA, ISC2, RAPS, IAPP, and HIMSS offer professional development covering most regulatory domains. Estimated hours vary by framework complexity.</t>
        </is>
      </c>
      <c r="AO238" s="108" t="inlineStr">
        <is>
          <t>Relevance to GH-ICGA framework varies by layer — see GH-ICGA Layer Mapping column. All KSA mandatory frameworks are compliance inputs to GH-ICGA Layer 4. Frameworks with IoMT-specific provisions directly inform Layers 2 and 3.</t>
        </is>
      </c>
      <c r="AP238" s="51" t="inlineStr">
        <is>
          <t>G + C (Governance + Compliance — standard regulatory framework positioning)</t>
        </is>
      </c>
      <c r="AQ238" s="109" t="inlineStr">
        <is>
          <t>Senior management: accountability for framework compliance. Designated compliance officer: monitor requirements. All staff: awareness of applicable obligations</t>
        </is>
      </c>
      <c r="AR238" s="104" t="inlineStr">
        <is>
          <t>Regulatory Risk; Operational Risk; Reputational Risk — specific domains determined by framework scope</t>
        </is>
      </c>
      <c r="AS238" s="22" t="inlineStr">
        <is>
          <t>See official source — legal obligation, regulatory requirement, or voluntary standard as applicable</t>
        </is>
      </c>
      <c r="AT238" s="105" t="inlineStr">
        <is>
          <t>Administrative; Technical; Operational — specific distribution determined by framework content</t>
        </is>
      </c>
      <c r="AU238" s="110" t="inlineStr">
        <is>
          <t>1. Compliance status (compliant/non-compliant). 2. # open findings from last assessment. 3. % controls implemented. 4. Time to remediate findings. 5. Incident rate in framework scope area</t>
        </is>
      </c>
      <c r="AV238" s="111" t="inlineStr">
        <is>
          <t>Self-assessment; internal audit; external assessment as specified by issuing authority</t>
        </is>
      </c>
      <c r="AW238" s="112" t="inlineStr">
        <is>
          <t>ServiceNow GRC; IBM OpenPages; RSA Archer; MetricStream — all major GRC platforms support custom framework import. Contact vendor for framework-specific module</t>
        </is>
      </c>
      <c r="AX238" s="113" t="inlineStr">
        <is>
          <t>Third parties in scope must demonstrate equivalent compliance. Contractual compliance obligations; right-to-audit clauses; annual third-party assessment</t>
        </is>
      </c>
      <c r="AY238" s="114" t="inlineStr">
        <is>
          <t>Non-compliance: regulatory action by issuing authority; fines and penalties as specified; operational and reputational consequences</t>
        </is>
      </c>
      <c r="AZ238" s="111" t="inlineStr">
        <is>
          <t>Sector-specific — consult official source</t>
        </is>
      </c>
      <c r="BA238" s="41" t="inlineStr">
        <is>
          <t>Sector-Specific</t>
        </is>
      </c>
      <c r="BB238" s="591">
        <f>IF(E238="","",IF(ISNUMBER(SEARCH("Institutional theory and regulatory governance theory underpin",AI238)),"TEMPLATE",IF(LEN(AI238)&gt;100,"DEEP",IF(AI238="","SPARSE","SHALLOW"))))</f>
        <v/>
      </c>
      <c r="BC238" s="591">
        <f>IF(E238="","",D238&amp;"-"&amp;B238&amp;"-"&amp;E238)</f>
        <v/>
      </c>
      <c r="BD238" s="591">
        <f>IF(E238="","",SUBSTITUTE(SUBSTITUTE(B238&amp;"-"&amp;E238," ",""),":","-"))</f>
        <v/>
      </c>
      <c r="BE238" s="591">
        <f>IF(E238="","",IF(ISNUMBER(SEARCH("ECC",E238)),"NCA-ECC-2-2024",IF(ISNUMBER(SEARCH("OTCC",E238)),"NCA-ECC-2-2024",IF(ISNUMBER(SEARCH("CCC",E238)),"NCA-ECC-2-2024",IF(ISNUMBER(SEARCH("DCC",E238)),"NCA-ECC-2-2024",IF(ISNUMBER(SEARCH("CSCC",E238)),"NCA-ECC-2-2024",IF(ISNUMBER(SEARCH("PDPL-IR",E238)),"PDPL-2021",IF(ISNUMBER(SEARCH("PDPL-DTR",E238)),"PDPL-2021","NONE"))))))))</f>
        <v/>
      </c>
      <c r="BF238" s="594">
        <f>IF(E238="","",IF(BB238="DEEP",10,IF(BB238="SHALLOW",5,IF(BB238="TEMPLATE",3,1)))+IF(N238="HIGHEST",5,IF(N238="HIGH",3,IF(N238="MODERATE",1,0)))+IF(ISNUMBER(SEARCH("Mandatory",L238)),3,0))</f>
        <v/>
      </c>
    </row>
    <row r="239" ht="42" customHeight="1">
      <c r="A239" s="42" t="n">
        <v>218</v>
      </c>
      <c r="B239" s="115" t="inlineStr">
        <is>
          <t>SME</t>
        </is>
      </c>
      <c r="C239" s="44" t="inlineStr">
        <is>
          <t>Monshaat (SME General Authority)</t>
        </is>
      </c>
      <c r="D239" s="44" t="inlineStr">
        <is>
          <t>5. Financial Regulators</t>
        </is>
      </c>
      <c r="E239" s="115" t="inlineStr">
        <is>
          <t>NCA-ECC-2:2024</t>
        </is>
      </c>
      <c r="F239" s="45" t="inlineStr">
        <is>
          <t>Essential Cybersecurity Controls</t>
        </is>
      </c>
      <c r="G239" s="44" t="inlineStr">
        <is>
          <t>ضوابط الأمن السيبراني الأساسية</t>
        </is>
      </c>
      <c r="H239" s="44" t="inlineStr">
        <is>
          <t>ECC-2:2024</t>
        </is>
      </c>
      <c r="I239" s="46" t="inlineStr">
        <is>
          <t>2018</t>
        </is>
      </c>
      <c r="J239" s="46" t="inlineStr">
        <is>
          <t>108</t>
        </is>
      </c>
      <c r="K239" s="44" t="inlineStr">
        <is>
          <t>MUST COMPLY WITH</t>
        </is>
      </c>
      <c r="L239" s="66" t="inlineStr">
        <is>
          <t>Mandatory Complier</t>
        </is>
      </c>
      <c r="M239" s="44" t="inlineStr">
        <is>
          <t>Monshaat (SME General Authority) as government entity</t>
        </is>
      </c>
      <c r="N239" s="59" t="inlineStr">
        <is>
          <t>LOW</t>
        </is>
      </c>
      <c r="O239" s="48" t="inlineStr">
        <is>
          <t>https://nca.gov.sa/</t>
        </is>
      </c>
      <c r="P239" s="44" t="inlineStr">
        <is>
          <t>NCA ECC scope</t>
        </is>
      </c>
      <c r="Q239" s="98" t="inlineStr">
        <is>
          <t>See official source for version history</t>
        </is>
      </c>
      <c r="R239" s="98" t="inlineStr">
        <is>
          <t>Framework issued by the relevant authority. Version details available on the official website referenced in the source URL column. The framework has been updated periodically since first issuance.</t>
        </is>
      </c>
      <c r="S239" s="100" t="inlineStr">
        <is>
          <t>See official source</t>
        </is>
      </c>
      <c r="T239" s="98" t="inlineStr">
        <is>
          <t>Updated as needed by the issuing authority</t>
        </is>
      </c>
      <c r="U239" s="25" t="inlineStr">
        <is>
          <t>CURRENT — consult official source for latest version</t>
        </is>
      </c>
      <c r="V239" s="98" t="inlineStr">
        <is>
          <t>Penalties defined by issuing authority; consult official source. NCA ECC-2 penalties apply if relevant</t>
        </is>
      </c>
      <c r="W239" s="99" t="inlineStr">
        <is>
          <t>Issuing authority and/or designated inspection department</t>
        </is>
      </c>
      <c r="X239" s="98" t="inlineStr">
        <is>
          <t>As specified in framework scope — consult official document</t>
        </is>
      </c>
      <c r="Y239" s="49" t="inlineStr">
        <is>
          <t>Both (unless specified otherwise in official document)</t>
        </is>
      </c>
      <c r="Z239" s="98" t="inlineStr">
        <is>
          <t>As defined by issuing authority</t>
        </is>
      </c>
      <c r="AA239" s="100" t="inlineStr">
        <is>
          <t>As defined by issuing authority</t>
        </is>
      </c>
      <c r="AB239" s="98" t="inlineStr">
        <is>
          <t>To be determined from framework text — see official source</t>
        </is>
      </c>
      <c r="AC239" s="98" t="inlineStr">
        <is>
          <t>See framework preamble for international standard references</t>
        </is>
      </c>
      <c r="AD239" s="49" t="inlineStr">
        <is>
          <t>Arabic (primary in KSA); English may be available</t>
        </is>
      </c>
      <c r="AE239" s="58" t="inlineStr">
        <is>
          <t>Mapped to relevant GH-ICGA layer — requires manual assessment</t>
        </is>
      </c>
      <c r="AF239" s="56" t="inlineStr">
        <is>
          <t>See official framework for maturity model details</t>
        </is>
      </c>
      <c r="AG239" s="98" t="inlineStr">
        <is>
          <t>Aligned with relevant Vision 2030 programme — see framework context</t>
        </is>
      </c>
      <c r="AH239" s="98" t="inlineStr">
        <is>
          <t>As specified in framework compliance requirements</t>
        </is>
      </c>
      <c r="AI239" s="103" t="inlineStr">
        <is>
          <t>Institutional theory and regulatory governance theory underpin all KSA regulatory frameworks. Specific theoretical basis varies by framework — consult academic literature via Google Scholar using framework name as search term.</t>
        </is>
      </c>
      <c r="AJ239" s="98" t="inlineStr">
        <is>
          <t>Academic debate varies by framework maturity and international adoption. For KSA-specific debate, consult: Almohammad &amp; Wills (2021) J Cybersecurity; Al-Khater et al. (2020) IEEE Access; Baker McKenzie KSA regulatory updates.</t>
        </is>
      </c>
      <c r="AK239" s="104" t="inlineStr">
        <is>
          <t>Known criticisms include: implementation gap between standards and practice; resource constraints for smaller healthcare entities; rapid technology evolution outpacing regulation. Consult framework evaluation literature for specifics.</t>
        </is>
      </c>
      <c r="AL239" s="105" t="inlineStr">
        <is>
          <t>Framework comparison requires contextual analysis. Key comparators: NIST CSF 2.0 (international benchmark), ISO 27001 (certifiable standard), ECC-2 (KSA mandatory baseline). See main database for cross-framework mapping.</t>
        </is>
      </c>
      <c r="AM239" s="10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39" s="107" t="inlineStr">
        <is>
          <t>Official: Consult the official source URL in the database for the primary document. Training: ISACA, ISC2, RAPS, IAPP, and HIMSS offer professional development covering most regulatory domains. Estimated hours vary by framework complexity.</t>
        </is>
      </c>
      <c r="AO239" s="108" t="inlineStr">
        <is>
          <t>Relevance to GH-ICGA framework varies by layer — see GH-ICGA Layer Mapping column. All KSA mandatory frameworks are compliance inputs to GH-ICGA Layer 4. Frameworks with IoMT-specific provisions directly inform Layers 2 and 3.</t>
        </is>
      </c>
      <c r="AP239" s="51" t="inlineStr">
        <is>
          <t>G + C (Governance + Compliance — standard regulatory framework positioning)</t>
        </is>
      </c>
      <c r="AQ239" s="109" t="inlineStr">
        <is>
          <t>Senior management: accountability for framework compliance. Designated compliance officer: monitor requirements. All staff: awareness of applicable obligations</t>
        </is>
      </c>
      <c r="AR239" s="104" t="inlineStr">
        <is>
          <t>Regulatory Risk; Operational Risk; Reputational Risk — specific domains determined by framework scope</t>
        </is>
      </c>
      <c r="AS239" s="22" t="inlineStr">
        <is>
          <t>See official source — legal obligation, regulatory requirement, or voluntary standard as applicable</t>
        </is>
      </c>
      <c r="AT239" s="105" t="inlineStr">
        <is>
          <t>Administrative; Technical; Operational — specific distribution determined by framework content</t>
        </is>
      </c>
      <c r="AU239" s="110" t="inlineStr">
        <is>
          <t>1. Compliance status (compliant/non-compliant). 2. # open findings from last assessment. 3. % controls implemented. 4. Time to remediate findings. 5. Incident rate in framework scope area</t>
        </is>
      </c>
      <c r="AV239" s="111" t="inlineStr">
        <is>
          <t>Self-assessment; internal audit; external assessment as specified by issuing authority</t>
        </is>
      </c>
      <c r="AW239" s="112" t="inlineStr">
        <is>
          <t>ServiceNow GRC; IBM OpenPages; RSA Archer; MetricStream — all major GRC platforms support custom framework import. Contact vendor for framework-specific module</t>
        </is>
      </c>
      <c r="AX239" s="113" t="inlineStr">
        <is>
          <t>Third parties in scope must demonstrate equivalent compliance. Contractual compliance obligations; right-to-audit clauses; annual third-party assessment</t>
        </is>
      </c>
      <c r="AY239" s="114" t="inlineStr">
        <is>
          <t>Non-compliance: regulatory action by issuing authority; fines and penalties as specified; operational and reputational consequences</t>
        </is>
      </c>
      <c r="AZ239" s="111" t="inlineStr">
        <is>
          <t>ALL 17 SECTORS</t>
        </is>
      </c>
      <c r="BA239" s="34" t="inlineStr">
        <is>
          <t>YES — ALL SECTORS</t>
        </is>
      </c>
      <c r="BB239" s="591">
        <f>IF(E239="","",IF(ISNUMBER(SEARCH("Institutional theory and regulatory governance theory underpin",AI239)),"TEMPLATE",IF(LEN(AI239)&gt;100,"DEEP",IF(AI239="","SPARSE","SHALLOW"))))</f>
        <v/>
      </c>
      <c r="BC239" s="591">
        <f>IF(E239="","",D239&amp;"-"&amp;B239&amp;"-"&amp;E239)</f>
        <v/>
      </c>
      <c r="BD239" s="591">
        <f>IF(E239="","",SUBSTITUTE(SUBSTITUTE(B239&amp;"-"&amp;E239," ",""),":","-"))</f>
        <v/>
      </c>
      <c r="BE239" s="591">
        <f>IF(E239="","",IF(ISNUMBER(SEARCH("ECC",E239)),"NCA-ECC-2-2024",IF(ISNUMBER(SEARCH("OTCC",E239)),"NCA-ECC-2-2024",IF(ISNUMBER(SEARCH("CCC",E239)),"NCA-ECC-2-2024",IF(ISNUMBER(SEARCH("DCC",E239)),"NCA-ECC-2-2024",IF(ISNUMBER(SEARCH("CSCC",E239)),"NCA-ECC-2-2024",IF(ISNUMBER(SEARCH("PDPL-IR",E239)),"PDPL-2021",IF(ISNUMBER(SEARCH("PDPL-DTR",E239)),"PDPL-2021","NONE"))))))))</f>
        <v/>
      </c>
      <c r="BF239" s="594">
        <f>IF(E239="","",IF(BB239="DEEP",10,IF(BB239="SHALLOW",5,IF(BB239="TEMPLATE",3,1)))+IF(N239="HIGHEST",5,IF(N239="HIGH",3,IF(N239="MODERATE",1,0)))+IF(ISNUMBER(SEARCH("Mandatory",L239)),3,0))</f>
        <v/>
      </c>
    </row>
    <row r="240" ht="42" customHeight="1">
      <c r="A240" s="96" t="n">
        <v>219</v>
      </c>
      <c r="B240" s="97" t="inlineStr">
        <is>
          <t>HRDF</t>
        </is>
      </c>
      <c r="C240" s="98" t="inlineStr">
        <is>
          <t>Human Resources Development Fund</t>
        </is>
      </c>
      <c r="D240" s="98" t="inlineStr">
        <is>
          <t>5. Financial Regulators</t>
        </is>
      </c>
      <c r="E240" s="97" t="inlineStr">
        <is>
          <t>HRDF-FW</t>
        </is>
      </c>
      <c r="F240" s="99" t="inlineStr">
        <is>
          <t>Workforce Training Programme Standards</t>
        </is>
      </c>
      <c r="G240" s="98" t="inlineStr">
        <is>
          <t>الإطار التنظيمي الرئيسي</t>
        </is>
      </c>
      <c r="H240" s="98" t="inlineStr">
        <is>
          <t>Active/Updated</t>
        </is>
      </c>
      <c r="I240" s="100" t="inlineStr">
        <is>
          <t>2000</t>
        </is>
      </c>
      <c r="J240" s="100" t="inlineStr">
        <is>
          <t>N/A</t>
        </is>
      </c>
      <c r="K240" s="98" t="inlineStr">
        <is>
          <t>ISSUES/ENFORCES</t>
        </is>
      </c>
      <c r="L240" s="22" t="inlineStr">
        <is>
          <t>Mandatory Enforcer</t>
        </is>
      </c>
      <c r="M240" s="98" t="inlineStr">
        <is>
          <t>Entities regulated by this authority</t>
        </is>
      </c>
      <c r="N240" s="101" t="inlineStr">
        <is>
          <t>MODERATE</t>
        </is>
      </c>
      <c r="O240" s="102" t="inlineStr">
        <is>
          <t>https://www.gov.sa/</t>
        </is>
      </c>
      <c r="P240" s="98" t="inlineStr">
        <is>
          <t>Ministry/Authority official site</t>
        </is>
      </c>
      <c r="Q240" s="98" t="inlineStr">
        <is>
          <t>See official source for version history</t>
        </is>
      </c>
      <c r="R240" s="98" t="inlineStr">
        <is>
          <t>Framework issued by the relevant authority. Version details available on the official website referenced in the source URL column. The framework has been updated periodically since first issuance.</t>
        </is>
      </c>
      <c r="S240" s="100" t="inlineStr">
        <is>
          <t>See official source</t>
        </is>
      </c>
      <c r="T240" s="98" t="inlineStr">
        <is>
          <t>Updated as needed by the issuing authority</t>
        </is>
      </c>
      <c r="U240" s="25" t="inlineStr">
        <is>
          <t>CURRENT — consult official source for latest version</t>
        </is>
      </c>
      <c r="V240" s="98" t="inlineStr">
        <is>
          <t>Penalties defined by issuing authority; consult official source. NCA ECC-2 penalties apply if relevant</t>
        </is>
      </c>
      <c r="W240" s="99" t="inlineStr">
        <is>
          <t>Issuing authority and/or designated inspection department</t>
        </is>
      </c>
      <c r="X240" s="98" t="inlineStr">
        <is>
          <t>As specified in framework scope — consult official document</t>
        </is>
      </c>
      <c r="Y240" s="49" t="inlineStr">
        <is>
          <t>Both (unless specified otherwise in official document)</t>
        </is>
      </c>
      <c r="Z240" s="98" t="inlineStr">
        <is>
          <t>As defined by issuing authority</t>
        </is>
      </c>
      <c r="AA240" s="100" t="inlineStr">
        <is>
          <t>As defined by issuing authority</t>
        </is>
      </c>
      <c r="AB240" s="98" t="inlineStr">
        <is>
          <t>To be determined from framework text — see official source</t>
        </is>
      </c>
      <c r="AC240" s="98" t="inlineStr">
        <is>
          <t>See framework preamble for international standard references</t>
        </is>
      </c>
      <c r="AD240" s="49" t="inlineStr">
        <is>
          <t>Arabic (primary in KSA); English may be available</t>
        </is>
      </c>
      <c r="AE240" s="58" t="inlineStr">
        <is>
          <t>Mapped to relevant GH-ICGA layer — requires manual assessment</t>
        </is>
      </c>
      <c r="AF240" s="56" t="inlineStr">
        <is>
          <t>See official framework for maturity model details</t>
        </is>
      </c>
      <c r="AG240" s="98" t="inlineStr">
        <is>
          <t>Aligned with relevant Vision 2030 programme — see framework context</t>
        </is>
      </c>
      <c r="AH240" s="98" t="inlineStr">
        <is>
          <t>As specified in framework compliance requirements</t>
        </is>
      </c>
      <c r="AI240" s="103" t="inlineStr">
        <is>
          <t>Institutional theory and regulatory governance theory underpin all KSA regulatory frameworks. Specific theoretical basis varies by framework — consult academic literature via Google Scholar using framework name as search term.</t>
        </is>
      </c>
      <c r="AJ240" s="98" t="inlineStr">
        <is>
          <t>Academic debate varies by framework maturity and international adoption. For KSA-specific debate, consult: Almohammad &amp; Wills (2021) J Cybersecurity; Al-Khater et al. (2020) IEEE Access; Baker McKenzie KSA regulatory updates.</t>
        </is>
      </c>
      <c r="AK240" s="104" t="inlineStr">
        <is>
          <t>Known criticisms include: implementation gap between standards and practice; resource constraints for smaller healthcare entities; rapid technology evolution outpacing regulation. Consult framework evaluation literature for specifics.</t>
        </is>
      </c>
      <c r="AL240" s="105" t="inlineStr">
        <is>
          <t>Framework comparison requires contextual analysis. Key comparators: NIST CSF 2.0 (international benchmark), ISO 27001 (certifiable standard), ECC-2 (KSA mandatory baseline). See main database for cross-framework mapping.</t>
        </is>
      </c>
      <c r="AM240" s="10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40" s="107" t="inlineStr">
        <is>
          <t>Official: Consult the official source URL in the database for the primary document. Training: ISACA, ISC2, RAPS, IAPP, and HIMSS offer professional development covering most regulatory domains. Estimated hours vary by framework complexity.</t>
        </is>
      </c>
      <c r="AO240" s="108" t="inlineStr">
        <is>
          <t>Relevance to GH-ICGA framework varies by layer — see GH-ICGA Layer Mapping column. All KSA mandatory frameworks are compliance inputs to GH-ICGA Layer 4. Frameworks with IoMT-specific provisions directly inform Layers 2 and 3.</t>
        </is>
      </c>
      <c r="AP240" s="51" t="inlineStr">
        <is>
          <t>G + C (Governance + Compliance — standard regulatory framework positioning)</t>
        </is>
      </c>
      <c r="AQ240" s="109" t="inlineStr">
        <is>
          <t>Senior management: accountability for framework compliance. Designated compliance officer: monitor requirements. All staff: awareness of applicable obligations</t>
        </is>
      </c>
      <c r="AR240" s="104" t="inlineStr">
        <is>
          <t>Regulatory Risk; Operational Risk; Reputational Risk — specific domains determined by framework scope</t>
        </is>
      </c>
      <c r="AS240" s="22" t="inlineStr">
        <is>
          <t>See official source — legal obligation, regulatory requirement, or voluntary standard as applicable</t>
        </is>
      </c>
      <c r="AT240" s="105" t="inlineStr">
        <is>
          <t>Administrative; Technical; Operational — specific distribution determined by framework content</t>
        </is>
      </c>
      <c r="AU240" s="110" t="inlineStr">
        <is>
          <t>1. Compliance status (compliant/non-compliant). 2. # open findings from last assessment. 3. % controls implemented. 4. Time to remediate findings. 5. Incident rate in framework scope area</t>
        </is>
      </c>
      <c r="AV240" s="111" t="inlineStr">
        <is>
          <t>Self-assessment; internal audit; external assessment as specified by issuing authority</t>
        </is>
      </c>
      <c r="AW240" s="112" t="inlineStr">
        <is>
          <t>ServiceNow GRC; IBM OpenPages; RSA Archer; MetricStream — all major GRC platforms support custom framework import. Contact vendor for framework-specific module</t>
        </is>
      </c>
      <c r="AX240" s="113" t="inlineStr">
        <is>
          <t>Third parties in scope must demonstrate equivalent compliance. Contractual compliance obligations; right-to-audit clauses; annual third-party assessment</t>
        </is>
      </c>
      <c r="AY240" s="114" t="inlineStr">
        <is>
          <t>Non-compliance: regulatory action by issuing authority; fines and penalties as specified; operational and reputational consequences</t>
        </is>
      </c>
      <c r="AZ240" s="111" t="inlineStr">
        <is>
          <t>Sector-specific — consult official source</t>
        </is>
      </c>
      <c r="BA240" s="41" t="inlineStr">
        <is>
          <t>Sector-Specific</t>
        </is>
      </c>
      <c r="BB240" s="591">
        <f>IF(E240="","",IF(ISNUMBER(SEARCH("Institutional theory and regulatory governance theory underpin",AI240)),"TEMPLATE",IF(LEN(AI240)&gt;100,"DEEP",IF(AI240="","SPARSE","SHALLOW"))))</f>
        <v/>
      </c>
      <c r="BC240" s="591">
        <f>IF(E240="","",D240&amp;"-"&amp;B240&amp;"-"&amp;E240)</f>
        <v/>
      </c>
      <c r="BD240" s="591">
        <f>IF(E240="","",SUBSTITUTE(SUBSTITUTE(B240&amp;"-"&amp;E240," ",""),":","-"))</f>
        <v/>
      </c>
      <c r="BE240" s="591">
        <f>IF(E240="","",IF(ISNUMBER(SEARCH("ECC",E240)),"NCA-ECC-2-2024",IF(ISNUMBER(SEARCH("OTCC",E240)),"NCA-ECC-2-2024",IF(ISNUMBER(SEARCH("CCC",E240)),"NCA-ECC-2-2024",IF(ISNUMBER(SEARCH("DCC",E240)),"NCA-ECC-2-2024",IF(ISNUMBER(SEARCH("CSCC",E240)),"NCA-ECC-2-2024",IF(ISNUMBER(SEARCH("PDPL-IR",E240)),"PDPL-2021",IF(ISNUMBER(SEARCH("PDPL-DTR",E240)),"PDPL-2021","NONE"))))))))</f>
        <v/>
      </c>
      <c r="BF240" s="594">
        <f>IF(E240="","",IF(BB240="DEEP",10,IF(BB240="SHALLOW",5,IF(BB240="TEMPLATE",3,1)))+IF(N240="HIGHEST",5,IF(N240="HIGH",3,IF(N240="MODERATE",1,0)))+IF(ISNUMBER(SEARCH("Mandatory",L240)),3,0))</f>
        <v/>
      </c>
    </row>
    <row r="241" ht="42" customHeight="1">
      <c r="A241" s="42" t="n">
        <v>220</v>
      </c>
      <c r="B241" s="115" t="inlineStr">
        <is>
          <t>HRDF</t>
        </is>
      </c>
      <c r="C241" s="44" t="inlineStr">
        <is>
          <t>Human Resources Development Fund</t>
        </is>
      </c>
      <c r="D241" s="44" t="inlineStr">
        <is>
          <t>5. Financial Regulators</t>
        </is>
      </c>
      <c r="E241" s="115" t="inlineStr">
        <is>
          <t>NCA-ECC-2:2024</t>
        </is>
      </c>
      <c r="F241" s="45" t="inlineStr">
        <is>
          <t>Essential Cybersecurity Controls</t>
        </is>
      </c>
      <c r="G241" s="44" t="inlineStr">
        <is>
          <t>ضوابط الأمن السيبراني الأساسية</t>
        </is>
      </c>
      <c r="H241" s="44" t="inlineStr">
        <is>
          <t>ECC-2:2024</t>
        </is>
      </c>
      <c r="I241" s="46" t="inlineStr">
        <is>
          <t>2018</t>
        </is>
      </c>
      <c r="J241" s="46" t="inlineStr">
        <is>
          <t>108</t>
        </is>
      </c>
      <c r="K241" s="44" t="inlineStr">
        <is>
          <t>MUST COMPLY WITH</t>
        </is>
      </c>
      <c r="L241" s="66" t="inlineStr">
        <is>
          <t>Mandatory Complier</t>
        </is>
      </c>
      <c r="M241" s="44" t="inlineStr">
        <is>
          <t>Human Resources Development Fund as government entity</t>
        </is>
      </c>
      <c r="N241" s="59" t="inlineStr">
        <is>
          <t>LOW</t>
        </is>
      </c>
      <c r="O241" s="48" t="inlineStr">
        <is>
          <t>https://nca.gov.sa/</t>
        </is>
      </c>
      <c r="P241" s="44" t="inlineStr">
        <is>
          <t>NCA ECC scope</t>
        </is>
      </c>
      <c r="Q241" s="98" t="inlineStr">
        <is>
          <t>See official source for version history</t>
        </is>
      </c>
      <c r="R241" s="98" t="inlineStr">
        <is>
          <t>Framework issued by the relevant authority. Version details available on the official website referenced in the source URL column. The framework has been updated periodically since first issuance.</t>
        </is>
      </c>
      <c r="S241" s="100" t="inlineStr">
        <is>
          <t>See official source</t>
        </is>
      </c>
      <c r="T241" s="98" t="inlineStr">
        <is>
          <t>Updated as needed by the issuing authority</t>
        </is>
      </c>
      <c r="U241" s="25" t="inlineStr">
        <is>
          <t>CURRENT — consult official source for latest version</t>
        </is>
      </c>
      <c r="V241" s="98" t="inlineStr">
        <is>
          <t>Penalties defined by issuing authority; consult official source. NCA ECC-2 penalties apply if relevant</t>
        </is>
      </c>
      <c r="W241" s="99" t="inlineStr">
        <is>
          <t>Issuing authority and/or designated inspection department</t>
        </is>
      </c>
      <c r="X241" s="98" t="inlineStr">
        <is>
          <t>As specified in framework scope — consult official document</t>
        </is>
      </c>
      <c r="Y241" s="49" t="inlineStr">
        <is>
          <t>Both (unless specified otherwise in official document)</t>
        </is>
      </c>
      <c r="Z241" s="98" t="inlineStr">
        <is>
          <t>As defined by issuing authority</t>
        </is>
      </c>
      <c r="AA241" s="100" t="inlineStr">
        <is>
          <t>As defined by issuing authority</t>
        </is>
      </c>
      <c r="AB241" s="98" t="inlineStr">
        <is>
          <t>To be determined from framework text — see official source</t>
        </is>
      </c>
      <c r="AC241" s="98" t="inlineStr">
        <is>
          <t>See framework preamble for international standard references</t>
        </is>
      </c>
      <c r="AD241" s="49" t="inlineStr">
        <is>
          <t>Arabic (primary in KSA); English may be available</t>
        </is>
      </c>
      <c r="AE241" s="58" t="inlineStr">
        <is>
          <t>Mapped to relevant GH-ICGA layer — requires manual assessment</t>
        </is>
      </c>
      <c r="AF241" s="56" t="inlineStr">
        <is>
          <t>See official framework for maturity model details</t>
        </is>
      </c>
      <c r="AG241" s="98" t="inlineStr">
        <is>
          <t>Aligned with relevant Vision 2030 programme — see framework context</t>
        </is>
      </c>
      <c r="AH241" s="98" t="inlineStr">
        <is>
          <t>As specified in framework compliance requirements</t>
        </is>
      </c>
      <c r="AI241" s="103" t="inlineStr">
        <is>
          <t>Institutional theory and regulatory governance theory underpin all KSA regulatory frameworks. Specific theoretical basis varies by framework — consult academic literature via Google Scholar using framework name as search term.</t>
        </is>
      </c>
      <c r="AJ241" s="98" t="inlineStr">
        <is>
          <t>Academic debate varies by framework maturity and international adoption. For KSA-specific debate, consult: Almohammad &amp; Wills (2021) J Cybersecurity; Al-Khater et al. (2020) IEEE Access; Baker McKenzie KSA regulatory updates.</t>
        </is>
      </c>
      <c r="AK241" s="104" t="inlineStr">
        <is>
          <t>Known criticisms include: implementation gap between standards and practice; resource constraints for smaller healthcare entities; rapid technology evolution outpacing regulation. Consult framework evaluation literature for specifics.</t>
        </is>
      </c>
      <c r="AL241" s="105" t="inlineStr">
        <is>
          <t>Framework comparison requires contextual analysis. Key comparators: NIST CSF 2.0 (international benchmark), ISO 27001 (certifiable standard), ECC-2 (KSA mandatory baseline). See main database for cross-framework mapping.</t>
        </is>
      </c>
      <c r="AM241" s="10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41" s="107" t="inlineStr">
        <is>
          <t>Official: Consult the official source URL in the database for the primary document. Training: ISACA, ISC2, RAPS, IAPP, and HIMSS offer professional development covering most regulatory domains. Estimated hours vary by framework complexity.</t>
        </is>
      </c>
      <c r="AO241" s="108" t="inlineStr">
        <is>
          <t>Relevance to GH-ICGA framework varies by layer — see GH-ICGA Layer Mapping column. All KSA mandatory frameworks are compliance inputs to GH-ICGA Layer 4. Frameworks with IoMT-specific provisions directly inform Layers 2 and 3.</t>
        </is>
      </c>
      <c r="AP241" s="51" t="inlineStr">
        <is>
          <t>G + C (Governance + Compliance — standard regulatory framework positioning)</t>
        </is>
      </c>
      <c r="AQ241" s="109" t="inlineStr">
        <is>
          <t>Senior management: accountability for framework compliance. Designated compliance officer: monitor requirements. All staff: awareness of applicable obligations</t>
        </is>
      </c>
      <c r="AR241" s="104" t="inlineStr">
        <is>
          <t>Regulatory Risk; Operational Risk; Reputational Risk — specific domains determined by framework scope</t>
        </is>
      </c>
      <c r="AS241" s="22" t="inlineStr">
        <is>
          <t>See official source — legal obligation, regulatory requirement, or voluntary standard as applicable</t>
        </is>
      </c>
      <c r="AT241" s="105" t="inlineStr">
        <is>
          <t>Administrative; Technical; Operational — specific distribution determined by framework content</t>
        </is>
      </c>
      <c r="AU241" s="110" t="inlineStr">
        <is>
          <t>1. Compliance status (compliant/non-compliant). 2. # open findings from last assessment. 3. % controls implemented. 4. Time to remediate findings. 5. Incident rate in framework scope area</t>
        </is>
      </c>
      <c r="AV241" s="111" t="inlineStr">
        <is>
          <t>Self-assessment; internal audit; external assessment as specified by issuing authority</t>
        </is>
      </c>
      <c r="AW241" s="112" t="inlineStr">
        <is>
          <t>ServiceNow GRC; IBM OpenPages; RSA Archer; MetricStream — all major GRC platforms support custom framework import. Contact vendor for framework-specific module</t>
        </is>
      </c>
      <c r="AX241" s="113" t="inlineStr">
        <is>
          <t>Third parties in scope must demonstrate equivalent compliance. Contractual compliance obligations; right-to-audit clauses; annual third-party assessment</t>
        </is>
      </c>
      <c r="AY241" s="114" t="inlineStr">
        <is>
          <t>Non-compliance: regulatory action by issuing authority; fines and penalties as specified; operational and reputational consequences</t>
        </is>
      </c>
      <c r="AZ241" s="111" t="inlineStr">
        <is>
          <t>ALL 17 SECTORS</t>
        </is>
      </c>
      <c r="BA241" s="34" t="inlineStr">
        <is>
          <t>YES — ALL SECTORS</t>
        </is>
      </c>
      <c r="BB241" s="591">
        <f>IF(E241="","",IF(ISNUMBER(SEARCH("Institutional theory and regulatory governance theory underpin",AI241)),"TEMPLATE",IF(LEN(AI241)&gt;100,"DEEP",IF(AI241="","SPARSE","SHALLOW"))))</f>
        <v/>
      </c>
      <c r="BC241" s="591">
        <f>IF(E241="","",D241&amp;"-"&amp;B241&amp;"-"&amp;E241)</f>
        <v/>
      </c>
      <c r="BD241" s="591">
        <f>IF(E241="","",SUBSTITUTE(SUBSTITUTE(B241&amp;"-"&amp;E241," ",""),":","-"))</f>
        <v/>
      </c>
      <c r="BE241" s="591">
        <f>IF(E241="","",IF(ISNUMBER(SEARCH("ECC",E241)),"NCA-ECC-2-2024",IF(ISNUMBER(SEARCH("OTCC",E241)),"NCA-ECC-2-2024",IF(ISNUMBER(SEARCH("CCC",E241)),"NCA-ECC-2-2024",IF(ISNUMBER(SEARCH("DCC",E241)),"NCA-ECC-2-2024",IF(ISNUMBER(SEARCH("CSCC",E241)),"NCA-ECC-2-2024",IF(ISNUMBER(SEARCH("PDPL-IR",E241)),"PDPL-2021",IF(ISNUMBER(SEARCH("PDPL-DTR",E241)),"PDPL-2021","NONE"))))))))</f>
        <v/>
      </c>
      <c r="BF241" s="594">
        <f>IF(E241="","",IF(BB241="DEEP",10,IF(BB241="SHALLOW",5,IF(BB241="TEMPLATE",3,1)))+IF(N241="HIGHEST",5,IF(N241="HIGH",3,IF(N241="MODERATE",1,0)))+IF(ISNUMBER(SEARCH("Mandatory",L241)),3,0))</f>
        <v/>
      </c>
    </row>
    <row r="242" ht="42" customHeight="1">
      <c r="A242" s="96" t="n">
        <v>221</v>
      </c>
      <c r="B242" s="97" t="inlineStr">
        <is>
          <t>Tadawul</t>
        </is>
      </c>
      <c r="C242" s="98" t="inlineStr">
        <is>
          <t>Saudi Exchange (Tadawul)</t>
        </is>
      </c>
      <c r="D242" s="98" t="inlineStr">
        <is>
          <t>5. Financial Regulators</t>
        </is>
      </c>
      <c r="E242" s="97" t="inlineStr">
        <is>
          <t>Tadawul-FW</t>
        </is>
      </c>
      <c r="F242" s="99" t="inlineStr">
        <is>
          <t>Market Disclosure &amp; Listing Rules</t>
        </is>
      </c>
      <c r="G242" s="98" t="inlineStr">
        <is>
          <t>الإطار التنظيمي الرئيسي</t>
        </is>
      </c>
      <c r="H242" s="98" t="inlineStr">
        <is>
          <t>Active/Updated</t>
        </is>
      </c>
      <c r="I242" s="100" t="inlineStr">
        <is>
          <t>2007</t>
        </is>
      </c>
      <c r="J242" s="100" t="inlineStr">
        <is>
          <t>N/A</t>
        </is>
      </c>
      <c r="K242" s="98" t="inlineStr">
        <is>
          <t>ISSUES/ENFORCES</t>
        </is>
      </c>
      <c r="L242" s="22" t="inlineStr">
        <is>
          <t>Mandatory Enforcer</t>
        </is>
      </c>
      <c r="M242" s="98" t="inlineStr">
        <is>
          <t>Entities regulated by this authority</t>
        </is>
      </c>
      <c r="N242" s="101" t="inlineStr">
        <is>
          <t>MODERATE</t>
        </is>
      </c>
      <c r="O242" s="102" t="inlineStr">
        <is>
          <t>https://www.gov.sa/</t>
        </is>
      </c>
      <c r="P242" s="98" t="inlineStr">
        <is>
          <t>Ministry/Authority official site</t>
        </is>
      </c>
      <c r="Q242" s="98" t="inlineStr">
        <is>
          <t>See official source for version history</t>
        </is>
      </c>
      <c r="R242" s="98" t="inlineStr">
        <is>
          <t>Framework issued by the relevant authority. Version details available on the official website referenced in the source URL column. The framework has been updated periodically since first issuance.</t>
        </is>
      </c>
      <c r="S242" s="100" t="inlineStr">
        <is>
          <t>See official source</t>
        </is>
      </c>
      <c r="T242" s="98" t="inlineStr">
        <is>
          <t>Updated as needed by the issuing authority</t>
        </is>
      </c>
      <c r="U242" s="25" t="inlineStr">
        <is>
          <t>CURRENT — consult official source for latest version</t>
        </is>
      </c>
      <c r="V242" s="98" t="inlineStr">
        <is>
          <t>Penalties defined by issuing authority; consult official source. NCA ECC-2 penalties apply if relevant</t>
        </is>
      </c>
      <c r="W242" s="99" t="inlineStr">
        <is>
          <t>Issuing authority and/or designated inspection department</t>
        </is>
      </c>
      <c r="X242" s="98" t="inlineStr">
        <is>
          <t>As specified in framework scope — consult official document</t>
        </is>
      </c>
      <c r="Y242" s="49" t="inlineStr">
        <is>
          <t>Both (unless specified otherwise in official document)</t>
        </is>
      </c>
      <c r="Z242" s="98" t="inlineStr">
        <is>
          <t>As defined by issuing authority</t>
        </is>
      </c>
      <c r="AA242" s="100" t="inlineStr">
        <is>
          <t>As defined by issuing authority</t>
        </is>
      </c>
      <c r="AB242" s="98" t="inlineStr">
        <is>
          <t>To be determined from framework text — see official source</t>
        </is>
      </c>
      <c r="AC242" s="98" t="inlineStr">
        <is>
          <t>See framework preamble for international standard references</t>
        </is>
      </c>
      <c r="AD242" s="49" t="inlineStr">
        <is>
          <t>Arabic (primary in KSA); English may be available</t>
        </is>
      </c>
      <c r="AE242" s="58" t="inlineStr">
        <is>
          <t>Mapped to relevant GH-ICGA layer — requires manual assessment</t>
        </is>
      </c>
      <c r="AF242" s="56" t="inlineStr">
        <is>
          <t>See official framework for maturity model details</t>
        </is>
      </c>
      <c r="AG242" s="98" t="inlineStr">
        <is>
          <t>Aligned with relevant Vision 2030 programme — see framework context</t>
        </is>
      </c>
      <c r="AH242" s="98" t="inlineStr">
        <is>
          <t>As specified in framework compliance requirements</t>
        </is>
      </c>
      <c r="AI242" s="103" t="inlineStr">
        <is>
          <t>Institutional theory and regulatory governance theory underpin all KSA regulatory frameworks. Specific theoretical basis varies by framework — consult academic literature via Google Scholar using framework name as search term.</t>
        </is>
      </c>
      <c r="AJ242" s="98" t="inlineStr">
        <is>
          <t>Academic debate varies by framework maturity and international adoption. For KSA-specific debate, consult: Almohammad &amp; Wills (2021) J Cybersecurity; Al-Khater et al. (2020) IEEE Access; Baker McKenzie KSA regulatory updates.</t>
        </is>
      </c>
      <c r="AK242" s="104" t="inlineStr">
        <is>
          <t>Known criticisms include: implementation gap between standards and practice; resource constraints for smaller healthcare entities; rapid technology evolution outpacing regulation. Consult framework evaluation literature for specifics.</t>
        </is>
      </c>
      <c r="AL242" s="105" t="inlineStr">
        <is>
          <t>Framework comparison requires contextual analysis. Key comparators: NIST CSF 2.0 (international benchmark), ISO 27001 (certifiable standard), ECC-2 (KSA mandatory baseline). See main database for cross-framework mapping.</t>
        </is>
      </c>
      <c r="AM242" s="10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42" s="107" t="inlineStr">
        <is>
          <t>Official: Consult the official source URL in the database for the primary document. Training: ISACA, ISC2, RAPS, IAPP, and HIMSS offer professional development covering most regulatory domains. Estimated hours vary by framework complexity.</t>
        </is>
      </c>
      <c r="AO242" s="108" t="inlineStr">
        <is>
          <t>Relevance to GH-ICGA framework varies by layer — see GH-ICGA Layer Mapping column. All KSA mandatory frameworks are compliance inputs to GH-ICGA Layer 4. Frameworks with IoMT-specific provisions directly inform Layers 2 and 3.</t>
        </is>
      </c>
      <c r="AP242" s="51" t="inlineStr">
        <is>
          <t>G + C (Governance + Compliance — standard regulatory framework positioning)</t>
        </is>
      </c>
      <c r="AQ242" s="109" t="inlineStr">
        <is>
          <t>Senior management: accountability for framework compliance. Designated compliance officer: monitor requirements. All staff: awareness of applicable obligations</t>
        </is>
      </c>
      <c r="AR242" s="104" t="inlineStr">
        <is>
          <t>Regulatory Risk; Operational Risk; Reputational Risk — specific domains determined by framework scope</t>
        </is>
      </c>
      <c r="AS242" s="22" t="inlineStr">
        <is>
          <t>See official source — legal obligation, regulatory requirement, or voluntary standard as applicable</t>
        </is>
      </c>
      <c r="AT242" s="105" t="inlineStr">
        <is>
          <t>Administrative; Technical; Operational — specific distribution determined by framework content</t>
        </is>
      </c>
      <c r="AU242" s="110" t="inlineStr">
        <is>
          <t>1. Compliance status (compliant/non-compliant). 2. # open findings from last assessment. 3. % controls implemented. 4. Time to remediate findings. 5. Incident rate in framework scope area</t>
        </is>
      </c>
      <c r="AV242" s="111" t="inlineStr">
        <is>
          <t>Self-assessment; internal audit; external assessment as specified by issuing authority</t>
        </is>
      </c>
      <c r="AW242" s="112" t="inlineStr">
        <is>
          <t>ServiceNow GRC; IBM OpenPages; RSA Archer; MetricStream — all major GRC platforms support custom framework import. Contact vendor for framework-specific module</t>
        </is>
      </c>
      <c r="AX242" s="113" t="inlineStr">
        <is>
          <t>Third parties in scope must demonstrate equivalent compliance. Contractual compliance obligations; right-to-audit clauses; annual third-party assessment</t>
        </is>
      </c>
      <c r="AY242" s="114" t="inlineStr">
        <is>
          <t>Non-compliance: regulatory action by issuing authority; fines and penalties as specified; operational and reputational consequences</t>
        </is>
      </c>
      <c r="AZ242" s="111" t="inlineStr">
        <is>
          <t>Sector-specific — consult official source</t>
        </is>
      </c>
      <c r="BA242" s="41" t="inlineStr">
        <is>
          <t>Sector-Specific</t>
        </is>
      </c>
      <c r="BB242" s="591">
        <f>IF(E242="","",IF(ISNUMBER(SEARCH("Institutional theory and regulatory governance theory underpin",AI242)),"TEMPLATE",IF(LEN(AI242)&gt;100,"DEEP",IF(AI242="","SPARSE","SHALLOW"))))</f>
        <v/>
      </c>
      <c r="BC242" s="591">
        <f>IF(E242="","",D242&amp;"-"&amp;B242&amp;"-"&amp;E242)</f>
        <v/>
      </c>
      <c r="BD242" s="591">
        <f>IF(E242="","",SUBSTITUTE(SUBSTITUTE(B242&amp;"-"&amp;E242," ",""),":","-"))</f>
        <v/>
      </c>
      <c r="BE242" s="591">
        <f>IF(E242="","",IF(ISNUMBER(SEARCH("ECC",E242)),"NCA-ECC-2-2024",IF(ISNUMBER(SEARCH("OTCC",E242)),"NCA-ECC-2-2024",IF(ISNUMBER(SEARCH("CCC",E242)),"NCA-ECC-2-2024",IF(ISNUMBER(SEARCH("DCC",E242)),"NCA-ECC-2-2024",IF(ISNUMBER(SEARCH("CSCC",E242)),"NCA-ECC-2-2024",IF(ISNUMBER(SEARCH("PDPL-IR",E242)),"PDPL-2021",IF(ISNUMBER(SEARCH("PDPL-DTR",E242)),"PDPL-2021","NONE"))))))))</f>
        <v/>
      </c>
      <c r="BF242" s="594">
        <f>IF(E242="","",IF(BB242="DEEP",10,IF(BB242="SHALLOW",5,IF(BB242="TEMPLATE",3,1)))+IF(N242="HIGHEST",5,IF(N242="HIGH",3,IF(N242="MODERATE",1,0)))+IF(ISNUMBER(SEARCH("Mandatory",L242)),3,0))</f>
        <v/>
      </c>
    </row>
    <row r="243" ht="42" customHeight="1">
      <c r="A243" s="42" t="n">
        <v>222</v>
      </c>
      <c r="B243" s="115" t="inlineStr">
        <is>
          <t>Tadawul</t>
        </is>
      </c>
      <c r="C243" s="44" t="inlineStr">
        <is>
          <t>Saudi Exchange (Tadawul)</t>
        </is>
      </c>
      <c r="D243" s="44" t="inlineStr">
        <is>
          <t>5. Financial Regulators</t>
        </is>
      </c>
      <c r="E243" s="115" t="inlineStr">
        <is>
          <t>NCA-ECC-2:2024</t>
        </is>
      </c>
      <c r="F243" s="45" t="inlineStr">
        <is>
          <t>Essential Cybersecurity Controls</t>
        </is>
      </c>
      <c r="G243" s="44" t="inlineStr">
        <is>
          <t>ضوابط الأمن السيبراني الأساسية</t>
        </is>
      </c>
      <c r="H243" s="44" t="inlineStr">
        <is>
          <t>ECC-2:2024</t>
        </is>
      </c>
      <c r="I243" s="46" t="inlineStr">
        <is>
          <t>2018</t>
        </is>
      </c>
      <c r="J243" s="46" t="inlineStr">
        <is>
          <t>108</t>
        </is>
      </c>
      <c r="K243" s="44" t="inlineStr">
        <is>
          <t>MUST COMPLY WITH</t>
        </is>
      </c>
      <c r="L243" s="66" t="inlineStr">
        <is>
          <t>Mandatory Complier</t>
        </is>
      </c>
      <c r="M243" s="44" t="inlineStr">
        <is>
          <t>Saudi Exchange (Tadawul) as government entity</t>
        </is>
      </c>
      <c r="N243" s="59" t="inlineStr">
        <is>
          <t>LOW</t>
        </is>
      </c>
      <c r="O243" s="48" t="inlineStr">
        <is>
          <t>https://nca.gov.sa/</t>
        </is>
      </c>
      <c r="P243" s="44" t="inlineStr">
        <is>
          <t>NCA ECC scope</t>
        </is>
      </c>
      <c r="Q243" s="98" t="inlineStr">
        <is>
          <t>See official source for version history</t>
        </is>
      </c>
      <c r="R243" s="98" t="inlineStr">
        <is>
          <t>Framework issued by the relevant authority. Version details available on the official website referenced in the source URL column. The framework has been updated periodically since first issuance.</t>
        </is>
      </c>
      <c r="S243" s="100" t="inlineStr">
        <is>
          <t>See official source</t>
        </is>
      </c>
      <c r="T243" s="98" t="inlineStr">
        <is>
          <t>Updated as needed by the issuing authority</t>
        </is>
      </c>
      <c r="U243" s="25" t="inlineStr">
        <is>
          <t>CURRENT — consult official source for latest version</t>
        </is>
      </c>
      <c r="V243" s="98" t="inlineStr">
        <is>
          <t>Penalties defined by issuing authority; consult official source. NCA ECC-2 penalties apply if relevant</t>
        </is>
      </c>
      <c r="W243" s="99" t="inlineStr">
        <is>
          <t>Issuing authority and/or designated inspection department</t>
        </is>
      </c>
      <c r="X243" s="98" t="inlineStr">
        <is>
          <t>As specified in framework scope — consult official document</t>
        </is>
      </c>
      <c r="Y243" s="49" t="inlineStr">
        <is>
          <t>Both (unless specified otherwise in official document)</t>
        </is>
      </c>
      <c r="Z243" s="98" t="inlineStr">
        <is>
          <t>As defined by issuing authority</t>
        </is>
      </c>
      <c r="AA243" s="100" t="inlineStr">
        <is>
          <t>As defined by issuing authority</t>
        </is>
      </c>
      <c r="AB243" s="98" t="inlineStr">
        <is>
          <t>To be determined from framework text — see official source</t>
        </is>
      </c>
      <c r="AC243" s="98" t="inlineStr">
        <is>
          <t>See framework preamble for international standard references</t>
        </is>
      </c>
      <c r="AD243" s="49" t="inlineStr">
        <is>
          <t>Arabic (primary in KSA); English may be available</t>
        </is>
      </c>
      <c r="AE243" s="58" t="inlineStr">
        <is>
          <t>Mapped to relevant GH-ICGA layer — requires manual assessment</t>
        </is>
      </c>
      <c r="AF243" s="56" t="inlineStr">
        <is>
          <t>See official framework for maturity model details</t>
        </is>
      </c>
      <c r="AG243" s="98" t="inlineStr">
        <is>
          <t>Aligned with relevant Vision 2030 programme — see framework context</t>
        </is>
      </c>
      <c r="AH243" s="98" t="inlineStr">
        <is>
          <t>As specified in framework compliance requirements</t>
        </is>
      </c>
      <c r="AI243" s="103" t="inlineStr">
        <is>
          <t>Institutional theory and regulatory governance theory underpin all KSA regulatory frameworks. Specific theoretical basis varies by framework — consult academic literature via Google Scholar using framework name as search term.</t>
        </is>
      </c>
      <c r="AJ243" s="98" t="inlineStr">
        <is>
          <t>Academic debate varies by framework maturity and international adoption. For KSA-specific debate, consult: Almohammad &amp; Wills (2021) J Cybersecurity; Al-Khater et al. (2020) IEEE Access; Baker McKenzie KSA regulatory updates.</t>
        </is>
      </c>
      <c r="AK243" s="104" t="inlineStr">
        <is>
          <t>Known criticisms include: implementation gap between standards and practice; resource constraints for smaller healthcare entities; rapid technology evolution outpacing regulation. Consult framework evaluation literature for specifics.</t>
        </is>
      </c>
      <c r="AL243" s="105" t="inlineStr">
        <is>
          <t>Framework comparison requires contextual analysis. Key comparators: NIST CSF 2.0 (international benchmark), ISO 27001 (certifiable standard), ECC-2 (KSA mandatory baseline). See main database for cross-framework mapping.</t>
        </is>
      </c>
      <c r="AM243" s="10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43" s="107" t="inlineStr">
        <is>
          <t>Official: Consult the official source URL in the database for the primary document. Training: ISACA, ISC2, RAPS, IAPP, and HIMSS offer professional development covering most regulatory domains. Estimated hours vary by framework complexity.</t>
        </is>
      </c>
      <c r="AO243" s="108" t="inlineStr">
        <is>
          <t>Relevance to GH-ICGA framework varies by layer — see GH-ICGA Layer Mapping column. All KSA mandatory frameworks are compliance inputs to GH-ICGA Layer 4. Frameworks with IoMT-specific provisions directly inform Layers 2 and 3.</t>
        </is>
      </c>
      <c r="AP243" s="51" t="inlineStr">
        <is>
          <t>G + C (Governance + Compliance — standard regulatory framework positioning)</t>
        </is>
      </c>
      <c r="AQ243" s="109" t="inlineStr">
        <is>
          <t>Senior management: accountability for framework compliance. Designated compliance officer: monitor requirements. All staff: awareness of applicable obligations</t>
        </is>
      </c>
      <c r="AR243" s="104" t="inlineStr">
        <is>
          <t>Regulatory Risk; Operational Risk; Reputational Risk — specific domains determined by framework scope</t>
        </is>
      </c>
      <c r="AS243" s="22" t="inlineStr">
        <is>
          <t>See official source — legal obligation, regulatory requirement, or voluntary standard as applicable</t>
        </is>
      </c>
      <c r="AT243" s="105" t="inlineStr">
        <is>
          <t>Administrative; Technical; Operational — specific distribution determined by framework content</t>
        </is>
      </c>
      <c r="AU243" s="110" t="inlineStr">
        <is>
          <t>1. Compliance status (compliant/non-compliant). 2. # open findings from last assessment. 3. % controls implemented. 4. Time to remediate findings. 5. Incident rate in framework scope area</t>
        </is>
      </c>
      <c r="AV243" s="111" t="inlineStr">
        <is>
          <t>Self-assessment; internal audit; external assessment as specified by issuing authority</t>
        </is>
      </c>
      <c r="AW243" s="112" t="inlineStr">
        <is>
          <t>ServiceNow GRC; IBM OpenPages; RSA Archer; MetricStream — all major GRC platforms support custom framework import. Contact vendor for framework-specific module</t>
        </is>
      </c>
      <c r="AX243" s="113" t="inlineStr">
        <is>
          <t>Third parties in scope must demonstrate equivalent compliance. Contractual compliance obligations; right-to-audit clauses; annual third-party assessment</t>
        </is>
      </c>
      <c r="AY243" s="114" t="inlineStr">
        <is>
          <t>Non-compliance: regulatory action by issuing authority; fines and penalties as specified; operational and reputational consequences</t>
        </is>
      </c>
      <c r="AZ243" s="111" t="inlineStr">
        <is>
          <t>ALL 17 SECTORS</t>
        </is>
      </c>
      <c r="BA243" s="34" t="inlineStr">
        <is>
          <t>YES — ALL SECTORS</t>
        </is>
      </c>
      <c r="BB243" s="591">
        <f>IF(E243="","",IF(ISNUMBER(SEARCH("Institutional theory and regulatory governance theory underpin",AI243)),"TEMPLATE",IF(LEN(AI243)&gt;100,"DEEP",IF(AI243="","SPARSE","SHALLOW"))))</f>
        <v/>
      </c>
      <c r="BC243" s="591">
        <f>IF(E243="","",D243&amp;"-"&amp;B243&amp;"-"&amp;E243)</f>
        <v/>
      </c>
      <c r="BD243" s="591">
        <f>IF(E243="","",SUBSTITUTE(SUBSTITUTE(B243&amp;"-"&amp;E243," ",""),":","-"))</f>
        <v/>
      </c>
      <c r="BE243" s="591">
        <f>IF(E243="","",IF(ISNUMBER(SEARCH("ECC",E243)),"NCA-ECC-2-2024",IF(ISNUMBER(SEARCH("OTCC",E243)),"NCA-ECC-2-2024",IF(ISNUMBER(SEARCH("CCC",E243)),"NCA-ECC-2-2024",IF(ISNUMBER(SEARCH("DCC",E243)),"NCA-ECC-2-2024",IF(ISNUMBER(SEARCH("CSCC",E243)),"NCA-ECC-2-2024",IF(ISNUMBER(SEARCH("PDPL-IR",E243)),"PDPL-2021",IF(ISNUMBER(SEARCH("PDPL-DTR",E243)),"PDPL-2021","NONE"))))))))</f>
        <v/>
      </c>
      <c r="BF243" s="594">
        <f>IF(E243="","",IF(BB243="DEEP",10,IF(BB243="SHALLOW",5,IF(BB243="TEMPLATE",3,1)))+IF(N243="HIGHEST",5,IF(N243="HIGH",3,IF(N243="MODERATE",1,0)))+IF(ISNUMBER(SEARCH("Mandatory",L243)),3,0))</f>
        <v/>
      </c>
    </row>
    <row r="244">
      <c r="BB244" s="591">
        <f>IF(E244="","",IF(ISNUMBER(SEARCH("Institutional theory and regulatory governance theory underpin",AI244)),"TEMPLATE",IF(LEN(AI244)&gt;100,"DEEP",IF(AI244="","SPARSE","SHALLOW"))))</f>
        <v/>
      </c>
      <c r="BC244" s="591">
        <f>IF(E244="","",D244&amp;"-"&amp;B244&amp;"-"&amp;E244)</f>
        <v/>
      </c>
      <c r="BD244" s="591">
        <f>IF(E244="","",SUBSTITUTE(SUBSTITUTE(B244&amp;"-"&amp;E244," ",""),":","-"))</f>
        <v/>
      </c>
      <c r="BE244" s="591">
        <f>IF(E244="","",IF(ISNUMBER(SEARCH("ECC",E244)),"NCA-ECC-2-2024",IF(ISNUMBER(SEARCH("OTCC",E244)),"NCA-ECC-2-2024",IF(ISNUMBER(SEARCH("CCC",E244)),"NCA-ECC-2-2024",IF(ISNUMBER(SEARCH("DCC",E244)),"NCA-ECC-2-2024",IF(ISNUMBER(SEARCH("CSCC",E244)),"NCA-ECC-2-2024",IF(ISNUMBER(SEARCH("PDPL-IR",E244)),"PDPL-2021",IF(ISNUMBER(SEARCH("PDPL-DTR",E244)),"PDPL-2021","NONE"))))))))</f>
        <v/>
      </c>
      <c r="BF244" s="594">
        <f>IF(E244="","",IF(BB244="DEEP",10,IF(BB244="SHALLOW",5,IF(BB244="TEMPLATE",3,1)))+IF(N244="HIGHEST",5,IF(N244="HIGH",3,IF(N244="MODERATE",1,0)))+IF(ISNUMBER(SEARCH("Mandatory",L244)),3,0))</f>
        <v/>
      </c>
    </row>
    <row r="245" ht="19.5" customHeight="1">
      <c r="A245" s="141" t="n"/>
      <c r="B245" s="142" t="inlineStr">
        <is>
          <t xml:space="preserve">  ── 6. Tax / Customs / Trade ──</t>
        </is>
      </c>
      <c r="C245" s="141" t="n"/>
      <c r="D245" s="141" t="n"/>
      <c r="E245" s="141" t="n"/>
      <c r="F245" s="141" t="n"/>
      <c r="G245" s="141" t="n"/>
      <c r="H245" s="141" t="n"/>
      <c r="I245" s="141" t="n"/>
      <c r="J245" s="141" t="n"/>
      <c r="K245" s="141" t="n"/>
      <c r="L245" s="141" t="n"/>
      <c r="M245" s="141" t="n"/>
      <c r="N245" s="141" t="n"/>
      <c r="O245" s="141" t="n"/>
      <c r="P245" s="141" t="n"/>
      <c r="BB245" s="591">
        <f>IF(E245="","",IF(ISNUMBER(SEARCH("Institutional theory and regulatory governance theory underpin",AI245)),"TEMPLATE",IF(LEN(AI245)&gt;100,"DEEP",IF(AI245="","SPARSE","SHALLOW"))))</f>
        <v/>
      </c>
      <c r="BC245" s="591">
        <f>IF(E245="","",D245&amp;"-"&amp;B245&amp;"-"&amp;E245)</f>
        <v/>
      </c>
      <c r="BD245" s="591">
        <f>IF(E245="","",SUBSTITUTE(SUBSTITUTE(B245&amp;"-"&amp;E245," ",""),":","-"))</f>
        <v/>
      </c>
      <c r="BE245" s="591">
        <f>IF(E245="","",IF(ISNUMBER(SEARCH("ECC",E245)),"NCA-ECC-2-2024",IF(ISNUMBER(SEARCH("OTCC",E245)),"NCA-ECC-2-2024",IF(ISNUMBER(SEARCH("CCC",E245)),"NCA-ECC-2-2024",IF(ISNUMBER(SEARCH("DCC",E245)),"NCA-ECC-2-2024",IF(ISNUMBER(SEARCH("CSCC",E245)),"NCA-ECC-2-2024",IF(ISNUMBER(SEARCH("PDPL-IR",E245)),"PDPL-2021",IF(ISNUMBER(SEARCH("PDPL-DTR",E245)),"PDPL-2021","NONE"))))))))</f>
        <v/>
      </c>
      <c r="BF245" s="594">
        <f>IF(E245="","",IF(BB245="DEEP",10,IF(BB245="SHALLOW",5,IF(BB245="TEMPLATE",3,1)))+IF(N245="HIGHEST",5,IF(N245="HIGH",3,IF(N245="MODERATE",1,0)))+IF(ISNUMBER(SEARCH("Mandatory",L245)),3,0))</f>
        <v/>
      </c>
    </row>
    <row r="246" ht="42" customHeight="1">
      <c r="A246" s="143" t="n">
        <v>223</v>
      </c>
      <c r="B246" s="144" t="inlineStr">
        <is>
          <t>GAFT</t>
        </is>
      </c>
      <c r="C246" s="145" t="inlineStr">
        <is>
          <t>General Authority for Foreign Trade</t>
        </is>
      </c>
      <c r="D246" s="145" t="inlineStr">
        <is>
          <t>6. Tax / Customs / Trade</t>
        </is>
      </c>
      <c r="E246" s="144" t="inlineStr">
        <is>
          <t>GAFT-FW</t>
        </is>
      </c>
      <c r="F246" s="146" t="inlineStr">
        <is>
          <t>Foreign Trade Law</t>
        </is>
      </c>
      <c r="G246" s="145" t="inlineStr">
        <is>
          <t>الإطار التنظيمي الرئيسي</t>
        </is>
      </c>
      <c r="H246" s="145" t="inlineStr">
        <is>
          <t>Active/Updated</t>
        </is>
      </c>
      <c r="I246" s="147" t="inlineStr">
        <is>
          <t>2020</t>
        </is>
      </c>
      <c r="J246" s="147" t="inlineStr">
        <is>
          <t>N/A</t>
        </is>
      </c>
      <c r="K246" s="145" t="inlineStr">
        <is>
          <t>ISSUES/ENFORCES</t>
        </is>
      </c>
      <c r="L246" s="22" t="inlineStr">
        <is>
          <t>Mandatory Enforcer</t>
        </is>
      </c>
      <c r="M246" s="145" t="inlineStr">
        <is>
          <t>Entities regulated by this authority</t>
        </is>
      </c>
      <c r="N246" s="148" t="inlineStr">
        <is>
          <t>MODERATE</t>
        </is>
      </c>
      <c r="O246" s="149" t="inlineStr">
        <is>
          <t>https://www.gov.sa/</t>
        </is>
      </c>
      <c r="P246" s="145" t="inlineStr">
        <is>
          <t>Ministry/Authority official site</t>
        </is>
      </c>
      <c r="Q246" s="145" t="inlineStr">
        <is>
          <t>See official source for version history</t>
        </is>
      </c>
      <c r="R246" s="145" t="inlineStr">
        <is>
          <t>Framework issued by the relevant authority. Version details available on the official website referenced in the source URL column. The framework has been updated periodically since first issuance.</t>
        </is>
      </c>
      <c r="S246" s="147" t="inlineStr">
        <is>
          <t>See official source</t>
        </is>
      </c>
      <c r="T246" s="145" t="inlineStr">
        <is>
          <t>Updated as needed by the issuing authority</t>
        </is>
      </c>
      <c r="U246" s="25" t="inlineStr">
        <is>
          <t>CURRENT — consult official source for latest version</t>
        </is>
      </c>
      <c r="V246" s="145" t="inlineStr">
        <is>
          <t>Penalties defined by issuing authority; consult official source. NCA ECC-2 penalties apply if relevant</t>
        </is>
      </c>
      <c r="W246" s="146" t="inlineStr">
        <is>
          <t>Issuing authority and/or designated inspection department</t>
        </is>
      </c>
      <c r="X246" s="145" t="inlineStr">
        <is>
          <t>As specified in framework scope — consult official document</t>
        </is>
      </c>
      <c r="Y246" s="49" t="inlineStr">
        <is>
          <t>Both (unless specified otherwise in official document)</t>
        </is>
      </c>
      <c r="Z246" s="145" t="inlineStr">
        <is>
          <t>As defined by issuing authority</t>
        </is>
      </c>
      <c r="AA246" s="147" t="inlineStr">
        <is>
          <t>As defined by issuing authority</t>
        </is>
      </c>
      <c r="AB246" s="145" t="inlineStr">
        <is>
          <t>To be determined from framework text — see official source</t>
        </is>
      </c>
      <c r="AC246" s="145" t="inlineStr">
        <is>
          <t>See framework preamble for international standard references</t>
        </is>
      </c>
      <c r="AD246" s="49" t="inlineStr">
        <is>
          <t>Arabic (primary in KSA); English may be available</t>
        </is>
      </c>
      <c r="AE246" s="58" t="inlineStr">
        <is>
          <t>Mapped to relevant GH-ICGA layer — requires manual assessment</t>
        </is>
      </c>
      <c r="AF246" s="56" t="inlineStr">
        <is>
          <t>See official framework for maturity model details</t>
        </is>
      </c>
      <c r="AG246" s="145" t="inlineStr">
        <is>
          <t>Aligned with relevant Vision 2030 programme — see framework context</t>
        </is>
      </c>
      <c r="AH246" s="145" t="inlineStr">
        <is>
          <t>As specified in framework compliance requirements</t>
        </is>
      </c>
      <c r="AI246" s="150" t="inlineStr">
        <is>
          <t>Institutional theory and regulatory governance theory underpin all KSA regulatory frameworks. Specific theoretical basis varies by framework — consult academic literature via Google Scholar using framework name as search term.</t>
        </is>
      </c>
      <c r="AJ246" s="145" t="inlineStr">
        <is>
          <t>Academic debate varies by framework maturity and international adoption. For KSA-specific debate, consult: Almohammad &amp; Wills (2021) J Cybersecurity; Al-Khater et al. (2020) IEEE Access; Baker McKenzie KSA regulatory updates.</t>
        </is>
      </c>
      <c r="AK246" s="151" t="inlineStr">
        <is>
          <t>Known criticisms include: implementation gap between standards and practice; resource constraints for smaller healthcare entities; rapid technology evolution outpacing regulation. Consult framework evaluation literature for specifics.</t>
        </is>
      </c>
      <c r="AL246" s="152" t="inlineStr">
        <is>
          <t>Framework comparison requires contextual analysis. Key comparators: NIST CSF 2.0 (international benchmark), ISO 27001 (certifiable standard), ECC-2 (KSA mandatory baseline). See main database for cross-framework mapping.</t>
        </is>
      </c>
      <c r="AM246" s="153"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46" s="154" t="inlineStr">
        <is>
          <t>Official: Consult the official source URL in the database for the primary document. Training: ISACA, ISC2, RAPS, IAPP, and HIMSS offer professional development covering most regulatory domains. Estimated hours vary by framework complexity.</t>
        </is>
      </c>
      <c r="AO246" s="155" t="inlineStr">
        <is>
          <t>Relevance to GH-ICGA framework varies by layer — see GH-ICGA Layer Mapping column. All KSA mandatory frameworks are compliance inputs to GH-ICGA Layer 4. Frameworks with IoMT-specific provisions directly inform Layers 2 and 3.</t>
        </is>
      </c>
      <c r="AP246" s="51" t="inlineStr">
        <is>
          <t>G + C (Governance + Compliance — standard regulatory framework positioning)</t>
        </is>
      </c>
      <c r="AQ246" s="156" t="inlineStr">
        <is>
          <t>Senior management: accountability for framework compliance. Designated compliance officer: monitor requirements. All staff: awareness of applicable obligations</t>
        </is>
      </c>
      <c r="AR246" s="151" t="inlineStr">
        <is>
          <t>Regulatory Risk; Operational Risk; Reputational Risk — specific domains determined by framework scope</t>
        </is>
      </c>
      <c r="AS246" s="22" t="inlineStr">
        <is>
          <t>See official source — legal obligation, regulatory requirement, or voluntary standard as applicable</t>
        </is>
      </c>
      <c r="AT246" s="152" t="inlineStr">
        <is>
          <t>Administrative; Technical; Operational — specific distribution determined by framework content</t>
        </is>
      </c>
      <c r="AU246" s="157" t="inlineStr">
        <is>
          <t>1. Compliance status (compliant/non-compliant). 2. # open findings from last assessment. 3. % controls implemented. 4. Time to remediate findings. 5. Incident rate in framework scope area</t>
        </is>
      </c>
      <c r="AV246" s="158" t="inlineStr">
        <is>
          <t>Self-assessment; internal audit; external assessment as specified by issuing authority</t>
        </is>
      </c>
      <c r="AW246" s="159" t="inlineStr">
        <is>
          <t>ServiceNow GRC; IBM OpenPages; RSA Archer; MetricStream — all major GRC platforms support custom framework import. Contact vendor for framework-specific module</t>
        </is>
      </c>
      <c r="AX246" s="160" t="inlineStr">
        <is>
          <t>Third parties in scope must demonstrate equivalent compliance. Contractual compliance obligations; right-to-audit clauses; annual third-party assessment</t>
        </is>
      </c>
      <c r="AY246" s="161" t="inlineStr">
        <is>
          <t>Non-compliance: regulatory action by issuing authority; fines and penalties as specified; operational and reputational consequences</t>
        </is>
      </c>
      <c r="AZ246" s="158" t="inlineStr">
        <is>
          <t>Sector-specific — consult official source</t>
        </is>
      </c>
      <c r="BA246" s="41" t="inlineStr">
        <is>
          <t>Sector-Specific</t>
        </is>
      </c>
      <c r="BB246" s="591">
        <f>IF(E246="","",IF(ISNUMBER(SEARCH("Institutional theory and regulatory governance theory underpin",AI246)),"TEMPLATE",IF(LEN(AI246)&gt;100,"DEEP",IF(AI246="","SPARSE","SHALLOW"))))</f>
        <v/>
      </c>
      <c r="BC246" s="591">
        <f>IF(E246="","",D246&amp;"-"&amp;B246&amp;"-"&amp;E246)</f>
        <v/>
      </c>
      <c r="BD246" s="591">
        <f>IF(E246="","",SUBSTITUTE(SUBSTITUTE(B246&amp;"-"&amp;E246," ",""),":","-"))</f>
        <v/>
      </c>
      <c r="BE246" s="591">
        <f>IF(E246="","",IF(ISNUMBER(SEARCH("ECC",E246)),"NCA-ECC-2-2024",IF(ISNUMBER(SEARCH("OTCC",E246)),"NCA-ECC-2-2024",IF(ISNUMBER(SEARCH("CCC",E246)),"NCA-ECC-2-2024",IF(ISNUMBER(SEARCH("DCC",E246)),"NCA-ECC-2-2024",IF(ISNUMBER(SEARCH("CSCC",E246)),"NCA-ECC-2-2024",IF(ISNUMBER(SEARCH("PDPL-IR",E246)),"PDPL-2021",IF(ISNUMBER(SEARCH("PDPL-DTR",E246)),"PDPL-2021","NONE"))))))))</f>
        <v/>
      </c>
      <c r="BF246" s="594">
        <f>IF(E246="","",IF(BB246="DEEP",10,IF(BB246="SHALLOW",5,IF(BB246="TEMPLATE",3,1)))+IF(N246="HIGHEST",5,IF(N246="HIGH",3,IF(N246="MODERATE",1,0)))+IF(ISNUMBER(SEARCH("Mandatory",L246)),3,0))</f>
        <v/>
      </c>
    </row>
    <row r="247" ht="42" customHeight="1">
      <c r="A247" s="42" t="n">
        <v>224</v>
      </c>
      <c r="B247" s="162" t="inlineStr">
        <is>
          <t>GAFT</t>
        </is>
      </c>
      <c r="C247" s="44" t="inlineStr">
        <is>
          <t>General Authority for Foreign Trade</t>
        </is>
      </c>
      <c r="D247" s="44" t="inlineStr">
        <is>
          <t>6. Tax / Customs / Trade</t>
        </is>
      </c>
      <c r="E247" s="162" t="inlineStr">
        <is>
          <t>NCA-ECC-2:2024</t>
        </is>
      </c>
      <c r="F247" s="45" t="inlineStr">
        <is>
          <t>Essential Cybersecurity Controls</t>
        </is>
      </c>
      <c r="G247" s="44" t="inlineStr">
        <is>
          <t>ضوابط الأمن السيبراني الأساسية</t>
        </is>
      </c>
      <c r="H247" s="44" t="inlineStr">
        <is>
          <t>ECC-2:2024</t>
        </is>
      </c>
      <c r="I247" s="46" t="inlineStr">
        <is>
          <t>2018</t>
        </is>
      </c>
      <c r="J247" s="46" t="inlineStr">
        <is>
          <t>108</t>
        </is>
      </c>
      <c r="K247" s="44" t="inlineStr">
        <is>
          <t>MUST COMPLY WITH</t>
        </is>
      </c>
      <c r="L247" s="66" t="inlineStr">
        <is>
          <t>Mandatory Complier</t>
        </is>
      </c>
      <c r="M247" s="44" t="inlineStr">
        <is>
          <t>General Authority for Foreign Trade as government entity</t>
        </is>
      </c>
      <c r="N247" s="59" t="inlineStr">
        <is>
          <t>LOW</t>
        </is>
      </c>
      <c r="O247" s="48" t="inlineStr">
        <is>
          <t>https://nca.gov.sa/</t>
        </is>
      </c>
      <c r="P247" s="44" t="inlineStr">
        <is>
          <t>NCA ECC scope</t>
        </is>
      </c>
      <c r="Q247" s="145" t="inlineStr">
        <is>
          <t>See official source for version history</t>
        </is>
      </c>
      <c r="R247" s="145" t="inlineStr">
        <is>
          <t>Framework issued by the relevant authority. Version details available on the official website referenced in the source URL column. The framework has been updated periodically since first issuance.</t>
        </is>
      </c>
      <c r="S247" s="147" t="inlineStr">
        <is>
          <t>See official source</t>
        </is>
      </c>
      <c r="T247" s="145" t="inlineStr">
        <is>
          <t>Updated as needed by the issuing authority</t>
        </is>
      </c>
      <c r="U247" s="25" t="inlineStr">
        <is>
          <t>CURRENT — consult official source for latest version</t>
        </is>
      </c>
      <c r="V247" s="145" t="inlineStr">
        <is>
          <t>Penalties defined by issuing authority; consult official source. NCA ECC-2 penalties apply if relevant</t>
        </is>
      </c>
      <c r="W247" s="146" t="inlineStr">
        <is>
          <t>Issuing authority and/or designated inspection department</t>
        </is>
      </c>
      <c r="X247" s="145" t="inlineStr">
        <is>
          <t>As specified in framework scope — consult official document</t>
        </is>
      </c>
      <c r="Y247" s="49" t="inlineStr">
        <is>
          <t>Both (unless specified otherwise in official document)</t>
        </is>
      </c>
      <c r="Z247" s="145" t="inlineStr">
        <is>
          <t>As defined by issuing authority</t>
        </is>
      </c>
      <c r="AA247" s="147" t="inlineStr">
        <is>
          <t>As defined by issuing authority</t>
        </is>
      </c>
      <c r="AB247" s="145" t="inlineStr">
        <is>
          <t>To be determined from framework text — see official source</t>
        </is>
      </c>
      <c r="AC247" s="145" t="inlineStr">
        <is>
          <t>See framework preamble for international standard references</t>
        </is>
      </c>
      <c r="AD247" s="49" t="inlineStr">
        <is>
          <t>Arabic (primary in KSA); English may be available</t>
        </is>
      </c>
      <c r="AE247" s="58" t="inlineStr">
        <is>
          <t>Mapped to relevant GH-ICGA layer — requires manual assessment</t>
        </is>
      </c>
      <c r="AF247" s="56" t="inlineStr">
        <is>
          <t>See official framework for maturity model details</t>
        </is>
      </c>
      <c r="AG247" s="145" t="inlineStr">
        <is>
          <t>Aligned with relevant Vision 2030 programme — see framework context</t>
        </is>
      </c>
      <c r="AH247" s="145" t="inlineStr">
        <is>
          <t>As specified in framework compliance requirements</t>
        </is>
      </c>
      <c r="AI247" s="150" t="inlineStr">
        <is>
          <t>Institutional theory and regulatory governance theory underpin all KSA regulatory frameworks. Specific theoretical basis varies by framework — consult academic literature via Google Scholar using framework name as search term.</t>
        </is>
      </c>
      <c r="AJ247" s="145" t="inlineStr">
        <is>
          <t>Academic debate varies by framework maturity and international adoption. For KSA-specific debate, consult: Almohammad &amp; Wills (2021) J Cybersecurity; Al-Khater et al. (2020) IEEE Access; Baker McKenzie KSA regulatory updates.</t>
        </is>
      </c>
      <c r="AK247" s="151" t="inlineStr">
        <is>
          <t>Known criticisms include: implementation gap between standards and practice; resource constraints for smaller healthcare entities; rapid technology evolution outpacing regulation. Consult framework evaluation literature for specifics.</t>
        </is>
      </c>
      <c r="AL247" s="152" t="inlineStr">
        <is>
          <t>Framework comparison requires contextual analysis. Key comparators: NIST CSF 2.0 (international benchmark), ISO 27001 (certifiable standard), ECC-2 (KSA mandatory baseline). See main database for cross-framework mapping.</t>
        </is>
      </c>
      <c r="AM247" s="153"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47" s="154" t="inlineStr">
        <is>
          <t>Official: Consult the official source URL in the database for the primary document. Training: ISACA, ISC2, RAPS, IAPP, and HIMSS offer professional development covering most regulatory domains. Estimated hours vary by framework complexity.</t>
        </is>
      </c>
      <c r="AO247" s="155" t="inlineStr">
        <is>
          <t>Relevance to GH-ICGA framework varies by layer — see GH-ICGA Layer Mapping column. All KSA mandatory frameworks are compliance inputs to GH-ICGA Layer 4. Frameworks with IoMT-specific provisions directly inform Layers 2 and 3.</t>
        </is>
      </c>
      <c r="AP247" s="51" t="inlineStr">
        <is>
          <t>G + C (Governance + Compliance — standard regulatory framework positioning)</t>
        </is>
      </c>
      <c r="AQ247" s="156" t="inlineStr">
        <is>
          <t>Senior management: accountability for framework compliance. Designated compliance officer: monitor requirements. All staff: awareness of applicable obligations</t>
        </is>
      </c>
      <c r="AR247" s="151" t="inlineStr">
        <is>
          <t>Regulatory Risk; Operational Risk; Reputational Risk — specific domains determined by framework scope</t>
        </is>
      </c>
      <c r="AS247" s="22" t="inlineStr">
        <is>
          <t>See official source — legal obligation, regulatory requirement, or voluntary standard as applicable</t>
        </is>
      </c>
      <c r="AT247" s="152" t="inlineStr">
        <is>
          <t>Administrative; Technical; Operational — specific distribution determined by framework content</t>
        </is>
      </c>
      <c r="AU247" s="157" t="inlineStr">
        <is>
          <t>1. Compliance status (compliant/non-compliant). 2. # open findings from last assessment. 3. % controls implemented. 4. Time to remediate findings. 5. Incident rate in framework scope area</t>
        </is>
      </c>
      <c r="AV247" s="158" t="inlineStr">
        <is>
          <t>Self-assessment; internal audit; external assessment as specified by issuing authority</t>
        </is>
      </c>
      <c r="AW247" s="159" t="inlineStr">
        <is>
          <t>ServiceNow GRC; IBM OpenPages; RSA Archer; MetricStream — all major GRC platforms support custom framework import. Contact vendor for framework-specific module</t>
        </is>
      </c>
      <c r="AX247" s="160" t="inlineStr">
        <is>
          <t>Third parties in scope must demonstrate equivalent compliance. Contractual compliance obligations; right-to-audit clauses; annual third-party assessment</t>
        </is>
      </c>
      <c r="AY247" s="161" t="inlineStr">
        <is>
          <t>Non-compliance: regulatory action by issuing authority; fines and penalties as specified; operational and reputational consequences</t>
        </is>
      </c>
      <c r="AZ247" s="158" t="inlineStr">
        <is>
          <t>ALL 17 SECTORS</t>
        </is>
      </c>
      <c r="BA247" s="34" t="inlineStr">
        <is>
          <t>YES — ALL SECTORS</t>
        </is>
      </c>
      <c r="BB247" s="591">
        <f>IF(E247="","",IF(ISNUMBER(SEARCH("Institutional theory and regulatory governance theory underpin",AI247)),"TEMPLATE",IF(LEN(AI247)&gt;100,"DEEP",IF(AI247="","SPARSE","SHALLOW"))))</f>
        <v/>
      </c>
      <c r="BC247" s="591">
        <f>IF(E247="","",D247&amp;"-"&amp;B247&amp;"-"&amp;E247)</f>
        <v/>
      </c>
      <c r="BD247" s="591">
        <f>IF(E247="","",SUBSTITUTE(SUBSTITUTE(B247&amp;"-"&amp;E247," ",""),":","-"))</f>
        <v/>
      </c>
      <c r="BE247" s="591">
        <f>IF(E247="","",IF(ISNUMBER(SEARCH("ECC",E247)),"NCA-ECC-2-2024",IF(ISNUMBER(SEARCH("OTCC",E247)),"NCA-ECC-2-2024",IF(ISNUMBER(SEARCH("CCC",E247)),"NCA-ECC-2-2024",IF(ISNUMBER(SEARCH("DCC",E247)),"NCA-ECC-2-2024",IF(ISNUMBER(SEARCH("CSCC",E247)),"NCA-ECC-2-2024",IF(ISNUMBER(SEARCH("PDPL-IR",E247)),"PDPL-2021",IF(ISNUMBER(SEARCH("PDPL-DTR",E247)),"PDPL-2021","NONE"))))))))</f>
        <v/>
      </c>
      <c r="BF247" s="594">
        <f>IF(E247="","",IF(BB247="DEEP",10,IF(BB247="SHALLOW",5,IF(BB247="TEMPLATE",3,1)))+IF(N247="HIGHEST",5,IF(N247="HIGH",3,IF(N247="MODERATE",1,0)))+IF(ISNUMBER(SEARCH("Mandatory",L247)),3,0))</f>
        <v/>
      </c>
    </row>
    <row r="248">
      <c r="BB248" s="591">
        <f>IF(E248="","",IF(ISNUMBER(SEARCH("Institutional theory and regulatory governance theory underpin",AI248)),"TEMPLATE",IF(LEN(AI248)&gt;100,"DEEP",IF(AI248="","SPARSE","SHALLOW"))))</f>
        <v/>
      </c>
      <c r="BC248" s="591">
        <f>IF(E248="","",D248&amp;"-"&amp;B248&amp;"-"&amp;E248)</f>
        <v/>
      </c>
      <c r="BD248" s="591">
        <f>IF(E248="","",SUBSTITUTE(SUBSTITUTE(B248&amp;"-"&amp;E248," ",""),":","-"))</f>
        <v/>
      </c>
      <c r="BE248" s="591">
        <f>IF(E248="","",IF(ISNUMBER(SEARCH("ECC",E248)),"NCA-ECC-2-2024",IF(ISNUMBER(SEARCH("OTCC",E248)),"NCA-ECC-2-2024",IF(ISNUMBER(SEARCH("CCC",E248)),"NCA-ECC-2-2024",IF(ISNUMBER(SEARCH("DCC",E248)),"NCA-ECC-2-2024",IF(ISNUMBER(SEARCH("CSCC",E248)),"NCA-ECC-2-2024",IF(ISNUMBER(SEARCH("PDPL-IR",E248)),"PDPL-2021",IF(ISNUMBER(SEARCH("PDPL-DTR",E248)),"PDPL-2021","NONE"))))))))</f>
        <v/>
      </c>
      <c r="BF248" s="594">
        <f>IF(E248="","",IF(BB248="DEEP",10,IF(BB248="SHALLOW",5,IF(BB248="TEMPLATE",3,1)))+IF(N248="HIGHEST",5,IF(N248="HIGH",3,IF(N248="MODERATE",1,0)))+IF(ISNUMBER(SEARCH("Mandatory",L248)),3,0))</f>
        <v/>
      </c>
    </row>
    <row r="249" ht="19.5" customHeight="1">
      <c r="A249" s="164" t="n"/>
      <c r="B249" s="165" t="inlineStr">
        <is>
          <t xml:space="preserve">  ── 7. Standards &amp; Quality ──</t>
        </is>
      </c>
      <c r="C249" s="164" t="n"/>
      <c r="D249" s="164" t="n"/>
      <c r="E249" s="164" t="n"/>
      <c r="F249" s="164" t="n"/>
      <c r="G249" s="164" t="n"/>
      <c r="H249" s="164" t="n"/>
      <c r="I249" s="164" t="n"/>
      <c r="J249" s="164" t="n"/>
      <c r="K249" s="164" t="n"/>
      <c r="L249" s="164" t="n"/>
      <c r="M249" s="164" t="n"/>
      <c r="N249" s="164" t="n"/>
      <c r="O249" s="164" t="n"/>
      <c r="P249" s="164" t="n"/>
      <c r="BB249" s="591">
        <f>IF(E249="","",IF(ISNUMBER(SEARCH("Institutional theory and regulatory governance theory underpin",AI249)),"TEMPLATE",IF(LEN(AI249)&gt;100,"DEEP",IF(AI249="","SPARSE","SHALLOW"))))</f>
        <v/>
      </c>
      <c r="BC249" s="591">
        <f>IF(E249="","",D249&amp;"-"&amp;B249&amp;"-"&amp;E249)</f>
        <v/>
      </c>
      <c r="BD249" s="591">
        <f>IF(E249="","",SUBSTITUTE(SUBSTITUTE(B249&amp;"-"&amp;E249," ",""),":","-"))</f>
        <v/>
      </c>
      <c r="BE249" s="591">
        <f>IF(E249="","",IF(ISNUMBER(SEARCH("ECC",E249)),"NCA-ECC-2-2024",IF(ISNUMBER(SEARCH("OTCC",E249)),"NCA-ECC-2-2024",IF(ISNUMBER(SEARCH("CCC",E249)),"NCA-ECC-2-2024",IF(ISNUMBER(SEARCH("DCC",E249)),"NCA-ECC-2-2024",IF(ISNUMBER(SEARCH("CSCC",E249)),"NCA-ECC-2-2024",IF(ISNUMBER(SEARCH("PDPL-IR",E249)),"PDPL-2021",IF(ISNUMBER(SEARCH("PDPL-DTR",E249)),"PDPL-2021","NONE"))))))))</f>
        <v/>
      </c>
      <c r="BF249" s="594">
        <f>IF(E249="","",IF(BB249="DEEP",10,IF(BB249="SHALLOW",5,IF(BB249="TEMPLATE",3,1)))+IF(N249="HIGHEST",5,IF(N249="HIGH",3,IF(N249="MODERATE",1,0)))+IF(ISNUMBER(SEARCH("Mandatory",L249)),3,0))</f>
        <v/>
      </c>
    </row>
    <row r="250" ht="42" customHeight="1">
      <c r="A250" s="166" t="n">
        <v>225</v>
      </c>
      <c r="B250" s="167" t="inlineStr">
        <is>
          <t>SAAC</t>
        </is>
      </c>
      <c r="C250" s="168" t="inlineStr">
        <is>
          <t>Saudi Accreditation Centre</t>
        </is>
      </c>
      <c r="D250" s="168" t="inlineStr">
        <is>
          <t>7. Standards &amp; Quality</t>
        </is>
      </c>
      <c r="E250" s="167" t="inlineStr">
        <is>
          <t>SAAC-FW</t>
        </is>
      </c>
      <c r="F250" s="169" t="inlineStr">
        <is>
          <t>Lab &amp; Inspection Body Accreditation (ISO 17025)</t>
        </is>
      </c>
      <c r="G250" s="168" t="inlineStr">
        <is>
          <t>الإطار التنظيمي الرئيسي</t>
        </is>
      </c>
      <c r="H250" s="168" t="inlineStr">
        <is>
          <t>Active/Updated</t>
        </is>
      </c>
      <c r="I250" s="170" t="inlineStr">
        <is>
          <t>2013</t>
        </is>
      </c>
      <c r="J250" s="170" t="inlineStr">
        <is>
          <t>N/A</t>
        </is>
      </c>
      <c r="K250" s="168" t="inlineStr">
        <is>
          <t>ISSUES/ENFORCES</t>
        </is>
      </c>
      <c r="L250" s="22" t="inlineStr">
        <is>
          <t>Mandatory Enforcer</t>
        </is>
      </c>
      <c r="M250" s="168" t="inlineStr">
        <is>
          <t>Entities regulated by this authority</t>
        </is>
      </c>
      <c r="N250" s="186" t="inlineStr">
        <is>
          <t>MODERATE</t>
        </is>
      </c>
      <c r="O250" s="172" t="inlineStr">
        <is>
          <t>https://www.gov.sa/</t>
        </is>
      </c>
      <c r="P250" s="168" t="inlineStr">
        <is>
          <t>Ministry/Authority official site</t>
        </is>
      </c>
      <c r="Q250" s="168" t="inlineStr">
        <is>
          <t>See official source for version history</t>
        </is>
      </c>
      <c r="R250" s="168" t="inlineStr">
        <is>
          <t>Framework issued by the relevant authority. Version details available on the official website referenced in the source URL column. The framework has been updated periodically since first issuance.</t>
        </is>
      </c>
      <c r="S250" s="170" t="inlineStr">
        <is>
          <t>See official source</t>
        </is>
      </c>
      <c r="T250" s="168" t="inlineStr">
        <is>
          <t>Updated as needed by the issuing authority</t>
        </is>
      </c>
      <c r="U250" s="25" t="inlineStr">
        <is>
          <t>CURRENT — consult official source for latest version</t>
        </is>
      </c>
      <c r="V250" s="168" t="inlineStr">
        <is>
          <t>Penalties defined by issuing authority; consult official source. NCA ECC-2 penalties apply if relevant</t>
        </is>
      </c>
      <c r="W250" s="169" t="inlineStr">
        <is>
          <t>Issuing authority and/or designated inspection department</t>
        </is>
      </c>
      <c r="X250" s="168" t="inlineStr">
        <is>
          <t>As specified in framework scope — consult official document</t>
        </is>
      </c>
      <c r="Y250" s="49" t="inlineStr">
        <is>
          <t>Both (unless specified otherwise in official document)</t>
        </is>
      </c>
      <c r="Z250" s="168" t="inlineStr">
        <is>
          <t>As defined by issuing authority</t>
        </is>
      </c>
      <c r="AA250" s="170" t="inlineStr">
        <is>
          <t>As defined by issuing authority</t>
        </is>
      </c>
      <c r="AB250" s="168" t="inlineStr">
        <is>
          <t>To be determined from framework text — see official source</t>
        </is>
      </c>
      <c r="AC250" s="168" t="inlineStr">
        <is>
          <t>See framework preamble for international standard references</t>
        </is>
      </c>
      <c r="AD250" s="49" t="inlineStr">
        <is>
          <t>Arabic (primary in KSA); English may be available</t>
        </is>
      </c>
      <c r="AE250" s="58" t="inlineStr">
        <is>
          <t>Mapped to relevant GH-ICGA layer — requires manual assessment</t>
        </is>
      </c>
      <c r="AF250" s="56" t="inlineStr">
        <is>
          <t>See official framework for maturity model details</t>
        </is>
      </c>
      <c r="AG250" s="168" t="inlineStr">
        <is>
          <t>Aligned with relevant Vision 2030 programme — see framework context</t>
        </is>
      </c>
      <c r="AH250" s="168" t="inlineStr">
        <is>
          <t>As specified in framework compliance requirements</t>
        </is>
      </c>
      <c r="AI250" s="173" t="inlineStr">
        <is>
          <t>Institutional theory and regulatory governance theory underpin all KSA regulatory frameworks. Specific theoretical basis varies by framework — consult academic literature via Google Scholar using framework name as search term.</t>
        </is>
      </c>
      <c r="AJ250" s="168" t="inlineStr">
        <is>
          <t>Academic debate varies by framework maturity and international adoption. For KSA-specific debate, consult: Almohammad &amp; Wills (2021) J Cybersecurity; Al-Khater et al. (2020) IEEE Access; Baker McKenzie KSA regulatory updates.</t>
        </is>
      </c>
      <c r="AK250" s="174" t="inlineStr">
        <is>
          <t>Known criticisms include: implementation gap between standards and practice; resource constraints for smaller healthcare entities; rapid technology evolution outpacing regulation. Consult framework evaluation literature for specifics.</t>
        </is>
      </c>
      <c r="AL250" s="175" t="inlineStr">
        <is>
          <t>Framework comparison requires contextual analysis. Key comparators: NIST CSF 2.0 (international benchmark), ISO 27001 (certifiable standard), ECC-2 (KSA mandatory baseline). See main database for cross-framework mapping.</t>
        </is>
      </c>
      <c r="AM250" s="1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50" s="177" t="inlineStr">
        <is>
          <t>Official: Consult the official source URL in the database for the primary document. Training: ISACA, ISC2, RAPS, IAPP, and HIMSS offer professional development covering most regulatory domains. Estimated hours vary by framework complexity.</t>
        </is>
      </c>
      <c r="AO250" s="178" t="inlineStr">
        <is>
          <t>Relevance to GH-ICGA framework varies by layer — see GH-ICGA Layer Mapping column. All KSA mandatory frameworks are compliance inputs to GH-ICGA Layer 4. Frameworks with IoMT-specific provisions directly inform Layers 2 and 3.</t>
        </is>
      </c>
      <c r="AP250" s="51" t="inlineStr">
        <is>
          <t>G + C (Governance + Compliance — standard regulatory framework positioning)</t>
        </is>
      </c>
      <c r="AQ250" s="179" t="inlineStr">
        <is>
          <t>Senior management: accountability for framework compliance. Designated compliance officer: monitor requirements. All staff: awareness of applicable obligations</t>
        </is>
      </c>
      <c r="AR250" s="174" t="inlineStr">
        <is>
          <t>Regulatory Risk; Operational Risk; Reputational Risk — specific domains determined by framework scope</t>
        </is>
      </c>
      <c r="AS250" s="22" t="inlineStr">
        <is>
          <t>See official source — legal obligation, regulatory requirement, or voluntary standard as applicable</t>
        </is>
      </c>
      <c r="AT250" s="175" t="inlineStr">
        <is>
          <t>Administrative; Technical; Operational — specific distribution determined by framework content</t>
        </is>
      </c>
      <c r="AU250" s="180" t="inlineStr">
        <is>
          <t>1. Compliance status (compliant/non-compliant). 2. # open findings from last assessment. 3. % controls implemented. 4. Time to remediate findings. 5. Incident rate in framework scope area</t>
        </is>
      </c>
      <c r="AV250" s="181" t="inlineStr">
        <is>
          <t>Self-assessment; internal audit; external assessment as specified by issuing authority</t>
        </is>
      </c>
      <c r="AW250" s="182" t="inlineStr">
        <is>
          <t>ServiceNow GRC; IBM OpenPages; RSA Archer; MetricStream — all major GRC platforms support custom framework import. Contact vendor for framework-specific module</t>
        </is>
      </c>
      <c r="AX250" s="183" t="inlineStr">
        <is>
          <t>Third parties in scope must demonstrate equivalent compliance. Contractual compliance obligations; right-to-audit clauses; annual third-party assessment</t>
        </is>
      </c>
      <c r="AY250" s="184" t="inlineStr">
        <is>
          <t>Non-compliance: regulatory action by issuing authority; fines and penalties as specified; operational and reputational consequences</t>
        </is>
      </c>
      <c r="AZ250" s="181" t="inlineStr">
        <is>
          <t>Sector-specific — consult official source</t>
        </is>
      </c>
      <c r="BA250" s="41" t="inlineStr">
        <is>
          <t>Sector-Specific</t>
        </is>
      </c>
      <c r="BB250" s="591">
        <f>IF(E250="","",IF(ISNUMBER(SEARCH("Institutional theory and regulatory governance theory underpin",AI250)),"TEMPLATE",IF(LEN(AI250)&gt;100,"DEEP",IF(AI250="","SPARSE","SHALLOW"))))</f>
        <v/>
      </c>
      <c r="BC250" s="591">
        <f>IF(E250="","",D250&amp;"-"&amp;B250&amp;"-"&amp;E250)</f>
        <v/>
      </c>
      <c r="BD250" s="591">
        <f>IF(E250="","",SUBSTITUTE(SUBSTITUTE(B250&amp;"-"&amp;E250," ",""),":","-"))</f>
        <v/>
      </c>
      <c r="BE250" s="591">
        <f>IF(E250="","",IF(ISNUMBER(SEARCH("ECC",E250)),"NCA-ECC-2-2024",IF(ISNUMBER(SEARCH("OTCC",E250)),"NCA-ECC-2-2024",IF(ISNUMBER(SEARCH("CCC",E250)),"NCA-ECC-2-2024",IF(ISNUMBER(SEARCH("DCC",E250)),"NCA-ECC-2-2024",IF(ISNUMBER(SEARCH("CSCC",E250)),"NCA-ECC-2-2024",IF(ISNUMBER(SEARCH("PDPL-IR",E250)),"PDPL-2021",IF(ISNUMBER(SEARCH("PDPL-DTR",E250)),"PDPL-2021","NONE"))))))))</f>
        <v/>
      </c>
      <c r="BF250" s="594">
        <f>IF(E250="","",IF(BB250="DEEP",10,IF(BB250="SHALLOW",5,IF(BB250="TEMPLATE",3,1)))+IF(N250="HIGHEST",5,IF(N250="HIGH",3,IF(N250="MODERATE",1,0)))+IF(ISNUMBER(SEARCH("Mandatory",L250)),3,0))</f>
        <v/>
      </c>
    </row>
    <row r="251" ht="42" customHeight="1">
      <c r="A251" s="42" t="n">
        <v>226</v>
      </c>
      <c r="B251" s="185" t="inlineStr">
        <is>
          <t>SAAC</t>
        </is>
      </c>
      <c r="C251" s="44" t="inlineStr">
        <is>
          <t>Saudi Accreditation Centre</t>
        </is>
      </c>
      <c r="D251" s="44" t="inlineStr">
        <is>
          <t>7. Standards &amp; Quality</t>
        </is>
      </c>
      <c r="E251" s="185" t="inlineStr">
        <is>
          <t>NCA-ECC-2:2024</t>
        </is>
      </c>
      <c r="F251" s="45" t="inlineStr">
        <is>
          <t>Essential Cybersecurity Controls</t>
        </is>
      </c>
      <c r="G251" s="44" t="inlineStr">
        <is>
          <t>ضوابط الأمن السيبراني الأساسية</t>
        </is>
      </c>
      <c r="H251" s="44" t="inlineStr">
        <is>
          <t>ECC-2:2024</t>
        </is>
      </c>
      <c r="I251" s="46" t="inlineStr">
        <is>
          <t>2018</t>
        </is>
      </c>
      <c r="J251" s="46" t="inlineStr">
        <is>
          <t>108</t>
        </is>
      </c>
      <c r="K251" s="44" t="inlineStr">
        <is>
          <t>MUST COMPLY WITH</t>
        </is>
      </c>
      <c r="L251" s="66" t="inlineStr">
        <is>
          <t>Mandatory Complier</t>
        </is>
      </c>
      <c r="M251" s="44" t="inlineStr">
        <is>
          <t>Saudi Accreditation Centre as government entity</t>
        </is>
      </c>
      <c r="N251" s="59" t="inlineStr">
        <is>
          <t>LOW</t>
        </is>
      </c>
      <c r="O251" s="48" t="inlineStr">
        <is>
          <t>https://nca.gov.sa/</t>
        </is>
      </c>
      <c r="P251" s="44" t="inlineStr">
        <is>
          <t>NCA ECC scope</t>
        </is>
      </c>
      <c r="Q251" s="168" t="inlineStr">
        <is>
          <t>See official source for version history</t>
        </is>
      </c>
      <c r="R251" s="168" t="inlineStr">
        <is>
          <t>Framework issued by the relevant authority. Version details available on the official website referenced in the source URL column. The framework has been updated periodically since first issuance.</t>
        </is>
      </c>
      <c r="S251" s="170" t="inlineStr">
        <is>
          <t>See official source</t>
        </is>
      </c>
      <c r="T251" s="168" t="inlineStr">
        <is>
          <t>Updated as needed by the issuing authority</t>
        </is>
      </c>
      <c r="U251" s="25" t="inlineStr">
        <is>
          <t>CURRENT — consult official source for latest version</t>
        </is>
      </c>
      <c r="V251" s="168" t="inlineStr">
        <is>
          <t>Penalties defined by issuing authority; consult official source. NCA ECC-2 penalties apply if relevant</t>
        </is>
      </c>
      <c r="W251" s="169" t="inlineStr">
        <is>
          <t>Issuing authority and/or designated inspection department</t>
        </is>
      </c>
      <c r="X251" s="168" t="inlineStr">
        <is>
          <t>As specified in framework scope — consult official document</t>
        </is>
      </c>
      <c r="Y251" s="49" t="inlineStr">
        <is>
          <t>Both (unless specified otherwise in official document)</t>
        </is>
      </c>
      <c r="Z251" s="168" t="inlineStr">
        <is>
          <t>As defined by issuing authority</t>
        </is>
      </c>
      <c r="AA251" s="170" t="inlineStr">
        <is>
          <t>As defined by issuing authority</t>
        </is>
      </c>
      <c r="AB251" s="168" t="inlineStr">
        <is>
          <t>To be determined from framework text — see official source</t>
        </is>
      </c>
      <c r="AC251" s="168" t="inlineStr">
        <is>
          <t>See framework preamble for international standard references</t>
        </is>
      </c>
      <c r="AD251" s="49" t="inlineStr">
        <is>
          <t>Arabic (primary in KSA); English may be available</t>
        </is>
      </c>
      <c r="AE251" s="58" t="inlineStr">
        <is>
          <t>Mapped to relevant GH-ICGA layer — requires manual assessment</t>
        </is>
      </c>
      <c r="AF251" s="56" t="inlineStr">
        <is>
          <t>See official framework for maturity model details</t>
        </is>
      </c>
      <c r="AG251" s="168" t="inlineStr">
        <is>
          <t>Aligned with relevant Vision 2030 programme — see framework context</t>
        </is>
      </c>
      <c r="AH251" s="168" t="inlineStr">
        <is>
          <t>As specified in framework compliance requirements</t>
        </is>
      </c>
      <c r="AI251" s="173" t="inlineStr">
        <is>
          <t>Institutional theory and regulatory governance theory underpin all KSA regulatory frameworks. Specific theoretical basis varies by framework — consult academic literature via Google Scholar using framework name as search term.</t>
        </is>
      </c>
      <c r="AJ251" s="168" t="inlineStr">
        <is>
          <t>Academic debate varies by framework maturity and international adoption. For KSA-specific debate, consult: Almohammad &amp; Wills (2021) J Cybersecurity; Al-Khater et al. (2020) IEEE Access; Baker McKenzie KSA regulatory updates.</t>
        </is>
      </c>
      <c r="AK251" s="174" t="inlineStr">
        <is>
          <t>Known criticisms include: implementation gap between standards and practice; resource constraints for smaller healthcare entities; rapid technology evolution outpacing regulation. Consult framework evaluation literature for specifics.</t>
        </is>
      </c>
      <c r="AL251" s="175" t="inlineStr">
        <is>
          <t>Framework comparison requires contextual analysis. Key comparators: NIST CSF 2.0 (international benchmark), ISO 27001 (certifiable standard), ECC-2 (KSA mandatory baseline). See main database for cross-framework mapping.</t>
        </is>
      </c>
      <c r="AM251" s="1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51" s="177" t="inlineStr">
        <is>
          <t>Official: Consult the official source URL in the database for the primary document. Training: ISACA, ISC2, RAPS, IAPP, and HIMSS offer professional development covering most regulatory domains. Estimated hours vary by framework complexity.</t>
        </is>
      </c>
      <c r="AO251" s="178" t="inlineStr">
        <is>
          <t>Relevance to GH-ICGA framework varies by layer — see GH-ICGA Layer Mapping column. All KSA mandatory frameworks are compliance inputs to GH-ICGA Layer 4. Frameworks with IoMT-specific provisions directly inform Layers 2 and 3.</t>
        </is>
      </c>
      <c r="AP251" s="51" t="inlineStr">
        <is>
          <t>G + C (Governance + Compliance — standard regulatory framework positioning)</t>
        </is>
      </c>
      <c r="AQ251" s="179" t="inlineStr">
        <is>
          <t>Senior management: accountability for framework compliance. Designated compliance officer: monitor requirements. All staff: awareness of applicable obligations</t>
        </is>
      </c>
      <c r="AR251" s="174" t="inlineStr">
        <is>
          <t>Regulatory Risk; Operational Risk; Reputational Risk — specific domains determined by framework scope</t>
        </is>
      </c>
      <c r="AS251" s="22" t="inlineStr">
        <is>
          <t>See official source — legal obligation, regulatory requirement, or voluntary standard as applicable</t>
        </is>
      </c>
      <c r="AT251" s="175" t="inlineStr">
        <is>
          <t>Administrative; Technical; Operational — specific distribution determined by framework content</t>
        </is>
      </c>
      <c r="AU251" s="180" t="inlineStr">
        <is>
          <t>1. Compliance status (compliant/non-compliant). 2. # open findings from last assessment. 3. % controls implemented. 4. Time to remediate findings. 5. Incident rate in framework scope area</t>
        </is>
      </c>
      <c r="AV251" s="181" t="inlineStr">
        <is>
          <t>Self-assessment; internal audit; external assessment as specified by issuing authority</t>
        </is>
      </c>
      <c r="AW251" s="182" t="inlineStr">
        <is>
          <t>ServiceNow GRC; IBM OpenPages; RSA Archer; MetricStream — all major GRC platforms support custom framework import. Contact vendor for framework-specific module</t>
        </is>
      </c>
      <c r="AX251" s="183" t="inlineStr">
        <is>
          <t>Third parties in scope must demonstrate equivalent compliance. Contractual compliance obligations; right-to-audit clauses; annual third-party assessment</t>
        </is>
      </c>
      <c r="AY251" s="184" t="inlineStr">
        <is>
          <t>Non-compliance: regulatory action by issuing authority; fines and penalties as specified; operational and reputational consequences</t>
        </is>
      </c>
      <c r="AZ251" s="181" t="inlineStr">
        <is>
          <t>ALL 17 SECTORS</t>
        </is>
      </c>
      <c r="BA251" s="34" t="inlineStr">
        <is>
          <t>YES — ALL SECTORS</t>
        </is>
      </c>
      <c r="BB251" s="591">
        <f>IF(E251="","",IF(ISNUMBER(SEARCH("Institutional theory and regulatory governance theory underpin",AI251)),"TEMPLATE",IF(LEN(AI251)&gt;100,"DEEP",IF(AI251="","SPARSE","SHALLOW"))))</f>
        <v/>
      </c>
      <c r="BC251" s="591">
        <f>IF(E251="","",D251&amp;"-"&amp;B251&amp;"-"&amp;E251)</f>
        <v/>
      </c>
      <c r="BD251" s="591">
        <f>IF(E251="","",SUBSTITUTE(SUBSTITUTE(B251&amp;"-"&amp;E251," ",""),":","-"))</f>
        <v/>
      </c>
      <c r="BE251" s="591">
        <f>IF(E251="","",IF(ISNUMBER(SEARCH("ECC",E251)),"NCA-ECC-2-2024",IF(ISNUMBER(SEARCH("OTCC",E251)),"NCA-ECC-2-2024",IF(ISNUMBER(SEARCH("CCC",E251)),"NCA-ECC-2-2024",IF(ISNUMBER(SEARCH("DCC",E251)),"NCA-ECC-2-2024",IF(ISNUMBER(SEARCH("CSCC",E251)),"NCA-ECC-2-2024",IF(ISNUMBER(SEARCH("PDPL-IR",E251)),"PDPL-2021",IF(ISNUMBER(SEARCH("PDPL-DTR",E251)),"PDPL-2021","NONE"))))))))</f>
        <v/>
      </c>
      <c r="BF251" s="594">
        <f>IF(E251="","",IF(BB251="DEEP",10,IF(BB251="SHALLOW",5,IF(BB251="TEMPLATE",3,1)))+IF(N251="HIGHEST",5,IF(N251="HIGH",3,IF(N251="MODERATE",1,0)))+IF(ISNUMBER(SEARCH("Mandatory",L251)),3,0))</f>
        <v/>
      </c>
    </row>
    <row r="252" ht="42" customHeight="1">
      <c r="A252" s="166" t="n">
        <v>227</v>
      </c>
      <c r="B252" s="167" t="inlineStr">
        <is>
          <t>GASTAT</t>
        </is>
      </c>
      <c r="C252" s="168" t="inlineStr">
        <is>
          <t>General Authority for Statistics</t>
        </is>
      </c>
      <c r="D252" s="168" t="inlineStr">
        <is>
          <t>7. Standards &amp; Quality</t>
        </is>
      </c>
      <c r="E252" s="167" t="inlineStr">
        <is>
          <t>GASTAT-FW</t>
        </is>
      </c>
      <c r="F252" s="169" t="inlineStr">
        <is>
          <t>National Statistics &amp; Health Reporting Standards</t>
        </is>
      </c>
      <c r="G252" s="168" t="inlineStr">
        <is>
          <t>الإطار التنظيمي الرئيسي</t>
        </is>
      </c>
      <c r="H252" s="168" t="inlineStr">
        <is>
          <t>Active/Updated</t>
        </is>
      </c>
      <c r="I252" s="170" t="inlineStr">
        <is>
          <t>2017</t>
        </is>
      </c>
      <c r="J252" s="170" t="inlineStr">
        <is>
          <t>N/A</t>
        </is>
      </c>
      <c r="K252" s="168" t="inlineStr">
        <is>
          <t>ISSUES/ENFORCES</t>
        </is>
      </c>
      <c r="L252" s="22" t="inlineStr">
        <is>
          <t>Mandatory Enforcer</t>
        </is>
      </c>
      <c r="M252" s="168" t="inlineStr">
        <is>
          <t>Entities regulated by this authority</t>
        </is>
      </c>
      <c r="N252" s="186" t="inlineStr">
        <is>
          <t>MODERATE</t>
        </is>
      </c>
      <c r="O252" s="172" t="inlineStr">
        <is>
          <t>https://www.gov.sa/</t>
        </is>
      </c>
      <c r="P252" s="168" t="inlineStr">
        <is>
          <t>Ministry/Authority official site</t>
        </is>
      </c>
      <c r="Q252" s="168" t="inlineStr">
        <is>
          <t>See official source for version history</t>
        </is>
      </c>
      <c r="R252" s="168" t="inlineStr">
        <is>
          <t>Framework issued by the relevant authority. Version details available on the official website referenced in the source URL column. The framework has been updated periodically since first issuance.</t>
        </is>
      </c>
      <c r="S252" s="170" t="inlineStr">
        <is>
          <t>See official source</t>
        </is>
      </c>
      <c r="T252" s="168" t="inlineStr">
        <is>
          <t>Updated as needed by the issuing authority</t>
        </is>
      </c>
      <c r="U252" s="25" t="inlineStr">
        <is>
          <t>CURRENT — consult official source for latest version</t>
        </is>
      </c>
      <c r="V252" s="168" t="inlineStr">
        <is>
          <t>Penalties defined by issuing authority; consult official source. NCA ECC-2 penalties apply if relevant</t>
        </is>
      </c>
      <c r="W252" s="169" t="inlineStr">
        <is>
          <t>Issuing authority and/or designated inspection department</t>
        </is>
      </c>
      <c r="X252" s="168" t="inlineStr">
        <is>
          <t>As specified in framework scope — consult official document</t>
        </is>
      </c>
      <c r="Y252" s="49" t="inlineStr">
        <is>
          <t>Both (unless specified otherwise in official document)</t>
        </is>
      </c>
      <c r="Z252" s="168" t="inlineStr">
        <is>
          <t>As defined by issuing authority</t>
        </is>
      </c>
      <c r="AA252" s="170" t="inlineStr">
        <is>
          <t>As defined by issuing authority</t>
        </is>
      </c>
      <c r="AB252" s="168" t="inlineStr">
        <is>
          <t>To be determined from framework text — see official source</t>
        </is>
      </c>
      <c r="AC252" s="168" t="inlineStr">
        <is>
          <t>See framework preamble for international standard references</t>
        </is>
      </c>
      <c r="AD252" s="49" t="inlineStr">
        <is>
          <t>Arabic (primary in KSA); English may be available</t>
        </is>
      </c>
      <c r="AE252" s="58" t="inlineStr">
        <is>
          <t>Mapped to relevant GH-ICGA layer — requires manual assessment</t>
        </is>
      </c>
      <c r="AF252" s="56" t="inlineStr">
        <is>
          <t>See official framework for maturity model details</t>
        </is>
      </c>
      <c r="AG252" s="168" t="inlineStr">
        <is>
          <t>Aligned with relevant Vision 2030 programme — see framework context</t>
        </is>
      </c>
      <c r="AH252" s="168" t="inlineStr">
        <is>
          <t>As specified in framework compliance requirements</t>
        </is>
      </c>
      <c r="AI252" s="173" t="inlineStr">
        <is>
          <t>Institutional theory and regulatory governance theory underpin all KSA regulatory frameworks. Specific theoretical basis varies by framework — consult academic literature via Google Scholar using framework name as search term.</t>
        </is>
      </c>
      <c r="AJ252" s="168" t="inlineStr">
        <is>
          <t>Academic debate varies by framework maturity and international adoption. For KSA-specific debate, consult: Almohammad &amp; Wills (2021) J Cybersecurity; Al-Khater et al. (2020) IEEE Access; Baker McKenzie KSA regulatory updates.</t>
        </is>
      </c>
      <c r="AK252" s="174" t="inlineStr">
        <is>
          <t>Known criticisms include: implementation gap between standards and practice; resource constraints for smaller healthcare entities; rapid technology evolution outpacing regulation. Consult framework evaluation literature for specifics.</t>
        </is>
      </c>
      <c r="AL252" s="175" t="inlineStr">
        <is>
          <t>Framework comparison requires contextual analysis. Key comparators: NIST CSF 2.0 (international benchmark), ISO 27001 (certifiable standard), ECC-2 (KSA mandatory baseline). See main database for cross-framework mapping.</t>
        </is>
      </c>
      <c r="AM252" s="1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52" s="177" t="inlineStr">
        <is>
          <t>Official: Consult the official source URL in the database for the primary document. Training: ISACA, ISC2, RAPS, IAPP, and HIMSS offer professional development covering most regulatory domains. Estimated hours vary by framework complexity.</t>
        </is>
      </c>
      <c r="AO252" s="178" t="inlineStr">
        <is>
          <t>Relevance to GH-ICGA framework varies by layer — see GH-ICGA Layer Mapping column. All KSA mandatory frameworks are compliance inputs to GH-ICGA Layer 4. Frameworks with IoMT-specific provisions directly inform Layers 2 and 3.</t>
        </is>
      </c>
      <c r="AP252" s="51" t="inlineStr">
        <is>
          <t>G + C (Governance + Compliance — standard regulatory framework positioning)</t>
        </is>
      </c>
      <c r="AQ252" s="179" t="inlineStr">
        <is>
          <t>Senior management: accountability for framework compliance. Designated compliance officer: monitor requirements. All staff: awareness of applicable obligations</t>
        </is>
      </c>
      <c r="AR252" s="174" t="inlineStr">
        <is>
          <t>Regulatory Risk; Operational Risk; Reputational Risk — specific domains determined by framework scope</t>
        </is>
      </c>
      <c r="AS252" s="22" t="inlineStr">
        <is>
          <t>See official source — legal obligation, regulatory requirement, or voluntary standard as applicable</t>
        </is>
      </c>
      <c r="AT252" s="175" t="inlineStr">
        <is>
          <t>Administrative; Technical; Operational — specific distribution determined by framework content</t>
        </is>
      </c>
      <c r="AU252" s="180" t="inlineStr">
        <is>
          <t>1. Compliance status (compliant/non-compliant). 2. # open findings from last assessment. 3. % controls implemented. 4. Time to remediate findings. 5. Incident rate in framework scope area</t>
        </is>
      </c>
      <c r="AV252" s="181" t="inlineStr">
        <is>
          <t>Self-assessment; internal audit; external assessment as specified by issuing authority</t>
        </is>
      </c>
      <c r="AW252" s="182" t="inlineStr">
        <is>
          <t>ServiceNow GRC; IBM OpenPages; RSA Archer; MetricStream — all major GRC platforms support custom framework import. Contact vendor for framework-specific module</t>
        </is>
      </c>
      <c r="AX252" s="183" t="inlineStr">
        <is>
          <t>Third parties in scope must demonstrate equivalent compliance. Contractual compliance obligations; right-to-audit clauses; annual third-party assessment</t>
        </is>
      </c>
      <c r="AY252" s="184" t="inlineStr">
        <is>
          <t>Non-compliance: regulatory action by issuing authority; fines and penalties as specified; operational and reputational consequences</t>
        </is>
      </c>
      <c r="AZ252" s="181" t="inlineStr">
        <is>
          <t>Sector-specific — consult official source</t>
        </is>
      </c>
      <c r="BA252" s="41" t="inlineStr">
        <is>
          <t>Sector-Specific</t>
        </is>
      </c>
      <c r="BB252" s="591">
        <f>IF(E252="","",IF(ISNUMBER(SEARCH("Institutional theory and regulatory governance theory underpin",AI252)),"TEMPLATE",IF(LEN(AI252)&gt;100,"DEEP",IF(AI252="","SPARSE","SHALLOW"))))</f>
        <v/>
      </c>
      <c r="BC252" s="591">
        <f>IF(E252="","",D252&amp;"-"&amp;B252&amp;"-"&amp;E252)</f>
        <v/>
      </c>
      <c r="BD252" s="591">
        <f>IF(E252="","",SUBSTITUTE(SUBSTITUTE(B252&amp;"-"&amp;E252," ",""),":","-"))</f>
        <v/>
      </c>
      <c r="BE252" s="591">
        <f>IF(E252="","",IF(ISNUMBER(SEARCH("ECC",E252)),"NCA-ECC-2-2024",IF(ISNUMBER(SEARCH("OTCC",E252)),"NCA-ECC-2-2024",IF(ISNUMBER(SEARCH("CCC",E252)),"NCA-ECC-2-2024",IF(ISNUMBER(SEARCH("DCC",E252)),"NCA-ECC-2-2024",IF(ISNUMBER(SEARCH("CSCC",E252)),"NCA-ECC-2-2024",IF(ISNUMBER(SEARCH("PDPL-IR",E252)),"PDPL-2021",IF(ISNUMBER(SEARCH("PDPL-DTR",E252)),"PDPL-2021","NONE"))))))))</f>
        <v/>
      </c>
      <c r="BF252" s="594">
        <f>IF(E252="","",IF(BB252="DEEP",10,IF(BB252="SHALLOW",5,IF(BB252="TEMPLATE",3,1)))+IF(N252="HIGHEST",5,IF(N252="HIGH",3,IF(N252="MODERATE",1,0)))+IF(ISNUMBER(SEARCH("Mandatory",L252)),3,0))</f>
        <v/>
      </c>
    </row>
    <row r="253" ht="42" customHeight="1">
      <c r="A253" s="42" t="n">
        <v>228</v>
      </c>
      <c r="B253" s="185" t="inlineStr">
        <is>
          <t>GASTAT</t>
        </is>
      </c>
      <c r="C253" s="44" t="inlineStr">
        <is>
          <t>General Authority for Statistics</t>
        </is>
      </c>
      <c r="D253" s="44" t="inlineStr">
        <is>
          <t>7. Standards &amp; Quality</t>
        </is>
      </c>
      <c r="E253" s="185" t="inlineStr">
        <is>
          <t>NCA-ECC-2:2024</t>
        </is>
      </c>
      <c r="F253" s="45" t="inlineStr">
        <is>
          <t>Essential Cybersecurity Controls</t>
        </is>
      </c>
      <c r="G253" s="44" t="inlineStr">
        <is>
          <t>ضوابط الأمن السيبراني الأساسية</t>
        </is>
      </c>
      <c r="H253" s="44" t="inlineStr">
        <is>
          <t>ECC-2:2024</t>
        </is>
      </c>
      <c r="I253" s="46" t="inlineStr">
        <is>
          <t>2018</t>
        </is>
      </c>
      <c r="J253" s="46" t="inlineStr">
        <is>
          <t>108</t>
        </is>
      </c>
      <c r="K253" s="44" t="inlineStr">
        <is>
          <t>MUST COMPLY WITH</t>
        </is>
      </c>
      <c r="L253" s="66" t="inlineStr">
        <is>
          <t>Mandatory Complier</t>
        </is>
      </c>
      <c r="M253" s="44" t="inlineStr">
        <is>
          <t>General Authority for Statistics as government entity</t>
        </is>
      </c>
      <c r="N253" s="59" t="inlineStr">
        <is>
          <t>LOW</t>
        </is>
      </c>
      <c r="O253" s="48" t="inlineStr">
        <is>
          <t>https://nca.gov.sa/</t>
        </is>
      </c>
      <c r="P253" s="44" t="inlineStr">
        <is>
          <t>NCA ECC scope</t>
        </is>
      </c>
      <c r="Q253" s="168" t="inlineStr">
        <is>
          <t>See official source for version history</t>
        </is>
      </c>
      <c r="R253" s="168" t="inlineStr">
        <is>
          <t>Framework issued by the relevant authority. Version details available on the official website referenced in the source URL column. The framework has been updated periodically since first issuance.</t>
        </is>
      </c>
      <c r="S253" s="170" t="inlineStr">
        <is>
          <t>See official source</t>
        </is>
      </c>
      <c r="T253" s="168" t="inlineStr">
        <is>
          <t>Updated as needed by the issuing authority</t>
        </is>
      </c>
      <c r="U253" s="25" t="inlineStr">
        <is>
          <t>CURRENT — consult official source for latest version</t>
        </is>
      </c>
      <c r="V253" s="168" t="inlineStr">
        <is>
          <t>Penalties defined by issuing authority; consult official source. NCA ECC-2 penalties apply if relevant</t>
        </is>
      </c>
      <c r="W253" s="169" t="inlineStr">
        <is>
          <t>Issuing authority and/or designated inspection department</t>
        </is>
      </c>
      <c r="X253" s="168" t="inlineStr">
        <is>
          <t>As specified in framework scope — consult official document</t>
        </is>
      </c>
      <c r="Y253" s="49" t="inlineStr">
        <is>
          <t>Both (unless specified otherwise in official document)</t>
        </is>
      </c>
      <c r="Z253" s="168" t="inlineStr">
        <is>
          <t>As defined by issuing authority</t>
        </is>
      </c>
      <c r="AA253" s="170" t="inlineStr">
        <is>
          <t>As defined by issuing authority</t>
        </is>
      </c>
      <c r="AB253" s="168" t="inlineStr">
        <is>
          <t>To be determined from framework text — see official source</t>
        </is>
      </c>
      <c r="AC253" s="168" t="inlineStr">
        <is>
          <t>See framework preamble for international standard references</t>
        </is>
      </c>
      <c r="AD253" s="49" t="inlineStr">
        <is>
          <t>Arabic (primary in KSA); English may be available</t>
        </is>
      </c>
      <c r="AE253" s="58" t="inlineStr">
        <is>
          <t>Mapped to relevant GH-ICGA layer — requires manual assessment</t>
        </is>
      </c>
      <c r="AF253" s="56" t="inlineStr">
        <is>
          <t>See official framework for maturity model details</t>
        </is>
      </c>
      <c r="AG253" s="168" t="inlineStr">
        <is>
          <t>Aligned with relevant Vision 2030 programme — see framework context</t>
        </is>
      </c>
      <c r="AH253" s="168" t="inlineStr">
        <is>
          <t>As specified in framework compliance requirements</t>
        </is>
      </c>
      <c r="AI253" s="173" t="inlineStr">
        <is>
          <t>Institutional theory and regulatory governance theory underpin all KSA regulatory frameworks. Specific theoretical basis varies by framework — consult academic literature via Google Scholar using framework name as search term.</t>
        </is>
      </c>
      <c r="AJ253" s="168" t="inlineStr">
        <is>
          <t>Academic debate varies by framework maturity and international adoption. For KSA-specific debate, consult: Almohammad &amp; Wills (2021) J Cybersecurity; Al-Khater et al. (2020) IEEE Access; Baker McKenzie KSA regulatory updates.</t>
        </is>
      </c>
      <c r="AK253" s="174" t="inlineStr">
        <is>
          <t>Known criticisms include: implementation gap between standards and practice; resource constraints for smaller healthcare entities; rapid technology evolution outpacing regulation. Consult framework evaluation literature for specifics.</t>
        </is>
      </c>
      <c r="AL253" s="175" t="inlineStr">
        <is>
          <t>Framework comparison requires contextual analysis. Key comparators: NIST CSF 2.0 (international benchmark), ISO 27001 (certifiable standard), ECC-2 (KSA mandatory baseline). See main database for cross-framework mapping.</t>
        </is>
      </c>
      <c r="AM253" s="1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53" s="177" t="inlineStr">
        <is>
          <t>Official: Consult the official source URL in the database for the primary document. Training: ISACA, ISC2, RAPS, IAPP, and HIMSS offer professional development covering most regulatory domains. Estimated hours vary by framework complexity.</t>
        </is>
      </c>
      <c r="AO253" s="178" t="inlineStr">
        <is>
          <t>Relevance to GH-ICGA framework varies by layer — see GH-ICGA Layer Mapping column. All KSA mandatory frameworks are compliance inputs to GH-ICGA Layer 4. Frameworks with IoMT-specific provisions directly inform Layers 2 and 3.</t>
        </is>
      </c>
      <c r="AP253" s="51" t="inlineStr">
        <is>
          <t>G + C (Governance + Compliance — standard regulatory framework positioning)</t>
        </is>
      </c>
      <c r="AQ253" s="179" t="inlineStr">
        <is>
          <t>Senior management: accountability for framework compliance. Designated compliance officer: monitor requirements. All staff: awareness of applicable obligations</t>
        </is>
      </c>
      <c r="AR253" s="174" t="inlineStr">
        <is>
          <t>Regulatory Risk; Operational Risk; Reputational Risk — specific domains determined by framework scope</t>
        </is>
      </c>
      <c r="AS253" s="22" t="inlineStr">
        <is>
          <t>See official source — legal obligation, regulatory requirement, or voluntary standard as applicable</t>
        </is>
      </c>
      <c r="AT253" s="175" t="inlineStr">
        <is>
          <t>Administrative; Technical; Operational — specific distribution determined by framework content</t>
        </is>
      </c>
      <c r="AU253" s="180" t="inlineStr">
        <is>
          <t>1. Compliance status (compliant/non-compliant). 2. # open findings from last assessment. 3. % controls implemented. 4. Time to remediate findings. 5. Incident rate in framework scope area</t>
        </is>
      </c>
      <c r="AV253" s="181" t="inlineStr">
        <is>
          <t>Self-assessment; internal audit; external assessment as specified by issuing authority</t>
        </is>
      </c>
      <c r="AW253" s="182" t="inlineStr">
        <is>
          <t>ServiceNow GRC; IBM OpenPages; RSA Archer; MetricStream — all major GRC platforms support custom framework import. Contact vendor for framework-specific module</t>
        </is>
      </c>
      <c r="AX253" s="183" t="inlineStr">
        <is>
          <t>Third parties in scope must demonstrate equivalent compliance. Contractual compliance obligations; right-to-audit clauses; annual third-party assessment</t>
        </is>
      </c>
      <c r="AY253" s="184" t="inlineStr">
        <is>
          <t>Non-compliance: regulatory action by issuing authority; fines and penalties as specified; operational and reputational consequences</t>
        </is>
      </c>
      <c r="AZ253" s="181" t="inlineStr">
        <is>
          <t>ALL 17 SECTORS</t>
        </is>
      </c>
      <c r="BA253" s="34" t="inlineStr">
        <is>
          <t>YES — ALL SECTORS</t>
        </is>
      </c>
      <c r="BB253" s="591">
        <f>IF(E253="","",IF(ISNUMBER(SEARCH("Institutional theory and regulatory governance theory underpin",AI253)),"TEMPLATE",IF(LEN(AI253)&gt;100,"DEEP",IF(AI253="","SPARSE","SHALLOW"))))</f>
        <v/>
      </c>
      <c r="BC253" s="591">
        <f>IF(E253="","",D253&amp;"-"&amp;B253&amp;"-"&amp;E253)</f>
        <v/>
      </c>
      <c r="BD253" s="591">
        <f>IF(E253="","",SUBSTITUTE(SUBSTITUTE(B253&amp;"-"&amp;E253," ",""),":","-"))</f>
        <v/>
      </c>
      <c r="BE253" s="591">
        <f>IF(E253="","",IF(ISNUMBER(SEARCH("ECC",E253)),"NCA-ECC-2-2024",IF(ISNUMBER(SEARCH("OTCC",E253)),"NCA-ECC-2-2024",IF(ISNUMBER(SEARCH("CCC",E253)),"NCA-ECC-2-2024",IF(ISNUMBER(SEARCH("DCC",E253)),"NCA-ECC-2-2024",IF(ISNUMBER(SEARCH("CSCC",E253)),"NCA-ECC-2-2024",IF(ISNUMBER(SEARCH("PDPL-IR",E253)),"PDPL-2021",IF(ISNUMBER(SEARCH("PDPL-DTR",E253)),"PDPL-2021","NONE"))))))))</f>
        <v/>
      </c>
      <c r="BF253" s="594">
        <f>IF(E253="","",IF(BB253="DEEP",10,IF(BB253="SHALLOW",5,IF(BB253="TEMPLATE",3,1)))+IF(N253="HIGHEST",5,IF(N253="HIGH",3,IF(N253="MODERATE",1,0)))+IF(ISNUMBER(SEARCH("Mandatory",L253)),3,0))</f>
        <v/>
      </c>
    </row>
    <row r="254" ht="42" customHeight="1">
      <c r="A254" s="166" t="n">
        <v>229</v>
      </c>
      <c r="B254" s="167" t="inlineStr">
        <is>
          <t>SAFCSP</t>
        </is>
      </c>
      <c r="C254" s="168" t="inlineStr">
        <is>
          <t>Saudi Org. for Certified Public Accountants</t>
        </is>
      </c>
      <c r="D254" s="168" t="inlineStr">
        <is>
          <t>7. Standards &amp; Quality</t>
        </is>
      </c>
      <c r="E254" s="167" t="inlineStr">
        <is>
          <t>SAFCSP-FW</t>
        </is>
      </c>
      <c r="F254" s="169" t="inlineStr">
        <is>
          <t>IFRS &amp; Auditing Standards</t>
        </is>
      </c>
      <c r="G254" s="168" t="inlineStr">
        <is>
          <t>الإطار التنظيمي الرئيسي</t>
        </is>
      </c>
      <c r="H254" s="168" t="inlineStr">
        <is>
          <t>Active/Updated</t>
        </is>
      </c>
      <c r="I254" s="170" t="inlineStr">
        <is>
          <t>2004</t>
        </is>
      </c>
      <c r="J254" s="170" t="inlineStr">
        <is>
          <t>N/A</t>
        </is>
      </c>
      <c r="K254" s="168" t="inlineStr">
        <is>
          <t>ISSUES/ENFORCES</t>
        </is>
      </c>
      <c r="L254" s="22" t="inlineStr">
        <is>
          <t>Mandatory Enforcer</t>
        </is>
      </c>
      <c r="M254" s="168" t="inlineStr">
        <is>
          <t>Entities regulated by this authority</t>
        </is>
      </c>
      <c r="N254" s="186" t="inlineStr">
        <is>
          <t>MODERATE</t>
        </is>
      </c>
      <c r="O254" s="172" t="inlineStr">
        <is>
          <t>https://www.gov.sa/</t>
        </is>
      </c>
      <c r="P254" s="168" t="inlineStr">
        <is>
          <t>Ministry/Authority official site</t>
        </is>
      </c>
      <c r="Q254" s="168" t="inlineStr">
        <is>
          <t>See official source for version history</t>
        </is>
      </c>
      <c r="R254" s="168" t="inlineStr">
        <is>
          <t>Framework issued by the relevant authority. Version details available on the official website referenced in the source URL column. The framework has been updated periodically since first issuance.</t>
        </is>
      </c>
      <c r="S254" s="170" t="inlineStr">
        <is>
          <t>See official source</t>
        </is>
      </c>
      <c r="T254" s="168" t="inlineStr">
        <is>
          <t>Updated as needed by the issuing authority</t>
        </is>
      </c>
      <c r="U254" s="25" t="inlineStr">
        <is>
          <t>CURRENT — consult official source for latest version</t>
        </is>
      </c>
      <c r="V254" s="168" t="inlineStr">
        <is>
          <t>Penalties defined by issuing authority; consult official source. NCA ECC-2 penalties apply if relevant</t>
        </is>
      </c>
      <c r="W254" s="169" t="inlineStr">
        <is>
          <t>Issuing authority and/or designated inspection department</t>
        </is>
      </c>
      <c r="X254" s="168" t="inlineStr">
        <is>
          <t>As specified in framework scope — consult official document</t>
        </is>
      </c>
      <c r="Y254" s="49" t="inlineStr">
        <is>
          <t>Both (unless specified otherwise in official document)</t>
        </is>
      </c>
      <c r="Z254" s="168" t="inlineStr">
        <is>
          <t>As defined by issuing authority</t>
        </is>
      </c>
      <c r="AA254" s="170" t="inlineStr">
        <is>
          <t>As defined by issuing authority</t>
        </is>
      </c>
      <c r="AB254" s="168" t="inlineStr">
        <is>
          <t>To be determined from framework text — see official source</t>
        </is>
      </c>
      <c r="AC254" s="168" t="inlineStr">
        <is>
          <t>See framework preamble for international standard references</t>
        </is>
      </c>
      <c r="AD254" s="49" t="inlineStr">
        <is>
          <t>Arabic (primary in KSA); English may be available</t>
        </is>
      </c>
      <c r="AE254" s="58" t="inlineStr">
        <is>
          <t>Mapped to relevant GH-ICGA layer — requires manual assessment</t>
        </is>
      </c>
      <c r="AF254" s="56" t="inlineStr">
        <is>
          <t>See official framework for maturity model details</t>
        </is>
      </c>
      <c r="AG254" s="168" t="inlineStr">
        <is>
          <t>Aligned with relevant Vision 2030 programme — see framework context</t>
        </is>
      </c>
      <c r="AH254" s="168" t="inlineStr">
        <is>
          <t>As specified in framework compliance requirements</t>
        </is>
      </c>
      <c r="AI254" s="173" t="inlineStr">
        <is>
          <t>Institutional theory and regulatory governance theory underpin all KSA regulatory frameworks. Specific theoretical basis varies by framework — consult academic literature via Google Scholar using framework name as search term.</t>
        </is>
      </c>
      <c r="AJ254" s="168" t="inlineStr">
        <is>
          <t>Academic debate varies by framework maturity and international adoption. For KSA-specific debate, consult: Almohammad &amp; Wills (2021) J Cybersecurity; Al-Khater et al. (2020) IEEE Access; Baker McKenzie KSA regulatory updates.</t>
        </is>
      </c>
      <c r="AK254" s="174" t="inlineStr">
        <is>
          <t>Known criticisms include: implementation gap between standards and practice; resource constraints for smaller healthcare entities; rapid technology evolution outpacing regulation. Consult framework evaluation literature for specifics.</t>
        </is>
      </c>
      <c r="AL254" s="175" t="inlineStr">
        <is>
          <t>Framework comparison requires contextual analysis. Key comparators: NIST CSF 2.0 (international benchmark), ISO 27001 (certifiable standard), ECC-2 (KSA mandatory baseline). See main database for cross-framework mapping.</t>
        </is>
      </c>
      <c r="AM254" s="1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54" s="177" t="inlineStr">
        <is>
          <t>Official: Consult the official source URL in the database for the primary document. Training: ISACA, ISC2, RAPS, IAPP, and HIMSS offer professional development covering most regulatory domains. Estimated hours vary by framework complexity.</t>
        </is>
      </c>
      <c r="AO254" s="178" t="inlineStr">
        <is>
          <t>Relevance to GH-ICGA framework varies by layer — see GH-ICGA Layer Mapping column. All KSA mandatory frameworks are compliance inputs to GH-ICGA Layer 4. Frameworks with IoMT-specific provisions directly inform Layers 2 and 3.</t>
        </is>
      </c>
      <c r="AP254" s="51" t="inlineStr">
        <is>
          <t>G + C (Governance + Compliance — standard regulatory framework positioning)</t>
        </is>
      </c>
      <c r="AQ254" s="179" t="inlineStr">
        <is>
          <t>Senior management: accountability for framework compliance. Designated compliance officer: monitor requirements. All staff: awareness of applicable obligations</t>
        </is>
      </c>
      <c r="AR254" s="174" t="inlineStr">
        <is>
          <t>Regulatory Risk; Operational Risk; Reputational Risk — specific domains determined by framework scope</t>
        </is>
      </c>
      <c r="AS254" s="22" t="inlineStr">
        <is>
          <t>See official source — legal obligation, regulatory requirement, or voluntary standard as applicable</t>
        </is>
      </c>
      <c r="AT254" s="175" t="inlineStr">
        <is>
          <t>Administrative; Technical; Operational — specific distribution determined by framework content</t>
        </is>
      </c>
      <c r="AU254" s="180" t="inlineStr">
        <is>
          <t>1. Compliance status (compliant/non-compliant). 2. # open findings from last assessment. 3. % controls implemented. 4. Time to remediate findings. 5. Incident rate in framework scope area</t>
        </is>
      </c>
      <c r="AV254" s="181" t="inlineStr">
        <is>
          <t>Self-assessment; internal audit; external assessment as specified by issuing authority</t>
        </is>
      </c>
      <c r="AW254" s="182" t="inlineStr">
        <is>
          <t>ServiceNow GRC; IBM OpenPages; RSA Archer; MetricStream — all major GRC platforms support custom framework import. Contact vendor for framework-specific module</t>
        </is>
      </c>
      <c r="AX254" s="183" t="inlineStr">
        <is>
          <t>Third parties in scope must demonstrate equivalent compliance. Contractual compliance obligations; right-to-audit clauses; annual third-party assessment</t>
        </is>
      </c>
      <c r="AY254" s="184" t="inlineStr">
        <is>
          <t>Non-compliance: regulatory action by issuing authority; fines and penalties as specified; operational and reputational consequences</t>
        </is>
      </c>
      <c r="AZ254" s="181" t="inlineStr">
        <is>
          <t>Sector-specific — consult official source</t>
        </is>
      </c>
      <c r="BA254" s="41" t="inlineStr">
        <is>
          <t>Sector-Specific</t>
        </is>
      </c>
      <c r="BB254" s="591">
        <f>IF(E254="","",IF(ISNUMBER(SEARCH("Institutional theory and regulatory governance theory underpin",AI254)),"TEMPLATE",IF(LEN(AI254)&gt;100,"DEEP",IF(AI254="","SPARSE","SHALLOW"))))</f>
        <v/>
      </c>
      <c r="BC254" s="591">
        <f>IF(E254="","",D254&amp;"-"&amp;B254&amp;"-"&amp;E254)</f>
        <v/>
      </c>
      <c r="BD254" s="591">
        <f>IF(E254="","",SUBSTITUTE(SUBSTITUTE(B254&amp;"-"&amp;E254," ",""),":","-"))</f>
        <v/>
      </c>
      <c r="BE254" s="591">
        <f>IF(E254="","",IF(ISNUMBER(SEARCH("ECC",E254)),"NCA-ECC-2-2024",IF(ISNUMBER(SEARCH("OTCC",E254)),"NCA-ECC-2-2024",IF(ISNUMBER(SEARCH("CCC",E254)),"NCA-ECC-2-2024",IF(ISNUMBER(SEARCH("DCC",E254)),"NCA-ECC-2-2024",IF(ISNUMBER(SEARCH("CSCC",E254)),"NCA-ECC-2-2024",IF(ISNUMBER(SEARCH("PDPL-IR",E254)),"PDPL-2021",IF(ISNUMBER(SEARCH("PDPL-DTR",E254)),"PDPL-2021","NONE"))))))))</f>
        <v/>
      </c>
      <c r="BF254" s="594">
        <f>IF(E254="","",IF(BB254="DEEP",10,IF(BB254="SHALLOW",5,IF(BB254="TEMPLATE",3,1)))+IF(N254="HIGHEST",5,IF(N254="HIGH",3,IF(N254="MODERATE",1,0)))+IF(ISNUMBER(SEARCH("Mandatory",L254)),3,0))</f>
        <v/>
      </c>
    </row>
    <row r="255" ht="42" customHeight="1">
      <c r="A255" s="42" t="n">
        <v>230</v>
      </c>
      <c r="B255" s="185" t="inlineStr">
        <is>
          <t>SAFCSP</t>
        </is>
      </c>
      <c r="C255" s="44" t="inlineStr">
        <is>
          <t>Saudi Org. for Certified Public Accountants</t>
        </is>
      </c>
      <c r="D255" s="44" t="inlineStr">
        <is>
          <t>7. Standards &amp; Quality</t>
        </is>
      </c>
      <c r="E255" s="185" t="inlineStr">
        <is>
          <t>NCA-ECC-2:2024</t>
        </is>
      </c>
      <c r="F255" s="45" t="inlineStr">
        <is>
          <t>Essential Cybersecurity Controls</t>
        </is>
      </c>
      <c r="G255" s="44" t="inlineStr">
        <is>
          <t>ضوابط الأمن السيبراني الأساسية</t>
        </is>
      </c>
      <c r="H255" s="44" t="inlineStr">
        <is>
          <t>ECC-2:2024</t>
        </is>
      </c>
      <c r="I255" s="46" t="inlineStr">
        <is>
          <t>2018</t>
        </is>
      </c>
      <c r="J255" s="46" t="inlineStr">
        <is>
          <t>108</t>
        </is>
      </c>
      <c r="K255" s="44" t="inlineStr">
        <is>
          <t>MUST COMPLY WITH</t>
        </is>
      </c>
      <c r="L255" s="66" t="inlineStr">
        <is>
          <t>Mandatory Complier</t>
        </is>
      </c>
      <c r="M255" s="44" t="inlineStr">
        <is>
          <t>Saudi Org. for Certified Public Accountants as government entity</t>
        </is>
      </c>
      <c r="N255" s="59" t="inlineStr">
        <is>
          <t>LOW</t>
        </is>
      </c>
      <c r="O255" s="48" t="inlineStr">
        <is>
          <t>https://nca.gov.sa/</t>
        </is>
      </c>
      <c r="P255" s="44" t="inlineStr">
        <is>
          <t>NCA ECC scope</t>
        </is>
      </c>
      <c r="Q255" s="168" t="inlineStr">
        <is>
          <t>See official source for version history</t>
        </is>
      </c>
      <c r="R255" s="168" t="inlineStr">
        <is>
          <t>Framework issued by the relevant authority. Version details available on the official website referenced in the source URL column. The framework has been updated periodically since first issuance.</t>
        </is>
      </c>
      <c r="S255" s="170" t="inlineStr">
        <is>
          <t>See official source</t>
        </is>
      </c>
      <c r="T255" s="168" t="inlineStr">
        <is>
          <t>Updated as needed by the issuing authority</t>
        </is>
      </c>
      <c r="U255" s="25" t="inlineStr">
        <is>
          <t>CURRENT — consult official source for latest version</t>
        </is>
      </c>
      <c r="V255" s="168" t="inlineStr">
        <is>
          <t>Penalties defined by issuing authority; consult official source. NCA ECC-2 penalties apply if relevant</t>
        </is>
      </c>
      <c r="W255" s="169" t="inlineStr">
        <is>
          <t>Issuing authority and/or designated inspection department</t>
        </is>
      </c>
      <c r="X255" s="168" t="inlineStr">
        <is>
          <t>As specified in framework scope — consult official document</t>
        </is>
      </c>
      <c r="Y255" s="49" t="inlineStr">
        <is>
          <t>Both (unless specified otherwise in official document)</t>
        </is>
      </c>
      <c r="Z255" s="168" t="inlineStr">
        <is>
          <t>As defined by issuing authority</t>
        </is>
      </c>
      <c r="AA255" s="170" t="inlineStr">
        <is>
          <t>As defined by issuing authority</t>
        </is>
      </c>
      <c r="AB255" s="168" t="inlineStr">
        <is>
          <t>To be determined from framework text — see official source</t>
        </is>
      </c>
      <c r="AC255" s="168" t="inlineStr">
        <is>
          <t>See framework preamble for international standard references</t>
        </is>
      </c>
      <c r="AD255" s="49" t="inlineStr">
        <is>
          <t>Arabic (primary in KSA); English may be available</t>
        </is>
      </c>
      <c r="AE255" s="58" t="inlineStr">
        <is>
          <t>Mapped to relevant GH-ICGA layer — requires manual assessment</t>
        </is>
      </c>
      <c r="AF255" s="56" t="inlineStr">
        <is>
          <t>See official framework for maturity model details</t>
        </is>
      </c>
      <c r="AG255" s="168" t="inlineStr">
        <is>
          <t>Aligned with relevant Vision 2030 programme — see framework context</t>
        </is>
      </c>
      <c r="AH255" s="168" t="inlineStr">
        <is>
          <t>As specified in framework compliance requirements</t>
        </is>
      </c>
      <c r="AI255" s="173" t="inlineStr">
        <is>
          <t>Institutional theory and regulatory governance theory underpin all KSA regulatory frameworks. Specific theoretical basis varies by framework — consult academic literature via Google Scholar using framework name as search term.</t>
        </is>
      </c>
      <c r="AJ255" s="168" t="inlineStr">
        <is>
          <t>Academic debate varies by framework maturity and international adoption. For KSA-specific debate, consult: Almohammad &amp; Wills (2021) J Cybersecurity; Al-Khater et al. (2020) IEEE Access; Baker McKenzie KSA regulatory updates.</t>
        </is>
      </c>
      <c r="AK255" s="174" t="inlineStr">
        <is>
          <t>Known criticisms include: implementation gap between standards and practice; resource constraints for smaller healthcare entities; rapid technology evolution outpacing regulation. Consult framework evaluation literature for specifics.</t>
        </is>
      </c>
      <c r="AL255" s="175" t="inlineStr">
        <is>
          <t>Framework comparison requires contextual analysis. Key comparators: NIST CSF 2.0 (international benchmark), ISO 27001 (certifiable standard), ECC-2 (KSA mandatory baseline). See main database for cross-framework mapping.</t>
        </is>
      </c>
      <c r="AM255" s="1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55" s="177" t="inlineStr">
        <is>
          <t>Official: Consult the official source URL in the database for the primary document. Training: ISACA, ISC2, RAPS, IAPP, and HIMSS offer professional development covering most regulatory domains. Estimated hours vary by framework complexity.</t>
        </is>
      </c>
      <c r="AO255" s="178" t="inlineStr">
        <is>
          <t>Relevance to GH-ICGA framework varies by layer — see GH-ICGA Layer Mapping column. All KSA mandatory frameworks are compliance inputs to GH-ICGA Layer 4. Frameworks with IoMT-specific provisions directly inform Layers 2 and 3.</t>
        </is>
      </c>
      <c r="AP255" s="51" t="inlineStr">
        <is>
          <t>G + C (Governance + Compliance — standard regulatory framework positioning)</t>
        </is>
      </c>
      <c r="AQ255" s="179" t="inlineStr">
        <is>
          <t>Senior management: accountability for framework compliance. Designated compliance officer: monitor requirements. All staff: awareness of applicable obligations</t>
        </is>
      </c>
      <c r="AR255" s="174" t="inlineStr">
        <is>
          <t>Regulatory Risk; Operational Risk; Reputational Risk — specific domains determined by framework scope</t>
        </is>
      </c>
      <c r="AS255" s="22" t="inlineStr">
        <is>
          <t>See official source — legal obligation, regulatory requirement, or voluntary standard as applicable</t>
        </is>
      </c>
      <c r="AT255" s="175" t="inlineStr">
        <is>
          <t>Administrative; Technical; Operational — specific distribution determined by framework content</t>
        </is>
      </c>
      <c r="AU255" s="180" t="inlineStr">
        <is>
          <t>1. Compliance status (compliant/non-compliant). 2. # open findings from last assessment. 3. % controls implemented. 4. Time to remediate findings. 5. Incident rate in framework scope area</t>
        </is>
      </c>
      <c r="AV255" s="181" t="inlineStr">
        <is>
          <t>Self-assessment; internal audit; external assessment as specified by issuing authority</t>
        </is>
      </c>
      <c r="AW255" s="182" t="inlineStr">
        <is>
          <t>ServiceNow GRC; IBM OpenPages; RSA Archer; MetricStream — all major GRC platforms support custom framework import. Contact vendor for framework-specific module</t>
        </is>
      </c>
      <c r="AX255" s="183" t="inlineStr">
        <is>
          <t>Third parties in scope must demonstrate equivalent compliance. Contractual compliance obligations; right-to-audit clauses; annual third-party assessment</t>
        </is>
      </c>
      <c r="AY255" s="184" t="inlineStr">
        <is>
          <t>Non-compliance: regulatory action by issuing authority; fines and penalties as specified; operational and reputational consequences</t>
        </is>
      </c>
      <c r="AZ255" s="181" t="inlineStr">
        <is>
          <t>ALL 17 SECTORS</t>
        </is>
      </c>
      <c r="BA255" s="34" t="inlineStr">
        <is>
          <t>YES — ALL SECTORS</t>
        </is>
      </c>
      <c r="BB255" s="591">
        <f>IF(E255="","",IF(ISNUMBER(SEARCH("Institutional theory and regulatory governance theory underpin",AI255)),"TEMPLATE",IF(LEN(AI255)&gt;100,"DEEP",IF(AI255="","SPARSE","SHALLOW"))))</f>
        <v/>
      </c>
      <c r="BC255" s="591">
        <f>IF(E255="","",D255&amp;"-"&amp;B255&amp;"-"&amp;E255)</f>
        <v/>
      </c>
      <c r="BD255" s="591">
        <f>IF(E255="","",SUBSTITUTE(SUBSTITUTE(B255&amp;"-"&amp;E255," ",""),":","-"))</f>
        <v/>
      </c>
      <c r="BE255" s="591">
        <f>IF(E255="","",IF(ISNUMBER(SEARCH("ECC",E255)),"NCA-ECC-2-2024",IF(ISNUMBER(SEARCH("OTCC",E255)),"NCA-ECC-2-2024",IF(ISNUMBER(SEARCH("CCC",E255)),"NCA-ECC-2-2024",IF(ISNUMBER(SEARCH("DCC",E255)),"NCA-ECC-2-2024",IF(ISNUMBER(SEARCH("CSCC",E255)),"NCA-ECC-2-2024",IF(ISNUMBER(SEARCH("PDPL-IR",E255)),"PDPL-2021",IF(ISNUMBER(SEARCH("PDPL-DTR",E255)),"PDPL-2021","NONE"))))))))</f>
        <v/>
      </c>
      <c r="BF255" s="594">
        <f>IF(E255="","",IF(BB255="DEEP",10,IF(BB255="SHALLOW",5,IF(BB255="TEMPLATE",3,1)))+IF(N255="HIGHEST",5,IF(N255="HIGH",3,IF(N255="MODERATE",1,0)))+IF(ISNUMBER(SEARCH("Mandatory",L255)),3,0))</f>
        <v/>
      </c>
    </row>
    <row r="256">
      <c r="BB256" s="591">
        <f>IF(E256="","",IF(ISNUMBER(SEARCH("Institutional theory and regulatory governance theory underpin",AI256)),"TEMPLATE",IF(LEN(AI256)&gt;100,"DEEP",IF(AI256="","SPARSE","SHALLOW"))))</f>
        <v/>
      </c>
      <c r="BC256" s="591">
        <f>IF(E256="","",D256&amp;"-"&amp;B256&amp;"-"&amp;E256)</f>
        <v/>
      </c>
      <c r="BD256" s="591">
        <f>IF(E256="","",SUBSTITUTE(SUBSTITUTE(B256&amp;"-"&amp;E256," ",""),":","-"))</f>
        <v/>
      </c>
      <c r="BE256" s="591">
        <f>IF(E256="","",IF(ISNUMBER(SEARCH("ECC",E256)),"NCA-ECC-2-2024",IF(ISNUMBER(SEARCH("OTCC",E256)),"NCA-ECC-2-2024",IF(ISNUMBER(SEARCH("CCC",E256)),"NCA-ECC-2-2024",IF(ISNUMBER(SEARCH("DCC",E256)),"NCA-ECC-2-2024",IF(ISNUMBER(SEARCH("CSCC",E256)),"NCA-ECC-2-2024",IF(ISNUMBER(SEARCH("PDPL-IR",E256)),"PDPL-2021",IF(ISNUMBER(SEARCH("PDPL-DTR",E256)),"PDPL-2021","NONE"))))))))</f>
        <v/>
      </c>
      <c r="BF256" s="594">
        <f>IF(E256="","",IF(BB256="DEEP",10,IF(BB256="SHALLOW",5,IF(BB256="TEMPLATE",3,1)))+IF(N256="HIGHEST",5,IF(N256="HIGH",3,IF(N256="MODERATE",1,0)))+IF(ISNUMBER(SEARCH("Mandatory",L256)),3,0))</f>
        <v/>
      </c>
    </row>
    <row r="257" ht="19.5" customHeight="1">
      <c r="A257" s="210" t="n"/>
      <c r="B257" s="211" t="inlineStr">
        <is>
          <t xml:space="preserve">  ── 8. Energy &amp; Utilities ──</t>
        </is>
      </c>
      <c r="C257" s="210" t="n"/>
      <c r="D257" s="210" t="n"/>
      <c r="E257" s="210" t="n"/>
      <c r="F257" s="210" t="n"/>
      <c r="G257" s="210" t="n"/>
      <c r="H257" s="210" t="n"/>
      <c r="I257" s="210" t="n"/>
      <c r="J257" s="210" t="n"/>
      <c r="K257" s="210" t="n"/>
      <c r="L257" s="210" t="n"/>
      <c r="M257" s="210" t="n"/>
      <c r="N257" s="210" t="n"/>
      <c r="O257" s="210" t="n"/>
      <c r="P257" s="210" t="n"/>
      <c r="BB257" s="591">
        <f>IF(E257="","",IF(ISNUMBER(SEARCH("Institutional theory and regulatory governance theory underpin",AI257)),"TEMPLATE",IF(LEN(AI257)&gt;100,"DEEP",IF(AI257="","SPARSE","SHALLOW"))))</f>
        <v/>
      </c>
      <c r="BC257" s="591">
        <f>IF(E257="","",D257&amp;"-"&amp;B257&amp;"-"&amp;E257)</f>
        <v/>
      </c>
      <c r="BD257" s="591">
        <f>IF(E257="","",SUBSTITUTE(SUBSTITUTE(B257&amp;"-"&amp;E257," ",""),":","-"))</f>
        <v/>
      </c>
      <c r="BE257" s="591">
        <f>IF(E257="","",IF(ISNUMBER(SEARCH("ECC",E257)),"NCA-ECC-2-2024",IF(ISNUMBER(SEARCH("OTCC",E257)),"NCA-ECC-2-2024",IF(ISNUMBER(SEARCH("CCC",E257)),"NCA-ECC-2-2024",IF(ISNUMBER(SEARCH("DCC",E257)),"NCA-ECC-2-2024",IF(ISNUMBER(SEARCH("CSCC",E257)),"NCA-ECC-2-2024",IF(ISNUMBER(SEARCH("PDPL-IR",E257)),"PDPL-2021",IF(ISNUMBER(SEARCH("PDPL-DTR",E257)),"PDPL-2021","NONE"))))))))</f>
        <v/>
      </c>
      <c r="BF257" s="594">
        <f>IF(E257="","",IF(BB257="DEEP",10,IF(BB257="SHALLOW",5,IF(BB257="TEMPLATE",3,1)))+IF(N257="HIGHEST",5,IF(N257="HIGH",3,IF(N257="MODERATE",1,0)))+IF(ISNUMBER(SEARCH("Mandatory",L257)),3,0))</f>
        <v/>
      </c>
    </row>
    <row r="258" ht="42" customHeight="1">
      <c r="A258" s="212" t="n">
        <v>231</v>
      </c>
      <c r="B258" s="213" t="inlineStr">
        <is>
          <t>ECRA</t>
        </is>
      </c>
      <c r="C258" s="214" t="inlineStr">
        <is>
          <t>Electricity &amp; Cogeneration Regulatory Authority</t>
        </is>
      </c>
      <c r="D258" s="214" t="inlineStr">
        <is>
          <t>8. Energy &amp; Utilities</t>
        </is>
      </c>
      <c r="E258" s="213" t="inlineStr">
        <is>
          <t>ECRA-FW</t>
        </is>
      </c>
      <c r="F258" s="215" t="inlineStr">
        <is>
          <t>Electricity Law</t>
        </is>
      </c>
      <c r="G258" s="214" t="inlineStr">
        <is>
          <t>الإطار التنظيمي الرئيسي</t>
        </is>
      </c>
      <c r="H258" s="214" t="inlineStr">
        <is>
          <t>Active/Updated</t>
        </is>
      </c>
      <c r="I258" s="216" t="inlineStr">
        <is>
          <t>2005</t>
        </is>
      </c>
      <c r="J258" s="216" t="inlineStr">
        <is>
          <t>N/A</t>
        </is>
      </c>
      <c r="K258" s="214" t="inlineStr">
        <is>
          <t>ISSUES/ENFORCES</t>
        </is>
      </c>
      <c r="L258" s="22" t="inlineStr">
        <is>
          <t>Mandatory Enforcer</t>
        </is>
      </c>
      <c r="M258" s="214" t="inlineStr">
        <is>
          <t>Entities regulated by this authority</t>
        </is>
      </c>
      <c r="N258" s="217" t="inlineStr">
        <is>
          <t>MODERATE</t>
        </is>
      </c>
      <c r="O258" s="218" t="inlineStr">
        <is>
          <t>https://www.gov.sa/</t>
        </is>
      </c>
      <c r="P258" s="214" t="inlineStr">
        <is>
          <t>Ministry/Authority official site</t>
        </is>
      </c>
      <c r="Q258" s="214" t="inlineStr">
        <is>
          <t>See official source for version history</t>
        </is>
      </c>
      <c r="R258" s="214" t="inlineStr">
        <is>
          <t>Framework issued by the relevant authority. Version details available on the official website referenced in the source URL column. The framework has been updated periodically since first issuance.</t>
        </is>
      </c>
      <c r="S258" s="216" t="inlineStr">
        <is>
          <t>See official source</t>
        </is>
      </c>
      <c r="T258" s="214" t="inlineStr">
        <is>
          <t>Updated as needed by the issuing authority</t>
        </is>
      </c>
      <c r="U258" s="25" t="inlineStr">
        <is>
          <t>CURRENT — consult official source for latest version</t>
        </is>
      </c>
      <c r="V258" s="214" t="inlineStr">
        <is>
          <t>Penalties defined by issuing authority; consult official source. NCA ECC-2 penalties apply if relevant</t>
        </is>
      </c>
      <c r="W258" s="215" t="inlineStr">
        <is>
          <t>Issuing authority and/or designated inspection department</t>
        </is>
      </c>
      <c r="X258" s="214" t="inlineStr">
        <is>
          <t>As specified in framework scope — consult official document</t>
        </is>
      </c>
      <c r="Y258" s="49" t="inlineStr">
        <is>
          <t>Both (unless specified otherwise in official document)</t>
        </is>
      </c>
      <c r="Z258" s="214" t="inlineStr">
        <is>
          <t>As defined by issuing authority</t>
        </is>
      </c>
      <c r="AA258" s="216" t="inlineStr">
        <is>
          <t>As defined by issuing authority</t>
        </is>
      </c>
      <c r="AB258" s="214" t="inlineStr">
        <is>
          <t>To be determined from framework text — see official source</t>
        </is>
      </c>
      <c r="AC258" s="214" t="inlineStr">
        <is>
          <t>See framework preamble for international standard references</t>
        </is>
      </c>
      <c r="AD258" s="49" t="inlineStr">
        <is>
          <t>Arabic (primary in KSA); English may be available</t>
        </is>
      </c>
      <c r="AE258" s="58" t="inlineStr">
        <is>
          <t>Mapped to relevant GH-ICGA layer — requires manual assessment</t>
        </is>
      </c>
      <c r="AF258" s="56" t="inlineStr">
        <is>
          <t>See official framework for maturity model details</t>
        </is>
      </c>
      <c r="AG258" s="214" t="inlineStr">
        <is>
          <t>Aligned with relevant Vision 2030 programme — see framework context</t>
        </is>
      </c>
      <c r="AH258" s="214" t="inlineStr">
        <is>
          <t>As specified in framework compliance requirements</t>
        </is>
      </c>
      <c r="AI258" s="219" t="inlineStr">
        <is>
          <t>Institutional theory and regulatory governance theory underpin all KSA regulatory frameworks. Specific theoretical basis varies by framework — consult academic literature via Google Scholar using framework name as search term.</t>
        </is>
      </c>
      <c r="AJ258" s="214" t="inlineStr">
        <is>
          <t>Academic debate varies by framework maturity and international adoption. For KSA-specific debate, consult: Almohammad &amp; Wills (2021) J Cybersecurity; Al-Khater et al. (2020) IEEE Access; Baker McKenzie KSA regulatory updates.</t>
        </is>
      </c>
      <c r="AK258" s="220" t="inlineStr">
        <is>
          <t>Known criticisms include: implementation gap between standards and practice; resource constraints for smaller healthcare entities; rapid technology evolution outpacing regulation. Consult framework evaluation literature for specifics.</t>
        </is>
      </c>
      <c r="AL258" s="221" t="inlineStr">
        <is>
          <t>Framework comparison requires contextual analysis. Key comparators: NIST CSF 2.0 (international benchmark), ISO 27001 (certifiable standard), ECC-2 (KSA mandatory baseline). See main database for cross-framework mapping.</t>
        </is>
      </c>
      <c r="AM258" s="222"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58" s="223" t="inlineStr">
        <is>
          <t>Official: Consult the official source URL in the database for the primary document. Training: ISACA, ISC2, RAPS, IAPP, and HIMSS offer professional development covering most regulatory domains. Estimated hours vary by framework complexity.</t>
        </is>
      </c>
      <c r="AO258" s="224" t="inlineStr">
        <is>
          <t>Relevance to GH-ICGA framework varies by layer — see GH-ICGA Layer Mapping column. All KSA mandatory frameworks are compliance inputs to GH-ICGA Layer 4. Frameworks with IoMT-specific provisions directly inform Layers 2 and 3.</t>
        </is>
      </c>
      <c r="AP258" s="51" t="inlineStr">
        <is>
          <t>G + C (Governance + Compliance — standard regulatory framework positioning)</t>
        </is>
      </c>
      <c r="AQ258" s="225" t="inlineStr">
        <is>
          <t>Senior management: accountability for framework compliance. Designated compliance officer: monitor requirements. All staff: awareness of applicable obligations</t>
        </is>
      </c>
      <c r="AR258" s="220" t="inlineStr">
        <is>
          <t>Regulatory Risk; Operational Risk; Reputational Risk — specific domains determined by framework scope</t>
        </is>
      </c>
      <c r="AS258" s="22" t="inlineStr">
        <is>
          <t>See official source — legal obligation, regulatory requirement, or voluntary standard as applicable</t>
        </is>
      </c>
      <c r="AT258" s="221" t="inlineStr">
        <is>
          <t>Administrative; Technical; Operational — specific distribution determined by framework content</t>
        </is>
      </c>
      <c r="AU258" s="226" t="inlineStr">
        <is>
          <t>1. Compliance status (compliant/non-compliant). 2. # open findings from last assessment. 3. % controls implemented. 4. Time to remediate findings. 5. Incident rate in framework scope area</t>
        </is>
      </c>
      <c r="AV258" s="227" t="inlineStr">
        <is>
          <t>Self-assessment; internal audit; external assessment as specified by issuing authority</t>
        </is>
      </c>
      <c r="AW258" s="228" t="inlineStr">
        <is>
          <t>ServiceNow GRC; IBM OpenPages; RSA Archer; MetricStream — all major GRC platforms support custom framework import. Contact vendor for framework-specific module</t>
        </is>
      </c>
      <c r="AX258" s="229" t="inlineStr">
        <is>
          <t>Third parties in scope must demonstrate equivalent compliance. Contractual compliance obligations; right-to-audit clauses; annual third-party assessment</t>
        </is>
      </c>
      <c r="AY258" s="213" t="inlineStr">
        <is>
          <t>Non-compliance: regulatory action by issuing authority; fines and penalties as specified; operational and reputational consequences</t>
        </is>
      </c>
      <c r="AZ258" s="230" t="inlineStr">
        <is>
          <t>Sector-specific — consult official source</t>
        </is>
      </c>
      <c r="BA258" s="41" t="inlineStr">
        <is>
          <t>Sector-Specific</t>
        </is>
      </c>
      <c r="BB258" s="591">
        <f>IF(E258="","",IF(ISNUMBER(SEARCH("Institutional theory and regulatory governance theory underpin",AI258)),"TEMPLATE",IF(LEN(AI258)&gt;100,"DEEP",IF(AI258="","SPARSE","SHALLOW"))))</f>
        <v/>
      </c>
      <c r="BC258" s="591">
        <f>IF(E258="","",D258&amp;"-"&amp;B258&amp;"-"&amp;E258)</f>
        <v/>
      </c>
      <c r="BD258" s="591">
        <f>IF(E258="","",SUBSTITUTE(SUBSTITUTE(B258&amp;"-"&amp;E258," ",""),":","-"))</f>
        <v/>
      </c>
      <c r="BE258" s="591">
        <f>IF(E258="","",IF(ISNUMBER(SEARCH("ECC",E258)),"NCA-ECC-2-2024",IF(ISNUMBER(SEARCH("OTCC",E258)),"NCA-ECC-2-2024",IF(ISNUMBER(SEARCH("CCC",E258)),"NCA-ECC-2-2024",IF(ISNUMBER(SEARCH("DCC",E258)),"NCA-ECC-2-2024",IF(ISNUMBER(SEARCH("CSCC",E258)),"NCA-ECC-2-2024",IF(ISNUMBER(SEARCH("PDPL-IR",E258)),"PDPL-2021",IF(ISNUMBER(SEARCH("PDPL-DTR",E258)),"PDPL-2021","NONE"))))))))</f>
        <v/>
      </c>
      <c r="BF258" s="594">
        <f>IF(E258="","",IF(BB258="DEEP",10,IF(BB258="SHALLOW",5,IF(BB258="TEMPLATE",3,1)))+IF(N258="HIGHEST",5,IF(N258="HIGH",3,IF(N258="MODERATE",1,0)))+IF(ISNUMBER(SEARCH("Mandatory",L258)),3,0))</f>
        <v/>
      </c>
    </row>
    <row r="259" ht="42" customHeight="1">
      <c r="A259" s="42" t="n">
        <v>232</v>
      </c>
      <c r="B259" s="231" t="inlineStr">
        <is>
          <t>ECRA</t>
        </is>
      </c>
      <c r="C259" s="44" t="inlineStr">
        <is>
          <t>Electricity &amp; Cogeneration Regulatory Authority</t>
        </is>
      </c>
      <c r="D259" s="44" t="inlineStr">
        <is>
          <t>8. Energy &amp; Utilities</t>
        </is>
      </c>
      <c r="E259" s="231" t="inlineStr">
        <is>
          <t>NCA-ECC-2:2024</t>
        </is>
      </c>
      <c r="F259" s="45" t="inlineStr">
        <is>
          <t>Essential Cybersecurity Controls</t>
        </is>
      </c>
      <c r="G259" s="44" t="inlineStr">
        <is>
          <t>ضوابط الأمن السيبراني الأساسية</t>
        </is>
      </c>
      <c r="H259" s="44" t="inlineStr">
        <is>
          <t>ECC-2:2024</t>
        </is>
      </c>
      <c r="I259" s="46" t="inlineStr">
        <is>
          <t>2018</t>
        </is>
      </c>
      <c r="J259" s="46" t="inlineStr">
        <is>
          <t>108</t>
        </is>
      </c>
      <c r="K259" s="44" t="inlineStr">
        <is>
          <t>MUST COMPLY WITH</t>
        </is>
      </c>
      <c r="L259" s="66" t="inlineStr">
        <is>
          <t>Mandatory Complier</t>
        </is>
      </c>
      <c r="M259" s="44" t="inlineStr">
        <is>
          <t>Electricity &amp; Cogeneration Regulatory Authority as government entity</t>
        </is>
      </c>
      <c r="N259" s="59" t="inlineStr">
        <is>
          <t>LOW</t>
        </is>
      </c>
      <c r="O259" s="48" t="inlineStr">
        <is>
          <t>https://nca.gov.sa/</t>
        </is>
      </c>
      <c r="P259" s="44" t="inlineStr">
        <is>
          <t>NCA ECC scope</t>
        </is>
      </c>
      <c r="Q259" s="214" t="inlineStr">
        <is>
          <t>See official source for version history</t>
        </is>
      </c>
      <c r="R259" s="214" t="inlineStr">
        <is>
          <t>Framework issued by the relevant authority. Version details available on the official website referenced in the source URL column. The framework has been updated periodically since first issuance.</t>
        </is>
      </c>
      <c r="S259" s="216" t="inlineStr">
        <is>
          <t>See official source</t>
        </is>
      </c>
      <c r="T259" s="214" t="inlineStr">
        <is>
          <t>Updated as needed by the issuing authority</t>
        </is>
      </c>
      <c r="U259" s="25" t="inlineStr">
        <is>
          <t>CURRENT — consult official source for latest version</t>
        </is>
      </c>
      <c r="V259" s="214" t="inlineStr">
        <is>
          <t>Penalties defined by issuing authority; consult official source. NCA ECC-2 penalties apply if relevant</t>
        </is>
      </c>
      <c r="W259" s="215" t="inlineStr">
        <is>
          <t>Issuing authority and/or designated inspection department</t>
        </is>
      </c>
      <c r="X259" s="214" t="inlineStr">
        <is>
          <t>As specified in framework scope — consult official document</t>
        </is>
      </c>
      <c r="Y259" s="49" t="inlineStr">
        <is>
          <t>Both (unless specified otherwise in official document)</t>
        </is>
      </c>
      <c r="Z259" s="214" t="inlineStr">
        <is>
          <t>As defined by issuing authority</t>
        </is>
      </c>
      <c r="AA259" s="216" t="inlineStr">
        <is>
          <t>As defined by issuing authority</t>
        </is>
      </c>
      <c r="AB259" s="214" t="inlineStr">
        <is>
          <t>To be determined from framework text — see official source</t>
        </is>
      </c>
      <c r="AC259" s="214" t="inlineStr">
        <is>
          <t>See framework preamble for international standard references</t>
        </is>
      </c>
      <c r="AD259" s="49" t="inlineStr">
        <is>
          <t>Arabic (primary in KSA); English may be available</t>
        </is>
      </c>
      <c r="AE259" s="58" t="inlineStr">
        <is>
          <t>Mapped to relevant GH-ICGA layer — requires manual assessment</t>
        </is>
      </c>
      <c r="AF259" s="56" t="inlineStr">
        <is>
          <t>See official framework for maturity model details</t>
        </is>
      </c>
      <c r="AG259" s="214" t="inlineStr">
        <is>
          <t>Aligned with relevant Vision 2030 programme — see framework context</t>
        </is>
      </c>
      <c r="AH259" s="214" t="inlineStr">
        <is>
          <t>As specified in framework compliance requirements</t>
        </is>
      </c>
      <c r="AI259" s="219" t="inlineStr">
        <is>
          <t>Institutional theory and regulatory governance theory underpin all KSA regulatory frameworks. Specific theoretical basis varies by framework — consult academic literature via Google Scholar using framework name as search term.</t>
        </is>
      </c>
      <c r="AJ259" s="214" t="inlineStr">
        <is>
          <t>Academic debate varies by framework maturity and international adoption. For KSA-specific debate, consult: Almohammad &amp; Wills (2021) J Cybersecurity; Al-Khater et al. (2020) IEEE Access; Baker McKenzie KSA regulatory updates.</t>
        </is>
      </c>
      <c r="AK259" s="220" t="inlineStr">
        <is>
          <t>Known criticisms include: implementation gap between standards and practice; resource constraints for smaller healthcare entities; rapid technology evolution outpacing regulation. Consult framework evaluation literature for specifics.</t>
        </is>
      </c>
      <c r="AL259" s="221" t="inlineStr">
        <is>
          <t>Framework comparison requires contextual analysis. Key comparators: NIST CSF 2.0 (international benchmark), ISO 27001 (certifiable standard), ECC-2 (KSA mandatory baseline). See main database for cross-framework mapping.</t>
        </is>
      </c>
      <c r="AM259" s="222"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59" s="223" t="inlineStr">
        <is>
          <t>Official: Consult the official source URL in the database for the primary document. Training: ISACA, ISC2, RAPS, IAPP, and HIMSS offer professional development covering most regulatory domains. Estimated hours vary by framework complexity.</t>
        </is>
      </c>
      <c r="AO259" s="224" t="inlineStr">
        <is>
          <t>Relevance to GH-ICGA framework varies by layer — see GH-ICGA Layer Mapping column. All KSA mandatory frameworks are compliance inputs to GH-ICGA Layer 4. Frameworks with IoMT-specific provisions directly inform Layers 2 and 3.</t>
        </is>
      </c>
      <c r="AP259" s="51" t="inlineStr">
        <is>
          <t>G + C (Governance + Compliance — standard regulatory framework positioning)</t>
        </is>
      </c>
      <c r="AQ259" s="225" t="inlineStr">
        <is>
          <t>Senior management: accountability for framework compliance. Designated compliance officer: monitor requirements. All staff: awareness of applicable obligations</t>
        </is>
      </c>
      <c r="AR259" s="220" t="inlineStr">
        <is>
          <t>Regulatory Risk; Operational Risk; Reputational Risk — specific domains determined by framework scope</t>
        </is>
      </c>
      <c r="AS259" s="22" t="inlineStr">
        <is>
          <t>See official source — legal obligation, regulatory requirement, or voluntary standard as applicable</t>
        </is>
      </c>
      <c r="AT259" s="221" t="inlineStr">
        <is>
          <t>Administrative; Technical; Operational — specific distribution determined by framework content</t>
        </is>
      </c>
      <c r="AU259" s="226" t="inlineStr">
        <is>
          <t>1. Compliance status (compliant/non-compliant). 2. # open findings from last assessment. 3. % controls implemented. 4. Time to remediate findings. 5. Incident rate in framework scope area</t>
        </is>
      </c>
      <c r="AV259" s="227" t="inlineStr">
        <is>
          <t>Self-assessment; internal audit; external assessment as specified by issuing authority</t>
        </is>
      </c>
      <c r="AW259" s="228" t="inlineStr">
        <is>
          <t>ServiceNow GRC; IBM OpenPages; RSA Archer; MetricStream — all major GRC platforms support custom framework import. Contact vendor for framework-specific module</t>
        </is>
      </c>
      <c r="AX259" s="229" t="inlineStr">
        <is>
          <t>Third parties in scope must demonstrate equivalent compliance. Contractual compliance obligations; right-to-audit clauses; annual third-party assessment</t>
        </is>
      </c>
      <c r="AY259" s="213" t="inlineStr">
        <is>
          <t>Non-compliance: regulatory action by issuing authority; fines and penalties as specified; operational and reputational consequences</t>
        </is>
      </c>
      <c r="AZ259" s="230" t="inlineStr">
        <is>
          <t>ALL 17 SECTORS</t>
        </is>
      </c>
      <c r="BA259" s="34" t="inlineStr">
        <is>
          <t>YES — ALL SECTORS</t>
        </is>
      </c>
      <c r="BB259" s="591">
        <f>IF(E259="","",IF(ISNUMBER(SEARCH("Institutional theory and regulatory governance theory underpin",AI259)),"TEMPLATE",IF(LEN(AI259)&gt;100,"DEEP",IF(AI259="","SPARSE","SHALLOW"))))</f>
        <v/>
      </c>
      <c r="BC259" s="591">
        <f>IF(E259="","",D259&amp;"-"&amp;B259&amp;"-"&amp;E259)</f>
        <v/>
      </c>
      <c r="BD259" s="591">
        <f>IF(E259="","",SUBSTITUTE(SUBSTITUTE(B259&amp;"-"&amp;E259," ",""),":","-"))</f>
        <v/>
      </c>
      <c r="BE259" s="591">
        <f>IF(E259="","",IF(ISNUMBER(SEARCH("ECC",E259)),"NCA-ECC-2-2024",IF(ISNUMBER(SEARCH("OTCC",E259)),"NCA-ECC-2-2024",IF(ISNUMBER(SEARCH("CCC",E259)),"NCA-ECC-2-2024",IF(ISNUMBER(SEARCH("DCC",E259)),"NCA-ECC-2-2024",IF(ISNUMBER(SEARCH("CSCC",E259)),"NCA-ECC-2-2024",IF(ISNUMBER(SEARCH("PDPL-IR",E259)),"PDPL-2021",IF(ISNUMBER(SEARCH("PDPL-DTR",E259)),"PDPL-2021","NONE"))))))))</f>
        <v/>
      </c>
      <c r="BF259" s="594">
        <f>IF(E259="","",IF(BB259="DEEP",10,IF(BB259="SHALLOW",5,IF(BB259="TEMPLATE",3,1)))+IF(N259="HIGHEST",5,IF(N259="HIGH",3,IF(N259="MODERATE",1,0)))+IF(ISNUMBER(SEARCH("Mandatory",L259)),3,0))</f>
        <v/>
      </c>
    </row>
    <row r="260" ht="42" customHeight="1">
      <c r="A260" s="212" t="n">
        <v>233</v>
      </c>
      <c r="B260" s="213" t="inlineStr">
        <is>
          <t>KACARE</t>
        </is>
      </c>
      <c r="C260" s="214" t="inlineStr">
        <is>
          <t>King Abdullah City Atomic &amp; Renewable</t>
        </is>
      </c>
      <c r="D260" s="214" t="inlineStr">
        <is>
          <t>8. Energy &amp; Utilities</t>
        </is>
      </c>
      <c r="E260" s="213" t="inlineStr">
        <is>
          <t>KACARE-FW</t>
        </is>
      </c>
      <c r="F260" s="215" t="inlineStr">
        <is>
          <t>Nuclear &amp; Radiation Regulations (IAEA-aligned)</t>
        </is>
      </c>
      <c r="G260" s="214" t="inlineStr">
        <is>
          <t>الإطار التنظيمي الرئيسي</t>
        </is>
      </c>
      <c r="H260" s="214" t="inlineStr">
        <is>
          <t>Active/Updated</t>
        </is>
      </c>
      <c r="I260" s="216" t="inlineStr">
        <is>
          <t>2010</t>
        </is>
      </c>
      <c r="J260" s="216" t="inlineStr">
        <is>
          <t>N/A</t>
        </is>
      </c>
      <c r="K260" s="214" t="inlineStr">
        <is>
          <t>ISSUES/ENFORCES</t>
        </is>
      </c>
      <c r="L260" s="22" t="inlineStr">
        <is>
          <t>Mandatory Enforcer</t>
        </is>
      </c>
      <c r="M260" s="214" t="inlineStr">
        <is>
          <t>Entities regulated by this authority</t>
        </is>
      </c>
      <c r="N260" s="217" t="inlineStr">
        <is>
          <t>MODERATE</t>
        </is>
      </c>
      <c r="O260" s="218" t="inlineStr">
        <is>
          <t>https://www.gov.sa/</t>
        </is>
      </c>
      <c r="P260" s="214" t="inlineStr">
        <is>
          <t>Ministry/Authority official site</t>
        </is>
      </c>
      <c r="Q260" s="214" t="inlineStr">
        <is>
          <t>See official source for version history</t>
        </is>
      </c>
      <c r="R260" s="214" t="inlineStr">
        <is>
          <t>Framework issued by the relevant authority. Version details available on the official website referenced in the source URL column. The framework has been updated periodically since first issuance.</t>
        </is>
      </c>
      <c r="S260" s="216" t="inlineStr">
        <is>
          <t>See official source</t>
        </is>
      </c>
      <c r="T260" s="214" t="inlineStr">
        <is>
          <t>Updated as needed by the issuing authority</t>
        </is>
      </c>
      <c r="U260" s="25" t="inlineStr">
        <is>
          <t>CURRENT — consult official source for latest version</t>
        </is>
      </c>
      <c r="V260" s="214" t="inlineStr">
        <is>
          <t>Penalties defined by issuing authority; consult official source. NCA ECC-2 penalties apply if relevant</t>
        </is>
      </c>
      <c r="W260" s="215" t="inlineStr">
        <is>
          <t>Issuing authority and/or designated inspection department</t>
        </is>
      </c>
      <c r="X260" s="214" t="inlineStr">
        <is>
          <t>As specified in framework scope — consult official document</t>
        </is>
      </c>
      <c r="Y260" s="49" t="inlineStr">
        <is>
          <t>Both (unless specified otherwise in official document)</t>
        </is>
      </c>
      <c r="Z260" s="214" t="inlineStr">
        <is>
          <t>As defined by issuing authority</t>
        </is>
      </c>
      <c r="AA260" s="216" t="inlineStr">
        <is>
          <t>As defined by issuing authority</t>
        </is>
      </c>
      <c r="AB260" s="214" t="inlineStr">
        <is>
          <t>To be determined from framework text — see official source</t>
        </is>
      </c>
      <c r="AC260" s="214" t="inlineStr">
        <is>
          <t>See framework preamble for international standard references</t>
        </is>
      </c>
      <c r="AD260" s="49" t="inlineStr">
        <is>
          <t>Arabic (primary in KSA); English may be available</t>
        </is>
      </c>
      <c r="AE260" s="58" t="inlineStr">
        <is>
          <t>Mapped to relevant GH-ICGA layer — requires manual assessment</t>
        </is>
      </c>
      <c r="AF260" s="56" t="inlineStr">
        <is>
          <t>See official framework for maturity model details</t>
        </is>
      </c>
      <c r="AG260" s="214" t="inlineStr">
        <is>
          <t>Aligned with relevant Vision 2030 programme — see framework context</t>
        </is>
      </c>
      <c r="AH260" s="214" t="inlineStr">
        <is>
          <t>As specified in framework compliance requirements</t>
        </is>
      </c>
      <c r="AI260" s="219" t="inlineStr">
        <is>
          <t>Institutional theory and regulatory governance theory underpin all KSA regulatory frameworks. Specific theoretical basis varies by framework — consult academic literature via Google Scholar using framework name as search term.</t>
        </is>
      </c>
      <c r="AJ260" s="214" t="inlineStr">
        <is>
          <t>Academic debate varies by framework maturity and international adoption. For KSA-specific debate, consult: Almohammad &amp; Wills (2021) J Cybersecurity; Al-Khater et al. (2020) IEEE Access; Baker McKenzie KSA regulatory updates.</t>
        </is>
      </c>
      <c r="AK260" s="220" t="inlineStr">
        <is>
          <t>Known criticisms include: implementation gap between standards and practice; resource constraints for smaller healthcare entities; rapid technology evolution outpacing regulation. Consult framework evaluation literature for specifics.</t>
        </is>
      </c>
      <c r="AL260" s="221" t="inlineStr">
        <is>
          <t>Framework comparison requires contextual analysis. Key comparators: NIST CSF 2.0 (international benchmark), ISO 27001 (certifiable standard), ECC-2 (KSA mandatory baseline). See main database for cross-framework mapping.</t>
        </is>
      </c>
      <c r="AM260" s="222"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60" s="223" t="inlineStr">
        <is>
          <t>Official: Consult the official source URL in the database for the primary document. Training: ISACA, ISC2, RAPS, IAPP, and HIMSS offer professional development covering most regulatory domains. Estimated hours vary by framework complexity.</t>
        </is>
      </c>
      <c r="AO260" s="224" t="inlineStr">
        <is>
          <t>Relevance to GH-ICGA framework varies by layer — see GH-ICGA Layer Mapping column. All KSA mandatory frameworks are compliance inputs to GH-ICGA Layer 4. Frameworks with IoMT-specific provisions directly inform Layers 2 and 3.</t>
        </is>
      </c>
      <c r="AP260" s="51" t="inlineStr">
        <is>
          <t>G + C (Governance + Compliance — standard regulatory framework positioning)</t>
        </is>
      </c>
      <c r="AQ260" s="225" t="inlineStr">
        <is>
          <t>Senior management: accountability for framework compliance. Designated compliance officer: monitor requirements. All staff: awareness of applicable obligations</t>
        </is>
      </c>
      <c r="AR260" s="220" t="inlineStr">
        <is>
          <t>Regulatory Risk; Operational Risk; Reputational Risk — specific domains determined by framework scope</t>
        </is>
      </c>
      <c r="AS260" s="22" t="inlineStr">
        <is>
          <t>See official source — legal obligation, regulatory requirement, or voluntary standard as applicable</t>
        </is>
      </c>
      <c r="AT260" s="221" t="inlineStr">
        <is>
          <t>Administrative; Technical; Operational — specific distribution determined by framework content</t>
        </is>
      </c>
      <c r="AU260" s="226" t="inlineStr">
        <is>
          <t>1. Compliance status (compliant/non-compliant). 2. # open findings from last assessment. 3. % controls implemented. 4. Time to remediate findings. 5. Incident rate in framework scope area</t>
        </is>
      </c>
      <c r="AV260" s="227" t="inlineStr">
        <is>
          <t>Self-assessment; internal audit; external assessment as specified by issuing authority</t>
        </is>
      </c>
      <c r="AW260" s="228" t="inlineStr">
        <is>
          <t>ServiceNow GRC; IBM OpenPages; RSA Archer; MetricStream — all major GRC platforms support custom framework import. Contact vendor for framework-specific module</t>
        </is>
      </c>
      <c r="AX260" s="229" t="inlineStr">
        <is>
          <t>Third parties in scope must demonstrate equivalent compliance. Contractual compliance obligations; right-to-audit clauses; annual third-party assessment</t>
        </is>
      </c>
      <c r="AY260" s="213" t="inlineStr">
        <is>
          <t>Non-compliance: regulatory action by issuing authority; fines and penalties as specified; operational and reputational consequences</t>
        </is>
      </c>
      <c r="AZ260" s="230" t="inlineStr">
        <is>
          <t>Sector-specific — consult official source</t>
        </is>
      </c>
      <c r="BA260" s="41" t="inlineStr">
        <is>
          <t>Sector-Specific</t>
        </is>
      </c>
      <c r="BB260" s="591">
        <f>IF(E260="","",IF(ISNUMBER(SEARCH("Institutional theory and regulatory governance theory underpin",AI260)),"TEMPLATE",IF(LEN(AI260)&gt;100,"DEEP",IF(AI260="","SPARSE","SHALLOW"))))</f>
        <v/>
      </c>
      <c r="BC260" s="591">
        <f>IF(E260="","",D260&amp;"-"&amp;B260&amp;"-"&amp;E260)</f>
        <v/>
      </c>
      <c r="BD260" s="591">
        <f>IF(E260="","",SUBSTITUTE(SUBSTITUTE(B260&amp;"-"&amp;E260," ",""),":","-"))</f>
        <v/>
      </c>
      <c r="BE260" s="591">
        <f>IF(E260="","",IF(ISNUMBER(SEARCH("ECC",E260)),"NCA-ECC-2-2024",IF(ISNUMBER(SEARCH("OTCC",E260)),"NCA-ECC-2-2024",IF(ISNUMBER(SEARCH("CCC",E260)),"NCA-ECC-2-2024",IF(ISNUMBER(SEARCH("DCC",E260)),"NCA-ECC-2-2024",IF(ISNUMBER(SEARCH("CSCC",E260)),"NCA-ECC-2-2024",IF(ISNUMBER(SEARCH("PDPL-IR",E260)),"PDPL-2021",IF(ISNUMBER(SEARCH("PDPL-DTR",E260)),"PDPL-2021","NONE"))))))))</f>
        <v/>
      </c>
      <c r="BF260" s="594">
        <f>IF(E260="","",IF(BB260="DEEP",10,IF(BB260="SHALLOW",5,IF(BB260="TEMPLATE",3,1)))+IF(N260="HIGHEST",5,IF(N260="HIGH",3,IF(N260="MODERATE",1,0)))+IF(ISNUMBER(SEARCH("Mandatory",L260)),3,0))</f>
        <v/>
      </c>
    </row>
    <row r="261" ht="42" customHeight="1">
      <c r="A261" s="42" t="n">
        <v>234</v>
      </c>
      <c r="B261" s="231" t="inlineStr">
        <is>
          <t>KACARE</t>
        </is>
      </c>
      <c r="C261" s="44" t="inlineStr">
        <is>
          <t>King Abdullah City Atomic &amp; Renewable</t>
        </is>
      </c>
      <c r="D261" s="44" t="inlineStr">
        <is>
          <t>8. Energy &amp; Utilities</t>
        </is>
      </c>
      <c r="E261" s="231" t="inlineStr">
        <is>
          <t>NCA-ECC-2:2024</t>
        </is>
      </c>
      <c r="F261" s="45" t="inlineStr">
        <is>
          <t>Essential Cybersecurity Controls</t>
        </is>
      </c>
      <c r="G261" s="44" t="inlineStr">
        <is>
          <t>ضوابط الأمن السيبراني الأساسية</t>
        </is>
      </c>
      <c r="H261" s="44" t="inlineStr">
        <is>
          <t>ECC-2:2024</t>
        </is>
      </c>
      <c r="I261" s="46" t="inlineStr">
        <is>
          <t>2018</t>
        </is>
      </c>
      <c r="J261" s="46" t="inlineStr">
        <is>
          <t>108</t>
        </is>
      </c>
      <c r="K261" s="44" t="inlineStr">
        <is>
          <t>MUST COMPLY WITH</t>
        </is>
      </c>
      <c r="L261" s="66" t="inlineStr">
        <is>
          <t>Mandatory Complier</t>
        </is>
      </c>
      <c r="M261" s="44" t="inlineStr">
        <is>
          <t>King Abdullah City Atomic &amp; Renewable as government entity</t>
        </is>
      </c>
      <c r="N261" s="59" t="inlineStr">
        <is>
          <t>LOW</t>
        </is>
      </c>
      <c r="O261" s="48" t="inlineStr">
        <is>
          <t>https://nca.gov.sa/</t>
        </is>
      </c>
      <c r="P261" s="44" t="inlineStr">
        <is>
          <t>NCA ECC scope</t>
        </is>
      </c>
      <c r="Q261" s="214" t="inlineStr">
        <is>
          <t>See official source for version history</t>
        </is>
      </c>
      <c r="R261" s="214" t="inlineStr">
        <is>
          <t>Framework issued by the relevant authority. Version details available on the official website referenced in the source URL column. The framework has been updated periodically since first issuance.</t>
        </is>
      </c>
      <c r="S261" s="216" t="inlineStr">
        <is>
          <t>See official source</t>
        </is>
      </c>
      <c r="T261" s="214" t="inlineStr">
        <is>
          <t>Updated as needed by the issuing authority</t>
        </is>
      </c>
      <c r="U261" s="25" t="inlineStr">
        <is>
          <t>CURRENT — consult official source for latest version</t>
        </is>
      </c>
      <c r="V261" s="214" t="inlineStr">
        <is>
          <t>Penalties defined by issuing authority; consult official source. NCA ECC-2 penalties apply if relevant</t>
        </is>
      </c>
      <c r="W261" s="215" t="inlineStr">
        <is>
          <t>Issuing authority and/or designated inspection department</t>
        </is>
      </c>
      <c r="X261" s="214" t="inlineStr">
        <is>
          <t>As specified in framework scope — consult official document</t>
        </is>
      </c>
      <c r="Y261" s="49" t="inlineStr">
        <is>
          <t>Both (unless specified otherwise in official document)</t>
        </is>
      </c>
      <c r="Z261" s="214" t="inlineStr">
        <is>
          <t>As defined by issuing authority</t>
        </is>
      </c>
      <c r="AA261" s="216" t="inlineStr">
        <is>
          <t>As defined by issuing authority</t>
        </is>
      </c>
      <c r="AB261" s="214" t="inlineStr">
        <is>
          <t>To be determined from framework text — see official source</t>
        </is>
      </c>
      <c r="AC261" s="214" t="inlineStr">
        <is>
          <t>See framework preamble for international standard references</t>
        </is>
      </c>
      <c r="AD261" s="49" t="inlineStr">
        <is>
          <t>Arabic (primary in KSA); English may be available</t>
        </is>
      </c>
      <c r="AE261" s="58" t="inlineStr">
        <is>
          <t>Mapped to relevant GH-ICGA layer — requires manual assessment</t>
        </is>
      </c>
      <c r="AF261" s="56" t="inlineStr">
        <is>
          <t>See official framework for maturity model details</t>
        </is>
      </c>
      <c r="AG261" s="214" t="inlineStr">
        <is>
          <t>Aligned with relevant Vision 2030 programme — see framework context</t>
        </is>
      </c>
      <c r="AH261" s="214" t="inlineStr">
        <is>
          <t>As specified in framework compliance requirements</t>
        </is>
      </c>
      <c r="AI261" s="219" t="inlineStr">
        <is>
          <t>Institutional theory and regulatory governance theory underpin all KSA regulatory frameworks. Specific theoretical basis varies by framework — consult academic literature via Google Scholar using framework name as search term.</t>
        </is>
      </c>
      <c r="AJ261" s="214" t="inlineStr">
        <is>
          <t>Academic debate varies by framework maturity and international adoption. For KSA-specific debate, consult: Almohammad &amp; Wills (2021) J Cybersecurity; Al-Khater et al. (2020) IEEE Access; Baker McKenzie KSA regulatory updates.</t>
        </is>
      </c>
      <c r="AK261" s="220" t="inlineStr">
        <is>
          <t>Known criticisms include: implementation gap between standards and practice; resource constraints for smaller healthcare entities; rapid technology evolution outpacing regulation. Consult framework evaluation literature for specifics.</t>
        </is>
      </c>
      <c r="AL261" s="221" t="inlineStr">
        <is>
          <t>Framework comparison requires contextual analysis. Key comparators: NIST CSF 2.0 (international benchmark), ISO 27001 (certifiable standard), ECC-2 (KSA mandatory baseline). See main database for cross-framework mapping.</t>
        </is>
      </c>
      <c r="AM261" s="222"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61" s="223" t="inlineStr">
        <is>
          <t>Official: Consult the official source URL in the database for the primary document. Training: ISACA, ISC2, RAPS, IAPP, and HIMSS offer professional development covering most regulatory domains. Estimated hours vary by framework complexity.</t>
        </is>
      </c>
      <c r="AO261" s="224" t="inlineStr">
        <is>
          <t>Relevance to GH-ICGA framework varies by layer — see GH-ICGA Layer Mapping column. All KSA mandatory frameworks are compliance inputs to GH-ICGA Layer 4. Frameworks with IoMT-specific provisions directly inform Layers 2 and 3.</t>
        </is>
      </c>
      <c r="AP261" s="51" t="inlineStr">
        <is>
          <t>G + C (Governance + Compliance — standard regulatory framework positioning)</t>
        </is>
      </c>
      <c r="AQ261" s="225" t="inlineStr">
        <is>
          <t>Senior management: accountability for framework compliance. Designated compliance officer: monitor requirements. All staff: awareness of applicable obligations</t>
        </is>
      </c>
      <c r="AR261" s="220" t="inlineStr">
        <is>
          <t>Regulatory Risk; Operational Risk; Reputational Risk — specific domains determined by framework scope</t>
        </is>
      </c>
      <c r="AS261" s="22" t="inlineStr">
        <is>
          <t>See official source — legal obligation, regulatory requirement, or voluntary standard as applicable</t>
        </is>
      </c>
      <c r="AT261" s="221" t="inlineStr">
        <is>
          <t>Administrative; Technical; Operational — specific distribution determined by framework content</t>
        </is>
      </c>
      <c r="AU261" s="226" t="inlineStr">
        <is>
          <t>1. Compliance status (compliant/non-compliant). 2. # open findings from last assessment. 3. % controls implemented. 4. Time to remediate findings. 5. Incident rate in framework scope area</t>
        </is>
      </c>
      <c r="AV261" s="227" t="inlineStr">
        <is>
          <t>Self-assessment; internal audit; external assessment as specified by issuing authority</t>
        </is>
      </c>
      <c r="AW261" s="228" t="inlineStr">
        <is>
          <t>ServiceNow GRC; IBM OpenPages; RSA Archer; MetricStream — all major GRC platforms support custom framework import. Contact vendor for framework-specific module</t>
        </is>
      </c>
      <c r="AX261" s="229" t="inlineStr">
        <is>
          <t>Third parties in scope must demonstrate equivalent compliance. Contractual compliance obligations; right-to-audit clauses; annual third-party assessment</t>
        </is>
      </c>
      <c r="AY261" s="213" t="inlineStr">
        <is>
          <t>Non-compliance: regulatory action by issuing authority; fines and penalties as specified; operational and reputational consequences</t>
        </is>
      </c>
      <c r="AZ261" s="230" t="inlineStr">
        <is>
          <t>ALL 17 SECTORS</t>
        </is>
      </c>
      <c r="BA261" s="34" t="inlineStr">
        <is>
          <t>YES — ALL SECTORS</t>
        </is>
      </c>
      <c r="BB261" s="591">
        <f>IF(E261="","",IF(ISNUMBER(SEARCH("Institutional theory and regulatory governance theory underpin",AI261)),"TEMPLATE",IF(LEN(AI261)&gt;100,"DEEP",IF(AI261="","SPARSE","SHALLOW"))))</f>
        <v/>
      </c>
      <c r="BC261" s="591">
        <f>IF(E261="","",D261&amp;"-"&amp;B261&amp;"-"&amp;E261)</f>
        <v/>
      </c>
      <c r="BD261" s="591">
        <f>IF(E261="","",SUBSTITUTE(SUBSTITUTE(B261&amp;"-"&amp;E261," ",""),":","-"))</f>
        <v/>
      </c>
      <c r="BE261" s="591">
        <f>IF(E261="","",IF(ISNUMBER(SEARCH("ECC",E261)),"NCA-ECC-2-2024",IF(ISNUMBER(SEARCH("OTCC",E261)),"NCA-ECC-2-2024",IF(ISNUMBER(SEARCH("CCC",E261)),"NCA-ECC-2-2024",IF(ISNUMBER(SEARCH("DCC",E261)),"NCA-ECC-2-2024",IF(ISNUMBER(SEARCH("CSCC",E261)),"NCA-ECC-2-2024",IF(ISNUMBER(SEARCH("PDPL-IR",E261)),"PDPL-2021",IF(ISNUMBER(SEARCH("PDPL-DTR",E261)),"PDPL-2021","NONE"))))))))</f>
        <v/>
      </c>
      <c r="BF261" s="594">
        <f>IF(E261="","",IF(BB261="DEEP",10,IF(BB261="SHALLOW",5,IF(BB261="TEMPLATE",3,1)))+IF(N261="HIGHEST",5,IF(N261="HIGH",3,IF(N261="MODERATE",1,0)))+IF(ISNUMBER(SEARCH("Mandatory",L261)),3,0))</f>
        <v/>
      </c>
    </row>
    <row r="262" ht="42" customHeight="1">
      <c r="A262" s="212" t="n">
        <v>235</v>
      </c>
      <c r="B262" s="213" t="inlineStr">
        <is>
          <t>SWCC</t>
        </is>
      </c>
      <c r="C262" s="214" t="inlineStr">
        <is>
          <t>Saline Water Conversion Corporation</t>
        </is>
      </c>
      <c r="D262" s="214" t="inlineStr">
        <is>
          <t>8. Energy &amp; Utilities</t>
        </is>
      </c>
      <c r="E262" s="213" t="inlineStr">
        <is>
          <t>SWCC-FW</t>
        </is>
      </c>
      <c r="F262" s="215" t="inlineStr">
        <is>
          <t>Water Supply Standards</t>
        </is>
      </c>
      <c r="G262" s="214" t="inlineStr">
        <is>
          <t>الإطار التنظيمي الرئيسي</t>
        </is>
      </c>
      <c r="H262" s="214" t="inlineStr">
        <is>
          <t>Active/Updated</t>
        </is>
      </c>
      <c r="I262" s="216" t="inlineStr">
        <is>
          <t>1974</t>
        </is>
      </c>
      <c r="J262" s="216" t="inlineStr">
        <is>
          <t>N/A</t>
        </is>
      </c>
      <c r="K262" s="214" t="inlineStr">
        <is>
          <t>ISSUES/ENFORCES</t>
        </is>
      </c>
      <c r="L262" s="22" t="inlineStr">
        <is>
          <t>Mandatory Enforcer</t>
        </is>
      </c>
      <c r="M262" s="214" t="inlineStr">
        <is>
          <t>Entities regulated by this authority</t>
        </is>
      </c>
      <c r="N262" s="217" t="inlineStr">
        <is>
          <t>MODERATE</t>
        </is>
      </c>
      <c r="O262" s="218" t="inlineStr">
        <is>
          <t>https://www.gov.sa/</t>
        </is>
      </c>
      <c r="P262" s="214" t="inlineStr">
        <is>
          <t>Ministry/Authority official site</t>
        </is>
      </c>
      <c r="Q262" s="214" t="inlineStr">
        <is>
          <t>See official source for version history</t>
        </is>
      </c>
      <c r="R262" s="214" t="inlineStr">
        <is>
          <t>Framework issued by the relevant authority. Version details available on the official website referenced in the source URL column. The framework has been updated periodically since first issuance.</t>
        </is>
      </c>
      <c r="S262" s="216" t="inlineStr">
        <is>
          <t>See official source</t>
        </is>
      </c>
      <c r="T262" s="214" t="inlineStr">
        <is>
          <t>Updated as needed by the issuing authority</t>
        </is>
      </c>
      <c r="U262" s="25" t="inlineStr">
        <is>
          <t>CURRENT — consult official source for latest version</t>
        </is>
      </c>
      <c r="V262" s="214" t="inlineStr">
        <is>
          <t>Penalties defined by issuing authority; consult official source. NCA ECC-2 penalties apply if relevant</t>
        </is>
      </c>
      <c r="W262" s="215" t="inlineStr">
        <is>
          <t>Issuing authority and/or designated inspection department</t>
        </is>
      </c>
      <c r="X262" s="214" t="inlineStr">
        <is>
          <t>As specified in framework scope — consult official document</t>
        </is>
      </c>
      <c r="Y262" s="49" t="inlineStr">
        <is>
          <t>Both (unless specified otherwise in official document)</t>
        </is>
      </c>
      <c r="Z262" s="214" t="inlineStr">
        <is>
          <t>As defined by issuing authority</t>
        </is>
      </c>
      <c r="AA262" s="216" t="inlineStr">
        <is>
          <t>As defined by issuing authority</t>
        </is>
      </c>
      <c r="AB262" s="214" t="inlineStr">
        <is>
          <t>To be determined from framework text — see official source</t>
        </is>
      </c>
      <c r="AC262" s="214" t="inlineStr">
        <is>
          <t>See framework preamble for international standard references</t>
        </is>
      </c>
      <c r="AD262" s="49" t="inlineStr">
        <is>
          <t>Arabic (primary in KSA); English may be available</t>
        </is>
      </c>
      <c r="AE262" s="58" t="inlineStr">
        <is>
          <t>Mapped to relevant GH-ICGA layer — requires manual assessment</t>
        </is>
      </c>
      <c r="AF262" s="56" t="inlineStr">
        <is>
          <t>See official framework for maturity model details</t>
        </is>
      </c>
      <c r="AG262" s="214" t="inlineStr">
        <is>
          <t>Aligned with relevant Vision 2030 programme — see framework context</t>
        </is>
      </c>
      <c r="AH262" s="214" t="inlineStr">
        <is>
          <t>As specified in framework compliance requirements</t>
        </is>
      </c>
      <c r="AI262" s="219" t="inlineStr">
        <is>
          <t>Institutional theory and regulatory governance theory underpin all KSA regulatory frameworks. Specific theoretical basis varies by framework — consult academic literature via Google Scholar using framework name as search term.</t>
        </is>
      </c>
      <c r="AJ262" s="214" t="inlineStr">
        <is>
          <t>Academic debate varies by framework maturity and international adoption. For KSA-specific debate, consult: Almohammad &amp; Wills (2021) J Cybersecurity; Al-Khater et al. (2020) IEEE Access; Baker McKenzie KSA regulatory updates.</t>
        </is>
      </c>
      <c r="AK262" s="220" t="inlineStr">
        <is>
          <t>Known criticisms include: implementation gap between standards and practice; resource constraints for smaller healthcare entities; rapid technology evolution outpacing regulation. Consult framework evaluation literature for specifics.</t>
        </is>
      </c>
      <c r="AL262" s="221" t="inlineStr">
        <is>
          <t>Framework comparison requires contextual analysis. Key comparators: NIST CSF 2.0 (international benchmark), ISO 27001 (certifiable standard), ECC-2 (KSA mandatory baseline). See main database for cross-framework mapping.</t>
        </is>
      </c>
      <c r="AM262" s="222"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62" s="223" t="inlineStr">
        <is>
          <t>Official: Consult the official source URL in the database for the primary document. Training: ISACA, ISC2, RAPS, IAPP, and HIMSS offer professional development covering most regulatory domains. Estimated hours vary by framework complexity.</t>
        </is>
      </c>
      <c r="AO262" s="224" t="inlineStr">
        <is>
          <t>Relevance to GH-ICGA framework varies by layer — see GH-ICGA Layer Mapping column. All KSA mandatory frameworks are compliance inputs to GH-ICGA Layer 4. Frameworks with IoMT-specific provisions directly inform Layers 2 and 3.</t>
        </is>
      </c>
      <c r="AP262" s="51" t="inlineStr">
        <is>
          <t>G + C (Governance + Compliance — standard regulatory framework positioning)</t>
        </is>
      </c>
      <c r="AQ262" s="225" t="inlineStr">
        <is>
          <t>Senior management: accountability for framework compliance. Designated compliance officer: monitor requirements. All staff: awareness of applicable obligations</t>
        </is>
      </c>
      <c r="AR262" s="220" t="inlineStr">
        <is>
          <t>Regulatory Risk; Operational Risk; Reputational Risk — specific domains determined by framework scope</t>
        </is>
      </c>
      <c r="AS262" s="22" t="inlineStr">
        <is>
          <t>See official source — legal obligation, regulatory requirement, or voluntary standard as applicable</t>
        </is>
      </c>
      <c r="AT262" s="221" t="inlineStr">
        <is>
          <t>Administrative; Technical; Operational — specific distribution determined by framework content</t>
        </is>
      </c>
      <c r="AU262" s="226" t="inlineStr">
        <is>
          <t>1. Compliance status (compliant/non-compliant). 2. # open findings from last assessment. 3. % controls implemented. 4. Time to remediate findings. 5. Incident rate in framework scope area</t>
        </is>
      </c>
      <c r="AV262" s="227" t="inlineStr">
        <is>
          <t>Self-assessment; internal audit; external assessment as specified by issuing authority</t>
        </is>
      </c>
      <c r="AW262" s="228" t="inlineStr">
        <is>
          <t>ServiceNow GRC; IBM OpenPages; RSA Archer; MetricStream — all major GRC platforms support custom framework import. Contact vendor for framework-specific module</t>
        </is>
      </c>
      <c r="AX262" s="229" t="inlineStr">
        <is>
          <t>Third parties in scope must demonstrate equivalent compliance. Contractual compliance obligations; right-to-audit clauses; annual third-party assessment</t>
        </is>
      </c>
      <c r="AY262" s="213" t="inlineStr">
        <is>
          <t>Non-compliance: regulatory action by issuing authority; fines and penalties as specified; operational and reputational consequences</t>
        </is>
      </c>
      <c r="AZ262" s="230" t="inlineStr">
        <is>
          <t>Sector-specific — consult official source</t>
        </is>
      </c>
      <c r="BA262" s="41" t="inlineStr">
        <is>
          <t>Sector-Specific</t>
        </is>
      </c>
      <c r="BB262" s="591">
        <f>IF(E262="","",IF(ISNUMBER(SEARCH("Institutional theory and regulatory governance theory underpin",AI262)),"TEMPLATE",IF(LEN(AI262)&gt;100,"DEEP",IF(AI262="","SPARSE","SHALLOW"))))</f>
        <v/>
      </c>
      <c r="BC262" s="591">
        <f>IF(E262="","",D262&amp;"-"&amp;B262&amp;"-"&amp;E262)</f>
        <v/>
      </c>
      <c r="BD262" s="591">
        <f>IF(E262="","",SUBSTITUTE(SUBSTITUTE(B262&amp;"-"&amp;E262," ",""),":","-"))</f>
        <v/>
      </c>
      <c r="BE262" s="591">
        <f>IF(E262="","",IF(ISNUMBER(SEARCH("ECC",E262)),"NCA-ECC-2-2024",IF(ISNUMBER(SEARCH("OTCC",E262)),"NCA-ECC-2-2024",IF(ISNUMBER(SEARCH("CCC",E262)),"NCA-ECC-2-2024",IF(ISNUMBER(SEARCH("DCC",E262)),"NCA-ECC-2-2024",IF(ISNUMBER(SEARCH("CSCC",E262)),"NCA-ECC-2-2024",IF(ISNUMBER(SEARCH("PDPL-IR",E262)),"PDPL-2021",IF(ISNUMBER(SEARCH("PDPL-DTR",E262)),"PDPL-2021","NONE"))))))))</f>
        <v/>
      </c>
      <c r="BF262" s="594">
        <f>IF(E262="","",IF(BB262="DEEP",10,IF(BB262="SHALLOW",5,IF(BB262="TEMPLATE",3,1)))+IF(N262="HIGHEST",5,IF(N262="HIGH",3,IF(N262="MODERATE",1,0)))+IF(ISNUMBER(SEARCH("Mandatory",L262)),3,0))</f>
        <v/>
      </c>
    </row>
    <row r="263" ht="42" customHeight="1">
      <c r="A263" s="42" t="n">
        <v>236</v>
      </c>
      <c r="B263" s="231" t="inlineStr">
        <is>
          <t>SWCC</t>
        </is>
      </c>
      <c r="C263" s="44" t="inlineStr">
        <is>
          <t>Saline Water Conversion Corporation</t>
        </is>
      </c>
      <c r="D263" s="44" t="inlineStr">
        <is>
          <t>8. Energy &amp; Utilities</t>
        </is>
      </c>
      <c r="E263" s="231" t="inlineStr">
        <is>
          <t>NCA-ECC-2:2024</t>
        </is>
      </c>
      <c r="F263" s="45" t="inlineStr">
        <is>
          <t>Essential Cybersecurity Controls</t>
        </is>
      </c>
      <c r="G263" s="44" t="inlineStr">
        <is>
          <t>ضوابط الأمن السيبراني الأساسية</t>
        </is>
      </c>
      <c r="H263" s="44" t="inlineStr">
        <is>
          <t>ECC-2:2024</t>
        </is>
      </c>
      <c r="I263" s="46" t="inlineStr">
        <is>
          <t>2018</t>
        </is>
      </c>
      <c r="J263" s="46" t="inlineStr">
        <is>
          <t>108</t>
        </is>
      </c>
      <c r="K263" s="44" t="inlineStr">
        <is>
          <t>MUST COMPLY WITH</t>
        </is>
      </c>
      <c r="L263" s="66" t="inlineStr">
        <is>
          <t>Mandatory Complier</t>
        </is>
      </c>
      <c r="M263" s="44" t="inlineStr">
        <is>
          <t>Saline Water Conversion Corporation as government entity</t>
        </is>
      </c>
      <c r="N263" s="59" t="inlineStr">
        <is>
          <t>LOW</t>
        </is>
      </c>
      <c r="O263" s="48" t="inlineStr">
        <is>
          <t>https://nca.gov.sa/</t>
        </is>
      </c>
      <c r="P263" s="44" t="inlineStr">
        <is>
          <t>NCA ECC scope</t>
        </is>
      </c>
      <c r="Q263" s="214" t="inlineStr">
        <is>
          <t>See official source for version history</t>
        </is>
      </c>
      <c r="R263" s="214" t="inlineStr">
        <is>
          <t>Framework issued by the relevant authority. Version details available on the official website referenced in the source URL column. The framework has been updated periodically since first issuance.</t>
        </is>
      </c>
      <c r="S263" s="216" t="inlineStr">
        <is>
          <t>See official source</t>
        </is>
      </c>
      <c r="T263" s="214" t="inlineStr">
        <is>
          <t>Updated as needed by the issuing authority</t>
        </is>
      </c>
      <c r="U263" s="25" t="inlineStr">
        <is>
          <t>CURRENT — consult official source for latest version</t>
        </is>
      </c>
      <c r="V263" s="214" t="inlineStr">
        <is>
          <t>Penalties defined by issuing authority; consult official source. NCA ECC-2 penalties apply if relevant</t>
        </is>
      </c>
      <c r="W263" s="215" t="inlineStr">
        <is>
          <t>Issuing authority and/or designated inspection department</t>
        </is>
      </c>
      <c r="X263" s="214" t="inlineStr">
        <is>
          <t>As specified in framework scope — consult official document</t>
        </is>
      </c>
      <c r="Y263" s="49" t="inlineStr">
        <is>
          <t>Both (unless specified otherwise in official document)</t>
        </is>
      </c>
      <c r="Z263" s="214" t="inlineStr">
        <is>
          <t>As defined by issuing authority</t>
        </is>
      </c>
      <c r="AA263" s="216" t="inlineStr">
        <is>
          <t>As defined by issuing authority</t>
        </is>
      </c>
      <c r="AB263" s="214" t="inlineStr">
        <is>
          <t>To be determined from framework text — see official source</t>
        </is>
      </c>
      <c r="AC263" s="214" t="inlineStr">
        <is>
          <t>See framework preamble for international standard references</t>
        </is>
      </c>
      <c r="AD263" s="49" t="inlineStr">
        <is>
          <t>Arabic (primary in KSA); English may be available</t>
        </is>
      </c>
      <c r="AE263" s="58" t="inlineStr">
        <is>
          <t>Mapped to relevant GH-ICGA layer — requires manual assessment</t>
        </is>
      </c>
      <c r="AF263" s="56" t="inlineStr">
        <is>
          <t>See official framework for maturity model details</t>
        </is>
      </c>
      <c r="AG263" s="214" t="inlineStr">
        <is>
          <t>Aligned with relevant Vision 2030 programme — see framework context</t>
        </is>
      </c>
      <c r="AH263" s="214" t="inlineStr">
        <is>
          <t>As specified in framework compliance requirements</t>
        </is>
      </c>
      <c r="AI263" s="219" t="inlineStr">
        <is>
          <t>Institutional theory and regulatory governance theory underpin all KSA regulatory frameworks. Specific theoretical basis varies by framework — consult academic literature via Google Scholar using framework name as search term.</t>
        </is>
      </c>
      <c r="AJ263" s="214" t="inlineStr">
        <is>
          <t>Academic debate varies by framework maturity and international adoption. For KSA-specific debate, consult: Almohammad &amp; Wills (2021) J Cybersecurity; Al-Khater et al. (2020) IEEE Access; Baker McKenzie KSA regulatory updates.</t>
        </is>
      </c>
      <c r="AK263" s="220" t="inlineStr">
        <is>
          <t>Known criticisms include: implementation gap between standards and practice; resource constraints for smaller healthcare entities; rapid technology evolution outpacing regulation. Consult framework evaluation literature for specifics.</t>
        </is>
      </c>
      <c r="AL263" s="221" t="inlineStr">
        <is>
          <t>Framework comparison requires contextual analysis. Key comparators: NIST CSF 2.0 (international benchmark), ISO 27001 (certifiable standard), ECC-2 (KSA mandatory baseline). See main database for cross-framework mapping.</t>
        </is>
      </c>
      <c r="AM263" s="222"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63" s="223" t="inlineStr">
        <is>
          <t>Official: Consult the official source URL in the database for the primary document. Training: ISACA, ISC2, RAPS, IAPP, and HIMSS offer professional development covering most regulatory domains. Estimated hours vary by framework complexity.</t>
        </is>
      </c>
      <c r="AO263" s="224" t="inlineStr">
        <is>
          <t>Relevance to GH-ICGA framework varies by layer — see GH-ICGA Layer Mapping column. All KSA mandatory frameworks are compliance inputs to GH-ICGA Layer 4. Frameworks with IoMT-specific provisions directly inform Layers 2 and 3.</t>
        </is>
      </c>
      <c r="AP263" s="51" t="inlineStr">
        <is>
          <t>G + C (Governance + Compliance — standard regulatory framework positioning)</t>
        </is>
      </c>
      <c r="AQ263" s="225" t="inlineStr">
        <is>
          <t>Senior management: accountability for framework compliance. Designated compliance officer: monitor requirements. All staff: awareness of applicable obligations</t>
        </is>
      </c>
      <c r="AR263" s="220" t="inlineStr">
        <is>
          <t>Regulatory Risk; Operational Risk; Reputational Risk — specific domains determined by framework scope</t>
        </is>
      </c>
      <c r="AS263" s="22" t="inlineStr">
        <is>
          <t>See official source — legal obligation, regulatory requirement, or voluntary standard as applicable</t>
        </is>
      </c>
      <c r="AT263" s="221" t="inlineStr">
        <is>
          <t>Administrative; Technical; Operational — specific distribution determined by framework content</t>
        </is>
      </c>
      <c r="AU263" s="226" t="inlineStr">
        <is>
          <t>1. Compliance status (compliant/non-compliant). 2. # open findings from last assessment. 3. % controls implemented. 4. Time to remediate findings. 5. Incident rate in framework scope area</t>
        </is>
      </c>
      <c r="AV263" s="227" t="inlineStr">
        <is>
          <t>Self-assessment; internal audit; external assessment as specified by issuing authority</t>
        </is>
      </c>
      <c r="AW263" s="228" t="inlineStr">
        <is>
          <t>ServiceNow GRC; IBM OpenPages; RSA Archer; MetricStream — all major GRC platforms support custom framework import. Contact vendor for framework-specific module</t>
        </is>
      </c>
      <c r="AX263" s="229" t="inlineStr">
        <is>
          <t>Third parties in scope must demonstrate equivalent compliance. Contractual compliance obligations; right-to-audit clauses; annual third-party assessment</t>
        </is>
      </c>
      <c r="AY263" s="213" t="inlineStr">
        <is>
          <t>Non-compliance: regulatory action by issuing authority; fines and penalties as specified; operational and reputational consequences</t>
        </is>
      </c>
      <c r="AZ263" s="230" t="inlineStr">
        <is>
          <t>ALL 17 SECTORS</t>
        </is>
      </c>
      <c r="BA263" s="34" t="inlineStr">
        <is>
          <t>YES — ALL SECTORS</t>
        </is>
      </c>
      <c r="BB263" s="591">
        <f>IF(E263="","",IF(ISNUMBER(SEARCH("Institutional theory and regulatory governance theory underpin",AI263)),"TEMPLATE",IF(LEN(AI263)&gt;100,"DEEP",IF(AI263="","SPARSE","SHALLOW"))))</f>
        <v/>
      </c>
      <c r="BC263" s="591">
        <f>IF(E263="","",D263&amp;"-"&amp;B263&amp;"-"&amp;E263)</f>
        <v/>
      </c>
      <c r="BD263" s="591">
        <f>IF(E263="","",SUBSTITUTE(SUBSTITUTE(B263&amp;"-"&amp;E263," ",""),":","-"))</f>
        <v/>
      </c>
      <c r="BE263" s="591">
        <f>IF(E263="","",IF(ISNUMBER(SEARCH("ECC",E263)),"NCA-ECC-2-2024",IF(ISNUMBER(SEARCH("OTCC",E263)),"NCA-ECC-2-2024",IF(ISNUMBER(SEARCH("CCC",E263)),"NCA-ECC-2-2024",IF(ISNUMBER(SEARCH("DCC",E263)),"NCA-ECC-2-2024",IF(ISNUMBER(SEARCH("CSCC",E263)),"NCA-ECC-2-2024",IF(ISNUMBER(SEARCH("PDPL-IR",E263)),"PDPL-2021",IF(ISNUMBER(SEARCH("PDPL-DTR",E263)),"PDPL-2021","NONE"))))))))</f>
        <v/>
      </c>
      <c r="BF263" s="594">
        <f>IF(E263="","",IF(BB263="DEEP",10,IF(BB263="SHALLOW",5,IF(BB263="TEMPLATE",3,1)))+IF(N263="HIGHEST",5,IF(N263="HIGH",3,IF(N263="MODERATE",1,0)))+IF(ISNUMBER(SEARCH("Mandatory",L263)),3,0))</f>
        <v/>
      </c>
    </row>
    <row r="264" ht="42" customHeight="1">
      <c r="A264" s="212" t="n">
        <v>237</v>
      </c>
      <c r="B264" s="213" t="inlineStr">
        <is>
          <t>NWC</t>
        </is>
      </c>
      <c r="C264" s="214" t="inlineStr">
        <is>
          <t>National Water Company</t>
        </is>
      </c>
      <c r="D264" s="214" t="inlineStr">
        <is>
          <t>8. Energy &amp; Utilities</t>
        </is>
      </c>
      <c r="E264" s="213" t="inlineStr">
        <is>
          <t>NWC-FW</t>
        </is>
      </c>
      <c r="F264" s="215" t="inlineStr">
        <is>
          <t>Water Quality &amp; Distribution Standards</t>
        </is>
      </c>
      <c r="G264" s="214" t="inlineStr">
        <is>
          <t>الإطار التنظيمي الرئيسي</t>
        </is>
      </c>
      <c r="H264" s="214" t="inlineStr">
        <is>
          <t>Active/Updated</t>
        </is>
      </c>
      <c r="I264" s="216" t="inlineStr">
        <is>
          <t>2008</t>
        </is>
      </c>
      <c r="J264" s="216" t="inlineStr">
        <is>
          <t>N/A</t>
        </is>
      </c>
      <c r="K264" s="214" t="inlineStr">
        <is>
          <t>ISSUES/ENFORCES</t>
        </is>
      </c>
      <c r="L264" s="22" t="inlineStr">
        <is>
          <t>Mandatory Enforcer</t>
        </is>
      </c>
      <c r="M264" s="214" t="inlineStr">
        <is>
          <t>Entities regulated by this authority</t>
        </is>
      </c>
      <c r="N264" s="217" t="inlineStr">
        <is>
          <t>MODERATE</t>
        </is>
      </c>
      <c r="O264" s="218" t="inlineStr">
        <is>
          <t>https://www.gov.sa/</t>
        </is>
      </c>
      <c r="P264" s="214" t="inlineStr">
        <is>
          <t>Ministry/Authority official site</t>
        </is>
      </c>
      <c r="Q264" s="214" t="inlineStr">
        <is>
          <t>See official source for version history</t>
        </is>
      </c>
      <c r="R264" s="214" t="inlineStr">
        <is>
          <t>Framework issued by the relevant authority. Version details available on the official website referenced in the source URL column. The framework has been updated periodically since first issuance.</t>
        </is>
      </c>
      <c r="S264" s="216" t="inlineStr">
        <is>
          <t>See official source</t>
        </is>
      </c>
      <c r="T264" s="214" t="inlineStr">
        <is>
          <t>Updated as needed by the issuing authority</t>
        </is>
      </c>
      <c r="U264" s="25" t="inlineStr">
        <is>
          <t>CURRENT — consult official source for latest version</t>
        </is>
      </c>
      <c r="V264" s="214" t="inlineStr">
        <is>
          <t>Penalties defined by issuing authority; consult official source. NCA ECC-2 penalties apply if relevant</t>
        </is>
      </c>
      <c r="W264" s="215" t="inlineStr">
        <is>
          <t>Issuing authority and/or designated inspection department</t>
        </is>
      </c>
      <c r="X264" s="214" t="inlineStr">
        <is>
          <t>As specified in framework scope — consult official document</t>
        </is>
      </c>
      <c r="Y264" s="49" t="inlineStr">
        <is>
          <t>Both (unless specified otherwise in official document)</t>
        </is>
      </c>
      <c r="Z264" s="214" t="inlineStr">
        <is>
          <t>As defined by issuing authority</t>
        </is>
      </c>
      <c r="AA264" s="216" t="inlineStr">
        <is>
          <t>As defined by issuing authority</t>
        </is>
      </c>
      <c r="AB264" s="214" t="inlineStr">
        <is>
          <t>To be determined from framework text — see official source</t>
        </is>
      </c>
      <c r="AC264" s="214" t="inlineStr">
        <is>
          <t>See framework preamble for international standard references</t>
        </is>
      </c>
      <c r="AD264" s="49" t="inlineStr">
        <is>
          <t>Arabic (primary in KSA); English may be available</t>
        </is>
      </c>
      <c r="AE264" s="58" t="inlineStr">
        <is>
          <t>Mapped to relevant GH-ICGA layer — requires manual assessment</t>
        </is>
      </c>
      <c r="AF264" s="56" t="inlineStr">
        <is>
          <t>See official framework for maturity model details</t>
        </is>
      </c>
      <c r="AG264" s="214" t="inlineStr">
        <is>
          <t>Aligned with relevant Vision 2030 programme — see framework context</t>
        </is>
      </c>
      <c r="AH264" s="214" t="inlineStr">
        <is>
          <t>As specified in framework compliance requirements</t>
        </is>
      </c>
      <c r="AI264" s="219" t="inlineStr">
        <is>
          <t>Institutional theory and regulatory governance theory underpin all KSA regulatory frameworks. Specific theoretical basis varies by framework — consult academic literature via Google Scholar using framework name as search term.</t>
        </is>
      </c>
      <c r="AJ264" s="214" t="inlineStr">
        <is>
          <t>Academic debate varies by framework maturity and international adoption. For KSA-specific debate, consult: Almohammad &amp; Wills (2021) J Cybersecurity; Al-Khater et al. (2020) IEEE Access; Baker McKenzie KSA regulatory updates.</t>
        </is>
      </c>
      <c r="AK264" s="220" t="inlineStr">
        <is>
          <t>Known criticisms include: implementation gap between standards and practice; resource constraints for smaller healthcare entities; rapid technology evolution outpacing regulation. Consult framework evaluation literature for specifics.</t>
        </is>
      </c>
      <c r="AL264" s="221" t="inlineStr">
        <is>
          <t>Framework comparison requires contextual analysis. Key comparators: NIST CSF 2.0 (international benchmark), ISO 27001 (certifiable standard), ECC-2 (KSA mandatory baseline). See main database for cross-framework mapping.</t>
        </is>
      </c>
      <c r="AM264" s="222"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64" s="223" t="inlineStr">
        <is>
          <t>Official: Consult the official source URL in the database for the primary document. Training: ISACA, ISC2, RAPS, IAPP, and HIMSS offer professional development covering most regulatory domains. Estimated hours vary by framework complexity.</t>
        </is>
      </c>
      <c r="AO264" s="224" t="inlineStr">
        <is>
          <t>Relevance to GH-ICGA framework varies by layer — see GH-ICGA Layer Mapping column. All KSA mandatory frameworks are compliance inputs to GH-ICGA Layer 4. Frameworks with IoMT-specific provisions directly inform Layers 2 and 3.</t>
        </is>
      </c>
      <c r="AP264" s="51" t="inlineStr">
        <is>
          <t>G + C (Governance + Compliance — standard regulatory framework positioning)</t>
        </is>
      </c>
      <c r="AQ264" s="225" t="inlineStr">
        <is>
          <t>Senior management: accountability for framework compliance. Designated compliance officer: monitor requirements. All staff: awareness of applicable obligations</t>
        </is>
      </c>
      <c r="AR264" s="220" t="inlineStr">
        <is>
          <t>Regulatory Risk; Operational Risk; Reputational Risk — specific domains determined by framework scope</t>
        </is>
      </c>
      <c r="AS264" s="22" t="inlineStr">
        <is>
          <t>See official source — legal obligation, regulatory requirement, or voluntary standard as applicable</t>
        </is>
      </c>
      <c r="AT264" s="221" t="inlineStr">
        <is>
          <t>Administrative; Technical; Operational — specific distribution determined by framework content</t>
        </is>
      </c>
      <c r="AU264" s="226" t="inlineStr">
        <is>
          <t>1. Compliance status (compliant/non-compliant). 2. # open findings from last assessment. 3. % controls implemented. 4. Time to remediate findings. 5. Incident rate in framework scope area</t>
        </is>
      </c>
      <c r="AV264" s="227" t="inlineStr">
        <is>
          <t>Self-assessment; internal audit; external assessment as specified by issuing authority</t>
        </is>
      </c>
      <c r="AW264" s="228" t="inlineStr">
        <is>
          <t>ServiceNow GRC; IBM OpenPages; RSA Archer; MetricStream — all major GRC platforms support custom framework import. Contact vendor for framework-specific module</t>
        </is>
      </c>
      <c r="AX264" s="229" t="inlineStr">
        <is>
          <t>Third parties in scope must demonstrate equivalent compliance. Contractual compliance obligations; right-to-audit clauses; annual third-party assessment</t>
        </is>
      </c>
      <c r="AY264" s="213" t="inlineStr">
        <is>
          <t>Non-compliance: regulatory action by issuing authority; fines and penalties as specified; operational and reputational consequences</t>
        </is>
      </c>
      <c r="AZ264" s="230" t="inlineStr">
        <is>
          <t>Sector-specific — consult official source</t>
        </is>
      </c>
      <c r="BA264" s="41" t="inlineStr">
        <is>
          <t>Sector-Specific</t>
        </is>
      </c>
      <c r="BB264" s="591">
        <f>IF(E264="","",IF(ISNUMBER(SEARCH("Institutional theory and regulatory governance theory underpin",AI264)),"TEMPLATE",IF(LEN(AI264)&gt;100,"DEEP",IF(AI264="","SPARSE","SHALLOW"))))</f>
        <v/>
      </c>
      <c r="BC264" s="591">
        <f>IF(E264="","",D264&amp;"-"&amp;B264&amp;"-"&amp;E264)</f>
        <v/>
      </c>
      <c r="BD264" s="591">
        <f>IF(E264="","",SUBSTITUTE(SUBSTITUTE(B264&amp;"-"&amp;E264," ",""),":","-"))</f>
        <v/>
      </c>
      <c r="BE264" s="591">
        <f>IF(E264="","",IF(ISNUMBER(SEARCH("ECC",E264)),"NCA-ECC-2-2024",IF(ISNUMBER(SEARCH("OTCC",E264)),"NCA-ECC-2-2024",IF(ISNUMBER(SEARCH("CCC",E264)),"NCA-ECC-2-2024",IF(ISNUMBER(SEARCH("DCC",E264)),"NCA-ECC-2-2024",IF(ISNUMBER(SEARCH("CSCC",E264)),"NCA-ECC-2-2024",IF(ISNUMBER(SEARCH("PDPL-IR",E264)),"PDPL-2021",IF(ISNUMBER(SEARCH("PDPL-DTR",E264)),"PDPL-2021","NONE"))))))))</f>
        <v/>
      </c>
      <c r="BF264" s="594">
        <f>IF(E264="","",IF(BB264="DEEP",10,IF(BB264="SHALLOW",5,IF(BB264="TEMPLATE",3,1)))+IF(N264="HIGHEST",5,IF(N264="HIGH",3,IF(N264="MODERATE",1,0)))+IF(ISNUMBER(SEARCH("Mandatory",L264)),3,0))</f>
        <v/>
      </c>
    </row>
    <row r="265" ht="42" customHeight="1">
      <c r="A265" s="42" t="n">
        <v>238</v>
      </c>
      <c r="B265" s="231" t="inlineStr">
        <is>
          <t>NWC</t>
        </is>
      </c>
      <c r="C265" s="44" t="inlineStr">
        <is>
          <t>National Water Company</t>
        </is>
      </c>
      <c r="D265" s="44" t="inlineStr">
        <is>
          <t>8. Energy &amp; Utilities</t>
        </is>
      </c>
      <c r="E265" s="231" t="inlineStr">
        <is>
          <t>NCA-ECC-2:2024</t>
        </is>
      </c>
      <c r="F265" s="45" t="inlineStr">
        <is>
          <t>Essential Cybersecurity Controls</t>
        </is>
      </c>
      <c r="G265" s="44" t="inlineStr">
        <is>
          <t>ضوابط الأمن السيبراني الأساسية</t>
        </is>
      </c>
      <c r="H265" s="44" t="inlineStr">
        <is>
          <t>ECC-2:2024</t>
        </is>
      </c>
      <c r="I265" s="46" t="inlineStr">
        <is>
          <t>2018</t>
        </is>
      </c>
      <c r="J265" s="46" t="inlineStr">
        <is>
          <t>108</t>
        </is>
      </c>
      <c r="K265" s="44" t="inlineStr">
        <is>
          <t>MUST COMPLY WITH</t>
        </is>
      </c>
      <c r="L265" s="66" t="inlineStr">
        <is>
          <t>Mandatory Complier</t>
        </is>
      </c>
      <c r="M265" s="44" t="inlineStr">
        <is>
          <t>National Water Company as government entity</t>
        </is>
      </c>
      <c r="N265" s="59" t="inlineStr">
        <is>
          <t>LOW</t>
        </is>
      </c>
      <c r="O265" s="48" t="inlineStr">
        <is>
          <t>https://nca.gov.sa/</t>
        </is>
      </c>
      <c r="P265" s="44" t="inlineStr">
        <is>
          <t>NCA ECC scope</t>
        </is>
      </c>
      <c r="Q265" s="214" t="inlineStr">
        <is>
          <t>See official source for version history</t>
        </is>
      </c>
      <c r="R265" s="214" t="inlineStr">
        <is>
          <t>Framework issued by the relevant authority. Version details available on the official website referenced in the source URL column. The framework has been updated periodically since first issuance.</t>
        </is>
      </c>
      <c r="S265" s="216" t="inlineStr">
        <is>
          <t>See official source</t>
        </is>
      </c>
      <c r="T265" s="214" t="inlineStr">
        <is>
          <t>Updated as needed by the issuing authority</t>
        </is>
      </c>
      <c r="U265" s="25" t="inlineStr">
        <is>
          <t>CURRENT — consult official source for latest version</t>
        </is>
      </c>
      <c r="V265" s="214" t="inlineStr">
        <is>
          <t>Penalties defined by issuing authority; consult official source. NCA ECC-2 penalties apply if relevant</t>
        </is>
      </c>
      <c r="W265" s="215" t="inlineStr">
        <is>
          <t>Issuing authority and/or designated inspection department</t>
        </is>
      </c>
      <c r="X265" s="214" t="inlineStr">
        <is>
          <t>As specified in framework scope — consult official document</t>
        </is>
      </c>
      <c r="Y265" s="49" t="inlineStr">
        <is>
          <t>Both (unless specified otherwise in official document)</t>
        </is>
      </c>
      <c r="Z265" s="214" t="inlineStr">
        <is>
          <t>As defined by issuing authority</t>
        </is>
      </c>
      <c r="AA265" s="216" t="inlineStr">
        <is>
          <t>As defined by issuing authority</t>
        </is>
      </c>
      <c r="AB265" s="214" t="inlineStr">
        <is>
          <t>To be determined from framework text — see official source</t>
        </is>
      </c>
      <c r="AC265" s="214" t="inlineStr">
        <is>
          <t>See framework preamble for international standard references</t>
        </is>
      </c>
      <c r="AD265" s="49" t="inlineStr">
        <is>
          <t>Arabic (primary in KSA); English may be available</t>
        </is>
      </c>
      <c r="AE265" s="58" t="inlineStr">
        <is>
          <t>Mapped to relevant GH-ICGA layer — requires manual assessment</t>
        </is>
      </c>
      <c r="AF265" s="56" t="inlineStr">
        <is>
          <t>See official framework for maturity model details</t>
        </is>
      </c>
      <c r="AG265" s="214" t="inlineStr">
        <is>
          <t>Aligned with relevant Vision 2030 programme — see framework context</t>
        </is>
      </c>
      <c r="AH265" s="214" t="inlineStr">
        <is>
          <t>As specified in framework compliance requirements</t>
        </is>
      </c>
      <c r="AI265" s="219" t="inlineStr">
        <is>
          <t>Institutional theory and regulatory governance theory underpin all KSA regulatory frameworks. Specific theoretical basis varies by framework — consult academic literature via Google Scholar using framework name as search term.</t>
        </is>
      </c>
      <c r="AJ265" s="214" t="inlineStr">
        <is>
          <t>Academic debate varies by framework maturity and international adoption. For KSA-specific debate, consult: Almohammad &amp; Wills (2021) J Cybersecurity; Al-Khater et al. (2020) IEEE Access; Baker McKenzie KSA regulatory updates.</t>
        </is>
      </c>
      <c r="AK265" s="220" t="inlineStr">
        <is>
          <t>Known criticisms include: implementation gap between standards and practice; resource constraints for smaller healthcare entities; rapid technology evolution outpacing regulation. Consult framework evaluation literature for specifics.</t>
        </is>
      </c>
      <c r="AL265" s="221" t="inlineStr">
        <is>
          <t>Framework comparison requires contextual analysis. Key comparators: NIST CSF 2.0 (international benchmark), ISO 27001 (certifiable standard), ECC-2 (KSA mandatory baseline). See main database for cross-framework mapping.</t>
        </is>
      </c>
      <c r="AM265" s="222"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65" s="223" t="inlineStr">
        <is>
          <t>Official: Consult the official source URL in the database for the primary document. Training: ISACA, ISC2, RAPS, IAPP, and HIMSS offer professional development covering most regulatory domains. Estimated hours vary by framework complexity.</t>
        </is>
      </c>
      <c r="AO265" s="224" t="inlineStr">
        <is>
          <t>Relevance to GH-ICGA framework varies by layer — see GH-ICGA Layer Mapping column. All KSA mandatory frameworks are compliance inputs to GH-ICGA Layer 4. Frameworks with IoMT-specific provisions directly inform Layers 2 and 3.</t>
        </is>
      </c>
      <c r="AP265" s="51" t="inlineStr">
        <is>
          <t>G + C (Governance + Compliance — standard regulatory framework positioning)</t>
        </is>
      </c>
      <c r="AQ265" s="225" t="inlineStr">
        <is>
          <t>Senior management: accountability for framework compliance. Designated compliance officer: monitor requirements. All staff: awareness of applicable obligations</t>
        </is>
      </c>
      <c r="AR265" s="220" t="inlineStr">
        <is>
          <t>Regulatory Risk; Operational Risk; Reputational Risk — specific domains determined by framework scope</t>
        </is>
      </c>
      <c r="AS265" s="22" t="inlineStr">
        <is>
          <t>See official source — legal obligation, regulatory requirement, or voluntary standard as applicable</t>
        </is>
      </c>
      <c r="AT265" s="221" t="inlineStr">
        <is>
          <t>Administrative; Technical; Operational — specific distribution determined by framework content</t>
        </is>
      </c>
      <c r="AU265" s="226" t="inlineStr">
        <is>
          <t>1. Compliance status (compliant/non-compliant). 2. # open findings from last assessment. 3. % controls implemented. 4. Time to remediate findings. 5. Incident rate in framework scope area</t>
        </is>
      </c>
      <c r="AV265" s="227" t="inlineStr">
        <is>
          <t>Self-assessment; internal audit; external assessment as specified by issuing authority</t>
        </is>
      </c>
      <c r="AW265" s="228" t="inlineStr">
        <is>
          <t>ServiceNow GRC; IBM OpenPages; RSA Archer; MetricStream — all major GRC platforms support custom framework import. Contact vendor for framework-specific module</t>
        </is>
      </c>
      <c r="AX265" s="229" t="inlineStr">
        <is>
          <t>Third parties in scope must demonstrate equivalent compliance. Contractual compliance obligations; right-to-audit clauses; annual third-party assessment</t>
        </is>
      </c>
      <c r="AY265" s="213" t="inlineStr">
        <is>
          <t>Non-compliance: regulatory action by issuing authority; fines and penalties as specified; operational and reputational consequences</t>
        </is>
      </c>
      <c r="AZ265" s="230" t="inlineStr">
        <is>
          <t>ALL 17 SECTORS</t>
        </is>
      </c>
      <c r="BA265" s="34" t="inlineStr">
        <is>
          <t>YES — ALL SECTORS</t>
        </is>
      </c>
      <c r="BB265" s="591">
        <f>IF(E265="","",IF(ISNUMBER(SEARCH("Institutional theory and regulatory governance theory underpin",AI265)),"TEMPLATE",IF(LEN(AI265)&gt;100,"DEEP",IF(AI265="","SPARSE","SHALLOW"))))</f>
        <v/>
      </c>
      <c r="BC265" s="591">
        <f>IF(E265="","",D265&amp;"-"&amp;B265&amp;"-"&amp;E265)</f>
        <v/>
      </c>
      <c r="BD265" s="591">
        <f>IF(E265="","",SUBSTITUTE(SUBSTITUTE(B265&amp;"-"&amp;E265," ",""),":","-"))</f>
        <v/>
      </c>
      <c r="BE265" s="591">
        <f>IF(E265="","",IF(ISNUMBER(SEARCH("ECC",E265)),"NCA-ECC-2-2024",IF(ISNUMBER(SEARCH("OTCC",E265)),"NCA-ECC-2-2024",IF(ISNUMBER(SEARCH("CCC",E265)),"NCA-ECC-2-2024",IF(ISNUMBER(SEARCH("DCC",E265)),"NCA-ECC-2-2024",IF(ISNUMBER(SEARCH("CSCC",E265)),"NCA-ECC-2-2024",IF(ISNUMBER(SEARCH("PDPL-IR",E265)),"PDPL-2021",IF(ISNUMBER(SEARCH("PDPL-DTR",E265)),"PDPL-2021","NONE"))))))))</f>
        <v/>
      </c>
      <c r="BF265" s="594">
        <f>IF(E265="","",IF(BB265="DEEP",10,IF(BB265="SHALLOW",5,IF(BB265="TEMPLATE",3,1)))+IF(N265="HIGHEST",5,IF(N265="HIGH",3,IF(N265="MODERATE",1,0)))+IF(ISNUMBER(SEARCH("Mandatory",L265)),3,0))</f>
        <v/>
      </c>
    </row>
    <row r="266">
      <c r="BB266" s="591">
        <f>IF(E266="","",IF(ISNUMBER(SEARCH("Institutional theory and regulatory governance theory underpin",AI266)),"TEMPLATE",IF(LEN(AI266)&gt;100,"DEEP",IF(AI266="","SPARSE","SHALLOW"))))</f>
        <v/>
      </c>
      <c r="BC266" s="591">
        <f>IF(E266="","",D266&amp;"-"&amp;B266&amp;"-"&amp;E266)</f>
        <v/>
      </c>
      <c r="BD266" s="591">
        <f>IF(E266="","",SUBSTITUTE(SUBSTITUTE(B266&amp;"-"&amp;E266," ",""),":","-"))</f>
        <v/>
      </c>
      <c r="BE266" s="591">
        <f>IF(E266="","",IF(ISNUMBER(SEARCH("ECC",E266)),"NCA-ECC-2-2024",IF(ISNUMBER(SEARCH("OTCC",E266)),"NCA-ECC-2-2024",IF(ISNUMBER(SEARCH("CCC",E266)),"NCA-ECC-2-2024",IF(ISNUMBER(SEARCH("DCC",E266)),"NCA-ECC-2-2024",IF(ISNUMBER(SEARCH("CSCC",E266)),"NCA-ECC-2-2024",IF(ISNUMBER(SEARCH("PDPL-IR",E266)),"PDPL-2021",IF(ISNUMBER(SEARCH("PDPL-DTR",E266)),"PDPL-2021","NONE"))))))))</f>
        <v/>
      </c>
      <c r="BF266" s="594">
        <f>IF(E266="","",IF(BB266="DEEP",10,IF(BB266="SHALLOW",5,IF(BB266="TEMPLATE",3,1)))+IF(N266="HIGHEST",5,IF(N266="HIGH",3,IF(N266="MODERATE",1,0)))+IF(ISNUMBER(SEARCH("Mandatory",L266)),3,0))</f>
        <v/>
      </c>
    </row>
    <row r="267" ht="19.5" customHeight="1">
      <c r="A267" s="232" t="n"/>
      <c r="B267" s="233" t="inlineStr">
        <is>
          <t xml:space="preserve">  ── 9. Environment ──</t>
        </is>
      </c>
      <c r="C267" s="232" t="n"/>
      <c r="D267" s="232" t="n"/>
      <c r="E267" s="232" t="n"/>
      <c r="F267" s="232" t="n"/>
      <c r="G267" s="232" t="n"/>
      <c r="H267" s="232" t="n"/>
      <c r="I267" s="232" t="n"/>
      <c r="J267" s="232" t="n"/>
      <c r="K267" s="232" t="n"/>
      <c r="L267" s="232" t="n"/>
      <c r="M267" s="232" t="n"/>
      <c r="N267" s="232" t="n"/>
      <c r="O267" s="232" t="n"/>
      <c r="P267" s="232" t="n"/>
      <c r="BB267" s="591">
        <f>IF(E267="","",IF(ISNUMBER(SEARCH("Institutional theory and regulatory governance theory underpin",AI267)),"TEMPLATE",IF(LEN(AI267)&gt;100,"DEEP",IF(AI267="","SPARSE","SHALLOW"))))</f>
        <v/>
      </c>
      <c r="BC267" s="591">
        <f>IF(E267="","",D267&amp;"-"&amp;B267&amp;"-"&amp;E267)</f>
        <v/>
      </c>
      <c r="BD267" s="591">
        <f>IF(E267="","",SUBSTITUTE(SUBSTITUTE(B267&amp;"-"&amp;E267," ",""),":","-"))</f>
        <v/>
      </c>
      <c r="BE267" s="591">
        <f>IF(E267="","",IF(ISNUMBER(SEARCH("ECC",E267)),"NCA-ECC-2-2024",IF(ISNUMBER(SEARCH("OTCC",E267)),"NCA-ECC-2-2024",IF(ISNUMBER(SEARCH("CCC",E267)),"NCA-ECC-2-2024",IF(ISNUMBER(SEARCH("DCC",E267)),"NCA-ECC-2-2024",IF(ISNUMBER(SEARCH("CSCC",E267)),"NCA-ECC-2-2024",IF(ISNUMBER(SEARCH("PDPL-IR",E267)),"PDPL-2021",IF(ISNUMBER(SEARCH("PDPL-DTR",E267)),"PDPL-2021","NONE"))))))))</f>
        <v/>
      </c>
      <c r="BF267" s="594">
        <f>IF(E267="","",IF(BB267="DEEP",10,IF(BB267="SHALLOW",5,IF(BB267="TEMPLATE",3,1)))+IF(N267="HIGHEST",5,IF(N267="HIGH",3,IF(N267="MODERATE",1,0)))+IF(ISNUMBER(SEARCH("Mandatory",L267)),3,0))</f>
        <v/>
      </c>
    </row>
    <row r="268" ht="42" customHeight="1">
      <c r="A268" s="234" t="n">
        <v>239</v>
      </c>
      <c r="B268" s="235" t="inlineStr">
        <is>
          <t>NCEC</t>
        </is>
      </c>
      <c r="C268" s="236" t="inlineStr">
        <is>
          <t>Nat. Centre for Environmental Compliance</t>
        </is>
      </c>
      <c r="D268" s="236" t="inlineStr">
        <is>
          <t>9. Environment</t>
        </is>
      </c>
      <c r="E268" s="235" t="inlineStr">
        <is>
          <t>NCEC-FW</t>
        </is>
      </c>
      <c r="F268" s="237" t="inlineStr">
        <is>
          <t>General Environmental Regulation</t>
        </is>
      </c>
      <c r="G268" s="236" t="inlineStr">
        <is>
          <t>الإطار التنظيمي الرئيسي</t>
        </is>
      </c>
      <c r="H268" s="236" t="inlineStr">
        <is>
          <t>Active/Updated</t>
        </is>
      </c>
      <c r="I268" s="238" t="inlineStr">
        <is>
          <t>2018</t>
        </is>
      </c>
      <c r="J268" s="238" t="inlineStr">
        <is>
          <t>N/A</t>
        </is>
      </c>
      <c r="K268" s="236" t="inlineStr">
        <is>
          <t>ISSUES/ENFORCES</t>
        </is>
      </c>
      <c r="L268" s="22" t="inlineStr">
        <is>
          <t>Mandatory Enforcer</t>
        </is>
      </c>
      <c r="M268" s="236" t="inlineStr">
        <is>
          <t>Entities regulated by this authority</t>
        </is>
      </c>
      <c r="N268" s="239" t="inlineStr">
        <is>
          <t>MODERATE</t>
        </is>
      </c>
      <c r="O268" s="240" t="inlineStr">
        <is>
          <t>https://www.gov.sa/</t>
        </is>
      </c>
      <c r="P268" s="236" t="inlineStr">
        <is>
          <t>Ministry/Authority official site</t>
        </is>
      </c>
      <c r="Q268" s="236" t="inlineStr">
        <is>
          <t>See official source for version history</t>
        </is>
      </c>
      <c r="R268" s="236" t="inlineStr">
        <is>
          <t>Framework issued by the relevant authority. Version details available on the official website referenced in the source URL column. The framework has been updated periodically since first issuance.</t>
        </is>
      </c>
      <c r="S268" s="238" t="inlineStr">
        <is>
          <t>See official source</t>
        </is>
      </c>
      <c r="T268" s="236" t="inlineStr">
        <is>
          <t>Updated as needed by the issuing authority</t>
        </is>
      </c>
      <c r="U268" s="25" t="inlineStr">
        <is>
          <t>CURRENT — consult official source for latest version</t>
        </is>
      </c>
      <c r="V268" s="236" t="inlineStr">
        <is>
          <t>Penalties defined by issuing authority; consult official source. NCA ECC-2 penalties apply if relevant</t>
        </is>
      </c>
      <c r="W268" s="237" t="inlineStr">
        <is>
          <t>Issuing authority and/or designated inspection department</t>
        </is>
      </c>
      <c r="X268" s="236" t="inlineStr">
        <is>
          <t>As specified in framework scope — consult official document</t>
        </is>
      </c>
      <c r="Y268" s="49" t="inlineStr">
        <is>
          <t>Both (unless specified otherwise in official document)</t>
        </is>
      </c>
      <c r="Z268" s="236" t="inlineStr">
        <is>
          <t>As defined by issuing authority</t>
        </is>
      </c>
      <c r="AA268" s="238" t="inlineStr">
        <is>
          <t>As defined by issuing authority</t>
        </is>
      </c>
      <c r="AB268" s="236" t="inlineStr">
        <is>
          <t>To be determined from framework text — see official source</t>
        </is>
      </c>
      <c r="AC268" s="236" t="inlineStr">
        <is>
          <t>See framework preamble for international standard references</t>
        </is>
      </c>
      <c r="AD268" s="49" t="inlineStr">
        <is>
          <t>Arabic (primary in KSA); English may be available</t>
        </is>
      </c>
      <c r="AE268" s="58" t="inlineStr">
        <is>
          <t>Mapped to relevant GH-ICGA layer — requires manual assessment</t>
        </is>
      </c>
      <c r="AF268" s="56" t="inlineStr">
        <is>
          <t>See official framework for maturity model details</t>
        </is>
      </c>
      <c r="AG268" s="236" t="inlineStr">
        <is>
          <t>Aligned with relevant Vision 2030 programme — see framework context</t>
        </is>
      </c>
      <c r="AH268" s="236" t="inlineStr">
        <is>
          <t>As specified in framework compliance requirements</t>
        </is>
      </c>
      <c r="AI268" s="241" t="inlineStr">
        <is>
          <t>Institutional theory and regulatory governance theory underpin all KSA regulatory frameworks. Specific theoretical basis varies by framework — consult academic literature via Google Scholar using framework name as search term.</t>
        </is>
      </c>
      <c r="AJ268" s="236" t="inlineStr">
        <is>
          <t>Academic debate varies by framework maturity and international adoption. For KSA-specific debate, consult: Almohammad &amp; Wills (2021) J Cybersecurity; Al-Khater et al. (2020) IEEE Access; Baker McKenzie KSA regulatory updates.</t>
        </is>
      </c>
      <c r="AK268" s="242" t="inlineStr">
        <is>
          <t>Known criticisms include: implementation gap between standards and practice; resource constraints for smaller healthcare entities; rapid technology evolution outpacing regulation. Consult framework evaluation literature for specifics.</t>
        </is>
      </c>
      <c r="AL268" s="243" t="inlineStr">
        <is>
          <t>Framework comparison requires contextual analysis. Key comparators: NIST CSF 2.0 (international benchmark), ISO 27001 (certifiable standard), ECC-2 (KSA mandatory baseline). See main database for cross-framework mapping.</t>
        </is>
      </c>
      <c r="AM268" s="244"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68" s="245" t="inlineStr">
        <is>
          <t>Official: Consult the official source URL in the database for the primary document. Training: ISACA, ISC2, RAPS, IAPP, and HIMSS offer professional development covering most regulatory domains. Estimated hours vary by framework complexity.</t>
        </is>
      </c>
      <c r="AO268" s="246" t="inlineStr">
        <is>
          <t>Relevance to GH-ICGA framework varies by layer — see GH-ICGA Layer Mapping column. All KSA mandatory frameworks are compliance inputs to GH-ICGA Layer 4. Frameworks with IoMT-specific provisions directly inform Layers 2 and 3.</t>
        </is>
      </c>
      <c r="AP268" s="51" t="inlineStr">
        <is>
          <t>G + C (Governance + Compliance — standard regulatory framework positioning)</t>
        </is>
      </c>
      <c r="AQ268" s="247" t="inlineStr">
        <is>
          <t>Senior management: accountability for framework compliance. Designated compliance officer: monitor requirements. All staff: awareness of applicable obligations</t>
        </is>
      </c>
      <c r="AR268" s="242" t="inlineStr">
        <is>
          <t>Regulatory Risk; Operational Risk; Reputational Risk — specific domains determined by framework scope</t>
        </is>
      </c>
      <c r="AS268" s="22" t="inlineStr">
        <is>
          <t>See official source — legal obligation, regulatory requirement, or voluntary standard as applicable</t>
        </is>
      </c>
      <c r="AT268" s="243" t="inlineStr">
        <is>
          <t>Administrative; Technical; Operational — specific distribution determined by framework content</t>
        </is>
      </c>
      <c r="AU268" s="248" t="inlineStr">
        <is>
          <t>1. Compliance status (compliant/non-compliant). 2. # open findings from last assessment. 3. % controls implemented. 4. Time to remediate findings. 5. Incident rate in framework scope area</t>
        </is>
      </c>
      <c r="AV268" s="249" t="inlineStr">
        <is>
          <t>Self-assessment; internal audit; external assessment as specified by issuing authority</t>
        </is>
      </c>
      <c r="AW268" s="250" t="inlineStr">
        <is>
          <t>ServiceNow GRC; IBM OpenPages; RSA Archer; MetricStream — all major GRC platforms support custom framework import. Contact vendor for framework-specific module</t>
        </is>
      </c>
      <c r="AX268" s="251" t="inlineStr">
        <is>
          <t>Third parties in scope must demonstrate equivalent compliance. Contractual compliance obligations; right-to-audit clauses; annual third-party assessment</t>
        </is>
      </c>
      <c r="AY268" s="252" t="inlineStr">
        <is>
          <t>Non-compliance: regulatory action by issuing authority; fines and penalties as specified; operational and reputational consequences</t>
        </is>
      </c>
      <c r="AZ268" s="253" t="inlineStr">
        <is>
          <t>Sector-specific — consult official source</t>
        </is>
      </c>
      <c r="BA268" s="41" t="inlineStr">
        <is>
          <t>Sector-Specific</t>
        </is>
      </c>
      <c r="BB268" s="591">
        <f>IF(E268="","",IF(ISNUMBER(SEARCH("Institutional theory and regulatory governance theory underpin",AI268)),"TEMPLATE",IF(LEN(AI268)&gt;100,"DEEP",IF(AI268="","SPARSE","SHALLOW"))))</f>
        <v/>
      </c>
      <c r="BC268" s="591">
        <f>IF(E268="","",D268&amp;"-"&amp;B268&amp;"-"&amp;E268)</f>
        <v/>
      </c>
      <c r="BD268" s="591">
        <f>IF(E268="","",SUBSTITUTE(SUBSTITUTE(B268&amp;"-"&amp;E268," ",""),":","-"))</f>
        <v/>
      </c>
      <c r="BE268" s="591">
        <f>IF(E268="","",IF(ISNUMBER(SEARCH("ECC",E268)),"NCA-ECC-2-2024",IF(ISNUMBER(SEARCH("OTCC",E268)),"NCA-ECC-2-2024",IF(ISNUMBER(SEARCH("CCC",E268)),"NCA-ECC-2-2024",IF(ISNUMBER(SEARCH("DCC",E268)),"NCA-ECC-2-2024",IF(ISNUMBER(SEARCH("CSCC",E268)),"NCA-ECC-2-2024",IF(ISNUMBER(SEARCH("PDPL-IR",E268)),"PDPL-2021",IF(ISNUMBER(SEARCH("PDPL-DTR",E268)),"PDPL-2021","NONE"))))))))</f>
        <v/>
      </c>
      <c r="BF268" s="594">
        <f>IF(E268="","",IF(BB268="DEEP",10,IF(BB268="SHALLOW",5,IF(BB268="TEMPLATE",3,1)))+IF(N268="HIGHEST",5,IF(N268="HIGH",3,IF(N268="MODERATE",1,0)))+IF(ISNUMBER(SEARCH("Mandatory",L268)),3,0))</f>
        <v/>
      </c>
    </row>
    <row r="269" ht="42" customHeight="1">
      <c r="A269" s="42" t="n">
        <v>240</v>
      </c>
      <c r="B269" s="254" t="inlineStr">
        <is>
          <t>NCEC</t>
        </is>
      </c>
      <c r="C269" s="44" t="inlineStr">
        <is>
          <t>Nat. Centre for Environmental Compliance</t>
        </is>
      </c>
      <c r="D269" s="44" t="inlineStr">
        <is>
          <t>9. Environment</t>
        </is>
      </c>
      <c r="E269" s="254" t="inlineStr">
        <is>
          <t>NCA-ECC-2:2024</t>
        </is>
      </c>
      <c r="F269" s="45" t="inlineStr">
        <is>
          <t>Essential Cybersecurity Controls</t>
        </is>
      </c>
      <c r="G269" s="44" t="inlineStr">
        <is>
          <t>ضوابط الأمن السيبراني الأساسية</t>
        </is>
      </c>
      <c r="H269" s="44" t="inlineStr">
        <is>
          <t>ECC-2:2024</t>
        </is>
      </c>
      <c r="I269" s="46" t="inlineStr">
        <is>
          <t>2018</t>
        </is>
      </c>
      <c r="J269" s="46" t="inlineStr">
        <is>
          <t>108</t>
        </is>
      </c>
      <c r="K269" s="44" t="inlineStr">
        <is>
          <t>MUST COMPLY WITH</t>
        </is>
      </c>
      <c r="L269" s="66" t="inlineStr">
        <is>
          <t>Mandatory Complier</t>
        </is>
      </c>
      <c r="M269" s="44" t="inlineStr">
        <is>
          <t>Nat. Centre for Environmental Compliance as government entity</t>
        </is>
      </c>
      <c r="N269" s="59" t="inlineStr">
        <is>
          <t>LOW</t>
        </is>
      </c>
      <c r="O269" s="48" t="inlineStr">
        <is>
          <t>https://nca.gov.sa/</t>
        </is>
      </c>
      <c r="P269" s="44" t="inlineStr">
        <is>
          <t>NCA ECC scope</t>
        </is>
      </c>
      <c r="Q269" s="236" t="inlineStr">
        <is>
          <t>See official source for version history</t>
        </is>
      </c>
      <c r="R269" s="236" t="inlineStr">
        <is>
          <t>Framework issued by the relevant authority. Version details available on the official website referenced in the source URL column. The framework has been updated periodically since first issuance.</t>
        </is>
      </c>
      <c r="S269" s="238" t="inlineStr">
        <is>
          <t>See official source</t>
        </is>
      </c>
      <c r="T269" s="236" t="inlineStr">
        <is>
          <t>Updated as needed by the issuing authority</t>
        </is>
      </c>
      <c r="U269" s="25" t="inlineStr">
        <is>
          <t>CURRENT — consult official source for latest version</t>
        </is>
      </c>
      <c r="V269" s="236" t="inlineStr">
        <is>
          <t>Penalties defined by issuing authority; consult official source. NCA ECC-2 penalties apply if relevant</t>
        </is>
      </c>
      <c r="W269" s="237" t="inlineStr">
        <is>
          <t>Issuing authority and/or designated inspection department</t>
        </is>
      </c>
      <c r="X269" s="236" t="inlineStr">
        <is>
          <t>As specified in framework scope — consult official document</t>
        </is>
      </c>
      <c r="Y269" s="49" t="inlineStr">
        <is>
          <t>Both (unless specified otherwise in official document)</t>
        </is>
      </c>
      <c r="Z269" s="236" t="inlineStr">
        <is>
          <t>As defined by issuing authority</t>
        </is>
      </c>
      <c r="AA269" s="238" t="inlineStr">
        <is>
          <t>As defined by issuing authority</t>
        </is>
      </c>
      <c r="AB269" s="236" t="inlineStr">
        <is>
          <t>To be determined from framework text — see official source</t>
        </is>
      </c>
      <c r="AC269" s="236" t="inlineStr">
        <is>
          <t>See framework preamble for international standard references</t>
        </is>
      </c>
      <c r="AD269" s="49" t="inlineStr">
        <is>
          <t>Arabic (primary in KSA); English may be available</t>
        </is>
      </c>
      <c r="AE269" s="58" t="inlineStr">
        <is>
          <t>Mapped to relevant GH-ICGA layer — requires manual assessment</t>
        </is>
      </c>
      <c r="AF269" s="56" t="inlineStr">
        <is>
          <t>See official framework for maturity model details</t>
        </is>
      </c>
      <c r="AG269" s="236" t="inlineStr">
        <is>
          <t>Aligned with relevant Vision 2030 programme — see framework context</t>
        </is>
      </c>
      <c r="AH269" s="236" t="inlineStr">
        <is>
          <t>As specified in framework compliance requirements</t>
        </is>
      </c>
      <c r="AI269" s="241" t="inlineStr">
        <is>
          <t>Institutional theory and regulatory governance theory underpin all KSA regulatory frameworks. Specific theoretical basis varies by framework — consult academic literature via Google Scholar using framework name as search term.</t>
        </is>
      </c>
      <c r="AJ269" s="236" t="inlineStr">
        <is>
          <t>Academic debate varies by framework maturity and international adoption. For KSA-specific debate, consult: Almohammad &amp; Wills (2021) J Cybersecurity; Al-Khater et al. (2020) IEEE Access; Baker McKenzie KSA regulatory updates.</t>
        </is>
      </c>
      <c r="AK269" s="242" t="inlineStr">
        <is>
          <t>Known criticisms include: implementation gap between standards and practice; resource constraints for smaller healthcare entities; rapid technology evolution outpacing regulation. Consult framework evaluation literature for specifics.</t>
        </is>
      </c>
      <c r="AL269" s="243" t="inlineStr">
        <is>
          <t>Framework comparison requires contextual analysis. Key comparators: NIST CSF 2.0 (international benchmark), ISO 27001 (certifiable standard), ECC-2 (KSA mandatory baseline). See main database for cross-framework mapping.</t>
        </is>
      </c>
      <c r="AM269" s="244"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69" s="245" t="inlineStr">
        <is>
          <t>Official: Consult the official source URL in the database for the primary document. Training: ISACA, ISC2, RAPS, IAPP, and HIMSS offer professional development covering most regulatory domains. Estimated hours vary by framework complexity.</t>
        </is>
      </c>
      <c r="AO269" s="246" t="inlineStr">
        <is>
          <t>Relevance to GH-ICGA framework varies by layer — see GH-ICGA Layer Mapping column. All KSA mandatory frameworks are compliance inputs to GH-ICGA Layer 4. Frameworks with IoMT-specific provisions directly inform Layers 2 and 3.</t>
        </is>
      </c>
      <c r="AP269" s="51" t="inlineStr">
        <is>
          <t>G + C (Governance + Compliance — standard regulatory framework positioning)</t>
        </is>
      </c>
      <c r="AQ269" s="247" t="inlineStr">
        <is>
          <t>Senior management: accountability for framework compliance. Designated compliance officer: monitor requirements. All staff: awareness of applicable obligations</t>
        </is>
      </c>
      <c r="AR269" s="242" t="inlineStr">
        <is>
          <t>Regulatory Risk; Operational Risk; Reputational Risk — specific domains determined by framework scope</t>
        </is>
      </c>
      <c r="AS269" s="22" t="inlineStr">
        <is>
          <t>See official source — legal obligation, regulatory requirement, or voluntary standard as applicable</t>
        </is>
      </c>
      <c r="AT269" s="243" t="inlineStr">
        <is>
          <t>Administrative; Technical; Operational — specific distribution determined by framework content</t>
        </is>
      </c>
      <c r="AU269" s="248" t="inlineStr">
        <is>
          <t>1. Compliance status (compliant/non-compliant). 2. # open findings from last assessment. 3. % controls implemented. 4. Time to remediate findings. 5. Incident rate in framework scope area</t>
        </is>
      </c>
      <c r="AV269" s="249" t="inlineStr">
        <is>
          <t>Self-assessment; internal audit; external assessment as specified by issuing authority</t>
        </is>
      </c>
      <c r="AW269" s="250" t="inlineStr">
        <is>
          <t>ServiceNow GRC; IBM OpenPages; RSA Archer; MetricStream — all major GRC platforms support custom framework import. Contact vendor for framework-specific module</t>
        </is>
      </c>
      <c r="AX269" s="251" t="inlineStr">
        <is>
          <t>Third parties in scope must demonstrate equivalent compliance. Contractual compliance obligations; right-to-audit clauses; annual third-party assessment</t>
        </is>
      </c>
      <c r="AY269" s="252" t="inlineStr">
        <is>
          <t>Non-compliance: regulatory action by issuing authority; fines and penalties as specified; operational and reputational consequences</t>
        </is>
      </c>
      <c r="AZ269" s="253" t="inlineStr">
        <is>
          <t>ALL 17 SECTORS</t>
        </is>
      </c>
      <c r="BA269" s="34" t="inlineStr">
        <is>
          <t>YES — ALL SECTORS</t>
        </is>
      </c>
      <c r="BB269" s="591">
        <f>IF(E269="","",IF(ISNUMBER(SEARCH("Institutional theory and regulatory governance theory underpin",AI269)),"TEMPLATE",IF(LEN(AI269)&gt;100,"DEEP",IF(AI269="","SPARSE","SHALLOW"))))</f>
        <v/>
      </c>
      <c r="BC269" s="591">
        <f>IF(E269="","",D269&amp;"-"&amp;B269&amp;"-"&amp;E269)</f>
        <v/>
      </c>
      <c r="BD269" s="591">
        <f>IF(E269="","",SUBSTITUTE(SUBSTITUTE(B269&amp;"-"&amp;E269," ",""),":","-"))</f>
        <v/>
      </c>
      <c r="BE269" s="591">
        <f>IF(E269="","",IF(ISNUMBER(SEARCH("ECC",E269)),"NCA-ECC-2-2024",IF(ISNUMBER(SEARCH("OTCC",E269)),"NCA-ECC-2-2024",IF(ISNUMBER(SEARCH("CCC",E269)),"NCA-ECC-2-2024",IF(ISNUMBER(SEARCH("DCC",E269)),"NCA-ECC-2-2024",IF(ISNUMBER(SEARCH("CSCC",E269)),"NCA-ECC-2-2024",IF(ISNUMBER(SEARCH("PDPL-IR",E269)),"PDPL-2021",IF(ISNUMBER(SEARCH("PDPL-DTR",E269)),"PDPL-2021","NONE"))))))))</f>
        <v/>
      </c>
      <c r="BF269" s="594">
        <f>IF(E269="","",IF(BB269="DEEP",10,IF(BB269="SHALLOW",5,IF(BB269="TEMPLATE",3,1)))+IF(N269="HIGHEST",5,IF(N269="HIGH",3,IF(N269="MODERATE",1,0)))+IF(ISNUMBER(SEARCH("Mandatory",L269)),3,0))</f>
        <v/>
      </c>
    </row>
    <row r="270">
      <c r="BB270" s="591">
        <f>IF(E270="","",IF(ISNUMBER(SEARCH("Institutional theory and regulatory governance theory underpin",AI270)),"TEMPLATE",IF(LEN(AI270)&gt;100,"DEEP",IF(AI270="","SPARSE","SHALLOW"))))</f>
        <v/>
      </c>
      <c r="BC270" s="591">
        <f>IF(E270="","",D270&amp;"-"&amp;B270&amp;"-"&amp;E270)</f>
        <v/>
      </c>
      <c r="BD270" s="591">
        <f>IF(E270="","",SUBSTITUTE(SUBSTITUTE(B270&amp;"-"&amp;E270," ",""),":","-"))</f>
        <v/>
      </c>
      <c r="BE270" s="591">
        <f>IF(E270="","",IF(ISNUMBER(SEARCH("ECC",E270)),"NCA-ECC-2-2024",IF(ISNUMBER(SEARCH("OTCC",E270)),"NCA-ECC-2-2024",IF(ISNUMBER(SEARCH("CCC",E270)),"NCA-ECC-2-2024",IF(ISNUMBER(SEARCH("DCC",E270)),"NCA-ECC-2-2024",IF(ISNUMBER(SEARCH("CSCC",E270)),"NCA-ECC-2-2024",IF(ISNUMBER(SEARCH("PDPL-IR",E270)),"PDPL-2021",IF(ISNUMBER(SEARCH("PDPL-DTR",E270)),"PDPL-2021","NONE"))))))))</f>
        <v/>
      </c>
      <c r="BF270" s="594">
        <f>IF(E270="","",IF(BB270="DEEP",10,IF(BB270="SHALLOW",5,IF(BB270="TEMPLATE",3,1)))+IF(N270="HIGHEST",5,IF(N270="HIGH",3,IF(N270="MODERATE",1,0)))+IF(ISNUMBER(SEARCH("Mandatory",L270)),3,0))</f>
        <v/>
      </c>
    </row>
    <row r="271" ht="19.5" customHeight="1">
      <c r="A271" s="255" t="n"/>
      <c r="B271" s="256" t="inlineStr">
        <is>
          <t xml:space="preserve">  ── 10. Transport &amp; Logistics ──</t>
        </is>
      </c>
      <c r="C271" s="255" t="n"/>
      <c r="D271" s="255" t="n"/>
      <c r="E271" s="255" t="n"/>
      <c r="F271" s="255" t="n"/>
      <c r="G271" s="255" t="n"/>
      <c r="H271" s="255" t="n"/>
      <c r="I271" s="255" t="n"/>
      <c r="J271" s="255" t="n"/>
      <c r="K271" s="255" t="n"/>
      <c r="L271" s="255" t="n"/>
      <c r="M271" s="255" t="n"/>
      <c r="N271" s="255" t="n"/>
      <c r="O271" s="255" t="n"/>
      <c r="P271" s="255" t="n"/>
      <c r="BB271" s="591">
        <f>IF(E271="","",IF(ISNUMBER(SEARCH("Institutional theory and regulatory governance theory underpin",AI271)),"TEMPLATE",IF(LEN(AI271)&gt;100,"DEEP",IF(AI271="","SPARSE","SHALLOW"))))</f>
        <v/>
      </c>
      <c r="BC271" s="591">
        <f>IF(E271="","",D271&amp;"-"&amp;B271&amp;"-"&amp;E271)</f>
        <v/>
      </c>
      <c r="BD271" s="591">
        <f>IF(E271="","",SUBSTITUTE(SUBSTITUTE(B271&amp;"-"&amp;E271," ",""),":","-"))</f>
        <v/>
      </c>
      <c r="BE271" s="591">
        <f>IF(E271="","",IF(ISNUMBER(SEARCH("ECC",E271)),"NCA-ECC-2-2024",IF(ISNUMBER(SEARCH("OTCC",E271)),"NCA-ECC-2-2024",IF(ISNUMBER(SEARCH("CCC",E271)),"NCA-ECC-2-2024",IF(ISNUMBER(SEARCH("DCC",E271)),"NCA-ECC-2-2024",IF(ISNUMBER(SEARCH("CSCC",E271)),"NCA-ECC-2-2024",IF(ISNUMBER(SEARCH("PDPL-IR",E271)),"PDPL-2021",IF(ISNUMBER(SEARCH("PDPL-DTR",E271)),"PDPL-2021","NONE"))))))))</f>
        <v/>
      </c>
      <c r="BF271" s="594">
        <f>IF(E271="","",IF(BB271="DEEP",10,IF(BB271="SHALLOW",5,IF(BB271="TEMPLATE",3,1)))+IF(N271="HIGHEST",5,IF(N271="HIGH",3,IF(N271="MODERATE",1,0)))+IF(ISNUMBER(SEARCH("Mandatory",L271)),3,0))</f>
        <v/>
      </c>
    </row>
    <row r="272" ht="42" customHeight="1">
      <c r="A272" s="257" t="n">
        <v>241</v>
      </c>
      <c r="B272" s="258" t="inlineStr">
        <is>
          <t>GACA</t>
        </is>
      </c>
      <c r="C272" s="259" t="inlineStr">
        <is>
          <t>General Authority of Civil Aviation</t>
        </is>
      </c>
      <c r="D272" s="259" t="inlineStr">
        <is>
          <t>10. Transport &amp; Logistics</t>
        </is>
      </c>
      <c r="E272" s="258" t="inlineStr">
        <is>
          <t>GACA-FW</t>
        </is>
      </c>
      <c r="F272" s="260" t="inlineStr">
        <is>
          <t>Civil Aviation Law</t>
        </is>
      </c>
      <c r="G272" s="259" t="inlineStr">
        <is>
          <t>الإطار التنظيمي الرئيسي</t>
        </is>
      </c>
      <c r="H272" s="259" t="inlineStr">
        <is>
          <t>Active/Updated</t>
        </is>
      </c>
      <c r="I272" s="261" t="inlineStr">
        <is>
          <t>2002</t>
        </is>
      </c>
      <c r="J272" s="261" t="inlineStr">
        <is>
          <t>N/A</t>
        </is>
      </c>
      <c r="K272" s="259" t="inlineStr">
        <is>
          <t>ISSUES/ENFORCES</t>
        </is>
      </c>
      <c r="L272" s="22" t="inlineStr">
        <is>
          <t>Mandatory Enforcer</t>
        </is>
      </c>
      <c r="M272" s="259" t="inlineStr">
        <is>
          <t>Entities regulated by this authority</t>
        </is>
      </c>
      <c r="N272" s="262" t="inlineStr">
        <is>
          <t>MODERATE</t>
        </is>
      </c>
      <c r="O272" s="263" t="inlineStr">
        <is>
          <t>https://www.gov.sa/</t>
        </is>
      </c>
      <c r="P272" s="259" t="inlineStr">
        <is>
          <t>Ministry/Authority official site</t>
        </is>
      </c>
      <c r="Q272" s="259" t="inlineStr">
        <is>
          <t>See official source for version history</t>
        </is>
      </c>
      <c r="R272" s="259" t="inlineStr">
        <is>
          <t>Framework issued by the relevant authority. Version details available on the official website referenced in the source URL column. The framework has been updated periodically since first issuance.</t>
        </is>
      </c>
      <c r="S272" s="261" t="inlineStr">
        <is>
          <t>See official source</t>
        </is>
      </c>
      <c r="T272" s="259" t="inlineStr">
        <is>
          <t>Updated as needed by the issuing authority</t>
        </is>
      </c>
      <c r="U272" s="25" t="inlineStr">
        <is>
          <t>CURRENT — consult official source for latest version</t>
        </is>
      </c>
      <c r="V272" s="259" t="inlineStr">
        <is>
          <t>Penalties defined by issuing authority; consult official source. NCA ECC-2 penalties apply if relevant</t>
        </is>
      </c>
      <c r="W272" s="260" t="inlineStr">
        <is>
          <t>Issuing authority and/or designated inspection department</t>
        </is>
      </c>
      <c r="X272" s="259" t="inlineStr">
        <is>
          <t>As specified in framework scope — consult official document</t>
        </is>
      </c>
      <c r="Y272" s="49" t="inlineStr">
        <is>
          <t>Both (unless specified otherwise in official document)</t>
        </is>
      </c>
      <c r="Z272" s="259" t="inlineStr">
        <is>
          <t>As defined by issuing authority</t>
        </is>
      </c>
      <c r="AA272" s="261" t="inlineStr">
        <is>
          <t>As defined by issuing authority</t>
        </is>
      </c>
      <c r="AB272" s="259" t="inlineStr">
        <is>
          <t>To be determined from framework text — see official source</t>
        </is>
      </c>
      <c r="AC272" s="259" t="inlineStr">
        <is>
          <t>See framework preamble for international standard references</t>
        </is>
      </c>
      <c r="AD272" s="49" t="inlineStr">
        <is>
          <t>Arabic (primary in KSA); English may be available</t>
        </is>
      </c>
      <c r="AE272" s="58" t="inlineStr">
        <is>
          <t>Mapped to relevant GH-ICGA layer — requires manual assessment</t>
        </is>
      </c>
      <c r="AF272" s="56" t="inlineStr">
        <is>
          <t>See official framework for maturity model details</t>
        </is>
      </c>
      <c r="AG272" s="259" t="inlineStr">
        <is>
          <t>Aligned with relevant Vision 2030 programme — see framework context</t>
        </is>
      </c>
      <c r="AH272" s="259" t="inlineStr">
        <is>
          <t>As specified in framework compliance requirements</t>
        </is>
      </c>
      <c r="AI272" s="264" t="inlineStr">
        <is>
          <t>Institutional theory and regulatory governance theory underpin all KSA regulatory frameworks. Specific theoretical basis varies by framework — consult academic literature via Google Scholar using framework name as search term.</t>
        </is>
      </c>
      <c r="AJ272" s="259" t="inlineStr">
        <is>
          <t>Academic debate varies by framework maturity and international adoption. For KSA-specific debate, consult: Almohammad &amp; Wills (2021) J Cybersecurity; Al-Khater et al. (2020) IEEE Access; Baker McKenzie KSA regulatory updates.</t>
        </is>
      </c>
      <c r="AK272" s="265" t="inlineStr">
        <is>
          <t>Known criticisms include: implementation gap between standards and practice; resource constraints for smaller healthcare entities; rapid technology evolution outpacing regulation. Consult framework evaluation literature for specifics.</t>
        </is>
      </c>
      <c r="AL272" s="266" t="inlineStr">
        <is>
          <t>Framework comparison requires contextual analysis. Key comparators: NIST CSF 2.0 (international benchmark), ISO 27001 (certifiable standard), ECC-2 (KSA mandatory baseline). See main database for cross-framework mapping.</t>
        </is>
      </c>
      <c r="AM272" s="267"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72" s="268" t="inlineStr">
        <is>
          <t>Official: Consult the official source URL in the database for the primary document. Training: ISACA, ISC2, RAPS, IAPP, and HIMSS offer professional development covering most regulatory domains. Estimated hours vary by framework complexity.</t>
        </is>
      </c>
      <c r="AO272" s="269" t="inlineStr">
        <is>
          <t>Relevance to GH-ICGA framework varies by layer — see GH-ICGA Layer Mapping column. All KSA mandatory frameworks are compliance inputs to GH-ICGA Layer 4. Frameworks with IoMT-specific provisions directly inform Layers 2 and 3.</t>
        </is>
      </c>
      <c r="AP272" s="51" t="inlineStr">
        <is>
          <t>G + C (Governance + Compliance — standard regulatory framework positioning)</t>
        </is>
      </c>
      <c r="AQ272" s="270" t="inlineStr">
        <is>
          <t>Senior management: accountability for framework compliance. Designated compliance officer: monitor requirements. All staff: awareness of applicable obligations</t>
        </is>
      </c>
      <c r="AR272" s="265" t="inlineStr">
        <is>
          <t>Regulatory Risk; Operational Risk; Reputational Risk — specific domains determined by framework scope</t>
        </is>
      </c>
      <c r="AS272" s="22" t="inlineStr">
        <is>
          <t>See official source — legal obligation, regulatory requirement, or voluntary standard as applicable</t>
        </is>
      </c>
      <c r="AT272" s="266" t="inlineStr">
        <is>
          <t>Administrative; Technical; Operational — specific distribution determined by framework content</t>
        </is>
      </c>
      <c r="AU272" s="271" t="inlineStr">
        <is>
          <t>1. Compliance status (compliant/non-compliant). 2. # open findings from last assessment. 3. % controls implemented. 4. Time to remediate findings. 5. Incident rate in framework scope area</t>
        </is>
      </c>
      <c r="AV272" s="272" t="inlineStr">
        <is>
          <t>Self-assessment; internal audit; external assessment as specified by issuing authority</t>
        </is>
      </c>
      <c r="AW272" s="273" t="inlineStr">
        <is>
          <t>ServiceNow GRC; IBM OpenPages; RSA Archer; MetricStream — all major GRC platforms support custom framework import. Contact vendor for framework-specific module</t>
        </is>
      </c>
      <c r="AX272" s="274" t="inlineStr">
        <is>
          <t>Third parties in scope must demonstrate equivalent compliance. Contractual compliance obligations; right-to-audit clauses; annual third-party assessment</t>
        </is>
      </c>
      <c r="AY272" s="275" t="inlineStr">
        <is>
          <t>Non-compliance: regulatory action by issuing authority; fines and penalties as specified; operational and reputational consequences</t>
        </is>
      </c>
      <c r="AZ272" s="272" t="inlineStr">
        <is>
          <t>Sector-specific — consult official source</t>
        </is>
      </c>
      <c r="BA272" s="41" t="inlineStr">
        <is>
          <t>Sector-Specific</t>
        </is>
      </c>
      <c r="BB272" s="591">
        <f>IF(E272="","",IF(ISNUMBER(SEARCH("Institutional theory and regulatory governance theory underpin",AI272)),"TEMPLATE",IF(LEN(AI272)&gt;100,"DEEP",IF(AI272="","SPARSE","SHALLOW"))))</f>
        <v/>
      </c>
      <c r="BC272" s="591">
        <f>IF(E272="","",D272&amp;"-"&amp;B272&amp;"-"&amp;E272)</f>
        <v/>
      </c>
      <c r="BD272" s="591">
        <f>IF(E272="","",SUBSTITUTE(SUBSTITUTE(B272&amp;"-"&amp;E272," ",""),":","-"))</f>
        <v/>
      </c>
      <c r="BE272" s="591">
        <f>IF(E272="","",IF(ISNUMBER(SEARCH("ECC",E272)),"NCA-ECC-2-2024",IF(ISNUMBER(SEARCH("OTCC",E272)),"NCA-ECC-2-2024",IF(ISNUMBER(SEARCH("CCC",E272)),"NCA-ECC-2-2024",IF(ISNUMBER(SEARCH("DCC",E272)),"NCA-ECC-2-2024",IF(ISNUMBER(SEARCH("CSCC",E272)),"NCA-ECC-2-2024",IF(ISNUMBER(SEARCH("PDPL-IR",E272)),"PDPL-2021",IF(ISNUMBER(SEARCH("PDPL-DTR",E272)),"PDPL-2021","NONE"))))))))</f>
        <v/>
      </c>
      <c r="BF272" s="594">
        <f>IF(E272="","",IF(BB272="DEEP",10,IF(BB272="SHALLOW",5,IF(BB272="TEMPLATE",3,1)))+IF(N272="HIGHEST",5,IF(N272="HIGH",3,IF(N272="MODERATE",1,0)))+IF(ISNUMBER(SEARCH("Mandatory",L272)),3,0))</f>
        <v/>
      </c>
    </row>
    <row r="273" ht="42" customHeight="1">
      <c r="A273" s="42" t="n">
        <v>242</v>
      </c>
      <c r="B273" s="276" t="inlineStr">
        <is>
          <t>GACA</t>
        </is>
      </c>
      <c r="C273" s="44" t="inlineStr">
        <is>
          <t>General Authority of Civil Aviation</t>
        </is>
      </c>
      <c r="D273" s="44" t="inlineStr">
        <is>
          <t>10. Transport &amp; Logistics</t>
        </is>
      </c>
      <c r="E273" s="276" t="inlineStr">
        <is>
          <t>NCA-ECC-2:2024</t>
        </is>
      </c>
      <c r="F273" s="45" t="inlineStr">
        <is>
          <t>Essential Cybersecurity Controls</t>
        </is>
      </c>
      <c r="G273" s="44" t="inlineStr">
        <is>
          <t>ضوابط الأمن السيبراني الأساسية</t>
        </is>
      </c>
      <c r="H273" s="44" t="inlineStr">
        <is>
          <t>ECC-2:2024</t>
        </is>
      </c>
      <c r="I273" s="46" t="inlineStr">
        <is>
          <t>2018</t>
        </is>
      </c>
      <c r="J273" s="46" t="inlineStr">
        <is>
          <t>108</t>
        </is>
      </c>
      <c r="K273" s="44" t="inlineStr">
        <is>
          <t>MUST COMPLY WITH</t>
        </is>
      </c>
      <c r="L273" s="66" t="inlineStr">
        <is>
          <t>Mandatory Complier</t>
        </is>
      </c>
      <c r="M273" s="44" t="inlineStr">
        <is>
          <t>General Authority of Civil Aviation as government entity</t>
        </is>
      </c>
      <c r="N273" s="59" t="inlineStr">
        <is>
          <t>LOW</t>
        </is>
      </c>
      <c r="O273" s="48" t="inlineStr">
        <is>
          <t>https://nca.gov.sa/</t>
        </is>
      </c>
      <c r="P273" s="44" t="inlineStr">
        <is>
          <t>NCA ECC scope</t>
        </is>
      </c>
      <c r="Q273" s="259" t="inlineStr">
        <is>
          <t>See official source for version history</t>
        </is>
      </c>
      <c r="R273" s="259" t="inlineStr">
        <is>
          <t>Framework issued by the relevant authority. Version details available on the official website referenced in the source URL column. The framework has been updated periodically since first issuance.</t>
        </is>
      </c>
      <c r="S273" s="261" t="inlineStr">
        <is>
          <t>See official source</t>
        </is>
      </c>
      <c r="T273" s="259" t="inlineStr">
        <is>
          <t>Updated as needed by the issuing authority</t>
        </is>
      </c>
      <c r="U273" s="25" t="inlineStr">
        <is>
          <t>CURRENT — consult official source for latest version</t>
        </is>
      </c>
      <c r="V273" s="259" t="inlineStr">
        <is>
          <t>Penalties defined by issuing authority; consult official source. NCA ECC-2 penalties apply if relevant</t>
        </is>
      </c>
      <c r="W273" s="260" t="inlineStr">
        <is>
          <t>Issuing authority and/or designated inspection department</t>
        </is>
      </c>
      <c r="X273" s="259" t="inlineStr">
        <is>
          <t>As specified in framework scope — consult official document</t>
        </is>
      </c>
      <c r="Y273" s="49" t="inlineStr">
        <is>
          <t>Both (unless specified otherwise in official document)</t>
        </is>
      </c>
      <c r="Z273" s="259" t="inlineStr">
        <is>
          <t>As defined by issuing authority</t>
        </is>
      </c>
      <c r="AA273" s="261" t="inlineStr">
        <is>
          <t>As defined by issuing authority</t>
        </is>
      </c>
      <c r="AB273" s="259" t="inlineStr">
        <is>
          <t>To be determined from framework text — see official source</t>
        </is>
      </c>
      <c r="AC273" s="259" t="inlineStr">
        <is>
          <t>See framework preamble for international standard references</t>
        </is>
      </c>
      <c r="AD273" s="49" t="inlineStr">
        <is>
          <t>Arabic (primary in KSA); English may be available</t>
        </is>
      </c>
      <c r="AE273" s="58" t="inlineStr">
        <is>
          <t>Mapped to relevant GH-ICGA layer — requires manual assessment</t>
        </is>
      </c>
      <c r="AF273" s="56" t="inlineStr">
        <is>
          <t>See official framework for maturity model details</t>
        </is>
      </c>
      <c r="AG273" s="259" t="inlineStr">
        <is>
          <t>Aligned with relevant Vision 2030 programme — see framework context</t>
        </is>
      </c>
      <c r="AH273" s="259" t="inlineStr">
        <is>
          <t>As specified in framework compliance requirements</t>
        </is>
      </c>
      <c r="AI273" s="264" t="inlineStr">
        <is>
          <t>Institutional theory and regulatory governance theory underpin all KSA regulatory frameworks. Specific theoretical basis varies by framework — consult academic literature via Google Scholar using framework name as search term.</t>
        </is>
      </c>
      <c r="AJ273" s="259" t="inlineStr">
        <is>
          <t>Academic debate varies by framework maturity and international adoption. For KSA-specific debate, consult: Almohammad &amp; Wills (2021) J Cybersecurity; Al-Khater et al. (2020) IEEE Access; Baker McKenzie KSA regulatory updates.</t>
        </is>
      </c>
      <c r="AK273" s="265" t="inlineStr">
        <is>
          <t>Known criticisms include: implementation gap between standards and practice; resource constraints for smaller healthcare entities; rapid technology evolution outpacing regulation. Consult framework evaluation literature for specifics.</t>
        </is>
      </c>
      <c r="AL273" s="266" t="inlineStr">
        <is>
          <t>Framework comparison requires contextual analysis. Key comparators: NIST CSF 2.0 (international benchmark), ISO 27001 (certifiable standard), ECC-2 (KSA mandatory baseline). See main database for cross-framework mapping.</t>
        </is>
      </c>
      <c r="AM273" s="267"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73" s="268" t="inlineStr">
        <is>
          <t>Official: Consult the official source URL in the database for the primary document. Training: ISACA, ISC2, RAPS, IAPP, and HIMSS offer professional development covering most regulatory domains. Estimated hours vary by framework complexity.</t>
        </is>
      </c>
      <c r="AO273" s="269" t="inlineStr">
        <is>
          <t>Relevance to GH-ICGA framework varies by layer — see GH-ICGA Layer Mapping column. All KSA mandatory frameworks are compliance inputs to GH-ICGA Layer 4. Frameworks with IoMT-specific provisions directly inform Layers 2 and 3.</t>
        </is>
      </c>
      <c r="AP273" s="51" t="inlineStr">
        <is>
          <t>G + C (Governance + Compliance — standard regulatory framework positioning)</t>
        </is>
      </c>
      <c r="AQ273" s="270" t="inlineStr">
        <is>
          <t>Senior management: accountability for framework compliance. Designated compliance officer: monitor requirements. All staff: awareness of applicable obligations</t>
        </is>
      </c>
      <c r="AR273" s="265" t="inlineStr">
        <is>
          <t>Regulatory Risk; Operational Risk; Reputational Risk — specific domains determined by framework scope</t>
        </is>
      </c>
      <c r="AS273" s="22" t="inlineStr">
        <is>
          <t>See official source — legal obligation, regulatory requirement, or voluntary standard as applicable</t>
        </is>
      </c>
      <c r="AT273" s="266" t="inlineStr">
        <is>
          <t>Administrative; Technical; Operational — specific distribution determined by framework content</t>
        </is>
      </c>
      <c r="AU273" s="271" t="inlineStr">
        <is>
          <t>1. Compliance status (compliant/non-compliant). 2. # open findings from last assessment. 3. % controls implemented. 4. Time to remediate findings. 5. Incident rate in framework scope area</t>
        </is>
      </c>
      <c r="AV273" s="272" t="inlineStr">
        <is>
          <t>Self-assessment; internal audit; external assessment as specified by issuing authority</t>
        </is>
      </c>
      <c r="AW273" s="273" t="inlineStr">
        <is>
          <t>ServiceNow GRC; IBM OpenPages; RSA Archer; MetricStream — all major GRC platforms support custom framework import. Contact vendor for framework-specific module</t>
        </is>
      </c>
      <c r="AX273" s="274" t="inlineStr">
        <is>
          <t>Third parties in scope must demonstrate equivalent compliance. Contractual compliance obligations; right-to-audit clauses; annual third-party assessment</t>
        </is>
      </c>
      <c r="AY273" s="275" t="inlineStr">
        <is>
          <t>Non-compliance: regulatory action by issuing authority; fines and penalties as specified; operational and reputational consequences</t>
        </is>
      </c>
      <c r="AZ273" s="272" t="inlineStr">
        <is>
          <t>ALL 17 SECTORS</t>
        </is>
      </c>
      <c r="BA273" s="34" t="inlineStr">
        <is>
          <t>YES — ALL SECTORS</t>
        </is>
      </c>
      <c r="BB273" s="591">
        <f>IF(E273="","",IF(ISNUMBER(SEARCH("Institutional theory and regulatory governance theory underpin",AI273)),"TEMPLATE",IF(LEN(AI273)&gt;100,"DEEP",IF(AI273="","SPARSE","SHALLOW"))))</f>
        <v/>
      </c>
      <c r="BC273" s="591">
        <f>IF(E273="","",D273&amp;"-"&amp;B273&amp;"-"&amp;E273)</f>
        <v/>
      </c>
      <c r="BD273" s="591">
        <f>IF(E273="","",SUBSTITUTE(SUBSTITUTE(B273&amp;"-"&amp;E273," ",""),":","-"))</f>
        <v/>
      </c>
      <c r="BE273" s="591">
        <f>IF(E273="","",IF(ISNUMBER(SEARCH("ECC",E273)),"NCA-ECC-2-2024",IF(ISNUMBER(SEARCH("OTCC",E273)),"NCA-ECC-2-2024",IF(ISNUMBER(SEARCH("CCC",E273)),"NCA-ECC-2-2024",IF(ISNUMBER(SEARCH("DCC",E273)),"NCA-ECC-2-2024",IF(ISNUMBER(SEARCH("CSCC",E273)),"NCA-ECC-2-2024",IF(ISNUMBER(SEARCH("PDPL-IR",E273)),"PDPL-2021",IF(ISNUMBER(SEARCH("PDPL-DTR",E273)),"PDPL-2021","NONE"))))))))</f>
        <v/>
      </c>
      <c r="BF273" s="594">
        <f>IF(E273="","",IF(BB273="DEEP",10,IF(BB273="SHALLOW",5,IF(BB273="TEMPLATE",3,1)))+IF(N273="HIGHEST",5,IF(N273="HIGH",3,IF(N273="MODERATE",1,0)))+IF(ISNUMBER(SEARCH("Mandatory",L273)),3,0))</f>
        <v/>
      </c>
    </row>
    <row r="274" ht="42" customHeight="1">
      <c r="A274" s="257" t="n">
        <v>243</v>
      </c>
      <c r="B274" s="258" t="inlineStr">
        <is>
          <t>MAWANI</t>
        </is>
      </c>
      <c r="C274" s="259" t="inlineStr">
        <is>
          <t>Saudi Ports Authority (Mawani)</t>
        </is>
      </c>
      <c r="D274" s="259" t="inlineStr">
        <is>
          <t>10. Transport &amp; Logistics</t>
        </is>
      </c>
      <c r="E274" s="258" t="inlineStr">
        <is>
          <t>MAWANI-FW</t>
        </is>
      </c>
      <c r="F274" s="260" t="inlineStr">
        <is>
          <t>Ports Regulations &amp; Cold Chain Standards</t>
        </is>
      </c>
      <c r="G274" s="259" t="inlineStr">
        <is>
          <t>الإطار التنظيمي الرئيسي</t>
        </is>
      </c>
      <c r="H274" s="259" t="inlineStr">
        <is>
          <t>Active/Updated</t>
        </is>
      </c>
      <c r="I274" s="261" t="inlineStr">
        <is>
          <t>1976</t>
        </is>
      </c>
      <c r="J274" s="261" t="inlineStr">
        <is>
          <t>N/A</t>
        </is>
      </c>
      <c r="K274" s="259" t="inlineStr">
        <is>
          <t>ISSUES/ENFORCES</t>
        </is>
      </c>
      <c r="L274" s="22" t="inlineStr">
        <is>
          <t>Mandatory Enforcer</t>
        </is>
      </c>
      <c r="M274" s="259" t="inlineStr">
        <is>
          <t>Entities regulated by this authority</t>
        </is>
      </c>
      <c r="N274" s="262" t="inlineStr">
        <is>
          <t>MODERATE</t>
        </is>
      </c>
      <c r="O274" s="263" t="inlineStr">
        <is>
          <t>https://www.gov.sa/</t>
        </is>
      </c>
      <c r="P274" s="259" t="inlineStr">
        <is>
          <t>Ministry/Authority official site</t>
        </is>
      </c>
      <c r="Q274" s="259" t="inlineStr">
        <is>
          <t>See official source for version history</t>
        </is>
      </c>
      <c r="R274" s="259" t="inlineStr">
        <is>
          <t>Framework issued by the relevant authority. Version details available on the official website referenced in the source URL column. The framework has been updated periodically since first issuance.</t>
        </is>
      </c>
      <c r="S274" s="261" t="inlineStr">
        <is>
          <t>See official source</t>
        </is>
      </c>
      <c r="T274" s="259" t="inlineStr">
        <is>
          <t>Updated as needed by the issuing authority</t>
        </is>
      </c>
      <c r="U274" s="25" t="inlineStr">
        <is>
          <t>CURRENT — consult official source for latest version</t>
        </is>
      </c>
      <c r="V274" s="259" t="inlineStr">
        <is>
          <t>Penalties defined by issuing authority; consult official source. NCA ECC-2 penalties apply if relevant</t>
        </is>
      </c>
      <c r="W274" s="260" t="inlineStr">
        <is>
          <t>Issuing authority and/or designated inspection department</t>
        </is>
      </c>
      <c r="X274" s="259" t="inlineStr">
        <is>
          <t>As specified in framework scope — consult official document</t>
        </is>
      </c>
      <c r="Y274" s="49" t="inlineStr">
        <is>
          <t>Both (unless specified otherwise in official document)</t>
        </is>
      </c>
      <c r="Z274" s="259" t="inlineStr">
        <is>
          <t>As defined by issuing authority</t>
        </is>
      </c>
      <c r="AA274" s="261" t="inlineStr">
        <is>
          <t>As defined by issuing authority</t>
        </is>
      </c>
      <c r="AB274" s="259" t="inlineStr">
        <is>
          <t>To be determined from framework text — see official source</t>
        </is>
      </c>
      <c r="AC274" s="259" t="inlineStr">
        <is>
          <t>See framework preamble for international standard references</t>
        </is>
      </c>
      <c r="AD274" s="49" t="inlineStr">
        <is>
          <t>Arabic (primary in KSA); English may be available</t>
        </is>
      </c>
      <c r="AE274" s="58" t="inlineStr">
        <is>
          <t>Mapped to relevant GH-ICGA layer — requires manual assessment</t>
        </is>
      </c>
      <c r="AF274" s="56" t="inlineStr">
        <is>
          <t>See official framework for maturity model details</t>
        </is>
      </c>
      <c r="AG274" s="259" t="inlineStr">
        <is>
          <t>Aligned with relevant Vision 2030 programme — see framework context</t>
        </is>
      </c>
      <c r="AH274" s="259" t="inlineStr">
        <is>
          <t>As specified in framework compliance requirements</t>
        </is>
      </c>
      <c r="AI274" s="264" t="inlineStr">
        <is>
          <t>Institutional theory and regulatory governance theory underpin all KSA regulatory frameworks. Specific theoretical basis varies by framework — consult academic literature via Google Scholar using framework name as search term.</t>
        </is>
      </c>
      <c r="AJ274" s="259" t="inlineStr">
        <is>
          <t>Academic debate varies by framework maturity and international adoption. For KSA-specific debate, consult: Almohammad &amp; Wills (2021) J Cybersecurity; Al-Khater et al. (2020) IEEE Access; Baker McKenzie KSA regulatory updates.</t>
        </is>
      </c>
      <c r="AK274" s="265" t="inlineStr">
        <is>
          <t>Known criticisms include: implementation gap between standards and practice; resource constraints for smaller healthcare entities; rapid technology evolution outpacing regulation. Consult framework evaluation literature for specifics.</t>
        </is>
      </c>
      <c r="AL274" s="266" t="inlineStr">
        <is>
          <t>Framework comparison requires contextual analysis. Key comparators: NIST CSF 2.0 (international benchmark), ISO 27001 (certifiable standard), ECC-2 (KSA mandatory baseline). See main database for cross-framework mapping.</t>
        </is>
      </c>
      <c r="AM274" s="267"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74" s="268" t="inlineStr">
        <is>
          <t>Official: Consult the official source URL in the database for the primary document. Training: ISACA, ISC2, RAPS, IAPP, and HIMSS offer professional development covering most regulatory domains. Estimated hours vary by framework complexity.</t>
        </is>
      </c>
      <c r="AO274" s="269" t="inlineStr">
        <is>
          <t>Relevance to GH-ICGA framework varies by layer — see GH-ICGA Layer Mapping column. All KSA mandatory frameworks are compliance inputs to GH-ICGA Layer 4. Frameworks with IoMT-specific provisions directly inform Layers 2 and 3.</t>
        </is>
      </c>
      <c r="AP274" s="51" t="inlineStr">
        <is>
          <t>G + C (Governance + Compliance — standard regulatory framework positioning)</t>
        </is>
      </c>
      <c r="AQ274" s="270" t="inlineStr">
        <is>
          <t>Senior management: accountability for framework compliance. Designated compliance officer: monitor requirements. All staff: awareness of applicable obligations</t>
        </is>
      </c>
      <c r="AR274" s="265" t="inlineStr">
        <is>
          <t>Regulatory Risk; Operational Risk; Reputational Risk — specific domains determined by framework scope</t>
        </is>
      </c>
      <c r="AS274" s="22" t="inlineStr">
        <is>
          <t>See official source — legal obligation, regulatory requirement, or voluntary standard as applicable</t>
        </is>
      </c>
      <c r="AT274" s="266" t="inlineStr">
        <is>
          <t>Administrative; Technical; Operational — specific distribution determined by framework content</t>
        </is>
      </c>
      <c r="AU274" s="271" t="inlineStr">
        <is>
          <t>1. Compliance status (compliant/non-compliant). 2. # open findings from last assessment. 3. % controls implemented. 4. Time to remediate findings. 5. Incident rate in framework scope area</t>
        </is>
      </c>
      <c r="AV274" s="272" t="inlineStr">
        <is>
          <t>Self-assessment; internal audit; external assessment as specified by issuing authority</t>
        </is>
      </c>
      <c r="AW274" s="273" t="inlineStr">
        <is>
          <t>ServiceNow GRC; IBM OpenPages; RSA Archer; MetricStream — all major GRC platforms support custom framework import. Contact vendor for framework-specific module</t>
        </is>
      </c>
      <c r="AX274" s="274" t="inlineStr">
        <is>
          <t>Third parties in scope must demonstrate equivalent compliance. Contractual compliance obligations; right-to-audit clauses; annual third-party assessment</t>
        </is>
      </c>
      <c r="AY274" s="275" t="inlineStr">
        <is>
          <t>Non-compliance: regulatory action by issuing authority; fines and penalties as specified; operational and reputational consequences</t>
        </is>
      </c>
      <c r="AZ274" s="272" t="inlineStr">
        <is>
          <t>Sector-specific — consult official source</t>
        </is>
      </c>
      <c r="BA274" s="41" t="inlineStr">
        <is>
          <t>Sector-Specific</t>
        </is>
      </c>
      <c r="BB274" s="591">
        <f>IF(E274="","",IF(ISNUMBER(SEARCH("Institutional theory and regulatory governance theory underpin",AI274)),"TEMPLATE",IF(LEN(AI274)&gt;100,"DEEP",IF(AI274="","SPARSE","SHALLOW"))))</f>
        <v/>
      </c>
      <c r="BC274" s="591">
        <f>IF(E274="","",D274&amp;"-"&amp;B274&amp;"-"&amp;E274)</f>
        <v/>
      </c>
      <c r="BD274" s="591">
        <f>IF(E274="","",SUBSTITUTE(SUBSTITUTE(B274&amp;"-"&amp;E274," ",""),":","-"))</f>
        <v/>
      </c>
      <c r="BE274" s="591">
        <f>IF(E274="","",IF(ISNUMBER(SEARCH("ECC",E274)),"NCA-ECC-2-2024",IF(ISNUMBER(SEARCH("OTCC",E274)),"NCA-ECC-2-2024",IF(ISNUMBER(SEARCH("CCC",E274)),"NCA-ECC-2-2024",IF(ISNUMBER(SEARCH("DCC",E274)),"NCA-ECC-2-2024",IF(ISNUMBER(SEARCH("CSCC",E274)),"NCA-ECC-2-2024",IF(ISNUMBER(SEARCH("PDPL-IR",E274)),"PDPL-2021",IF(ISNUMBER(SEARCH("PDPL-DTR",E274)),"PDPL-2021","NONE"))))))))</f>
        <v/>
      </c>
      <c r="BF274" s="594">
        <f>IF(E274="","",IF(BB274="DEEP",10,IF(BB274="SHALLOW",5,IF(BB274="TEMPLATE",3,1)))+IF(N274="HIGHEST",5,IF(N274="HIGH",3,IF(N274="MODERATE",1,0)))+IF(ISNUMBER(SEARCH("Mandatory",L274)),3,0))</f>
        <v/>
      </c>
    </row>
    <row r="275" ht="42" customHeight="1">
      <c r="A275" s="42" t="n">
        <v>244</v>
      </c>
      <c r="B275" s="276" t="inlineStr">
        <is>
          <t>MAWANI</t>
        </is>
      </c>
      <c r="C275" s="44" t="inlineStr">
        <is>
          <t>Saudi Ports Authority (Mawani)</t>
        </is>
      </c>
      <c r="D275" s="44" t="inlineStr">
        <is>
          <t>10. Transport &amp; Logistics</t>
        </is>
      </c>
      <c r="E275" s="276" t="inlineStr">
        <is>
          <t>NCA-ECC-2:2024</t>
        </is>
      </c>
      <c r="F275" s="45" t="inlineStr">
        <is>
          <t>Essential Cybersecurity Controls</t>
        </is>
      </c>
      <c r="G275" s="44" t="inlineStr">
        <is>
          <t>ضوابط الأمن السيبراني الأساسية</t>
        </is>
      </c>
      <c r="H275" s="44" t="inlineStr">
        <is>
          <t>ECC-2:2024</t>
        </is>
      </c>
      <c r="I275" s="46" t="inlineStr">
        <is>
          <t>2018</t>
        </is>
      </c>
      <c r="J275" s="46" t="inlineStr">
        <is>
          <t>108</t>
        </is>
      </c>
      <c r="K275" s="44" t="inlineStr">
        <is>
          <t>MUST COMPLY WITH</t>
        </is>
      </c>
      <c r="L275" s="66" t="inlineStr">
        <is>
          <t>Mandatory Complier</t>
        </is>
      </c>
      <c r="M275" s="44" t="inlineStr">
        <is>
          <t>Saudi Ports Authority (Mawani) as government entity</t>
        </is>
      </c>
      <c r="N275" s="59" t="inlineStr">
        <is>
          <t>LOW</t>
        </is>
      </c>
      <c r="O275" s="48" t="inlineStr">
        <is>
          <t>https://nca.gov.sa/</t>
        </is>
      </c>
      <c r="P275" s="44" t="inlineStr">
        <is>
          <t>NCA ECC scope</t>
        </is>
      </c>
      <c r="Q275" s="259" t="inlineStr">
        <is>
          <t>See official source for version history</t>
        </is>
      </c>
      <c r="R275" s="259" t="inlineStr">
        <is>
          <t>Framework issued by the relevant authority. Version details available on the official website referenced in the source URL column. The framework has been updated periodically since first issuance.</t>
        </is>
      </c>
      <c r="S275" s="261" t="inlineStr">
        <is>
          <t>See official source</t>
        </is>
      </c>
      <c r="T275" s="259" t="inlineStr">
        <is>
          <t>Updated as needed by the issuing authority</t>
        </is>
      </c>
      <c r="U275" s="25" t="inlineStr">
        <is>
          <t>CURRENT — consult official source for latest version</t>
        </is>
      </c>
      <c r="V275" s="259" t="inlineStr">
        <is>
          <t>Penalties defined by issuing authority; consult official source. NCA ECC-2 penalties apply if relevant</t>
        </is>
      </c>
      <c r="W275" s="260" t="inlineStr">
        <is>
          <t>Issuing authority and/or designated inspection department</t>
        </is>
      </c>
      <c r="X275" s="259" t="inlineStr">
        <is>
          <t>As specified in framework scope — consult official document</t>
        </is>
      </c>
      <c r="Y275" s="49" t="inlineStr">
        <is>
          <t>Both (unless specified otherwise in official document)</t>
        </is>
      </c>
      <c r="Z275" s="259" t="inlineStr">
        <is>
          <t>As defined by issuing authority</t>
        </is>
      </c>
      <c r="AA275" s="261" t="inlineStr">
        <is>
          <t>As defined by issuing authority</t>
        </is>
      </c>
      <c r="AB275" s="259" t="inlineStr">
        <is>
          <t>To be determined from framework text — see official source</t>
        </is>
      </c>
      <c r="AC275" s="259" t="inlineStr">
        <is>
          <t>See framework preamble for international standard references</t>
        </is>
      </c>
      <c r="AD275" s="49" t="inlineStr">
        <is>
          <t>Arabic (primary in KSA); English may be available</t>
        </is>
      </c>
      <c r="AE275" s="58" t="inlineStr">
        <is>
          <t>Mapped to relevant GH-ICGA layer — requires manual assessment</t>
        </is>
      </c>
      <c r="AF275" s="56" t="inlineStr">
        <is>
          <t>See official framework for maturity model details</t>
        </is>
      </c>
      <c r="AG275" s="259" t="inlineStr">
        <is>
          <t>Aligned with relevant Vision 2030 programme — see framework context</t>
        </is>
      </c>
      <c r="AH275" s="259" t="inlineStr">
        <is>
          <t>As specified in framework compliance requirements</t>
        </is>
      </c>
      <c r="AI275" s="264" t="inlineStr">
        <is>
          <t>Institutional theory and regulatory governance theory underpin all KSA regulatory frameworks. Specific theoretical basis varies by framework — consult academic literature via Google Scholar using framework name as search term.</t>
        </is>
      </c>
      <c r="AJ275" s="259" t="inlineStr">
        <is>
          <t>Academic debate varies by framework maturity and international adoption. For KSA-specific debate, consult: Almohammad &amp; Wills (2021) J Cybersecurity; Al-Khater et al. (2020) IEEE Access; Baker McKenzie KSA regulatory updates.</t>
        </is>
      </c>
      <c r="AK275" s="265" t="inlineStr">
        <is>
          <t>Known criticisms include: implementation gap between standards and practice; resource constraints for smaller healthcare entities; rapid technology evolution outpacing regulation. Consult framework evaluation literature for specifics.</t>
        </is>
      </c>
      <c r="AL275" s="266" t="inlineStr">
        <is>
          <t>Framework comparison requires contextual analysis. Key comparators: NIST CSF 2.0 (international benchmark), ISO 27001 (certifiable standard), ECC-2 (KSA mandatory baseline). See main database for cross-framework mapping.</t>
        </is>
      </c>
      <c r="AM275" s="267"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75" s="268" t="inlineStr">
        <is>
          <t>Official: Consult the official source URL in the database for the primary document. Training: ISACA, ISC2, RAPS, IAPP, and HIMSS offer professional development covering most regulatory domains. Estimated hours vary by framework complexity.</t>
        </is>
      </c>
      <c r="AO275" s="269" t="inlineStr">
        <is>
          <t>Relevance to GH-ICGA framework varies by layer — see GH-ICGA Layer Mapping column. All KSA mandatory frameworks are compliance inputs to GH-ICGA Layer 4. Frameworks with IoMT-specific provisions directly inform Layers 2 and 3.</t>
        </is>
      </c>
      <c r="AP275" s="51" t="inlineStr">
        <is>
          <t>G + C (Governance + Compliance — standard regulatory framework positioning)</t>
        </is>
      </c>
      <c r="AQ275" s="270" t="inlineStr">
        <is>
          <t>Senior management: accountability for framework compliance. Designated compliance officer: monitor requirements. All staff: awareness of applicable obligations</t>
        </is>
      </c>
      <c r="AR275" s="265" t="inlineStr">
        <is>
          <t>Regulatory Risk; Operational Risk; Reputational Risk — specific domains determined by framework scope</t>
        </is>
      </c>
      <c r="AS275" s="22" t="inlineStr">
        <is>
          <t>See official source — legal obligation, regulatory requirement, or voluntary standard as applicable</t>
        </is>
      </c>
      <c r="AT275" s="266" t="inlineStr">
        <is>
          <t>Administrative; Technical; Operational — specific distribution determined by framework content</t>
        </is>
      </c>
      <c r="AU275" s="271" t="inlineStr">
        <is>
          <t>1. Compliance status (compliant/non-compliant). 2. # open findings from last assessment. 3. % controls implemented. 4. Time to remediate findings. 5. Incident rate in framework scope area</t>
        </is>
      </c>
      <c r="AV275" s="272" t="inlineStr">
        <is>
          <t>Self-assessment; internal audit; external assessment as specified by issuing authority</t>
        </is>
      </c>
      <c r="AW275" s="273" t="inlineStr">
        <is>
          <t>ServiceNow GRC; IBM OpenPages; RSA Archer; MetricStream — all major GRC platforms support custom framework import. Contact vendor for framework-specific module</t>
        </is>
      </c>
      <c r="AX275" s="274" t="inlineStr">
        <is>
          <t>Third parties in scope must demonstrate equivalent compliance. Contractual compliance obligations; right-to-audit clauses; annual third-party assessment</t>
        </is>
      </c>
      <c r="AY275" s="275" t="inlineStr">
        <is>
          <t>Non-compliance: regulatory action by issuing authority; fines and penalties as specified; operational and reputational consequences</t>
        </is>
      </c>
      <c r="AZ275" s="272" t="inlineStr">
        <is>
          <t>ALL 17 SECTORS</t>
        </is>
      </c>
      <c r="BA275" s="34" t="inlineStr">
        <is>
          <t>YES — ALL SECTORS</t>
        </is>
      </c>
      <c r="BB275" s="591">
        <f>IF(E275="","",IF(ISNUMBER(SEARCH("Institutional theory and regulatory governance theory underpin",AI275)),"TEMPLATE",IF(LEN(AI275)&gt;100,"DEEP",IF(AI275="","SPARSE","SHALLOW"))))</f>
        <v/>
      </c>
      <c r="BC275" s="591">
        <f>IF(E275="","",D275&amp;"-"&amp;B275&amp;"-"&amp;E275)</f>
        <v/>
      </c>
      <c r="BD275" s="591">
        <f>IF(E275="","",SUBSTITUTE(SUBSTITUTE(B275&amp;"-"&amp;E275," ",""),":","-"))</f>
        <v/>
      </c>
      <c r="BE275" s="591">
        <f>IF(E275="","",IF(ISNUMBER(SEARCH("ECC",E275)),"NCA-ECC-2-2024",IF(ISNUMBER(SEARCH("OTCC",E275)),"NCA-ECC-2-2024",IF(ISNUMBER(SEARCH("CCC",E275)),"NCA-ECC-2-2024",IF(ISNUMBER(SEARCH("DCC",E275)),"NCA-ECC-2-2024",IF(ISNUMBER(SEARCH("CSCC",E275)),"NCA-ECC-2-2024",IF(ISNUMBER(SEARCH("PDPL-IR",E275)),"PDPL-2021",IF(ISNUMBER(SEARCH("PDPL-DTR",E275)),"PDPL-2021","NONE"))))))))</f>
        <v/>
      </c>
      <c r="BF275" s="594">
        <f>IF(E275="","",IF(BB275="DEEP",10,IF(BB275="SHALLOW",5,IF(BB275="TEMPLATE",3,1)))+IF(N275="HIGHEST",5,IF(N275="HIGH",3,IF(N275="MODERATE",1,0)))+IF(ISNUMBER(SEARCH("Mandatory",L275)),3,0))</f>
        <v/>
      </c>
    </row>
    <row r="276">
      <c r="BB276" s="591">
        <f>IF(E276="","",IF(ISNUMBER(SEARCH("Institutional theory and regulatory governance theory underpin",AI276)),"TEMPLATE",IF(LEN(AI276)&gt;100,"DEEP",IF(AI276="","SPARSE","SHALLOW"))))</f>
        <v/>
      </c>
      <c r="BC276" s="591">
        <f>IF(E276="","",D276&amp;"-"&amp;B276&amp;"-"&amp;E276)</f>
        <v/>
      </c>
      <c r="BD276" s="591">
        <f>IF(E276="","",SUBSTITUTE(SUBSTITUTE(B276&amp;"-"&amp;E276," ",""),":","-"))</f>
        <v/>
      </c>
      <c r="BE276" s="591">
        <f>IF(E276="","",IF(ISNUMBER(SEARCH("ECC",E276)),"NCA-ECC-2-2024",IF(ISNUMBER(SEARCH("OTCC",E276)),"NCA-ECC-2-2024",IF(ISNUMBER(SEARCH("CCC",E276)),"NCA-ECC-2-2024",IF(ISNUMBER(SEARCH("DCC",E276)),"NCA-ECC-2-2024",IF(ISNUMBER(SEARCH("CSCC",E276)),"NCA-ECC-2-2024",IF(ISNUMBER(SEARCH("PDPL-IR",E276)),"PDPL-2021",IF(ISNUMBER(SEARCH("PDPL-DTR",E276)),"PDPL-2021","NONE"))))))))</f>
        <v/>
      </c>
      <c r="BF276" s="594">
        <f>IF(E276="","",IF(BB276="DEEP",10,IF(BB276="SHALLOW",5,IF(BB276="TEMPLATE",3,1)))+IF(N276="HIGHEST",5,IF(N276="HIGH",3,IF(N276="MODERATE",1,0)))+IF(ISNUMBER(SEARCH("Mandatory",L276)),3,0))</f>
        <v/>
      </c>
    </row>
    <row r="277" ht="19.5" customHeight="1">
      <c r="A277" s="277" t="n"/>
      <c r="B277" s="278" t="inlineStr">
        <is>
          <t xml:space="preserve">  ── 11. Industry &amp; Trade ──</t>
        </is>
      </c>
      <c r="C277" s="277" t="n"/>
      <c r="D277" s="277" t="n"/>
      <c r="E277" s="277" t="n"/>
      <c r="F277" s="277" t="n"/>
      <c r="G277" s="277" t="n"/>
      <c r="H277" s="277" t="n"/>
      <c r="I277" s="277" t="n"/>
      <c r="J277" s="277" t="n"/>
      <c r="K277" s="277" t="n"/>
      <c r="L277" s="277" t="n"/>
      <c r="M277" s="277" t="n"/>
      <c r="N277" s="277" t="n"/>
      <c r="O277" s="277" t="n"/>
      <c r="P277" s="277" t="n"/>
      <c r="BB277" s="591">
        <f>IF(E277="","",IF(ISNUMBER(SEARCH("Institutional theory and regulatory governance theory underpin",AI277)),"TEMPLATE",IF(LEN(AI277)&gt;100,"DEEP",IF(AI277="","SPARSE","SHALLOW"))))</f>
        <v/>
      </c>
      <c r="BC277" s="591">
        <f>IF(E277="","",D277&amp;"-"&amp;B277&amp;"-"&amp;E277)</f>
        <v/>
      </c>
      <c r="BD277" s="591">
        <f>IF(E277="","",SUBSTITUTE(SUBSTITUTE(B277&amp;"-"&amp;E277," ",""),":","-"))</f>
        <v/>
      </c>
      <c r="BE277" s="591">
        <f>IF(E277="","",IF(ISNUMBER(SEARCH("ECC",E277)),"NCA-ECC-2-2024",IF(ISNUMBER(SEARCH("OTCC",E277)),"NCA-ECC-2-2024",IF(ISNUMBER(SEARCH("CCC",E277)),"NCA-ECC-2-2024",IF(ISNUMBER(SEARCH("DCC",E277)),"NCA-ECC-2-2024",IF(ISNUMBER(SEARCH("CSCC",E277)),"NCA-ECC-2-2024",IF(ISNUMBER(SEARCH("PDPL-IR",E277)),"PDPL-2021",IF(ISNUMBER(SEARCH("PDPL-DTR",E277)),"PDPL-2021","NONE"))))))))</f>
        <v/>
      </c>
      <c r="BF277" s="594">
        <f>IF(E277="","",IF(BB277="DEEP",10,IF(BB277="SHALLOW",5,IF(BB277="TEMPLATE",3,1)))+IF(N277="HIGHEST",5,IF(N277="HIGH",3,IF(N277="MODERATE",1,0)))+IF(ISNUMBER(SEARCH("Mandatory",L277)),3,0))</f>
        <v/>
      </c>
    </row>
    <row r="278" ht="42" customHeight="1">
      <c r="A278" s="279" t="n">
        <v>245</v>
      </c>
      <c r="B278" s="280" t="inlineStr">
        <is>
          <t>MODON</t>
        </is>
      </c>
      <c r="C278" s="281" t="inlineStr">
        <is>
          <t>Saudi Industrial Property Authority</t>
        </is>
      </c>
      <c r="D278" s="281" t="inlineStr">
        <is>
          <t>11. Industry &amp; Trade</t>
        </is>
      </c>
      <c r="E278" s="280" t="inlineStr">
        <is>
          <t>MODON-FW</t>
        </is>
      </c>
      <c r="F278" s="282" t="inlineStr">
        <is>
          <t>Industrial Zones Licensing</t>
        </is>
      </c>
      <c r="G278" s="281" t="inlineStr">
        <is>
          <t>الإطار التنظيمي الرئيسي</t>
        </is>
      </c>
      <c r="H278" s="281" t="inlineStr">
        <is>
          <t>Active/Updated</t>
        </is>
      </c>
      <c r="I278" s="283" t="inlineStr">
        <is>
          <t>1971</t>
        </is>
      </c>
      <c r="J278" s="283" t="inlineStr">
        <is>
          <t>N/A</t>
        </is>
      </c>
      <c r="K278" s="281" t="inlineStr">
        <is>
          <t>ISSUES/ENFORCES</t>
        </is>
      </c>
      <c r="L278" s="22" t="inlineStr">
        <is>
          <t>Mandatory Enforcer</t>
        </is>
      </c>
      <c r="M278" s="281" t="inlineStr">
        <is>
          <t>Entities regulated by this authority</t>
        </is>
      </c>
      <c r="N278" s="284" t="inlineStr">
        <is>
          <t>MODERATE</t>
        </is>
      </c>
      <c r="O278" s="285" t="inlineStr">
        <is>
          <t>https://www.gov.sa/</t>
        </is>
      </c>
      <c r="P278" s="281" t="inlineStr">
        <is>
          <t>Ministry/Authority official site</t>
        </is>
      </c>
      <c r="Q278" s="281" t="inlineStr">
        <is>
          <t>See official source for version history</t>
        </is>
      </c>
      <c r="R278" s="281" t="inlineStr">
        <is>
          <t>Framework issued by the relevant authority. Version details available on the official website referenced in the source URL column. The framework has been updated periodically since first issuance.</t>
        </is>
      </c>
      <c r="S278" s="283" t="inlineStr">
        <is>
          <t>See official source</t>
        </is>
      </c>
      <c r="T278" s="281" t="inlineStr">
        <is>
          <t>Updated as needed by the issuing authority</t>
        </is>
      </c>
      <c r="U278" s="25" t="inlineStr">
        <is>
          <t>CURRENT — consult official source for latest version</t>
        </is>
      </c>
      <c r="V278" s="281" t="inlineStr">
        <is>
          <t>Penalties defined by issuing authority; consult official source. NCA ECC-2 penalties apply if relevant</t>
        </is>
      </c>
      <c r="W278" s="282" t="inlineStr">
        <is>
          <t>Issuing authority and/or designated inspection department</t>
        </is>
      </c>
      <c r="X278" s="281" t="inlineStr">
        <is>
          <t>As specified in framework scope — consult official document</t>
        </is>
      </c>
      <c r="Y278" s="49" t="inlineStr">
        <is>
          <t>Both (unless specified otherwise in official document)</t>
        </is>
      </c>
      <c r="Z278" s="281" t="inlineStr">
        <is>
          <t>As defined by issuing authority</t>
        </is>
      </c>
      <c r="AA278" s="283" t="inlineStr">
        <is>
          <t>As defined by issuing authority</t>
        </is>
      </c>
      <c r="AB278" s="281" t="inlineStr">
        <is>
          <t>To be determined from framework text — see official source</t>
        </is>
      </c>
      <c r="AC278" s="281" t="inlineStr">
        <is>
          <t>See framework preamble for international standard references</t>
        </is>
      </c>
      <c r="AD278" s="49" t="inlineStr">
        <is>
          <t>Arabic (primary in KSA); English may be available</t>
        </is>
      </c>
      <c r="AE278" s="58" t="inlineStr">
        <is>
          <t>Mapped to relevant GH-ICGA layer — requires manual assessment</t>
        </is>
      </c>
      <c r="AF278" s="56" t="inlineStr">
        <is>
          <t>See official framework for maturity model details</t>
        </is>
      </c>
      <c r="AG278" s="281" t="inlineStr">
        <is>
          <t>Aligned with relevant Vision 2030 programme — see framework context</t>
        </is>
      </c>
      <c r="AH278" s="281" t="inlineStr">
        <is>
          <t>As specified in framework compliance requirements</t>
        </is>
      </c>
      <c r="AI278" s="286" t="inlineStr">
        <is>
          <t>Institutional theory and regulatory governance theory underpin all KSA regulatory frameworks. Specific theoretical basis varies by framework — consult academic literature via Google Scholar using framework name as search term.</t>
        </is>
      </c>
      <c r="AJ278" s="281" t="inlineStr">
        <is>
          <t>Academic debate varies by framework maturity and international adoption. For KSA-specific debate, consult: Almohammad &amp; Wills (2021) J Cybersecurity; Al-Khater et al. (2020) IEEE Access; Baker McKenzie KSA regulatory updates.</t>
        </is>
      </c>
      <c r="AK278" s="287" t="inlineStr">
        <is>
          <t>Known criticisms include: implementation gap between standards and practice; resource constraints for smaller healthcare entities; rapid technology evolution outpacing regulation. Consult framework evaluation literature for specifics.</t>
        </is>
      </c>
      <c r="AL278" s="288" t="inlineStr">
        <is>
          <t>Framework comparison requires contextual analysis. Key comparators: NIST CSF 2.0 (international benchmark), ISO 27001 (certifiable standard), ECC-2 (KSA mandatory baseline). See main database for cross-framework mapping.</t>
        </is>
      </c>
      <c r="AM278" s="289"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78" s="290" t="inlineStr">
        <is>
          <t>Official: Consult the official source URL in the database for the primary document. Training: ISACA, ISC2, RAPS, IAPP, and HIMSS offer professional development covering most regulatory domains. Estimated hours vary by framework complexity.</t>
        </is>
      </c>
      <c r="AO278" s="291" t="inlineStr">
        <is>
          <t>Relevance to GH-ICGA framework varies by layer — see GH-ICGA Layer Mapping column. All KSA mandatory frameworks are compliance inputs to GH-ICGA Layer 4. Frameworks with IoMT-specific provisions directly inform Layers 2 and 3.</t>
        </is>
      </c>
      <c r="AP278" s="51" t="inlineStr">
        <is>
          <t>G + C (Governance + Compliance — standard regulatory framework positioning)</t>
        </is>
      </c>
      <c r="AQ278" s="292" t="inlineStr">
        <is>
          <t>Senior management: accountability for framework compliance. Designated compliance officer: monitor requirements. All staff: awareness of applicable obligations</t>
        </is>
      </c>
      <c r="AR278" s="287" t="inlineStr">
        <is>
          <t>Regulatory Risk; Operational Risk; Reputational Risk — specific domains determined by framework scope</t>
        </is>
      </c>
      <c r="AS278" s="22" t="inlineStr">
        <is>
          <t>See official source — legal obligation, regulatory requirement, or voluntary standard as applicable</t>
        </is>
      </c>
      <c r="AT278" s="288" t="inlineStr">
        <is>
          <t>Administrative; Technical; Operational — specific distribution determined by framework content</t>
        </is>
      </c>
      <c r="AU278" s="293" t="inlineStr">
        <is>
          <t>1. Compliance status (compliant/non-compliant). 2. # open findings from last assessment. 3. % controls implemented. 4. Time to remediate findings. 5. Incident rate in framework scope area</t>
        </is>
      </c>
      <c r="AV278" s="294" t="inlineStr">
        <is>
          <t>Self-assessment; internal audit; external assessment as specified by issuing authority</t>
        </is>
      </c>
      <c r="AW278" s="295" t="inlineStr">
        <is>
          <t>ServiceNow GRC; IBM OpenPages; RSA Archer; MetricStream — all major GRC platforms support custom framework import. Contact vendor for framework-specific module</t>
        </is>
      </c>
      <c r="AX278" s="296" t="inlineStr">
        <is>
          <t>Third parties in scope must demonstrate equivalent compliance. Contractual compliance obligations; right-to-audit clauses; annual third-party assessment</t>
        </is>
      </c>
      <c r="AY278" s="297" t="inlineStr">
        <is>
          <t>Non-compliance: regulatory action by issuing authority; fines and penalties as specified; operational and reputational consequences</t>
        </is>
      </c>
      <c r="AZ278" s="294" t="inlineStr">
        <is>
          <t>Sector-specific — consult official source</t>
        </is>
      </c>
      <c r="BA278" s="41" t="inlineStr">
        <is>
          <t>Sector-Specific</t>
        </is>
      </c>
      <c r="BB278" s="591">
        <f>IF(E278="","",IF(ISNUMBER(SEARCH("Institutional theory and regulatory governance theory underpin",AI278)),"TEMPLATE",IF(LEN(AI278)&gt;100,"DEEP",IF(AI278="","SPARSE","SHALLOW"))))</f>
        <v/>
      </c>
      <c r="BC278" s="591">
        <f>IF(E278="","",D278&amp;"-"&amp;B278&amp;"-"&amp;E278)</f>
        <v/>
      </c>
      <c r="BD278" s="591">
        <f>IF(E278="","",SUBSTITUTE(SUBSTITUTE(B278&amp;"-"&amp;E278," ",""),":","-"))</f>
        <v/>
      </c>
      <c r="BE278" s="591">
        <f>IF(E278="","",IF(ISNUMBER(SEARCH("ECC",E278)),"NCA-ECC-2-2024",IF(ISNUMBER(SEARCH("OTCC",E278)),"NCA-ECC-2-2024",IF(ISNUMBER(SEARCH("CCC",E278)),"NCA-ECC-2-2024",IF(ISNUMBER(SEARCH("DCC",E278)),"NCA-ECC-2-2024",IF(ISNUMBER(SEARCH("CSCC",E278)),"NCA-ECC-2-2024",IF(ISNUMBER(SEARCH("PDPL-IR",E278)),"PDPL-2021",IF(ISNUMBER(SEARCH("PDPL-DTR",E278)),"PDPL-2021","NONE"))))))))</f>
        <v/>
      </c>
      <c r="BF278" s="594">
        <f>IF(E278="","",IF(BB278="DEEP",10,IF(BB278="SHALLOW",5,IF(BB278="TEMPLATE",3,1)))+IF(N278="HIGHEST",5,IF(N278="HIGH",3,IF(N278="MODERATE",1,0)))+IF(ISNUMBER(SEARCH("Mandatory",L278)),3,0))</f>
        <v/>
      </c>
    </row>
    <row r="279" ht="42" customHeight="1">
      <c r="A279" s="42" t="n">
        <v>246</v>
      </c>
      <c r="B279" s="298" t="inlineStr">
        <is>
          <t>MODON</t>
        </is>
      </c>
      <c r="C279" s="44" t="inlineStr">
        <is>
          <t>Saudi Industrial Property Authority</t>
        </is>
      </c>
      <c r="D279" s="44" t="inlineStr">
        <is>
          <t>11. Industry &amp; Trade</t>
        </is>
      </c>
      <c r="E279" s="298" t="inlineStr">
        <is>
          <t>NCA-ECC-2:2024</t>
        </is>
      </c>
      <c r="F279" s="45" t="inlineStr">
        <is>
          <t>Essential Cybersecurity Controls</t>
        </is>
      </c>
      <c r="G279" s="44" t="inlineStr">
        <is>
          <t>ضوابط الأمن السيبراني الأساسية</t>
        </is>
      </c>
      <c r="H279" s="44" t="inlineStr">
        <is>
          <t>ECC-2:2024</t>
        </is>
      </c>
      <c r="I279" s="46" t="inlineStr">
        <is>
          <t>2018</t>
        </is>
      </c>
      <c r="J279" s="46" t="inlineStr">
        <is>
          <t>108</t>
        </is>
      </c>
      <c r="K279" s="44" t="inlineStr">
        <is>
          <t>MUST COMPLY WITH</t>
        </is>
      </c>
      <c r="L279" s="66" t="inlineStr">
        <is>
          <t>Mandatory Complier</t>
        </is>
      </c>
      <c r="M279" s="44" t="inlineStr">
        <is>
          <t>Saudi Industrial Property Authority as government entity</t>
        </is>
      </c>
      <c r="N279" s="59" t="inlineStr">
        <is>
          <t>LOW</t>
        </is>
      </c>
      <c r="O279" s="48" t="inlineStr">
        <is>
          <t>https://nca.gov.sa/</t>
        </is>
      </c>
      <c r="P279" s="44" t="inlineStr">
        <is>
          <t>NCA ECC scope</t>
        </is>
      </c>
      <c r="Q279" s="281" t="inlineStr">
        <is>
          <t>See official source for version history</t>
        </is>
      </c>
      <c r="R279" s="281" t="inlineStr">
        <is>
          <t>Framework issued by the relevant authority. Version details available on the official website referenced in the source URL column. The framework has been updated periodically since first issuance.</t>
        </is>
      </c>
      <c r="S279" s="283" t="inlineStr">
        <is>
          <t>See official source</t>
        </is>
      </c>
      <c r="T279" s="281" t="inlineStr">
        <is>
          <t>Updated as needed by the issuing authority</t>
        </is>
      </c>
      <c r="U279" s="25" t="inlineStr">
        <is>
          <t>CURRENT — consult official source for latest version</t>
        </is>
      </c>
      <c r="V279" s="281" t="inlineStr">
        <is>
          <t>Penalties defined by issuing authority; consult official source. NCA ECC-2 penalties apply if relevant</t>
        </is>
      </c>
      <c r="W279" s="282" t="inlineStr">
        <is>
          <t>Issuing authority and/or designated inspection department</t>
        </is>
      </c>
      <c r="X279" s="281" t="inlineStr">
        <is>
          <t>As specified in framework scope — consult official document</t>
        </is>
      </c>
      <c r="Y279" s="49" t="inlineStr">
        <is>
          <t>Both (unless specified otherwise in official document)</t>
        </is>
      </c>
      <c r="Z279" s="281" t="inlineStr">
        <is>
          <t>As defined by issuing authority</t>
        </is>
      </c>
      <c r="AA279" s="283" t="inlineStr">
        <is>
          <t>As defined by issuing authority</t>
        </is>
      </c>
      <c r="AB279" s="281" t="inlineStr">
        <is>
          <t>To be determined from framework text — see official source</t>
        </is>
      </c>
      <c r="AC279" s="281" t="inlineStr">
        <is>
          <t>See framework preamble for international standard references</t>
        </is>
      </c>
      <c r="AD279" s="49" t="inlineStr">
        <is>
          <t>Arabic (primary in KSA); English may be available</t>
        </is>
      </c>
      <c r="AE279" s="58" t="inlineStr">
        <is>
          <t>Mapped to relevant GH-ICGA layer — requires manual assessment</t>
        </is>
      </c>
      <c r="AF279" s="56" t="inlineStr">
        <is>
          <t>See official framework for maturity model details</t>
        </is>
      </c>
      <c r="AG279" s="281" t="inlineStr">
        <is>
          <t>Aligned with relevant Vision 2030 programme — see framework context</t>
        </is>
      </c>
      <c r="AH279" s="281" t="inlineStr">
        <is>
          <t>As specified in framework compliance requirements</t>
        </is>
      </c>
      <c r="AI279" s="286" t="inlineStr">
        <is>
          <t>Institutional theory and regulatory governance theory underpin all KSA regulatory frameworks. Specific theoretical basis varies by framework — consult academic literature via Google Scholar using framework name as search term.</t>
        </is>
      </c>
      <c r="AJ279" s="281" t="inlineStr">
        <is>
          <t>Academic debate varies by framework maturity and international adoption. For KSA-specific debate, consult: Almohammad &amp; Wills (2021) J Cybersecurity; Al-Khater et al. (2020) IEEE Access; Baker McKenzie KSA regulatory updates.</t>
        </is>
      </c>
      <c r="AK279" s="287" t="inlineStr">
        <is>
          <t>Known criticisms include: implementation gap between standards and practice; resource constraints for smaller healthcare entities; rapid technology evolution outpacing regulation. Consult framework evaluation literature for specifics.</t>
        </is>
      </c>
      <c r="AL279" s="288" t="inlineStr">
        <is>
          <t>Framework comparison requires contextual analysis. Key comparators: NIST CSF 2.0 (international benchmark), ISO 27001 (certifiable standard), ECC-2 (KSA mandatory baseline). See main database for cross-framework mapping.</t>
        </is>
      </c>
      <c r="AM279" s="289"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79" s="290" t="inlineStr">
        <is>
          <t>Official: Consult the official source URL in the database for the primary document. Training: ISACA, ISC2, RAPS, IAPP, and HIMSS offer professional development covering most regulatory domains. Estimated hours vary by framework complexity.</t>
        </is>
      </c>
      <c r="AO279" s="291" t="inlineStr">
        <is>
          <t>Relevance to GH-ICGA framework varies by layer — see GH-ICGA Layer Mapping column. All KSA mandatory frameworks are compliance inputs to GH-ICGA Layer 4. Frameworks with IoMT-specific provisions directly inform Layers 2 and 3.</t>
        </is>
      </c>
      <c r="AP279" s="51" t="inlineStr">
        <is>
          <t>G + C (Governance + Compliance — standard regulatory framework positioning)</t>
        </is>
      </c>
      <c r="AQ279" s="292" t="inlineStr">
        <is>
          <t>Senior management: accountability for framework compliance. Designated compliance officer: monitor requirements. All staff: awareness of applicable obligations</t>
        </is>
      </c>
      <c r="AR279" s="287" t="inlineStr">
        <is>
          <t>Regulatory Risk; Operational Risk; Reputational Risk — specific domains determined by framework scope</t>
        </is>
      </c>
      <c r="AS279" s="22" t="inlineStr">
        <is>
          <t>See official source — legal obligation, regulatory requirement, or voluntary standard as applicable</t>
        </is>
      </c>
      <c r="AT279" s="288" t="inlineStr">
        <is>
          <t>Administrative; Technical; Operational — specific distribution determined by framework content</t>
        </is>
      </c>
      <c r="AU279" s="293" t="inlineStr">
        <is>
          <t>1. Compliance status (compliant/non-compliant). 2. # open findings from last assessment. 3. % controls implemented. 4. Time to remediate findings. 5. Incident rate in framework scope area</t>
        </is>
      </c>
      <c r="AV279" s="294" t="inlineStr">
        <is>
          <t>Self-assessment; internal audit; external assessment as specified by issuing authority</t>
        </is>
      </c>
      <c r="AW279" s="295" t="inlineStr">
        <is>
          <t>ServiceNow GRC; IBM OpenPages; RSA Archer; MetricStream — all major GRC platforms support custom framework import. Contact vendor for framework-specific module</t>
        </is>
      </c>
      <c r="AX279" s="296" t="inlineStr">
        <is>
          <t>Third parties in scope must demonstrate equivalent compliance. Contractual compliance obligations; right-to-audit clauses; annual third-party assessment</t>
        </is>
      </c>
      <c r="AY279" s="297" t="inlineStr">
        <is>
          <t>Non-compliance: regulatory action by issuing authority; fines and penalties as specified; operational and reputational consequences</t>
        </is>
      </c>
      <c r="AZ279" s="294" t="inlineStr">
        <is>
          <t>ALL 17 SECTORS</t>
        </is>
      </c>
      <c r="BA279" s="34" t="inlineStr">
        <is>
          <t>YES — ALL SECTORS</t>
        </is>
      </c>
      <c r="BB279" s="591">
        <f>IF(E279="","",IF(ISNUMBER(SEARCH("Institutional theory and regulatory governance theory underpin",AI279)),"TEMPLATE",IF(LEN(AI279)&gt;100,"DEEP",IF(AI279="","SPARSE","SHALLOW"))))</f>
        <v/>
      </c>
      <c r="BC279" s="591">
        <f>IF(E279="","",D279&amp;"-"&amp;B279&amp;"-"&amp;E279)</f>
        <v/>
      </c>
      <c r="BD279" s="591">
        <f>IF(E279="","",SUBSTITUTE(SUBSTITUTE(B279&amp;"-"&amp;E279," ",""),":","-"))</f>
        <v/>
      </c>
      <c r="BE279" s="591">
        <f>IF(E279="","",IF(ISNUMBER(SEARCH("ECC",E279)),"NCA-ECC-2-2024",IF(ISNUMBER(SEARCH("OTCC",E279)),"NCA-ECC-2-2024",IF(ISNUMBER(SEARCH("CCC",E279)),"NCA-ECC-2-2024",IF(ISNUMBER(SEARCH("DCC",E279)),"NCA-ECC-2-2024",IF(ISNUMBER(SEARCH("CSCC",E279)),"NCA-ECC-2-2024",IF(ISNUMBER(SEARCH("PDPL-IR",E279)),"PDPL-2021",IF(ISNUMBER(SEARCH("PDPL-DTR",E279)),"PDPL-2021","NONE"))))))))</f>
        <v/>
      </c>
      <c r="BF279" s="594">
        <f>IF(E279="","",IF(BB279="DEEP",10,IF(BB279="SHALLOW",5,IF(BB279="TEMPLATE",3,1)))+IF(N279="HIGHEST",5,IF(N279="HIGH",3,IF(N279="MODERATE",1,0)))+IF(ISNUMBER(SEARCH("Mandatory",L279)),3,0))</f>
        <v/>
      </c>
    </row>
    <row r="280" ht="42" customHeight="1">
      <c r="A280" s="279" t="n">
        <v>247</v>
      </c>
      <c r="B280" s="280" t="inlineStr">
        <is>
          <t>RCJY</t>
        </is>
      </c>
      <c r="C280" s="281" t="inlineStr">
        <is>
          <t>Royal Commission for Jubail &amp; Yanbu</t>
        </is>
      </c>
      <c r="D280" s="281" t="inlineStr">
        <is>
          <t>11. Industry &amp; Trade</t>
        </is>
      </c>
      <c r="E280" s="280" t="inlineStr">
        <is>
          <t>RCJY-FW</t>
        </is>
      </c>
      <c r="F280" s="282" t="inlineStr">
        <is>
          <t>Industrial City Standards</t>
        </is>
      </c>
      <c r="G280" s="281" t="inlineStr">
        <is>
          <t>الإطار التنظيمي الرئيسي</t>
        </is>
      </c>
      <c r="H280" s="281" t="inlineStr">
        <is>
          <t>Active/Updated</t>
        </is>
      </c>
      <c r="I280" s="283" t="inlineStr">
        <is>
          <t>1975</t>
        </is>
      </c>
      <c r="J280" s="283" t="inlineStr">
        <is>
          <t>N/A</t>
        </is>
      </c>
      <c r="K280" s="281" t="inlineStr">
        <is>
          <t>ISSUES/ENFORCES</t>
        </is>
      </c>
      <c r="L280" s="22" t="inlineStr">
        <is>
          <t>Mandatory Enforcer</t>
        </is>
      </c>
      <c r="M280" s="281" t="inlineStr">
        <is>
          <t>Entities regulated by this authority</t>
        </is>
      </c>
      <c r="N280" s="284" t="inlineStr">
        <is>
          <t>MODERATE</t>
        </is>
      </c>
      <c r="O280" s="285" t="inlineStr">
        <is>
          <t>https://www.gov.sa/</t>
        </is>
      </c>
      <c r="P280" s="281" t="inlineStr">
        <is>
          <t>Ministry/Authority official site</t>
        </is>
      </c>
      <c r="Q280" s="281" t="inlineStr">
        <is>
          <t>See official source for version history</t>
        </is>
      </c>
      <c r="R280" s="281" t="inlineStr">
        <is>
          <t>Framework issued by the relevant authority. Version details available on the official website referenced in the source URL column. The framework has been updated periodically since first issuance.</t>
        </is>
      </c>
      <c r="S280" s="283" t="inlineStr">
        <is>
          <t>See official source</t>
        </is>
      </c>
      <c r="T280" s="281" t="inlineStr">
        <is>
          <t>Updated as needed by the issuing authority</t>
        </is>
      </c>
      <c r="U280" s="25" t="inlineStr">
        <is>
          <t>CURRENT — consult official source for latest version</t>
        </is>
      </c>
      <c r="V280" s="281" t="inlineStr">
        <is>
          <t>Penalties defined by issuing authority; consult official source. NCA ECC-2 penalties apply if relevant</t>
        </is>
      </c>
      <c r="W280" s="282" t="inlineStr">
        <is>
          <t>Issuing authority and/or designated inspection department</t>
        </is>
      </c>
      <c r="X280" s="281" t="inlineStr">
        <is>
          <t>As specified in framework scope — consult official document</t>
        </is>
      </c>
      <c r="Y280" s="49" t="inlineStr">
        <is>
          <t>Both (unless specified otherwise in official document)</t>
        </is>
      </c>
      <c r="Z280" s="281" t="inlineStr">
        <is>
          <t>As defined by issuing authority</t>
        </is>
      </c>
      <c r="AA280" s="283" t="inlineStr">
        <is>
          <t>As defined by issuing authority</t>
        </is>
      </c>
      <c r="AB280" s="281" t="inlineStr">
        <is>
          <t>To be determined from framework text — see official source</t>
        </is>
      </c>
      <c r="AC280" s="281" t="inlineStr">
        <is>
          <t>See framework preamble for international standard references</t>
        </is>
      </c>
      <c r="AD280" s="49" t="inlineStr">
        <is>
          <t>Arabic (primary in KSA); English may be available</t>
        </is>
      </c>
      <c r="AE280" s="58" t="inlineStr">
        <is>
          <t>Mapped to relevant GH-ICGA layer — requires manual assessment</t>
        </is>
      </c>
      <c r="AF280" s="56" t="inlineStr">
        <is>
          <t>See official framework for maturity model details</t>
        </is>
      </c>
      <c r="AG280" s="281" t="inlineStr">
        <is>
          <t>Aligned with relevant Vision 2030 programme — see framework context</t>
        </is>
      </c>
      <c r="AH280" s="281" t="inlineStr">
        <is>
          <t>As specified in framework compliance requirements</t>
        </is>
      </c>
      <c r="AI280" s="286" t="inlineStr">
        <is>
          <t>Institutional theory and regulatory governance theory underpin all KSA regulatory frameworks. Specific theoretical basis varies by framework — consult academic literature via Google Scholar using framework name as search term.</t>
        </is>
      </c>
      <c r="AJ280" s="281" t="inlineStr">
        <is>
          <t>Academic debate varies by framework maturity and international adoption. For KSA-specific debate, consult: Almohammad &amp; Wills (2021) J Cybersecurity; Al-Khater et al. (2020) IEEE Access; Baker McKenzie KSA regulatory updates.</t>
        </is>
      </c>
      <c r="AK280" s="287" t="inlineStr">
        <is>
          <t>Known criticisms include: implementation gap between standards and practice; resource constraints for smaller healthcare entities; rapid technology evolution outpacing regulation. Consult framework evaluation literature for specifics.</t>
        </is>
      </c>
      <c r="AL280" s="288" t="inlineStr">
        <is>
          <t>Framework comparison requires contextual analysis. Key comparators: NIST CSF 2.0 (international benchmark), ISO 27001 (certifiable standard), ECC-2 (KSA mandatory baseline). See main database for cross-framework mapping.</t>
        </is>
      </c>
      <c r="AM280" s="289"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80" s="290" t="inlineStr">
        <is>
          <t>Official: Consult the official source URL in the database for the primary document. Training: ISACA, ISC2, RAPS, IAPP, and HIMSS offer professional development covering most regulatory domains. Estimated hours vary by framework complexity.</t>
        </is>
      </c>
      <c r="AO280" s="291" t="inlineStr">
        <is>
          <t>Relevance to GH-ICGA framework varies by layer — see GH-ICGA Layer Mapping column. All KSA mandatory frameworks are compliance inputs to GH-ICGA Layer 4. Frameworks with IoMT-specific provisions directly inform Layers 2 and 3.</t>
        </is>
      </c>
      <c r="AP280" s="51" t="inlineStr">
        <is>
          <t>G + C (Governance + Compliance — standard regulatory framework positioning)</t>
        </is>
      </c>
      <c r="AQ280" s="292" t="inlineStr">
        <is>
          <t>Senior management: accountability for framework compliance. Designated compliance officer: monitor requirements. All staff: awareness of applicable obligations</t>
        </is>
      </c>
      <c r="AR280" s="287" t="inlineStr">
        <is>
          <t>Regulatory Risk; Operational Risk; Reputational Risk — specific domains determined by framework scope</t>
        </is>
      </c>
      <c r="AS280" s="22" t="inlineStr">
        <is>
          <t>See official source — legal obligation, regulatory requirement, or voluntary standard as applicable</t>
        </is>
      </c>
      <c r="AT280" s="288" t="inlineStr">
        <is>
          <t>Administrative; Technical; Operational — specific distribution determined by framework content</t>
        </is>
      </c>
      <c r="AU280" s="293" t="inlineStr">
        <is>
          <t>1. Compliance status (compliant/non-compliant). 2. # open findings from last assessment. 3. % controls implemented. 4. Time to remediate findings. 5. Incident rate in framework scope area</t>
        </is>
      </c>
      <c r="AV280" s="294" t="inlineStr">
        <is>
          <t>Self-assessment; internal audit; external assessment as specified by issuing authority</t>
        </is>
      </c>
      <c r="AW280" s="295" t="inlineStr">
        <is>
          <t>ServiceNow GRC; IBM OpenPages; RSA Archer; MetricStream — all major GRC platforms support custom framework import. Contact vendor for framework-specific module</t>
        </is>
      </c>
      <c r="AX280" s="296" t="inlineStr">
        <is>
          <t>Third parties in scope must demonstrate equivalent compliance. Contractual compliance obligations; right-to-audit clauses; annual third-party assessment</t>
        </is>
      </c>
      <c r="AY280" s="297" t="inlineStr">
        <is>
          <t>Non-compliance: regulatory action by issuing authority; fines and penalties as specified; operational and reputational consequences</t>
        </is>
      </c>
      <c r="AZ280" s="294" t="inlineStr">
        <is>
          <t>Sector-specific — consult official source</t>
        </is>
      </c>
      <c r="BA280" s="41" t="inlineStr">
        <is>
          <t>Sector-Specific</t>
        </is>
      </c>
      <c r="BB280" s="591">
        <f>IF(E280="","",IF(ISNUMBER(SEARCH("Institutional theory and regulatory governance theory underpin",AI280)),"TEMPLATE",IF(LEN(AI280)&gt;100,"DEEP",IF(AI280="","SPARSE","SHALLOW"))))</f>
        <v/>
      </c>
      <c r="BC280" s="591">
        <f>IF(E280="","",D280&amp;"-"&amp;B280&amp;"-"&amp;E280)</f>
        <v/>
      </c>
      <c r="BD280" s="591">
        <f>IF(E280="","",SUBSTITUTE(SUBSTITUTE(B280&amp;"-"&amp;E280," ",""),":","-"))</f>
        <v/>
      </c>
      <c r="BE280" s="591">
        <f>IF(E280="","",IF(ISNUMBER(SEARCH("ECC",E280)),"NCA-ECC-2-2024",IF(ISNUMBER(SEARCH("OTCC",E280)),"NCA-ECC-2-2024",IF(ISNUMBER(SEARCH("CCC",E280)),"NCA-ECC-2-2024",IF(ISNUMBER(SEARCH("DCC",E280)),"NCA-ECC-2-2024",IF(ISNUMBER(SEARCH("CSCC",E280)),"NCA-ECC-2-2024",IF(ISNUMBER(SEARCH("PDPL-IR",E280)),"PDPL-2021",IF(ISNUMBER(SEARCH("PDPL-DTR",E280)),"PDPL-2021","NONE"))))))))</f>
        <v/>
      </c>
      <c r="BF280" s="594">
        <f>IF(E280="","",IF(BB280="DEEP",10,IF(BB280="SHALLOW",5,IF(BB280="TEMPLATE",3,1)))+IF(N280="HIGHEST",5,IF(N280="HIGH",3,IF(N280="MODERATE",1,0)))+IF(ISNUMBER(SEARCH("Mandatory",L280)),3,0))</f>
        <v/>
      </c>
    </row>
    <row r="281" ht="42" customHeight="1">
      <c r="A281" s="42" t="n">
        <v>248</v>
      </c>
      <c r="B281" s="298" t="inlineStr">
        <is>
          <t>RCJY</t>
        </is>
      </c>
      <c r="C281" s="44" t="inlineStr">
        <is>
          <t>Royal Commission for Jubail &amp; Yanbu</t>
        </is>
      </c>
      <c r="D281" s="44" t="inlineStr">
        <is>
          <t>11. Industry &amp; Trade</t>
        </is>
      </c>
      <c r="E281" s="298" t="inlineStr">
        <is>
          <t>NCA-ECC-2:2024</t>
        </is>
      </c>
      <c r="F281" s="45" t="inlineStr">
        <is>
          <t>Essential Cybersecurity Controls</t>
        </is>
      </c>
      <c r="G281" s="44" t="inlineStr">
        <is>
          <t>ضوابط الأمن السيبراني الأساسية</t>
        </is>
      </c>
      <c r="H281" s="44" t="inlineStr">
        <is>
          <t>ECC-2:2024</t>
        </is>
      </c>
      <c r="I281" s="46" t="inlineStr">
        <is>
          <t>2018</t>
        </is>
      </c>
      <c r="J281" s="46" t="inlineStr">
        <is>
          <t>108</t>
        </is>
      </c>
      <c r="K281" s="44" t="inlineStr">
        <is>
          <t>MUST COMPLY WITH</t>
        </is>
      </c>
      <c r="L281" s="66" t="inlineStr">
        <is>
          <t>Mandatory Complier</t>
        </is>
      </c>
      <c r="M281" s="44" t="inlineStr">
        <is>
          <t>Royal Commission for Jubail &amp; Yanbu as government entity</t>
        </is>
      </c>
      <c r="N281" s="59" t="inlineStr">
        <is>
          <t>LOW</t>
        </is>
      </c>
      <c r="O281" s="48" t="inlineStr">
        <is>
          <t>https://nca.gov.sa/</t>
        </is>
      </c>
      <c r="P281" s="44" t="inlineStr">
        <is>
          <t>NCA ECC scope</t>
        </is>
      </c>
      <c r="Q281" s="281" t="inlineStr">
        <is>
          <t>See official source for version history</t>
        </is>
      </c>
      <c r="R281" s="281" t="inlineStr">
        <is>
          <t>Framework issued by the relevant authority. Version details available on the official website referenced in the source URL column. The framework has been updated periodically since first issuance.</t>
        </is>
      </c>
      <c r="S281" s="283" t="inlineStr">
        <is>
          <t>See official source</t>
        </is>
      </c>
      <c r="T281" s="281" t="inlineStr">
        <is>
          <t>Updated as needed by the issuing authority</t>
        </is>
      </c>
      <c r="U281" s="25" t="inlineStr">
        <is>
          <t>CURRENT — consult official source for latest version</t>
        </is>
      </c>
      <c r="V281" s="281" t="inlineStr">
        <is>
          <t>Penalties defined by issuing authority; consult official source. NCA ECC-2 penalties apply if relevant</t>
        </is>
      </c>
      <c r="W281" s="282" t="inlineStr">
        <is>
          <t>Issuing authority and/or designated inspection department</t>
        </is>
      </c>
      <c r="X281" s="281" t="inlineStr">
        <is>
          <t>As specified in framework scope — consult official document</t>
        </is>
      </c>
      <c r="Y281" s="49" t="inlineStr">
        <is>
          <t>Both (unless specified otherwise in official document)</t>
        </is>
      </c>
      <c r="Z281" s="281" t="inlineStr">
        <is>
          <t>As defined by issuing authority</t>
        </is>
      </c>
      <c r="AA281" s="283" t="inlineStr">
        <is>
          <t>As defined by issuing authority</t>
        </is>
      </c>
      <c r="AB281" s="281" t="inlineStr">
        <is>
          <t>To be determined from framework text — see official source</t>
        </is>
      </c>
      <c r="AC281" s="281" t="inlineStr">
        <is>
          <t>See framework preamble for international standard references</t>
        </is>
      </c>
      <c r="AD281" s="49" t="inlineStr">
        <is>
          <t>Arabic (primary in KSA); English may be available</t>
        </is>
      </c>
      <c r="AE281" s="58" t="inlineStr">
        <is>
          <t>Mapped to relevant GH-ICGA layer — requires manual assessment</t>
        </is>
      </c>
      <c r="AF281" s="56" t="inlineStr">
        <is>
          <t>See official framework for maturity model details</t>
        </is>
      </c>
      <c r="AG281" s="281" t="inlineStr">
        <is>
          <t>Aligned with relevant Vision 2030 programme — see framework context</t>
        </is>
      </c>
      <c r="AH281" s="281" t="inlineStr">
        <is>
          <t>As specified in framework compliance requirements</t>
        </is>
      </c>
      <c r="AI281" s="286" t="inlineStr">
        <is>
          <t>Institutional theory and regulatory governance theory underpin all KSA regulatory frameworks. Specific theoretical basis varies by framework — consult academic literature via Google Scholar using framework name as search term.</t>
        </is>
      </c>
      <c r="AJ281" s="281" t="inlineStr">
        <is>
          <t>Academic debate varies by framework maturity and international adoption. For KSA-specific debate, consult: Almohammad &amp; Wills (2021) J Cybersecurity; Al-Khater et al. (2020) IEEE Access; Baker McKenzie KSA regulatory updates.</t>
        </is>
      </c>
      <c r="AK281" s="287" t="inlineStr">
        <is>
          <t>Known criticisms include: implementation gap between standards and practice; resource constraints for smaller healthcare entities; rapid technology evolution outpacing regulation. Consult framework evaluation literature for specifics.</t>
        </is>
      </c>
      <c r="AL281" s="288" t="inlineStr">
        <is>
          <t>Framework comparison requires contextual analysis. Key comparators: NIST CSF 2.0 (international benchmark), ISO 27001 (certifiable standard), ECC-2 (KSA mandatory baseline). See main database for cross-framework mapping.</t>
        </is>
      </c>
      <c r="AM281" s="289"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81" s="290" t="inlineStr">
        <is>
          <t>Official: Consult the official source URL in the database for the primary document. Training: ISACA, ISC2, RAPS, IAPP, and HIMSS offer professional development covering most regulatory domains. Estimated hours vary by framework complexity.</t>
        </is>
      </c>
      <c r="AO281" s="291" t="inlineStr">
        <is>
          <t>Relevance to GH-ICGA framework varies by layer — see GH-ICGA Layer Mapping column. All KSA mandatory frameworks are compliance inputs to GH-ICGA Layer 4. Frameworks with IoMT-specific provisions directly inform Layers 2 and 3.</t>
        </is>
      </c>
      <c r="AP281" s="51" t="inlineStr">
        <is>
          <t>G + C (Governance + Compliance — standard regulatory framework positioning)</t>
        </is>
      </c>
      <c r="AQ281" s="292" t="inlineStr">
        <is>
          <t>Senior management: accountability for framework compliance. Designated compliance officer: monitor requirements. All staff: awareness of applicable obligations</t>
        </is>
      </c>
      <c r="AR281" s="287" t="inlineStr">
        <is>
          <t>Regulatory Risk; Operational Risk; Reputational Risk — specific domains determined by framework scope</t>
        </is>
      </c>
      <c r="AS281" s="22" t="inlineStr">
        <is>
          <t>See official source — legal obligation, regulatory requirement, or voluntary standard as applicable</t>
        </is>
      </c>
      <c r="AT281" s="288" t="inlineStr">
        <is>
          <t>Administrative; Technical; Operational — specific distribution determined by framework content</t>
        </is>
      </c>
      <c r="AU281" s="293" t="inlineStr">
        <is>
          <t>1. Compliance status (compliant/non-compliant). 2. # open findings from last assessment. 3. % controls implemented. 4. Time to remediate findings. 5. Incident rate in framework scope area</t>
        </is>
      </c>
      <c r="AV281" s="294" t="inlineStr">
        <is>
          <t>Self-assessment; internal audit; external assessment as specified by issuing authority</t>
        </is>
      </c>
      <c r="AW281" s="295" t="inlineStr">
        <is>
          <t>ServiceNow GRC; IBM OpenPages; RSA Archer; MetricStream — all major GRC platforms support custom framework import. Contact vendor for framework-specific module</t>
        </is>
      </c>
      <c r="AX281" s="296" t="inlineStr">
        <is>
          <t>Third parties in scope must demonstrate equivalent compliance. Contractual compliance obligations; right-to-audit clauses; annual third-party assessment</t>
        </is>
      </c>
      <c r="AY281" s="297" t="inlineStr">
        <is>
          <t>Non-compliance: regulatory action by issuing authority; fines and penalties as specified; operational and reputational consequences</t>
        </is>
      </c>
      <c r="AZ281" s="294" t="inlineStr">
        <is>
          <t>ALL 17 SECTORS</t>
        </is>
      </c>
      <c r="BA281" s="34" t="inlineStr">
        <is>
          <t>YES — ALL SECTORS</t>
        </is>
      </c>
      <c r="BB281" s="591">
        <f>IF(E281="","",IF(ISNUMBER(SEARCH("Institutional theory and regulatory governance theory underpin",AI281)),"TEMPLATE",IF(LEN(AI281)&gt;100,"DEEP",IF(AI281="","SPARSE","SHALLOW"))))</f>
        <v/>
      </c>
      <c r="BC281" s="591">
        <f>IF(E281="","",D281&amp;"-"&amp;B281&amp;"-"&amp;E281)</f>
        <v/>
      </c>
      <c r="BD281" s="591">
        <f>IF(E281="","",SUBSTITUTE(SUBSTITUTE(B281&amp;"-"&amp;E281," ",""),":","-"))</f>
        <v/>
      </c>
      <c r="BE281" s="591">
        <f>IF(E281="","",IF(ISNUMBER(SEARCH("ECC",E281)),"NCA-ECC-2-2024",IF(ISNUMBER(SEARCH("OTCC",E281)),"NCA-ECC-2-2024",IF(ISNUMBER(SEARCH("CCC",E281)),"NCA-ECC-2-2024",IF(ISNUMBER(SEARCH("DCC",E281)),"NCA-ECC-2-2024",IF(ISNUMBER(SEARCH("CSCC",E281)),"NCA-ECC-2-2024",IF(ISNUMBER(SEARCH("PDPL-IR",E281)),"PDPL-2021",IF(ISNUMBER(SEARCH("PDPL-DTR",E281)),"PDPL-2021","NONE"))))))))</f>
        <v/>
      </c>
      <c r="BF281" s="594">
        <f>IF(E281="","",IF(BB281="DEEP",10,IF(BB281="SHALLOW",5,IF(BB281="TEMPLATE",3,1)))+IF(N281="HIGHEST",5,IF(N281="HIGH",3,IF(N281="MODERATE",1,0)))+IF(ISNUMBER(SEARCH("Mandatory",L281)),3,0))</f>
        <v/>
      </c>
    </row>
    <row r="282" ht="42" customHeight="1">
      <c r="A282" s="279" t="n">
        <v>249</v>
      </c>
      <c r="B282" s="280" t="inlineStr">
        <is>
          <t>STA</t>
        </is>
      </c>
      <c r="C282" s="281" t="inlineStr">
        <is>
          <t>Saudi Tourism Authority</t>
        </is>
      </c>
      <c r="D282" s="281" t="inlineStr">
        <is>
          <t>11. Industry &amp; Trade</t>
        </is>
      </c>
      <c r="E282" s="280" t="inlineStr">
        <is>
          <t>STA-FW</t>
        </is>
      </c>
      <c r="F282" s="282" t="inlineStr">
        <is>
          <t>Tourism Standards</t>
        </is>
      </c>
      <c r="G282" s="281" t="inlineStr">
        <is>
          <t>الإطار التنظيمي الرئيسي</t>
        </is>
      </c>
      <c r="H282" s="281" t="inlineStr">
        <is>
          <t>Active/Updated</t>
        </is>
      </c>
      <c r="I282" s="283" t="inlineStr">
        <is>
          <t>2020</t>
        </is>
      </c>
      <c r="J282" s="283" t="inlineStr">
        <is>
          <t>N/A</t>
        </is>
      </c>
      <c r="K282" s="281" t="inlineStr">
        <is>
          <t>ISSUES/ENFORCES</t>
        </is>
      </c>
      <c r="L282" s="22" t="inlineStr">
        <is>
          <t>Mandatory Enforcer</t>
        </is>
      </c>
      <c r="M282" s="281" t="inlineStr">
        <is>
          <t>Entities regulated by this authority</t>
        </is>
      </c>
      <c r="N282" s="284" t="inlineStr">
        <is>
          <t>MODERATE</t>
        </is>
      </c>
      <c r="O282" s="285" t="inlineStr">
        <is>
          <t>https://www.gov.sa/</t>
        </is>
      </c>
      <c r="P282" s="281" t="inlineStr">
        <is>
          <t>Ministry/Authority official site</t>
        </is>
      </c>
      <c r="Q282" s="281" t="inlineStr">
        <is>
          <t>See official source for version history</t>
        </is>
      </c>
      <c r="R282" s="281" t="inlineStr">
        <is>
          <t>Framework issued by the relevant authority. Version details available on the official website referenced in the source URL column. The framework has been updated periodically since first issuance.</t>
        </is>
      </c>
      <c r="S282" s="283" t="inlineStr">
        <is>
          <t>See official source</t>
        </is>
      </c>
      <c r="T282" s="281" t="inlineStr">
        <is>
          <t>Updated as needed by the issuing authority</t>
        </is>
      </c>
      <c r="U282" s="25" t="inlineStr">
        <is>
          <t>CURRENT — consult official source for latest version</t>
        </is>
      </c>
      <c r="V282" s="281" t="inlineStr">
        <is>
          <t>Penalties defined by issuing authority; consult official source. NCA ECC-2 penalties apply if relevant</t>
        </is>
      </c>
      <c r="W282" s="282" t="inlineStr">
        <is>
          <t>Issuing authority and/or designated inspection department</t>
        </is>
      </c>
      <c r="X282" s="281" t="inlineStr">
        <is>
          <t>As specified in framework scope — consult official document</t>
        </is>
      </c>
      <c r="Y282" s="49" t="inlineStr">
        <is>
          <t>Both (unless specified otherwise in official document)</t>
        </is>
      </c>
      <c r="Z282" s="281" t="inlineStr">
        <is>
          <t>As defined by issuing authority</t>
        </is>
      </c>
      <c r="AA282" s="283" t="inlineStr">
        <is>
          <t>As defined by issuing authority</t>
        </is>
      </c>
      <c r="AB282" s="281" t="inlineStr">
        <is>
          <t>To be determined from framework text — see official source</t>
        </is>
      </c>
      <c r="AC282" s="281" t="inlineStr">
        <is>
          <t>See framework preamble for international standard references</t>
        </is>
      </c>
      <c r="AD282" s="49" t="inlineStr">
        <is>
          <t>Arabic (primary in KSA); English may be available</t>
        </is>
      </c>
      <c r="AE282" s="58" t="inlineStr">
        <is>
          <t>Mapped to relevant GH-ICGA layer — requires manual assessment</t>
        </is>
      </c>
      <c r="AF282" s="56" t="inlineStr">
        <is>
          <t>See official framework for maturity model details</t>
        </is>
      </c>
      <c r="AG282" s="281" t="inlineStr">
        <is>
          <t>Aligned with relevant Vision 2030 programme — see framework context</t>
        </is>
      </c>
      <c r="AH282" s="281" t="inlineStr">
        <is>
          <t>As specified in framework compliance requirements</t>
        </is>
      </c>
      <c r="AI282" s="286" t="inlineStr">
        <is>
          <t>Institutional theory and regulatory governance theory underpin all KSA regulatory frameworks. Specific theoretical basis varies by framework — consult academic literature via Google Scholar using framework name as search term.</t>
        </is>
      </c>
      <c r="AJ282" s="281" t="inlineStr">
        <is>
          <t>Academic debate varies by framework maturity and international adoption. For KSA-specific debate, consult: Almohammad &amp; Wills (2021) J Cybersecurity; Al-Khater et al. (2020) IEEE Access; Baker McKenzie KSA regulatory updates.</t>
        </is>
      </c>
      <c r="AK282" s="287" t="inlineStr">
        <is>
          <t>Known criticisms include: implementation gap between standards and practice; resource constraints for smaller healthcare entities; rapid technology evolution outpacing regulation. Consult framework evaluation literature for specifics.</t>
        </is>
      </c>
      <c r="AL282" s="288" t="inlineStr">
        <is>
          <t>Framework comparison requires contextual analysis. Key comparators: NIST CSF 2.0 (international benchmark), ISO 27001 (certifiable standard), ECC-2 (KSA mandatory baseline). See main database for cross-framework mapping.</t>
        </is>
      </c>
      <c r="AM282" s="289"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82" s="290" t="inlineStr">
        <is>
          <t>Official: Consult the official source URL in the database for the primary document. Training: ISACA, ISC2, RAPS, IAPP, and HIMSS offer professional development covering most regulatory domains. Estimated hours vary by framework complexity.</t>
        </is>
      </c>
      <c r="AO282" s="291" t="inlineStr">
        <is>
          <t>Relevance to GH-ICGA framework varies by layer — see GH-ICGA Layer Mapping column. All KSA mandatory frameworks are compliance inputs to GH-ICGA Layer 4. Frameworks with IoMT-specific provisions directly inform Layers 2 and 3.</t>
        </is>
      </c>
      <c r="AP282" s="51" t="inlineStr">
        <is>
          <t>G + C (Governance + Compliance — standard regulatory framework positioning)</t>
        </is>
      </c>
      <c r="AQ282" s="292" t="inlineStr">
        <is>
          <t>Senior management: accountability for framework compliance. Designated compliance officer: monitor requirements. All staff: awareness of applicable obligations</t>
        </is>
      </c>
      <c r="AR282" s="287" t="inlineStr">
        <is>
          <t>Regulatory Risk; Operational Risk; Reputational Risk — specific domains determined by framework scope</t>
        </is>
      </c>
      <c r="AS282" s="22" t="inlineStr">
        <is>
          <t>See official source — legal obligation, regulatory requirement, or voluntary standard as applicable</t>
        </is>
      </c>
      <c r="AT282" s="288" t="inlineStr">
        <is>
          <t>Administrative; Technical; Operational — specific distribution determined by framework content</t>
        </is>
      </c>
      <c r="AU282" s="293" t="inlineStr">
        <is>
          <t>1. Compliance status (compliant/non-compliant). 2. # open findings from last assessment. 3. % controls implemented. 4. Time to remediate findings. 5. Incident rate in framework scope area</t>
        </is>
      </c>
      <c r="AV282" s="294" t="inlineStr">
        <is>
          <t>Self-assessment; internal audit; external assessment as specified by issuing authority</t>
        </is>
      </c>
      <c r="AW282" s="295" t="inlineStr">
        <is>
          <t>ServiceNow GRC; IBM OpenPages; RSA Archer; MetricStream — all major GRC platforms support custom framework import. Contact vendor for framework-specific module</t>
        </is>
      </c>
      <c r="AX282" s="296" t="inlineStr">
        <is>
          <t>Third parties in scope must demonstrate equivalent compliance. Contractual compliance obligations; right-to-audit clauses; annual third-party assessment</t>
        </is>
      </c>
      <c r="AY282" s="297" t="inlineStr">
        <is>
          <t>Non-compliance: regulatory action by issuing authority; fines and penalties as specified; operational and reputational consequences</t>
        </is>
      </c>
      <c r="AZ282" s="294" t="inlineStr">
        <is>
          <t>Sector-specific — consult official source</t>
        </is>
      </c>
      <c r="BA282" s="41" t="inlineStr">
        <is>
          <t>Sector-Specific</t>
        </is>
      </c>
      <c r="BB282" s="591">
        <f>IF(E282="","",IF(ISNUMBER(SEARCH("Institutional theory and regulatory governance theory underpin",AI282)),"TEMPLATE",IF(LEN(AI282)&gt;100,"DEEP",IF(AI282="","SPARSE","SHALLOW"))))</f>
        <v/>
      </c>
      <c r="BC282" s="591">
        <f>IF(E282="","",D282&amp;"-"&amp;B282&amp;"-"&amp;E282)</f>
        <v/>
      </c>
      <c r="BD282" s="591">
        <f>IF(E282="","",SUBSTITUTE(SUBSTITUTE(B282&amp;"-"&amp;E282," ",""),":","-"))</f>
        <v/>
      </c>
      <c r="BE282" s="591">
        <f>IF(E282="","",IF(ISNUMBER(SEARCH("ECC",E282)),"NCA-ECC-2-2024",IF(ISNUMBER(SEARCH("OTCC",E282)),"NCA-ECC-2-2024",IF(ISNUMBER(SEARCH("CCC",E282)),"NCA-ECC-2-2024",IF(ISNUMBER(SEARCH("DCC",E282)),"NCA-ECC-2-2024",IF(ISNUMBER(SEARCH("CSCC",E282)),"NCA-ECC-2-2024",IF(ISNUMBER(SEARCH("PDPL-IR",E282)),"PDPL-2021",IF(ISNUMBER(SEARCH("PDPL-DTR",E282)),"PDPL-2021","NONE"))))))))</f>
        <v/>
      </c>
      <c r="BF282" s="594">
        <f>IF(E282="","",IF(BB282="DEEP",10,IF(BB282="SHALLOW",5,IF(BB282="TEMPLATE",3,1)))+IF(N282="HIGHEST",5,IF(N282="HIGH",3,IF(N282="MODERATE",1,0)))+IF(ISNUMBER(SEARCH("Mandatory",L282)),3,0))</f>
        <v/>
      </c>
    </row>
    <row r="283" ht="42" customHeight="1">
      <c r="A283" s="42" t="n">
        <v>250</v>
      </c>
      <c r="B283" s="298" t="inlineStr">
        <is>
          <t>STA</t>
        </is>
      </c>
      <c r="C283" s="44" t="inlineStr">
        <is>
          <t>Saudi Tourism Authority</t>
        </is>
      </c>
      <c r="D283" s="44" t="inlineStr">
        <is>
          <t>11. Industry &amp; Trade</t>
        </is>
      </c>
      <c r="E283" s="298" t="inlineStr">
        <is>
          <t>NCA-ECC-2:2024</t>
        </is>
      </c>
      <c r="F283" s="45" t="inlineStr">
        <is>
          <t>Essential Cybersecurity Controls</t>
        </is>
      </c>
      <c r="G283" s="44" t="inlineStr">
        <is>
          <t>ضوابط الأمن السيبراني الأساسية</t>
        </is>
      </c>
      <c r="H283" s="44" t="inlineStr">
        <is>
          <t>ECC-2:2024</t>
        </is>
      </c>
      <c r="I283" s="46" t="inlineStr">
        <is>
          <t>2018</t>
        </is>
      </c>
      <c r="J283" s="46" t="inlineStr">
        <is>
          <t>108</t>
        </is>
      </c>
      <c r="K283" s="44" t="inlineStr">
        <is>
          <t>MUST COMPLY WITH</t>
        </is>
      </c>
      <c r="L283" s="66" t="inlineStr">
        <is>
          <t>Mandatory Complier</t>
        </is>
      </c>
      <c r="M283" s="44" t="inlineStr">
        <is>
          <t>Saudi Tourism Authority as government entity</t>
        </is>
      </c>
      <c r="N283" s="59" t="inlineStr">
        <is>
          <t>LOW</t>
        </is>
      </c>
      <c r="O283" s="48" t="inlineStr">
        <is>
          <t>https://nca.gov.sa/</t>
        </is>
      </c>
      <c r="P283" s="44" t="inlineStr">
        <is>
          <t>NCA ECC scope</t>
        </is>
      </c>
      <c r="Q283" s="281" t="inlineStr">
        <is>
          <t>See official source for version history</t>
        </is>
      </c>
      <c r="R283" s="281" t="inlineStr">
        <is>
          <t>Framework issued by the relevant authority. Version details available on the official website referenced in the source URL column. The framework has been updated periodically since first issuance.</t>
        </is>
      </c>
      <c r="S283" s="283" t="inlineStr">
        <is>
          <t>See official source</t>
        </is>
      </c>
      <c r="T283" s="281" t="inlineStr">
        <is>
          <t>Updated as needed by the issuing authority</t>
        </is>
      </c>
      <c r="U283" s="25" t="inlineStr">
        <is>
          <t>CURRENT — consult official source for latest version</t>
        </is>
      </c>
      <c r="V283" s="281" t="inlineStr">
        <is>
          <t>Penalties defined by issuing authority; consult official source. NCA ECC-2 penalties apply if relevant</t>
        </is>
      </c>
      <c r="W283" s="282" t="inlineStr">
        <is>
          <t>Issuing authority and/or designated inspection department</t>
        </is>
      </c>
      <c r="X283" s="281" t="inlineStr">
        <is>
          <t>As specified in framework scope — consult official document</t>
        </is>
      </c>
      <c r="Y283" s="49" t="inlineStr">
        <is>
          <t>Both (unless specified otherwise in official document)</t>
        </is>
      </c>
      <c r="Z283" s="281" t="inlineStr">
        <is>
          <t>As defined by issuing authority</t>
        </is>
      </c>
      <c r="AA283" s="283" t="inlineStr">
        <is>
          <t>As defined by issuing authority</t>
        </is>
      </c>
      <c r="AB283" s="281" t="inlineStr">
        <is>
          <t>To be determined from framework text — see official source</t>
        </is>
      </c>
      <c r="AC283" s="281" t="inlineStr">
        <is>
          <t>See framework preamble for international standard references</t>
        </is>
      </c>
      <c r="AD283" s="49" t="inlineStr">
        <is>
          <t>Arabic (primary in KSA); English may be available</t>
        </is>
      </c>
      <c r="AE283" s="58" t="inlineStr">
        <is>
          <t>Mapped to relevant GH-ICGA layer — requires manual assessment</t>
        </is>
      </c>
      <c r="AF283" s="56" t="inlineStr">
        <is>
          <t>See official framework for maturity model details</t>
        </is>
      </c>
      <c r="AG283" s="281" t="inlineStr">
        <is>
          <t>Aligned with relevant Vision 2030 programme — see framework context</t>
        </is>
      </c>
      <c r="AH283" s="281" t="inlineStr">
        <is>
          <t>As specified in framework compliance requirements</t>
        </is>
      </c>
      <c r="AI283" s="286" t="inlineStr">
        <is>
          <t>Institutional theory and regulatory governance theory underpin all KSA regulatory frameworks. Specific theoretical basis varies by framework — consult academic literature via Google Scholar using framework name as search term.</t>
        </is>
      </c>
      <c r="AJ283" s="281" t="inlineStr">
        <is>
          <t>Academic debate varies by framework maturity and international adoption. For KSA-specific debate, consult: Almohammad &amp; Wills (2021) J Cybersecurity; Al-Khater et al. (2020) IEEE Access; Baker McKenzie KSA regulatory updates.</t>
        </is>
      </c>
      <c r="AK283" s="287" t="inlineStr">
        <is>
          <t>Known criticisms include: implementation gap between standards and practice; resource constraints for smaller healthcare entities; rapid technology evolution outpacing regulation. Consult framework evaluation literature for specifics.</t>
        </is>
      </c>
      <c r="AL283" s="288" t="inlineStr">
        <is>
          <t>Framework comparison requires contextual analysis. Key comparators: NIST CSF 2.0 (international benchmark), ISO 27001 (certifiable standard), ECC-2 (KSA mandatory baseline). See main database for cross-framework mapping.</t>
        </is>
      </c>
      <c r="AM283" s="289"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83" s="290" t="inlineStr">
        <is>
          <t>Official: Consult the official source URL in the database for the primary document. Training: ISACA, ISC2, RAPS, IAPP, and HIMSS offer professional development covering most regulatory domains. Estimated hours vary by framework complexity.</t>
        </is>
      </c>
      <c r="AO283" s="291" t="inlineStr">
        <is>
          <t>Relevance to GH-ICGA framework varies by layer — see GH-ICGA Layer Mapping column. All KSA mandatory frameworks are compliance inputs to GH-ICGA Layer 4. Frameworks with IoMT-specific provisions directly inform Layers 2 and 3.</t>
        </is>
      </c>
      <c r="AP283" s="51" t="inlineStr">
        <is>
          <t>G + C (Governance + Compliance — standard regulatory framework positioning)</t>
        </is>
      </c>
      <c r="AQ283" s="292" t="inlineStr">
        <is>
          <t>Senior management: accountability for framework compliance. Designated compliance officer: monitor requirements. All staff: awareness of applicable obligations</t>
        </is>
      </c>
      <c r="AR283" s="287" t="inlineStr">
        <is>
          <t>Regulatory Risk; Operational Risk; Reputational Risk — specific domains determined by framework scope</t>
        </is>
      </c>
      <c r="AS283" s="22" t="inlineStr">
        <is>
          <t>See official source — legal obligation, regulatory requirement, or voluntary standard as applicable</t>
        </is>
      </c>
      <c r="AT283" s="288" t="inlineStr">
        <is>
          <t>Administrative; Technical; Operational — specific distribution determined by framework content</t>
        </is>
      </c>
      <c r="AU283" s="293" t="inlineStr">
        <is>
          <t>1. Compliance status (compliant/non-compliant). 2. # open findings from last assessment. 3. % controls implemented. 4. Time to remediate findings. 5. Incident rate in framework scope area</t>
        </is>
      </c>
      <c r="AV283" s="294" t="inlineStr">
        <is>
          <t>Self-assessment; internal audit; external assessment as specified by issuing authority</t>
        </is>
      </c>
      <c r="AW283" s="295" t="inlineStr">
        <is>
          <t>ServiceNow GRC; IBM OpenPages; RSA Archer; MetricStream — all major GRC platforms support custom framework import. Contact vendor for framework-specific module</t>
        </is>
      </c>
      <c r="AX283" s="296" t="inlineStr">
        <is>
          <t>Third parties in scope must demonstrate equivalent compliance. Contractual compliance obligations; right-to-audit clauses; annual third-party assessment</t>
        </is>
      </c>
      <c r="AY283" s="297" t="inlineStr">
        <is>
          <t>Non-compliance: regulatory action by issuing authority; fines and penalties as specified; operational and reputational consequences</t>
        </is>
      </c>
      <c r="AZ283" s="294" t="inlineStr">
        <is>
          <t>ALL 17 SECTORS</t>
        </is>
      </c>
      <c r="BA283" s="34" t="inlineStr">
        <is>
          <t>YES — ALL SECTORS</t>
        </is>
      </c>
      <c r="BB283" s="591">
        <f>IF(E283="","",IF(ISNUMBER(SEARCH("Institutional theory and regulatory governance theory underpin",AI283)),"TEMPLATE",IF(LEN(AI283)&gt;100,"DEEP",IF(AI283="","SPARSE","SHALLOW"))))</f>
        <v/>
      </c>
      <c r="BC283" s="591">
        <f>IF(E283="","",D283&amp;"-"&amp;B283&amp;"-"&amp;E283)</f>
        <v/>
      </c>
      <c r="BD283" s="591">
        <f>IF(E283="","",SUBSTITUTE(SUBSTITUTE(B283&amp;"-"&amp;E283," ",""),":","-"))</f>
        <v/>
      </c>
      <c r="BE283" s="591">
        <f>IF(E283="","",IF(ISNUMBER(SEARCH("ECC",E283)),"NCA-ECC-2-2024",IF(ISNUMBER(SEARCH("OTCC",E283)),"NCA-ECC-2-2024",IF(ISNUMBER(SEARCH("CCC",E283)),"NCA-ECC-2-2024",IF(ISNUMBER(SEARCH("DCC",E283)),"NCA-ECC-2-2024",IF(ISNUMBER(SEARCH("CSCC",E283)),"NCA-ECC-2-2024",IF(ISNUMBER(SEARCH("PDPL-IR",E283)),"PDPL-2021",IF(ISNUMBER(SEARCH("PDPL-DTR",E283)),"PDPL-2021","NONE"))))))))</f>
        <v/>
      </c>
      <c r="BF283" s="594">
        <f>IF(E283="","",IF(BB283="DEEP",10,IF(BB283="SHALLOW",5,IF(BB283="TEMPLATE",3,1)))+IF(N283="HIGHEST",5,IF(N283="HIGH",3,IF(N283="MODERATE",1,0)))+IF(ISNUMBER(SEARCH("Mandatory",L283)),3,0))</f>
        <v/>
      </c>
    </row>
    <row r="284" ht="42" customHeight="1">
      <c r="A284" s="279" t="n">
        <v>251</v>
      </c>
      <c r="B284" s="280" t="inlineStr">
        <is>
          <t>SAIP</t>
        </is>
      </c>
      <c r="C284" s="281" t="inlineStr">
        <is>
          <t>Saudi Authority for Intellectual Property</t>
        </is>
      </c>
      <c r="D284" s="281" t="inlineStr">
        <is>
          <t>11. Industry &amp; Trade</t>
        </is>
      </c>
      <c r="E284" s="280" t="inlineStr">
        <is>
          <t>SAIP-FW</t>
        </is>
      </c>
      <c r="F284" s="282" t="inlineStr">
        <is>
          <t>IP &amp; Patent Law</t>
        </is>
      </c>
      <c r="G284" s="281" t="inlineStr">
        <is>
          <t>الإطار التنظيمي الرئيسي</t>
        </is>
      </c>
      <c r="H284" s="281" t="inlineStr">
        <is>
          <t>Active/Updated</t>
        </is>
      </c>
      <c r="I284" s="283" t="inlineStr">
        <is>
          <t>2017</t>
        </is>
      </c>
      <c r="J284" s="283" t="inlineStr">
        <is>
          <t>N/A</t>
        </is>
      </c>
      <c r="K284" s="281" t="inlineStr">
        <is>
          <t>ISSUES/ENFORCES</t>
        </is>
      </c>
      <c r="L284" s="22" t="inlineStr">
        <is>
          <t>Mandatory Enforcer</t>
        </is>
      </c>
      <c r="M284" s="281" t="inlineStr">
        <is>
          <t>Entities regulated by this authority</t>
        </is>
      </c>
      <c r="N284" s="284" t="inlineStr">
        <is>
          <t>MODERATE</t>
        </is>
      </c>
      <c r="O284" s="285" t="inlineStr">
        <is>
          <t>https://www.gov.sa/</t>
        </is>
      </c>
      <c r="P284" s="281" t="inlineStr">
        <is>
          <t>Ministry/Authority official site</t>
        </is>
      </c>
      <c r="Q284" s="281" t="inlineStr">
        <is>
          <t>See official source for version history</t>
        </is>
      </c>
      <c r="R284" s="281" t="inlineStr">
        <is>
          <t>Framework issued by the relevant authority. Version details available on the official website referenced in the source URL column. The framework has been updated periodically since first issuance.</t>
        </is>
      </c>
      <c r="S284" s="283" t="inlineStr">
        <is>
          <t>See official source</t>
        </is>
      </c>
      <c r="T284" s="281" t="inlineStr">
        <is>
          <t>Updated as needed by the issuing authority</t>
        </is>
      </c>
      <c r="U284" s="25" t="inlineStr">
        <is>
          <t>CURRENT — consult official source for latest version</t>
        </is>
      </c>
      <c r="V284" s="281" t="inlineStr">
        <is>
          <t>Penalties defined by issuing authority; consult official source. NCA ECC-2 penalties apply if relevant</t>
        </is>
      </c>
      <c r="W284" s="282" t="inlineStr">
        <is>
          <t>Issuing authority and/or designated inspection department</t>
        </is>
      </c>
      <c r="X284" s="281" t="inlineStr">
        <is>
          <t>As specified in framework scope — consult official document</t>
        </is>
      </c>
      <c r="Y284" s="49" t="inlineStr">
        <is>
          <t>Both (unless specified otherwise in official document)</t>
        </is>
      </c>
      <c r="Z284" s="281" t="inlineStr">
        <is>
          <t>As defined by issuing authority</t>
        </is>
      </c>
      <c r="AA284" s="283" t="inlineStr">
        <is>
          <t>As defined by issuing authority</t>
        </is>
      </c>
      <c r="AB284" s="281" t="inlineStr">
        <is>
          <t>To be determined from framework text — see official source</t>
        </is>
      </c>
      <c r="AC284" s="281" t="inlineStr">
        <is>
          <t>See framework preamble for international standard references</t>
        </is>
      </c>
      <c r="AD284" s="49" t="inlineStr">
        <is>
          <t>Arabic (primary in KSA); English may be available</t>
        </is>
      </c>
      <c r="AE284" s="58" t="inlineStr">
        <is>
          <t>Mapped to relevant GH-ICGA layer — requires manual assessment</t>
        </is>
      </c>
      <c r="AF284" s="56" t="inlineStr">
        <is>
          <t>See official framework for maturity model details</t>
        </is>
      </c>
      <c r="AG284" s="281" t="inlineStr">
        <is>
          <t>Aligned with relevant Vision 2030 programme — see framework context</t>
        </is>
      </c>
      <c r="AH284" s="281" t="inlineStr">
        <is>
          <t>As specified in framework compliance requirements</t>
        </is>
      </c>
      <c r="AI284" s="286" t="inlineStr">
        <is>
          <t>Institutional theory and regulatory governance theory underpin all KSA regulatory frameworks. Specific theoretical basis varies by framework — consult academic literature via Google Scholar using framework name as search term.</t>
        </is>
      </c>
      <c r="AJ284" s="281" t="inlineStr">
        <is>
          <t>Academic debate varies by framework maturity and international adoption. For KSA-specific debate, consult: Almohammad &amp; Wills (2021) J Cybersecurity; Al-Khater et al. (2020) IEEE Access; Baker McKenzie KSA regulatory updates.</t>
        </is>
      </c>
      <c r="AK284" s="287" t="inlineStr">
        <is>
          <t>Known criticisms include: implementation gap between standards and practice; resource constraints for smaller healthcare entities; rapid technology evolution outpacing regulation. Consult framework evaluation literature for specifics.</t>
        </is>
      </c>
      <c r="AL284" s="288" t="inlineStr">
        <is>
          <t>Framework comparison requires contextual analysis. Key comparators: NIST CSF 2.0 (international benchmark), ISO 27001 (certifiable standard), ECC-2 (KSA mandatory baseline). See main database for cross-framework mapping.</t>
        </is>
      </c>
      <c r="AM284" s="289"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84" s="290" t="inlineStr">
        <is>
          <t>Official: Consult the official source URL in the database for the primary document. Training: ISACA, ISC2, RAPS, IAPP, and HIMSS offer professional development covering most regulatory domains. Estimated hours vary by framework complexity.</t>
        </is>
      </c>
      <c r="AO284" s="291" t="inlineStr">
        <is>
          <t>Relevance to GH-ICGA framework varies by layer — see GH-ICGA Layer Mapping column. All KSA mandatory frameworks are compliance inputs to GH-ICGA Layer 4. Frameworks with IoMT-specific provisions directly inform Layers 2 and 3.</t>
        </is>
      </c>
      <c r="AP284" s="51" t="inlineStr">
        <is>
          <t>G + C (Governance + Compliance — standard regulatory framework positioning)</t>
        </is>
      </c>
      <c r="AQ284" s="292" t="inlineStr">
        <is>
          <t>Senior management: accountability for framework compliance. Designated compliance officer: monitor requirements. All staff: awareness of applicable obligations</t>
        </is>
      </c>
      <c r="AR284" s="287" t="inlineStr">
        <is>
          <t>Regulatory Risk; Operational Risk; Reputational Risk — specific domains determined by framework scope</t>
        </is>
      </c>
      <c r="AS284" s="22" t="inlineStr">
        <is>
          <t>See official source — legal obligation, regulatory requirement, or voluntary standard as applicable</t>
        </is>
      </c>
      <c r="AT284" s="288" t="inlineStr">
        <is>
          <t>Administrative; Technical; Operational — specific distribution determined by framework content</t>
        </is>
      </c>
      <c r="AU284" s="293" t="inlineStr">
        <is>
          <t>1. Compliance status (compliant/non-compliant). 2. # open findings from last assessment. 3. % controls implemented. 4. Time to remediate findings. 5. Incident rate in framework scope area</t>
        </is>
      </c>
      <c r="AV284" s="294" t="inlineStr">
        <is>
          <t>Self-assessment; internal audit; external assessment as specified by issuing authority</t>
        </is>
      </c>
      <c r="AW284" s="295" t="inlineStr">
        <is>
          <t>ServiceNow GRC; IBM OpenPages; RSA Archer; MetricStream — all major GRC platforms support custom framework import. Contact vendor for framework-specific module</t>
        </is>
      </c>
      <c r="AX284" s="296" t="inlineStr">
        <is>
          <t>Third parties in scope must demonstrate equivalent compliance. Contractual compliance obligations; right-to-audit clauses; annual third-party assessment</t>
        </is>
      </c>
      <c r="AY284" s="297" t="inlineStr">
        <is>
          <t>Non-compliance: regulatory action by issuing authority; fines and penalties as specified; operational and reputational consequences</t>
        </is>
      </c>
      <c r="AZ284" s="294" t="inlineStr">
        <is>
          <t>Sector-specific — consult official source</t>
        </is>
      </c>
      <c r="BA284" s="41" t="inlineStr">
        <is>
          <t>Sector-Specific</t>
        </is>
      </c>
      <c r="BB284" s="591">
        <f>IF(E284="","",IF(ISNUMBER(SEARCH("Institutional theory and regulatory governance theory underpin",AI284)),"TEMPLATE",IF(LEN(AI284)&gt;100,"DEEP",IF(AI284="","SPARSE","SHALLOW"))))</f>
        <v/>
      </c>
      <c r="BC284" s="591">
        <f>IF(E284="","",D284&amp;"-"&amp;B284&amp;"-"&amp;E284)</f>
        <v/>
      </c>
      <c r="BD284" s="591">
        <f>IF(E284="","",SUBSTITUTE(SUBSTITUTE(B284&amp;"-"&amp;E284," ",""),":","-"))</f>
        <v/>
      </c>
      <c r="BE284" s="591">
        <f>IF(E284="","",IF(ISNUMBER(SEARCH("ECC",E284)),"NCA-ECC-2-2024",IF(ISNUMBER(SEARCH("OTCC",E284)),"NCA-ECC-2-2024",IF(ISNUMBER(SEARCH("CCC",E284)),"NCA-ECC-2-2024",IF(ISNUMBER(SEARCH("DCC",E284)),"NCA-ECC-2-2024",IF(ISNUMBER(SEARCH("CSCC",E284)),"NCA-ECC-2-2024",IF(ISNUMBER(SEARCH("PDPL-IR",E284)),"PDPL-2021",IF(ISNUMBER(SEARCH("PDPL-DTR",E284)),"PDPL-2021","NONE"))))))))</f>
        <v/>
      </c>
      <c r="BF284" s="594">
        <f>IF(E284="","",IF(BB284="DEEP",10,IF(BB284="SHALLOW",5,IF(BB284="TEMPLATE",3,1)))+IF(N284="HIGHEST",5,IF(N284="HIGH",3,IF(N284="MODERATE",1,0)))+IF(ISNUMBER(SEARCH("Mandatory",L284)),3,0))</f>
        <v/>
      </c>
    </row>
    <row r="285" ht="42" customHeight="1">
      <c r="A285" s="42" t="n">
        <v>252</v>
      </c>
      <c r="B285" s="298" t="inlineStr">
        <is>
          <t>SAIP</t>
        </is>
      </c>
      <c r="C285" s="44" t="inlineStr">
        <is>
          <t>Saudi Authority for Intellectual Property</t>
        </is>
      </c>
      <c r="D285" s="44" t="inlineStr">
        <is>
          <t>11. Industry &amp; Trade</t>
        </is>
      </c>
      <c r="E285" s="298" t="inlineStr">
        <is>
          <t>NCA-ECC-2:2024</t>
        </is>
      </c>
      <c r="F285" s="45" t="inlineStr">
        <is>
          <t>Essential Cybersecurity Controls</t>
        </is>
      </c>
      <c r="G285" s="44" t="inlineStr">
        <is>
          <t>ضوابط الأمن السيبراني الأساسية</t>
        </is>
      </c>
      <c r="H285" s="44" t="inlineStr">
        <is>
          <t>ECC-2:2024</t>
        </is>
      </c>
      <c r="I285" s="46" t="inlineStr">
        <is>
          <t>2018</t>
        </is>
      </c>
      <c r="J285" s="46" t="inlineStr">
        <is>
          <t>108</t>
        </is>
      </c>
      <c r="K285" s="44" t="inlineStr">
        <is>
          <t>MUST COMPLY WITH</t>
        </is>
      </c>
      <c r="L285" s="66" t="inlineStr">
        <is>
          <t>Mandatory Complier</t>
        </is>
      </c>
      <c r="M285" s="44" t="inlineStr">
        <is>
          <t>Saudi Authority for Intellectual Property as government entity</t>
        </is>
      </c>
      <c r="N285" s="59" t="inlineStr">
        <is>
          <t>LOW</t>
        </is>
      </c>
      <c r="O285" s="48" t="inlineStr">
        <is>
          <t>https://nca.gov.sa/</t>
        </is>
      </c>
      <c r="P285" s="44" t="inlineStr">
        <is>
          <t>NCA ECC scope</t>
        </is>
      </c>
      <c r="Q285" s="281" t="inlineStr">
        <is>
          <t>See official source for version history</t>
        </is>
      </c>
      <c r="R285" s="281" t="inlineStr">
        <is>
          <t>Framework issued by the relevant authority. Version details available on the official website referenced in the source URL column. The framework has been updated periodically since first issuance.</t>
        </is>
      </c>
      <c r="S285" s="283" t="inlineStr">
        <is>
          <t>See official source</t>
        </is>
      </c>
      <c r="T285" s="281" t="inlineStr">
        <is>
          <t>Updated as needed by the issuing authority</t>
        </is>
      </c>
      <c r="U285" s="25" t="inlineStr">
        <is>
          <t>CURRENT — consult official source for latest version</t>
        </is>
      </c>
      <c r="V285" s="281" t="inlineStr">
        <is>
          <t>Penalties defined by issuing authority; consult official source. NCA ECC-2 penalties apply if relevant</t>
        </is>
      </c>
      <c r="W285" s="282" t="inlineStr">
        <is>
          <t>Issuing authority and/or designated inspection department</t>
        </is>
      </c>
      <c r="X285" s="281" t="inlineStr">
        <is>
          <t>As specified in framework scope — consult official document</t>
        </is>
      </c>
      <c r="Y285" s="49" t="inlineStr">
        <is>
          <t>Both (unless specified otherwise in official document)</t>
        </is>
      </c>
      <c r="Z285" s="281" t="inlineStr">
        <is>
          <t>As defined by issuing authority</t>
        </is>
      </c>
      <c r="AA285" s="283" t="inlineStr">
        <is>
          <t>As defined by issuing authority</t>
        </is>
      </c>
      <c r="AB285" s="281" t="inlineStr">
        <is>
          <t>To be determined from framework text — see official source</t>
        </is>
      </c>
      <c r="AC285" s="281" t="inlineStr">
        <is>
          <t>See framework preamble for international standard references</t>
        </is>
      </c>
      <c r="AD285" s="49" t="inlineStr">
        <is>
          <t>Arabic (primary in KSA); English may be available</t>
        </is>
      </c>
      <c r="AE285" s="58" t="inlineStr">
        <is>
          <t>Mapped to relevant GH-ICGA layer — requires manual assessment</t>
        </is>
      </c>
      <c r="AF285" s="56" t="inlineStr">
        <is>
          <t>See official framework for maturity model details</t>
        </is>
      </c>
      <c r="AG285" s="281" t="inlineStr">
        <is>
          <t>Aligned with relevant Vision 2030 programme — see framework context</t>
        </is>
      </c>
      <c r="AH285" s="281" t="inlineStr">
        <is>
          <t>As specified in framework compliance requirements</t>
        </is>
      </c>
      <c r="AI285" s="286" t="inlineStr">
        <is>
          <t>Institutional theory and regulatory governance theory underpin all KSA regulatory frameworks. Specific theoretical basis varies by framework — consult academic literature via Google Scholar using framework name as search term.</t>
        </is>
      </c>
      <c r="AJ285" s="281" t="inlineStr">
        <is>
          <t>Academic debate varies by framework maturity and international adoption. For KSA-specific debate, consult: Almohammad &amp; Wills (2021) J Cybersecurity; Al-Khater et al. (2020) IEEE Access; Baker McKenzie KSA regulatory updates.</t>
        </is>
      </c>
      <c r="AK285" s="287" t="inlineStr">
        <is>
          <t>Known criticisms include: implementation gap between standards and practice; resource constraints for smaller healthcare entities; rapid technology evolution outpacing regulation. Consult framework evaluation literature for specifics.</t>
        </is>
      </c>
      <c r="AL285" s="288" t="inlineStr">
        <is>
          <t>Framework comparison requires contextual analysis. Key comparators: NIST CSF 2.0 (international benchmark), ISO 27001 (certifiable standard), ECC-2 (KSA mandatory baseline). See main database for cross-framework mapping.</t>
        </is>
      </c>
      <c r="AM285" s="289"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85" s="290" t="inlineStr">
        <is>
          <t>Official: Consult the official source URL in the database for the primary document. Training: ISACA, ISC2, RAPS, IAPP, and HIMSS offer professional development covering most regulatory domains. Estimated hours vary by framework complexity.</t>
        </is>
      </c>
      <c r="AO285" s="291" t="inlineStr">
        <is>
          <t>Relevance to GH-ICGA framework varies by layer — see GH-ICGA Layer Mapping column. All KSA mandatory frameworks are compliance inputs to GH-ICGA Layer 4. Frameworks with IoMT-specific provisions directly inform Layers 2 and 3.</t>
        </is>
      </c>
      <c r="AP285" s="51" t="inlineStr">
        <is>
          <t>G + C (Governance + Compliance — standard regulatory framework positioning)</t>
        </is>
      </c>
      <c r="AQ285" s="292" t="inlineStr">
        <is>
          <t>Senior management: accountability for framework compliance. Designated compliance officer: monitor requirements. All staff: awareness of applicable obligations</t>
        </is>
      </c>
      <c r="AR285" s="287" t="inlineStr">
        <is>
          <t>Regulatory Risk; Operational Risk; Reputational Risk — specific domains determined by framework scope</t>
        </is>
      </c>
      <c r="AS285" s="22" t="inlineStr">
        <is>
          <t>See official source — legal obligation, regulatory requirement, or voluntary standard as applicable</t>
        </is>
      </c>
      <c r="AT285" s="288" t="inlineStr">
        <is>
          <t>Administrative; Technical; Operational — specific distribution determined by framework content</t>
        </is>
      </c>
      <c r="AU285" s="293" t="inlineStr">
        <is>
          <t>1. Compliance status (compliant/non-compliant). 2. # open findings from last assessment. 3. % controls implemented. 4. Time to remediate findings. 5. Incident rate in framework scope area</t>
        </is>
      </c>
      <c r="AV285" s="294" t="inlineStr">
        <is>
          <t>Self-assessment; internal audit; external assessment as specified by issuing authority</t>
        </is>
      </c>
      <c r="AW285" s="295" t="inlineStr">
        <is>
          <t>ServiceNow GRC; IBM OpenPages; RSA Archer; MetricStream — all major GRC platforms support custom framework import. Contact vendor for framework-specific module</t>
        </is>
      </c>
      <c r="AX285" s="296" t="inlineStr">
        <is>
          <t>Third parties in scope must demonstrate equivalent compliance. Contractual compliance obligations; right-to-audit clauses; annual third-party assessment</t>
        </is>
      </c>
      <c r="AY285" s="297" t="inlineStr">
        <is>
          <t>Non-compliance: regulatory action by issuing authority; fines and penalties as specified; operational and reputational consequences</t>
        </is>
      </c>
      <c r="AZ285" s="294" t="inlineStr">
        <is>
          <t>ALL 17 SECTORS</t>
        </is>
      </c>
      <c r="BA285" s="34" t="inlineStr">
        <is>
          <t>YES — ALL SECTORS</t>
        </is>
      </c>
      <c r="BB285" s="591">
        <f>IF(E285="","",IF(ISNUMBER(SEARCH("Institutional theory and regulatory governance theory underpin",AI285)),"TEMPLATE",IF(LEN(AI285)&gt;100,"DEEP",IF(AI285="","SPARSE","SHALLOW"))))</f>
        <v/>
      </c>
      <c r="BC285" s="591">
        <f>IF(E285="","",D285&amp;"-"&amp;B285&amp;"-"&amp;E285)</f>
        <v/>
      </c>
      <c r="BD285" s="591">
        <f>IF(E285="","",SUBSTITUTE(SUBSTITUTE(B285&amp;"-"&amp;E285," ",""),":","-"))</f>
        <v/>
      </c>
      <c r="BE285" s="591">
        <f>IF(E285="","",IF(ISNUMBER(SEARCH("ECC",E285)),"NCA-ECC-2-2024",IF(ISNUMBER(SEARCH("OTCC",E285)),"NCA-ECC-2-2024",IF(ISNUMBER(SEARCH("CCC",E285)),"NCA-ECC-2-2024",IF(ISNUMBER(SEARCH("DCC",E285)),"NCA-ECC-2-2024",IF(ISNUMBER(SEARCH("CSCC",E285)),"NCA-ECC-2-2024",IF(ISNUMBER(SEARCH("PDPL-IR",E285)),"PDPL-2021",IF(ISNUMBER(SEARCH("PDPL-DTR",E285)),"PDPL-2021","NONE"))))))))</f>
        <v/>
      </c>
      <c r="BF285" s="594">
        <f>IF(E285="","",IF(BB285="DEEP",10,IF(BB285="SHALLOW",5,IF(BB285="TEMPLATE",3,1)))+IF(N285="HIGHEST",5,IF(N285="HIGH",3,IF(N285="MODERATE",1,0)))+IF(ISNUMBER(SEARCH("Mandatory",L285)),3,0))</f>
        <v/>
      </c>
    </row>
    <row r="286">
      <c r="BB286" s="591">
        <f>IF(E286="","",IF(ISNUMBER(SEARCH("Institutional theory and regulatory governance theory underpin",AI286)),"TEMPLATE",IF(LEN(AI286)&gt;100,"DEEP",IF(AI286="","SPARSE","SHALLOW"))))</f>
        <v/>
      </c>
      <c r="BC286" s="591">
        <f>IF(E286="","",D286&amp;"-"&amp;B286&amp;"-"&amp;E286)</f>
        <v/>
      </c>
      <c r="BD286" s="591">
        <f>IF(E286="","",SUBSTITUTE(SUBSTITUTE(B286&amp;"-"&amp;E286," ",""),":","-"))</f>
        <v/>
      </c>
      <c r="BE286" s="591">
        <f>IF(E286="","",IF(ISNUMBER(SEARCH("ECC",E286)),"NCA-ECC-2-2024",IF(ISNUMBER(SEARCH("OTCC",E286)),"NCA-ECC-2-2024",IF(ISNUMBER(SEARCH("CCC",E286)),"NCA-ECC-2-2024",IF(ISNUMBER(SEARCH("DCC",E286)),"NCA-ECC-2-2024",IF(ISNUMBER(SEARCH("CSCC",E286)),"NCA-ECC-2-2024",IF(ISNUMBER(SEARCH("PDPL-IR",E286)),"PDPL-2021",IF(ISNUMBER(SEARCH("PDPL-DTR",E286)),"PDPL-2021","NONE"))))))))</f>
        <v/>
      </c>
      <c r="BF286" s="594">
        <f>IF(E286="","",IF(BB286="DEEP",10,IF(BB286="SHALLOW",5,IF(BB286="TEMPLATE",3,1)))+IF(N286="HIGHEST",5,IF(N286="HIGH",3,IF(N286="MODERATE",1,0)))+IF(ISNUMBER(SEARCH("Mandatory",L286)),3,0))</f>
        <v/>
      </c>
    </row>
    <row r="287" ht="19.5" customHeight="1">
      <c r="A287" s="299" t="n"/>
      <c r="B287" s="300" t="inlineStr">
        <is>
          <t xml:space="preserve">  ── 12. Education &amp; Research ──</t>
        </is>
      </c>
      <c r="C287" s="299" t="n"/>
      <c r="D287" s="299" t="n"/>
      <c r="E287" s="299" t="n"/>
      <c r="F287" s="299" t="n"/>
      <c r="G287" s="299" t="n"/>
      <c r="H287" s="299" t="n"/>
      <c r="I287" s="299" t="n"/>
      <c r="J287" s="299" t="n"/>
      <c r="K287" s="299" t="n"/>
      <c r="L287" s="299" t="n"/>
      <c r="M287" s="299" t="n"/>
      <c r="N287" s="299" t="n"/>
      <c r="O287" s="299" t="n"/>
      <c r="P287" s="299" t="n"/>
      <c r="BB287" s="591">
        <f>IF(E287="","",IF(ISNUMBER(SEARCH("Institutional theory and regulatory governance theory underpin",AI287)),"TEMPLATE",IF(LEN(AI287)&gt;100,"DEEP",IF(AI287="","SPARSE","SHALLOW"))))</f>
        <v/>
      </c>
      <c r="BC287" s="591">
        <f>IF(E287="","",D287&amp;"-"&amp;B287&amp;"-"&amp;E287)</f>
        <v/>
      </c>
      <c r="BD287" s="591">
        <f>IF(E287="","",SUBSTITUTE(SUBSTITUTE(B287&amp;"-"&amp;E287," ",""),":","-"))</f>
        <v/>
      </c>
      <c r="BE287" s="591">
        <f>IF(E287="","",IF(ISNUMBER(SEARCH("ECC",E287)),"NCA-ECC-2-2024",IF(ISNUMBER(SEARCH("OTCC",E287)),"NCA-ECC-2-2024",IF(ISNUMBER(SEARCH("CCC",E287)),"NCA-ECC-2-2024",IF(ISNUMBER(SEARCH("DCC",E287)),"NCA-ECC-2-2024",IF(ISNUMBER(SEARCH("CSCC",E287)),"NCA-ECC-2-2024",IF(ISNUMBER(SEARCH("PDPL-IR",E287)),"PDPL-2021",IF(ISNUMBER(SEARCH("PDPL-DTR",E287)),"PDPL-2021","NONE"))))))))</f>
        <v/>
      </c>
      <c r="BF287" s="594">
        <f>IF(E287="","",IF(BB287="DEEP",10,IF(BB287="SHALLOW",5,IF(BB287="TEMPLATE",3,1)))+IF(N287="HIGHEST",5,IF(N287="HIGH",3,IF(N287="MODERATE",1,0)))+IF(ISNUMBER(SEARCH("Mandatory",L287)),3,0))</f>
        <v/>
      </c>
    </row>
    <row r="288" ht="42" customHeight="1">
      <c r="A288" s="301" t="n">
        <v>253</v>
      </c>
      <c r="B288" s="302" t="inlineStr">
        <is>
          <t>ETEC</t>
        </is>
      </c>
      <c r="C288" s="303" t="inlineStr">
        <is>
          <t>Education Eval &amp; Training Accreditation</t>
        </is>
      </c>
      <c r="D288" s="303" t="inlineStr">
        <is>
          <t>12. Education &amp; Research</t>
        </is>
      </c>
      <c r="E288" s="302" t="inlineStr">
        <is>
          <t>ETEC-FW</t>
        </is>
      </c>
      <c r="F288" s="304" t="inlineStr">
        <is>
          <t>Academic Accreditation Standards</t>
        </is>
      </c>
      <c r="G288" s="303" t="inlineStr">
        <is>
          <t>الإطار التنظيمي الرئيسي</t>
        </is>
      </c>
      <c r="H288" s="303" t="inlineStr">
        <is>
          <t>Active/Updated</t>
        </is>
      </c>
      <c r="I288" s="305" t="inlineStr">
        <is>
          <t>2018</t>
        </is>
      </c>
      <c r="J288" s="305" t="inlineStr">
        <is>
          <t>N/A</t>
        </is>
      </c>
      <c r="K288" s="303" t="inlineStr">
        <is>
          <t>ISSUES/ENFORCES</t>
        </is>
      </c>
      <c r="L288" s="22" t="inlineStr">
        <is>
          <t>Mandatory Enforcer</t>
        </is>
      </c>
      <c r="M288" s="303" t="inlineStr">
        <is>
          <t>Entities regulated by this authority</t>
        </is>
      </c>
      <c r="N288" s="306" t="inlineStr">
        <is>
          <t>MODERATE</t>
        </is>
      </c>
      <c r="O288" s="307" t="inlineStr">
        <is>
          <t>https://www.gov.sa/</t>
        </is>
      </c>
      <c r="P288" s="303" t="inlineStr">
        <is>
          <t>Ministry/Authority official site</t>
        </is>
      </c>
      <c r="Q288" s="303" t="inlineStr">
        <is>
          <t>See official source for version history</t>
        </is>
      </c>
      <c r="R288" s="303" t="inlineStr">
        <is>
          <t>Framework issued by the relevant authority. Version details available on the official website referenced in the source URL column. The framework has been updated periodically since first issuance.</t>
        </is>
      </c>
      <c r="S288" s="305" t="inlineStr">
        <is>
          <t>See official source</t>
        </is>
      </c>
      <c r="T288" s="303" t="inlineStr">
        <is>
          <t>Updated as needed by the issuing authority</t>
        </is>
      </c>
      <c r="U288" s="25" t="inlineStr">
        <is>
          <t>CURRENT — consult official source for latest version</t>
        </is>
      </c>
      <c r="V288" s="303" t="inlineStr">
        <is>
          <t>Penalties defined by issuing authority; consult official source. NCA ECC-2 penalties apply if relevant</t>
        </is>
      </c>
      <c r="W288" s="304" t="inlineStr">
        <is>
          <t>Issuing authority and/or designated inspection department</t>
        </is>
      </c>
      <c r="X288" s="303" t="inlineStr">
        <is>
          <t>As specified in framework scope — consult official document</t>
        </is>
      </c>
      <c r="Y288" s="49" t="inlineStr">
        <is>
          <t>Both (unless specified otherwise in official document)</t>
        </is>
      </c>
      <c r="Z288" s="303" t="inlineStr">
        <is>
          <t>As defined by issuing authority</t>
        </is>
      </c>
      <c r="AA288" s="305" t="inlineStr">
        <is>
          <t>As defined by issuing authority</t>
        </is>
      </c>
      <c r="AB288" s="303" t="inlineStr">
        <is>
          <t>To be determined from framework text — see official source</t>
        </is>
      </c>
      <c r="AC288" s="303" t="inlineStr">
        <is>
          <t>See framework preamble for international standard references</t>
        </is>
      </c>
      <c r="AD288" s="49" t="inlineStr">
        <is>
          <t>Arabic (primary in KSA); English may be available</t>
        </is>
      </c>
      <c r="AE288" s="58" t="inlineStr">
        <is>
          <t>Mapped to relevant GH-ICGA layer — requires manual assessment</t>
        </is>
      </c>
      <c r="AF288" s="56" t="inlineStr">
        <is>
          <t>See official framework for maturity model details</t>
        </is>
      </c>
      <c r="AG288" s="303" t="inlineStr">
        <is>
          <t>Aligned with relevant Vision 2030 programme — see framework context</t>
        </is>
      </c>
      <c r="AH288" s="303" t="inlineStr">
        <is>
          <t>As specified in framework compliance requirements</t>
        </is>
      </c>
      <c r="AI288" s="308" t="inlineStr">
        <is>
          <t>Institutional theory and regulatory governance theory underpin all KSA regulatory frameworks. Specific theoretical basis varies by framework — consult academic literature via Google Scholar using framework name as search term.</t>
        </is>
      </c>
      <c r="AJ288" s="303" t="inlineStr">
        <is>
          <t>Academic debate varies by framework maturity and international adoption. For KSA-specific debate, consult: Almohammad &amp; Wills (2021) J Cybersecurity; Al-Khater et al. (2020) IEEE Access; Baker McKenzie KSA regulatory updates.</t>
        </is>
      </c>
      <c r="AK288" s="309" t="inlineStr">
        <is>
          <t>Known criticisms include: implementation gap between standards and practice; resource constraints for smaller healthcare entities; rapid technology evolution outpacing regulation. Consult framework evaluation literature for specifics.</t>
        </is>
      </c>
      <c r="AL288" s="310" t="inlineStr">
        <is>
          <t>Framework comparison requires contextual analysis. Key comparators: NIST CSF 2.0 (international benchmark), ISO 27001 (certifiable standard), ECC-2 (KSA mandatory baseline). See main database for cross-framework mapping.</t>
        </is>
      </c>
      <c r="AM288" s="311"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88" s="312" t="inlineStr">
        <is>
          <t>Official: Consult the official source URL in the database for the primary document. Training: ISACA, ISC2, RAPS, IAPP, and HIMSS offer professional development covering most regulatory domains. Estimated hours vary by framework complexity.</t>
        </is>
      </c>
      <c r="AO288" s="313" t="inlineStr">
        <is>
          <t>Relevance to GH-ICGA framework varies by layer — see GH-ICGA Layer Mapping column. All KSA mandatory frameworks are compliance inputs to GH-ICGA Layer 4. Frameworks with IoMT-specific provisions directly inform Layers 2 and 3.</t>
        </is>
      </c>
      <c r="AP288" s="51" t="inlineStr">
        <is>
          <t>G + C (Governance + Compliance — standard regulatory framework positioning)</t>
        </is>
      </c>
      <c r="AQ288" s="314" t="inlineStr">
        <is>
          <t>Senior management: accountability for framework compliance. Designated compliance officer: monitor requirements. All staff: awareness of applicable obligations</t>
        </is>
      </c>
      <c r="AR288" s="309" t="inlineStr">
        <is>
          <t>Regulatory Risk; Operational Risk; Reputational Risk — specific domains determined by framework scope</t>
        </is>
      </c>
      <c r="AS288" s="22" t="inlineStr">
        <is>
          <t>See official source — legal obligation, regulatory requirement, or voluntary standard as applicable</t>
        </is>
      </c>
      <c r="AT288" s="310" t="inlineStr">
        <is>
          <t>Administrative; Technical; Operational — specific distribution determined by framework content</t>
        </is>
      </c>
      <c r="AU288" s="315" t="inlineStr">
        <is>
          <t>1. Compliance status (compliant/non-compliant). 2. # open findings from last assessment. 3. % controls implemented. 4. Time to remediate findings. 5. Incident rate in framework scope area</t>
        </is>
      </c>
      <c r="AV288" s="316" t="inlineStr">
        <is>
          <t>Self-assessment; internal audit; external assessment as specified by issuing authority</t>
        </is>
      </c>
      <c r="AW288" s="317" t="inlineStr">
        <is>
          <t>ServiceNow GRC; IBM OpenPages; RSA Archer; MetricStream — all major GRC platforms support custom framework import. Contact vendor for framework-specific module</t>
        </is>
      </c>
      <c r="AX288" s="318" t="inlineStr">
        <is>
          <t>Third parties in scope must demonstrate equivalent compliance. Contractual compliance obligations; right-to-audit clauses; annual third-party assessment</t>
        </is>
      </c>
      <c r="AY288" s="319" t="inlineStr">
        <is>
          <t>Non-compliance: regulatory action by issuing authority; fines and penalties as specified; operational and reputational consequences</t>
        </is>
      </c>
      <c r="AZ288" s="316" t="inlineStr">
        <is>
          <t>Sector-specific — consult official source</t>
        </is>
      </c>
      <c r="BA288" s="41" t="inlineStr">
        <is>
          <t>Sector-Specific</t>
        </is>
      </c>
      <c r="BB288" s="591">
        <f>IF(E288="","",IF(ISNUMBER(SEARCH("Institutional theory and regulatory governance theory underpin",AI288)),"TEMPLATE",IF(LEN(AI288)&gt;100,"DEEP",IF(AI288="","SPARSE","SHALLOW"))))</f>
        <v/>
      </c>
      <c r="BC288" s="591">
        <f>IF(E288="","",D288&amp;"-"&amp;B288&amp;"-"&amp;E288)</f>
        <v/>
      </c>
      <c r="BD288" s="591">
        <f>IF(E288="","",SUBSTITUTE(SUBSTITUTE(B288&amp;"-"&amp;E288," ",""),":","-"))</f>
        <v/>
      </c>
      <c r="BE288" s="591">
        <f>IF(E288="","",IF(ISNUMBER(SEARCH("ECC",E288)),"NCA-ECC-2-2024",IF(ISNUMBER(SEARCH("OTCC",E288)),"NCA-ECC-2-2024",IF(ISNUMBER(SEARCH("CCC",E288)),"NCA-ECC-2-2024",IF(ISNUMBER(SEARCH("DCC",E288)),"NCA-ECC-2-2024",IF(ISNUMBER(SEARCH("CSCC",E288)),"NCA-ECC-2-2024",IF(ISNUMBER(SEARCH("PDPL-IR",E288)),"PDPL-2021",IF(ISNUMBER(SEARCH("PDPL-DTR",E288)),"PDPL-2021","NONE"))))))))</f>
        <v/>
      </c>
      <c r="BF288" s="594">
        <f>IF(E288="","",IF(BB288="DEEP",10,IF(BB288="SHALLOW",5,IF(BB288="TEMPLATE",3,1)))+IF(N288="HIGHEST",5,IF(N288="HIGH",3,IF(N288="MODERATE",1,0)))+IF(ISNUMBER(SEARCH("Mandatory",L288)),3,0))</f>
        <v/>
      </c>
    </row>
    <row r="289" ht="42" customHeight="1">
      <c r="A289" s="42" t="n">
        <v>254</v>
      </c>
      <c r="B289" s="320" t="inlineStr">
        <is>
          <t>ETEC</t>
        </is>
      </c>
      <c r="C289" s="44" t="inlineStr">
        <is>
          <t>Education Eval &amp; Training Accreditation</t>
        </is>
      </c>
      <c r="D289" s="44" t="inlineStr">
        <is>
          <t>12. Education &amp; Research</t>
        </is>
      </c>
      <c r="E289" s="320" t="inlineStr">
        <is>
          <t>NCA-ECC-2:2024</t>
        </is>
      </c>
      <c r="F289" s="45" t="inlineStr">
        <is>
          <t>Essential Cybersecurity Controls</t>
        </is>
      </c>
      <c r="G289" s="44" t="inlineStr">
        <is>
          <t>ضوابط الأمن السيبراني الأساسية</t>
        </is>
      </c>
      <c r="H289" s="44" t="inlineStr">
        <is>
          <t>ECC-2:2024</t>
        </is>
      </c>
      <c r="I289" s="46" t="inlineStr">
        <is>
          <t>2018</t>
        </is>
      </c>
      <c r="J289" s="46" t="inlineStr">
        <is>
          <t>108</t>
        </is>
      </c>
      <c r="K289" s="44" t="inlineStr">
        <is>
          <t>MUST COMPLY WITH</t>
        </is>
      </c>
      <c r="L289" s="66" t="inlineStr">
        <is>
          <t>Mandatory Complier</t>
        </is>
      </c>
      <c r="M289" s="44" t="inlineStr">
        <is>
          <t>Education Eval &amp; Training Accreditation as government entity</t>
        </is>
      </c>
      <c r="N289" s="59" t="inlineStr">
        <is>
          <t>LOW</t>
        </is>
      </c>
      <c r="O289" s="48" t="inlineStr">
        <is>
          <t>https://nca.gov.sa/</t>
        </is>
      </c>
      <c r="P289" s="44" t="inlineStr">
        <is>
          <t>NCA ECC scope</t>
        </is>
      </c>
      <c r="Q289" s="303" t="inlineStr">
        <is>
          <t>See official source for version history</t>
        </is>
      </c>
      <c r="R289" s="303" t="inlineStr">
        <is>
          <t>Framework issued by the relevant authority. Version details available on the official website referenced in the source URL column. The framework has been updated periodically since first issuance.</t>
        </is>
      </c>
      <c r="S289" s="305" t="inlineStr">
        <is>
          <t>See official source</t>
        </is>
      </c>
      <c r="T289" s="303" t="inlineStr">
        <is>
          <t>Updated as needed by the issuing authority</t>
        </is>
      </c>
      <c r="U289" s="25" t="inlineStr">
        <is>
          <t>CURRENT — consult official source for latest version</t>
        </is>
      </c>
      <c r="V289" s="303" t="inlineStr">
        <is>
          <t>Penalties defined by issuing authority; consult official source. NCA ECC-2 penalties apply if relevant</t>
        </is>
      </c>
      <c r="W289" s="304" t="inlineStr">
        <is>
          <t>Issuing authority and/or designated inspection department</t>
        </is>
      </c>
      <c r="X289" s="303" t="inlineStr">
        <is>
          <t>As specified in framework scope — consult official document</t>
        </is>
      </c>
      <c r="Y289" s="49" t="inlineStr">
        <is>
          <t>Both (unless specified otherwise in official document)</t>
        </is>
      </c>
      <c r="Z289" s="303" t="inlineStr">
        <is>
          <t>As defined by issuing authority</t>
        </is>
      </c>
      <c r="AA289" s="305" t="inlineStr">
        <is>
          <t>As defined by issuing authority</t>
        </is>
      </c>
      <c r="AB289" s="303" t="inlineStr">
        <is>
          <t>To be determined from framework text — see official source</t>
        </is>
      </c>
      <c r="AC289" s="303" t="inlineStr">
        <is>
          <t>See framework preamble for international standard references</t>
        </is>
      </c>
      <c r="AD289" s="49" t="inlineStr">
        <is>
          <t>Arabic (primary in KSA); English may be available</t>
        </is>
      </c>
      <c r="AE289" s="58" t="inlineStr">
        <is>
          <t>Mapped to relevant GH-ICGA layer — requires manual assessment</t>
        </is>
      </c>
      <c r="AF289" s="56" t="inlineStr">
        <is>
          <t>See official framework for maturity model details</t>
        </is>
      </c>
      <c r="AG289" s="303" t="inlineStr">
        <is>
          <t>Aligned with relevant Vision 2030 programme — see framework context</t>
        </is>
      </c>
      <c r="AH289" s="303" t="inlineStr">
        <is>
          <t>As specified in framework compliance requirements</t>
        </is>
      </c>
      <c r="AI289" s="308" t="inlineStr">
        <is>
          <t>Institutional theory and regulatory governance theory underpin all KSA regulatory frameworks. Specific theoretical basis varies by framework — consult academic literature via Google Scholar using framework name as search term.</t>
        </is>
      </c>
      <c r="AJ289" s="303" t="inlineStr">
        <is>
          <t>Academic debate varies by framework maturity and international adoption. For KSA-specific debate, consult: Almohammad &amp; Wills (2021) J Cybersecurity; Al-Khater et al. (2020) IEEE Access; Baker McKenzie KSA regulatory updates.</t>
        </is>
      </c>
      <c r="AK289" s="309" t="inlineStr">
        <is>
          <t>Known criticisms include: implementation gap between standards and practice; resource constraints for smaller healthcare entities; rapid technology evolution outpacing regulation. Consult framework evaluation literature for specifics.</t>
        </is>
      </c>
      <c r="AL289" s="310" t="inlineStr">
        <is>
          <t>Framework comparison requires contextual analysis. Key comparators: NIST CSF 2.0 (international benchmark), ISO 27001 (certifiable standard), ECC-2 (KSA mandatory baseline). See main database for cross-framework mapping.</t>
        </is>
      </c>
      <c r="AM289" s="311"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89" s="312" t="inlineStr">
        <is>
          <t>Official: Consult the official source URL in the database for the primary document. Training: ISACA, ISC2, RAPS, IAPP, and HIMSS offer professional development covering most regulatory domains. Estimated hours vary by framework complexity.</t>
        </is>
      </c>
      <c r="AO289" s="313" t="inlineStr">
        <is>
          <t>Relevance to GH-ICGA framework varies by layer — see GH-ICGA Layer Mapping column. All KSA mandatory frameworks are compliance inputs to GH-ICGA Layer 4. Frameworks with IoMT-specific provisions directly inform Layers 2 and 3.</t>
        </is>
      </c>
      <c r="AP289" s="51" t="inlineStr">
        <is>
          <t>G + C (Governance + Compliance — standard regulatory framework positioning)</t>
        </is>
      </c>
      <c r="AQ289" s="314" t="inlineStr">
        <is>
          <t>Senior management: accountability for framework compliance. Designated compliance officer: monitor requirements. All staff: awareness of applicable obligations</t>
        </is>
      </c>
      <c r="AR289" s="309" t="inlineStr">
        <is>
          <t>Regulatory Risk; Operational Risk; Reputational Risk — specific domains determined by framework scope</t>
        </is>
      </c>
      <c r="AS289" s="22" t="inlineStr">
        <is>
          <t>See official source — legal obligation, regulatory requirement, or voluntary standard as applicable</t>
        </is>
      </c>
      <c r="AT289" s="310" t="inlineStr">
        <is>
          <t>Administrative; Technical; Operational — specific distribution determined by framework content</t>
        </is>
      </c>
      <c r="AU289" s="315" t="inlineStr">
        <is>
          <t>1. Compliance status (compliant/non-compliant). 2. # open findings from last assessment. 3. % controls implemented. 4. Time to remediate findings. 5. Incident rate in framework scope area</t>
        </is>
      </c>
      <c r="AV289" s="316" t="inlineStr">
        <is>
          <t>Self-assessment; internal audit; external assessment as specified by issuing authority</t>
        </is>
      </c>
      <c r="AW289" s="317" t="inlineStr">
        <is>
          <t>ServiceNow GRC; IBM OpenPages; RSA Archer; MetricStream — all major GRC platforms support custom framework import. Contact vendor for framework-specific module</t>
        </is>
      </c>
      <c r="AX289" s="318" t="inlineStr">
        <is>
          <t>Third parties in scope must demonstrate equivalent compliance. Contractual compliance obligations; right-to-audit clauses; annual third-party assessment</t>
        </is>
      </c>
      <c r="AY289" s="319" t="inlineStr">
        <is>
          <t>Non-compliance: regulatory action by issuing authority; fines and penalties as specified; operational and reputational consequences</t>
        </is>
      </c>
      <c r="AZ289" s="316" t="inlineStr">
        <is>
          <t>ALL 17 SECTORS</t>
        </is>
      </c>
      <c r="BA289" s="34" t="inlineStr">
        <is>
          <t>YES — ALL SECTORS</t>
        </is>
      </c>
      <c r="BB289" s="591">
        <f>IF(E289="","",IF(ISNUMBER(SEARCH("Institutional theory and regulatory governance theory underpin",AI289)),"TEMPLATE",IF(LEN(AI289)&gt;100,"DEEP",IF(AI289="","SPARSE","SHALLOW"))))</f>
        <v/>
      </c>
      <c r="BC289" s="591">
        <f>IF(E289="","",D289&amp;"-"&amp;B289&amp;"-"&amp;E289)</f>
        <v/>
      </c>
      <c r="BD289" s="591">
        <f>IF(E289="","",SUBSTITUTE(SUBSTITUTE(B289&amp;"-"&amp;E289," ",""),":","-"))</f>
        <v/>
      </c>
      <c r="BE289" s="591">
        <f>IF(E289="","",IF(ISNUMBER(SEARCH("ECC",E289)),"NCA-ECC-2-2024",IF(ISNUMBER(SEARCH("OTCC",E289)),"NCA-ECC-2-2024",IF(ISNUMBER(SEARCH("CCC",E289)),"NCA-ECC-2-2024",IF(ISNUMBER(SEARCH("DCC",E289)),"NCA-ECC-2-2024",IF(ISNUMBER(SEARCH("CSCC",E289)),"NCA-ECC-2-2024",IF(ISNUMBER(SEARCH("PDPL-IR",E289)),"PDPL-2021",IF(ISNUMBER(SEARCH("PDPL-DTR",E289)),"PDPL-2021","NONE"))))))))</f>
        <v/>
      </c>
      <c r="BF289" s="594">
        <f>IF(E289="","",IF(BB289="DEEP",10,IF(BB289="SHALLOW",5,IF(BB289="TEMPLATE",3,1)))+IF(N289="HIGHEST",5,IF(N289="HIGH",3,IF(N289="MODERATE",1,0)))+IF(ISNUMBER(SEARCH("Mandatory",L289)),3,0))</f>
        <v/>
      </c>
    </row>
    <row r="290" ht="42" customHeight="1">
      <c r="A290" s="301" t="n">
        <v>255</v>
      </c>
      <c r="B290" s="302" t="inlineStr">
        <is>
          <t>TVTC</t>
        </is>
      </c>
      <c r="C290" s="303" t="inlineStr">
        <is>
          <t>Technical &amp; Vocational Training Corp.</t>
        </is>
      </c>
      <c r="D290" s="303" t="inlineStr">
        <is>
          <t>12. Education &amp; Research</t>
        </is>
      </c>
      <c r="E290" s="302" t="inlineStr">
        <is>
          <t>TVTC-FW</t>
        </is>
      </c>
      <c r="F290" s="304" t="inlineStr">
        <is>
          <t>Vocational Training Standards</t>
        </is>
      </c>
      <c r="G290" s="303" t="inlineStr">
        <is>
          <t>الإطار التنظيمي الرئيسي</t>
        </is>
      </c>
      <c r="H290" s="303" t="inlineStr">
        <is>
          <t>Active/Updated</t>
        </is>
      </c>
      <c r="I290" s="305" t="inlineStr">
        <is>
          <t>1980</t>
        </is>
      </c>
      <c r="J290" s="305" t="inlineStr">
        <is>
          <t>N/A</t>
        </is>
      </c>
      <c r="K290" s="303" t="inlineStr">
        <is>
          <t>ISSUES/ENFORCES</t>
        </is>
      </c>
      <c r="L290" s="22" t="inlineStr">
        <is>
          <t>Mandatory Enforcer</t>
        </is>
      </c>
      <c r="M290" s="303" t="inlineStr">
        <is>
          <t>Entities regulated by this authority</t>
        </is>
      </c>
      <c r="N290" s="306" t="inlineStr">
        <is>
          <t>MODERATE</t>
        </is>
      </c>
      <c r="O290" s="307" t="inlineStr">
        <is>
          <t>https://www.gov.sa/</t>
        </is>
      </c>
      <c r="P290" s="303" t="inlineStr">
        <is>
          <t>Ministry/Authority official site</t>
        </is>
      </c>
      <c r="Q290" s="303" t="inlineStr">
        <is>
          <t>See official source for version history</t>
        </is>
      </c>
      <c r="R290" s="303" t="inlineStr">
        <is>
          <t>Framework issued by the relevant authority. Version details available on the official website referenced in the source URL column. The framework has been updated periodically since first issuance.</t>
        </is>
      </c>
      <c r="S290" s="305" t="inlineStr">
        <is>
          <t>See official source</t>
        </is>
      </c>
      <c r="T290" s="303" t="inlineStr">
        <is>
          <t>Updated as needed by the issuing authority</t>
        </is>
      </c>
      <c r="U290" s="25" t="inlineStr">
        <is>
          <t>CURRENT — consult official source for latest version</t>
        </is>
      </c>
      <c r="V290" s="303" t="inlineStr">
        <is>
          <t>Penalties defined by issuing authority; consult official source. NCA ECC-2 penalties apply if relevant</t>
        </is>
      </c>
      <c r="W290" s="304" t="inlineStr">
        <is>
          <t>Issuing authority and/or designated inspection department</t>
        </is>
      </c>
      <c r="X290" s="303" t="inlineStr">
        <is>
          <t>As specified in framework scope — consult official document</t>
        </is>
      </c>
      <c r="Y290" s="49" t="inlineStr">
        <is>
          <t>Both (unless specified otherwise in official document)</t>
        </is>
      </c>
      <c r="Z290" s="303" t="inlineStr">
        <is>
          <t>As defined by issuing authority</t>
        </is>
      </c>
      <c r="AA290" s="305" t="inlineStr">
        <is>
          <t>As defined by issuing authority</t>
        </is>
      </c>
      <c r="AB290" s="303" t="inlineStr">
        <is>
          <t>To be determined from framework text — see official source</t>
        </is>
      </c>
      <c r="AC290" s="303" t="inlineStr">
        <is>
          <t>See framework preamble for international standard references</t>
        </is>
      </c>
      <c r="AD290" s="49" t="inlineStr">
        <is>
          <t>Arabic (primary in KSA); English may be available</t>
        </is>
      </c>
      <c r="AE290" s="58" t="inlineStr">
        <is>
          <t>Mapped to relevant GH-ICGA layer — requires manual assessment</t>
        </is>
      </c>
      <c r="AF290" s="56" t="inlineStr">
        <is>
          <t>See official framework for maturity model details</t>
        </is>
      </c>
      <c r="AG290" s="303" t="inlineStr">
        <is>
          <t>Aligned with relevant Vision 2030 programme — see framework context</t>
        </is>
      </c>
      <c r="AH290" s="303" t="inlineStr">
        <is>
          <t>As specified in framework compliance requirements</t>
        </is>
      </c>
      <c r="AI290" s="308" t="inlineStr">
        <is>
          <t>Institutional theory and regulatory governance theory underpin all KSA regulatory frameworks. Specific theoretical basis varies by framework — consult academic literature via Google Scholar using framework name as search term.</t>
        </is>
      </c>
      <c r="AJ290" s="303" t="inlineStr">
        <is>
          <t>Academic debate varies by framework maturity and international adoption. For KSA-specific debate, consult: Almohammad &amp; Wills (2021) J Cybersecurity; Al-Khater et al. (2020) IEEE Access; Baker McKenzie KSA regulatory updates.</t>
        </is>
      </c>
      <c r="AK290" s="309" t="inlineStr">
        <is>
          <t>Known criticisms include: implementation gap between standards and practice; resource constraints for smaller healthcare entities; rapid technology evolution outpacing regulation. Consult framework evaluation literature for specifics.</t>
        </is>
      </c>
      <c r="AL290" s="310" t="inlineStr">
        <is>
          <t>Framework comparison requires contextual analysis. Key comparators: NIST CSF 2.0 (international benchmark), ISO 27001 (certifiable standard), ECC-2 (KSA mandatory baseline). See main database for cross-framework mapping.</t>
        </is>
      </c>
      <c r="AM290" s="311"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90" s="312" t="inlineStr">
        <is>
          <t>Official: Consult the official source URL in the database for the primary document. Training: ISACA, ISC2, RAPS, IAPP, and HIMSS offer professional development covering most regulatory domains. Estimated hours vary by framework complexity.</t>
        </is>
      </c>
      <c r="AO290" s="313" t="inlineStr">
        <is>
          <t>Relevance to GH-ICGA framework varies by layer — see GH-ICGA Layer Mapping column. All KSA mandatory frameworks are compliance inputs to GH-ICGA Layer 4. Frameworks with IoMT-specific provisions directly inform Layers 2 and 3.</t>
        </is>
      </c>
      <c r="AP290" s="51" t="inlineStr">
        <is>
          <t>G + C (Governance + Compliance — standard regulatory framework positioning)</t>
        </is>
      </c>
      <c r="AQ290" s="314" t="inlineStr">
        <is>
          <t>Senior management: accountability for framework compliance. Designated compliance officer: monitor requirements. All staff: awareness of applicable obligations</t>
        </is>
      </c>
      <c r="AR290" s="309" t="inlineStr">
        <is>
          <t>Regulatory Risk; Operational Risk; Reputational Risk — specific domains determined by framework scope</t>
        </is>
      </c>
      <c r="AS290" s="22" t="inlineStr">
        <is>
          <t>See official source — legal obligation, regulatory requirement, or voluntary standard as applicable</t>
        </is>
      </c>
      <c r="AT290" s="310" t="inlineStr">
        <is>
          <t>Administrative; Technical; Operational — specific distribution determined by framework content</t>
        </is>
      </c>
      <c r="AU290" s="315" t="inlineStr">
        <is>
          <t>1. Compliance status (compliant/non-compliant). 2. # open findings from last assessment. 3. % controls implemented. 4. Time to remediate findings. 5. Incident rate in framework scope area</t>
        </is>
      </c>
      <c r="AV290" s="316" t="inlineStr">
        <is>
          <t>Self-assessment; internal audit; external assessment as specified by issuing authority</t>
        </is>
      </c>
      <c r="AW290" s="317" t="inlineStr">
        <is>
          <t>ServiceNow GRC; IBM OpenPages; RSA Archer; MetricStream — all major GRC platforms support custom framework import. Contact vendor for framework-specific module</t>
        </is>
      </c>
      <c r="AX290" s="318" t="inlineStr">
        <is>
          <t>Third parties in scope must demonstrate equivalent compliance. Contractual compliance obligations; right-to-audit clauses; annual third-party assessment</t>
        </is>
      </c>
      <c r="AY290" s="319" t="inlineStr">
        <is>
          <t>Non-compliance: regulatory action by issuing authority; fines and penalties as specified; operational and reputational consequences</t>
        </is>
      </c>
      <c r="AZ290" s="316" t="inlineStr">
        <is>
          <t>Sector-specific — consult official source</t>
        </is>
      </c>
      <c r="BA290" s="41" t="inlineStr">
        <is>
          <t>Sector-Specific</t>
        </is>
      </c>
      <c r="BB290" s="591">
        <f>IF(E290="","",IF(ISNUMBER(SEARCH("Institutional theory and regulatory governance theory underpin",AI290)),"TEMPLATE",IF(LEN(AI290)&gt;100,"DEEP",IF(AI290="","SPARSE","SHALLOW"))))</f>
        <v/>
      </c>
      <c r="BC290" s="591">
        <f>IF(E290="","",D290&amp;"-"&amp;B290&amp;"-"&amp;E290)</f>
        <v/>
      </c>
      <c r="BD290" s="591">
        <f>IF(E290="","",SUBSTITUTE(SUBSTITUTE(B290&amp;"-"&amp;E290," ",""),":","-"))</f>
        <v/>
      </c>
      <c r="BE290" s="591">
        <f>IF(E290="","",IF(ISNUMBER(SEARCH("ECC",E290)),"NCA-ECC-2-2024",IF(ISNUMBER(SEARCH("OTCC",E290)),"NCA-ECC-2-2024",IF(ISNUMBER(SEARCH("CCC",E290)),"NCA-ECC-2-2024",IF(ISNUMBER(SEARCH("DCC",E290)),"NCA-ECC-2-2024",IF(ISNUMBER(SEARCH("CSCC",E290)),"NCA-ECC-2-2024",IF(ISNUMBER(SEARCH("PDPL-IR",E290)),"PDPL-2021",IF(ISNUMBER(SEARCH("PDPL-DTR",E290)),"PDPL-2021","NONE"))))))))</f>
        <v/>
      </c>
      <c r="BF290" s="594">
        <f>IF(E290="","",IF(BB290="DEEP",10,IF(BB290="SHALLOW",5,IF(BB290="TEMPLATE",3,1)))+IF(N290="HIGHEST",5,IF(N290="HIGH",3,IF(N290="MODERATE",1,0)))+IF(ISNUMBER(SEARCH("Mandatory",L290)),3,0))</f>
        <v/>
      </c>
    </row>
    <row r="291" ht="42" customHeight="1">
      <c r="A291" s="42" t="n">
        <v>256</v>
      </c>
      <c r="B291" s="320" t="inlineStr">
        <is>
          <t>TVTC</t>
        </is>
      </c>
      <c r="C291" s="44" t="inlineStr">
        <is>
          <t>Technical &amp; Vocational Training Corp.</t>
        </is>
      </c>
      <c r="D291" s="44" t="inlineStr">
        <is>
          <t>12. Education &amp; Research</t>
        </is>
      </c>
      <c r="E291" s="320" t="inlineStr">
        <is>
          <t>NCA-ECC-2:2024</t>
        </is>
      </c>
      <c r="F291" s="45" t="inlineStr">
        <is>
          <t>Essential Cybersecurity Controls</t>
        </is>
      </c>
      <c r="G291" s="44" t="inlineStr">
        <is>
          <t>ضوابط الأمن السيبراني الأساسية</t>
        </is>
      </c>
      <c r="H291" s="44" t="inlineStr">
        <is>
          <t>ECC-2:2024</t>
        </is>
      </c>
      <c r="I291" s="46" t="inlineStr">
        <is>
          <t>2018</t>
        </is>
      </c>
      <c r="J291" s="46" t="inlineStr">
        <is>
          <t>108</t>
        </is>
      </c>
      <c r="K291" s="44" t="inlineStr">
        <is>
          <t>MUST COMPLY WITH</t>
        </is>
      </c>
      <c r="L291" s="66" t="inlineStr">
        <is>
          <t>Mandatory Complier</t>
        </is>
      </c>
      <c r="M291" s="44" t="inlineStr">
        <is>
          <t>Technical &amp; Vocational Training Corp. as government entity</t>
        </is>
      </c>
      <c r="N291" s="59" t="inlineStr">
        <is>
          <t>LOW</t>
        </is>
      </c>
      <c r="O291" s="48" t="inlineStr">
        <is>
          <t>https://nca.gov.sa/</t>
        </is>
      </c>
      <c r="P291" s="44" t="inlineStr">
        <is>
          <t>NCA ECC scope</t>
        </is>
      </c>
      <c r="Q291" s="303" t="inlineStr">
        <is>
          <t>See official source for version history</t>
        </is>
      </c>
      <c r="R291" s="303" t="inlineStr">
        <is>
          <t>Framework issued by the relevant authority. Version details available on the official website referenced in the source URL column. The framework has been updated periodically since first issuance.</t>
        </is>
      </c>
      <c r="S291" s="305" t="inlineStr">
        <is>
          <t>See official source</t>
        </is>
      </c>
      <c r="T291" s="303" t="inlineStr">
        <is>
          <t>Updated as needed by the issuing authority</t>
        </is>
      </c>
      <c r="U291" s="25" t="inlineStr">
        <is>
          <t>CURRENT — consult official source for latest version</t>
        </is>
      </c>
      <c r="V291" s="303" t="inlineStr">
        <is>
          <t>Penalties defined by issuing authority; consult official source. NCA ECC-2 penalties apply if relevant</t>
        </is>
      </c>
      <c r="W291" s="304" t="inlineStr">
        <is>
          <t>Issuing authority and/or designated inspection department</t>
        </is>
      </c>
      <c r="X291" s="303" t="inlineStr">
        <is>
          <t>As specified in framework scope — consult official document</t>
        </is>
      </c>
      <c r="Y291" s="49" t="inlineStr">
        <is>
          <t>Both (unless specified otherwise in official document)</t>
        </is>
      </c>
      <c r="Z291" s="303" t="inlineStr">
        <is>
          <t>As defined by issuing authority</t>
        </is>
      </c>
      <c r="AA291" s="305" t="inlineStr">
        <is>
          <t>As defined by issuing authority</t>
        </is>
      </c>
      <c r="AB291" s="303" t="inlineStr">
        <is>
          <t>To be determined from framework text — see official source</t>
        </is>
      </c>
      <c r="AC291" s="303" t="inlineStr">
        <is>
          <t>See framework preamble for international standard references</t>
        </is>
      </c>
      <c r="AD291" s="49" t="inlineStr">
        <is>
          <t>Arabic (primary in KSA); English may be available</t>
        </is>
      </c>
      <c r="AE291" s="58" t="inlineStr">
        <is>
          <t>Mapped to relevant GH-ICGA layer — requires manual assessment</t>
        </is>
      </c>
      <c r="AF291" s="56" t="inlineStr">
        <is>
          <t>See official framework for maturity model details</t>
        </is>
      </c>
      <c r="AG291" s="303" t="inlineStr">
        <is>
          <t>Aligned with relevant Vision 2030 programme — see framework context</t>
        </is>
      </c>
      <c r="AH291" s="303" t="inlineStr">
        <is>
          <t>As specified in framework compliance requirements</t>
        </is>
      </c>
      <c r="AI291" s="308" t="inlineStr">
        <is>
          <t>Institutional theory and regulatory governance theory underpin all KSA regulatory frameworks. Specific theoretical basis varies by framework — consult academic literature via Google Scholar using framework name as search term.</t>
        </is>
      </c>
      <c r="AJ291" s="303" t="inlineStr">
        <is>
          <t>Academic debate varies by framework maturity and international adoption. For KSA-specific debate, consult: Almohammad &amp; Wills (2021) J Cybersecurity; Al-Khater et al. (2020) IEEE Access; Baker McKenzie KSA regulatory updates.</t>
        </is>
      </c>
      <c r="AK291" s="309" t="inlineStr">
        <is>
          <t>Known criticisms include: implementation gap between standards and practice; resource constraints for smaller healthcare entities; rapid technology evolution outpacing regulation. Consult framework evaluation literature for specifics.</t>
        </is>
      </c>
      <c r="AL291" s="310" t="inlineStr">
        <is>
          <t>Framework comparison requires contextual analysis. Key comparators: NIST CSF 2.0 (international benchmark), ISO 27001 (certifiable standard), ECC-2 (KSA mandatory baseline). See main database for cross-framework mapping.</t>
        </is>
      </c>
      <c r="AM291" s="311"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91" s="312" t="inlineStr">
        <is>
          <t>Official: Consult the official source URL in the database for the primary document. Training: ISACA, ISC2, RAPS, IAPP, and HIMSS offer professional development covering most regulatory domains. Estimated hours vary by framework complexity.</t>
        </is>
      </c>
      <c r="AO291" s="313" t="inlineStr">
        <is>
          <t>Relevance to GH-ICGA framework varies by layer — see GH-ICGA Layer Mapping column. All KSA mandatory frameworks are compliance inputs to GH-ICGA Layer 4. Frameworks with IoMT-specific provisions directly inform Layers 2 and 3.</t>
        </is>
      </c>
      <c r="AP291" s="51" t="inlineStr">
        <is>
          <t>G + C (Governance + Compliance — standard regulatory framework positioning)</t>
        </is>
      </c>
      <c r="AQ291" s="314" t="inlineStr">
        <is>
          <t>Senior management: accountability for framework compliance. Designated compliance officer: monitor requirements. All staff: awareness of applicable obligations</t>
        </is>
      </c>
      <c r="AR291" s="309" t="inlineStr">
        <is>
          <t>Regulatory Risk; Operational Risk; Reputational Risk — specific domains determined by framework scope</t>
        </is>
      </c>
      <c r="AS291" s="22" t="inlineStr">
        <is>
          <t>See official source — legal obligation, regulatory requirement, or voluntary standard as applicable</t>
        </is>
      </c>
      <c r="AT291" s="310" t="inlineStr">
        <is>
          <t>Administrative; Technical; Operational — specific distribution determined by framework content</t>
        </is>
      </c>
      <c r="AU291" s="315" t="inlineStr">
        <is>
          <t>1. Compliance status (compliant/non-compliant). 2. # open findings from last assessment. 3. % controls implemented. 4. Time to remediate findings. 5. Incident rate in framework scope area</t>
        </is>
      </c>
      <c r="AV291" s="316" t="inlineStr">
        <is>
          <t>Self-assessment; internal audit; external assessment as specified by issuing authority</t>
        </is>
      </c>
      <c r="AW291" s="317" t="inlineStr">
        <is>
          <t>ServiceNow GRC; IBM OpenPages; RSA Archer; MetricStream — all major GRC platforms support custom framework import. Contact vendor for framework-specific module</t>
        </is>
      </c>
      <c r="AX291" s="318" t="inlineStr">
        <is>
          <t>Third parties in scope must demonstrate equivalent compliance. Contractual compliance obligations; right-to-audit clauses; annual third-party assessment</t>
        </is>
      </c>
      <c r="AY291" s="319" t="inlineStr">
        <is>
          <t>Non-compliance: regulatory action by issuing authority; fines and penalties as specified; operational and reputational consequences</t>
        </is>
      </c>
      <c r="AZ291" s="316" t="inlineStr">
        <is>
          <t>ALL 17 SECTORS</t>
        </is>
      </c>
      <c r="BA291" s="34" t="inlineStr">
        <is>
          <t>YES — ALL SECTORS</t>
        </is>
      </c>
      <c r="BB291" s="591">
        <f>IF(E291="","",IF(ISNUMBER(SEARCH("Institutional theory and regulatory governance theory underpin",AI291)),"TEMPLATE",IF(LEN(AI291)&gt;100,"DEEP",IF(AI291="","SPARSE","SHALLOW"))))</f>
        <v/>
      </c>
      <c r="BC291" s="591">
        <f>IF(E291="","",D291&amp;"-"&amp;B291&amp;"-"&amp;E291)</f>
        <v/>
      </c>
      <c r="BD291" s="591">
        <f>IF(E291="","",SUBSTITUTE(SUBSTITUTE(B291&amp;"-"&amp;E291," ",""),":","-"))</f>
        <v/>
      </c>
      <c r="BE291" s="591">
        <f>IF(E291="","",IF(ISNUMBER(SEARCH("ECC",E291)),"NCA-ECC-2-2024",IF(ISNUMBER(SEARCH("OTCC",E291)),"NCA-ECC-2-2024",IF(ISNUMBER(SEARCH("CCC",E291)),"NCA-ECC-2-2024",IF(ISNUMBER(SEARCH("DCC",E291)),"NCA-ECC-2-2024",IF(ISNUMBER(SEARCH("CSCC",E291)),"NCA-ECC-2-2024",IF(ISNUMBER(SEARCH("PDPL-IR",E291)),"PDPL-2021",IF(ISNUMBER(SEARCH("PDPL-DTR",E291)),"PDPL-2021","NONE"))))))))</f>
        <v/>
      </c>
      <c r="BF291" s="594">
        <f>IF(E291="","",IF(BB291="DEEP",10,IF(BB291="SHALLOW",5,IF(BB291="TEMPLATE",3,1)))+IF(N291="HIGHEST",5,IF(N291="HIGH",3,IF(N291="MODERATE",1,0)))+IF(ISNUMBER(SEARCH("Mandatory",L291)),3,0))</f>
        <v/>
      </c>
    </row>
    <row r="292" ht="42" customHeight="1">
      <c r="A292" s="301" t="n">
        <v>257</v>
      </c>
      <c r="B292" s="302" t="inlineStr">
        <is>
          <t>KAUST</t>
        </is>
      </c>
      <c r="C292" s="303" t="inlineStr">
        <is>
          <t>King Abdullah Univ. Science &amp; Technology</t>
        </is>
      </c>
      <c r="D292" s="303" t="inlineStr">
        <is>
          <t>12. Education &amp; Research</t>
        </is>
      </c>
      <c r="E292" s="302" t="inlineStr">
        <is>
          <t>KAUST-FW</t>
        </is>
      </c>
      <c r="F292" s="304" t="inlineStr">
        <is>
          <t>Research Ethics &amp; Governance Policy</t>
        </is>
      </c>
      <c r="G292" s="303" t="inlineStr">
        <is>
          <t>الإطار التنظيمي الرئيسي</t>
        </is>
      </c>
      <c r="H292" s="303" t="inlineStr">
        <is>
          <t>Active/Updated</t>
        </is>
      </c>
      <c r="I292" s="305" t="inlineStr">
        <is>
          <t>2009</t>
        </is>
      </c>
      <c r="J292" s="305" t="inlineStr">
        <is>
          <t>N/A</t>
        </is>
      </c>
      <c r="K292" s="303" t="inlineStr">
        <is>
          <t>ISSUES/ENFORCES</t>
        </is>
      </c>
      <c r="L292" s="22" t="inlineStr">
        <is>
          <t>Mandatory Enforcer</t>
        </is>
      </c>
      <c r="M292" s="303" t="inlineStr">
        <is>
          <t>Entities regulated by this authority</t>
        </is>
      </c>
      <c r="N292" s="306" t="inlineStr">
        <is>
          <t>MODERATE</t>
        </is>
      </c>
      <c r="O292" s="307" t="inlineStr">
        <is>
          <t>https://www.gov.sa/</t>
        </is>
      </c>
      <c r="P292" s="303" t="inlineStr">
        <is>
          <t>Ministry/Authority official site</t>
        </is>
      </c>
      <c r="Q292" s="303" t="inlineStr">
        <is>
          <t>See official source for version history</t>
        </is>
      </c>
      <c r="R292" s="303" t="inlineStr">
        <is>
          <t>Framework issued by the relevant authority. Version details available on the official website referenced in the source URL column. The framework has been updated periodically since first issuance.</t>
        </is>
      </c>
      <c r="S292" s="305" t="inlineStr">
        <is>
          <t>See official source</t>
        </is>
      </c>
      <c r="T292" s="303" t="inlineStr">
        <is>
          <t>Updated as needed by the issuing authority</t>
        </is>
      </c>
      <c r="U292" s="25" t="inlineStr">
        <is>
          <t>CURRENT — consult official source for latest version</t>
        </is>
      </c>
      <c r="V292" s="303" t="inlineStr">
        <is>
          <t>Penalties defined by issuing authority; consult official source. NCA ECC-2 penalties apply if relevant</t>
        </is>
      </c>
      <c r="W292" s="304" t="inlineStr">
        <is>
          <t>Issuing authority and/or designated inspection department</t>
        </is>
      </c>
      <c r="X292" s="303" t="inlineStr">
        <is>
          <t>As specified in framework scope — consult official document</t>
        </is>
      </c>
      <c r="Y292" s="49" t="inlineStr">
        <is>
          <t>Both (unless specified otherwise in official document)</t>
        </is>
      </c>
      <c r="Z292" s="303" t="inlineStr">
        <is>
          <t>As defined by issuing authority</t>
        </is>
      </c>
      <c r="AA292" s="305" t="inlineStr">
        <is>
          <t>As defined by issuing authority</t>
        </is>
      </c>
      <c r="AB292" s="303" t="inlineStr">
        <is>
          <t>To be determined from framework text — see official source</t>
        </is>
      </c>
      <c r="AC292" s="303" t="inlineStr">
        <is>
          <t>See framework preamble for international standard references</t>
        </is>
      </c>
      <c r="AD292" s="49" t="inlineStr">
        <is>
          <t>Arabic (primary in KSA); English may be available</t>
        </is>
      </c>
      <c r="AE292" s="58" t="inlineStr">
        <is>
          <t>Mapped to relevant GH-ICGA layer — requires manual assessment</t>
        </is>
      </c>
      <c r="AF292" s="56" t="inlineStr">
        <is>
          <t>See official framework for maturity model details</t>
        </is>
      </c>
      <c r="AG292" s="303" t="inlineStr">
        <is>
          <t>Aligned with relevant Vision 2030 programme — see framework context</t>
        </is>
      </c>
      <c r="AH292" s="303" t="inlineStr">
        <is>
          <t>As specified in framework compliance requirements</t>
        </is>
      </c>
      <c r="AI292" s="308" t="inlineStr">
        <is>
          <t>Institutional theory and regulatory governance theory underpin all KSA regulatory frameworks. Specific theoretical basis varies by framework — consult academic literature via Google Scholar using framework name as search term.</t>
        </is>
      </c>
      <c r="AJ292" s="303" t="inlineStr">
        <is>
          <t>Academic debate varies by framework maturity and international adoption. For KSA-specific debate, consult: Almohammad &amp; Wills (2021) J Cybersecurity; Al-Khater et al. (2020) IEEE Access; Baker McKenzie KSA regulatory updates.</t>
        </is>
      </c>
      <c r="AK292" s="309" t="inlineStr">
        <is>
          <t>Known criticisms include: implementation gap between standards and practice; resource constraints for smaller healthcare entities; rapid technology evolution outpacing regulation. Consult framework evaluation literature for specifics.</t>
        </is>
      </c>
      <c r="AL292" s="310" t="inlineStr">
        <is>
          <t>Framework comparison requires contextual analysis. Key comparators: NIST CSF 2.0 (international benchmark), ISO 27001 (certifiable standard), ECC-2 (KSA mandatory baseline). See main database for cross-framework mapping.</t>
        </is>
      </c>
      <c r="AM292" s="311"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92" s="312" t="inlineStr">
        <is>
          <t>Official: Consult the official source URL in the database for the primary document. Training: ISACA, ISC2, RAPS, IAPP, and HIMSS offer professional development covering most regulatory domains. Estimated hours vary by framework complexity.</t>
        </is>
      </c>
      <c r="AO292" s="313" t="inlineStr">
        <is>
          <t>Relevance to GH-ICGA framework varies by layer — see GH-ICGA Layer Mapping column. All KSA mandatory frameworks are compliance inputs to GH-ICGA Layer 4. Frameworks with IoMT-specific provisions directly inform Layers 2 and 3.</t>
        </is>
      </c>
      <c r="AP292" s="51" t="inlineStr">
        <is>
          <t>G + C (Governance + Compliance — standard regulatory framework positioning)</t>
        </is>
      </c>
      <c r="AQ292" s="314" t="inlineStr">
        <is>
          <t>Senior management: accountability for framework compliance. Designated compliance officer: monitor requirements. All staff: awareness of applicable obligations</t>
        </is>
      </c>
      <c r="AR292" s="309" t="inlineStr">
        <is>
          <t>Regulatory Risk; Operational Risk; Reputational Risk — specific domains determined by framework scope</t>
        </is>
      </c>
      <c r="AS292" s="22" t="inlineStr">
        <is>
          <t>See official source — legal obligation, regulatory requirement, or voluntary standard as applicable</t>
        </is>
      </c>
      <c r="AT292" s="310" t="inlineStr">
        <is>
          <t>Administrative; Technical; Operational — specific distribution determined by framework content</t>
        </is>
      </c>
      <c r="AU292" s="315" t="inlineStr">
        <is>
          <t>1. Compliance status (compliant/non-compliant). 2. # open findings from last assessment. 3. % controls implemented. 4. Time to remediate findings. 5. Incident rate in framework scope area</t>
        </is>
      </c>
      <c r="AV292" s="316" t="inlineStr">
        <is>
          <t>Self-assessment; internal audit; external assessment as specified by issuing authority</t>
        </is>
      </c>
      <c r="AW292" s="317" t="inlineStr">
        <is>
          <t>ServiceNow GRC; IBM OpenPages; RSA Archer; MetricStream — all major GRC platforms support custom framework import. Contact vendor for framework-specific module</t>
        </is>
      </c>
      <c r="AX292" s="318" t="inlineStr">
        <is>
          <t>Third parties in scope must demonstrate equivalent compliance. Contractual compliance obligations; right-to-audit clauses; annual third-party assessment</t>
        </is>
      </c>
      <c r="AY292" s="319" t="inlineStr">
        <is>
          <t>Non-compliance: regulatory action by issuing authority; fines and penalties as specified; operational and reputational consequences</t>
        </is>
      </c>
      <c r="AZ292" s="316" t="inlineStr">
        <is>
          <t>Sector-specific — consult official source</t>
        </is>
      </c>
      <c r="BA292" s="41" t="inlineStr">
        <is>
          <t>Sector-Specific</t>
        </is>
      </c>
      <c r="BB292" s="591">
        <f>IF(E292="","",IF(ISNUMBER(SEARCH("Institutional theory and regulatory governance theory underpin",AI292)),"TEMPLATE",IF(LEN(AI292)&gt;100,"DEEP",IF(AI292="","SPARSE","SHALLOW"))))</f>
        <v/>
      </c>
      <c r="BC292" s="591">
        <f>IF(E292="","",D292&amp;"-"&amp;B292&amp;"-"&amp;E292)</f>
        <v/>
      </c>
      <c r="BD292" s="591">
        <f>IF(E292="","",SUBSTITUTE(SUBSTITUTE(B292&amp;"-"&amp;E292," ",""),":","-"))</f>
        <v/>
      </c>
      <c r="BE292" s="591">
        <f>IF(E292="","",IF(ISNUMBER(SEARCH("ECC",E292)),"NCA-ECC-2-2024",IF(ISNUMBER(SEARCH("OTCC",E292)),"NCA-ECC-2-2024",IF(ISNUMBER(SEARCH("CCC",E292)),"NCA-ECC-2-2024",IF(ISNUMBER(SEARCH("DCC",E292)),"NCA-ECC-2-2024",IF(ISNUMBER(SEARCH("CSCC",E292)),"NCA-ECC-2-2024",IF(ISNUMBER(SEARCH("PDPL-IR",E292)),"PDPL-2021",IF(ISNUMBER(SEARCH("PDPL-DTR",E292)),"PDPL-2021","NONE"))))))))</f>
        <v/>
      </c>
      <c r="BF292" s="594">
        <f>IF(E292="","",IF(BB292="DEEP",10,IF(BB292="SHALLOW",5,IF(BB292="TEMPLATE",3,1)))+IF(N292="HIGHEST",5,IF(N292="HIGH",3,IF(N292="MODERATE",1,0)))+IF(ISNUMBER(SEARCH("Mandatory",L292)),3,0))</f>
        <v/>
      </c>
    </row>
    <row r="293" ht="42" customHeight="1">
      <c r="A293" s="42" t="n">
        <v>258</v>
      </c>
      <c r="B293" s="320" t="inlineStr">
        <is>
          <t>KAUST</t>
        </is>
      </c>
      <c r="C293" s="44" t="inlineStr">
        <is>
          <t>King Abdullah Univ. Science &amp; Technology</t>
        </is>
      </c>
      <c r="D293" s="44" t="inlineStr">
        <is>
          <t>12. Education &amp; Research</t>
        </is>
      </c>
      <c r="E293" s="320" t="inlineStr">
        <is>
          <t>NCA-ECC-2:2024</t>
        </is>
      </c>
      <c r="F293" s="45" t="inlineStr">
        <is>
          <t>Essential Cybersecurity Controls</t>
        </is>
      </c>
      <c r="G293" s="44" t="inlineStr">
        <is>
          <t>ضوابط الأمن السيبراني الأساسية</t>
        </is>
      </c>
      <c r="H293" s="44" t="inlineStr">
        <is>
          <t>ECC-2:2024</t>
        </is>
      </c>
      <c r="I293" s="46" t="inlineStr">
        <is>
          <t>2018</t>
        </is>
      </c>
      <c r="J293" s="46" t="inlineStr">
        <is>
          <t>108</t>
        </is>
      </c>
      <c r="K293" s="44" t="inlineStr">
        <is>
          <t>MUST COMPLY WITH</t>
        </is>
      </c>
      <c r="L293" s="66" t="inlineStr">
        <is>
          <t>Mandatory Complier</t>
        </is>
      </c>
      <c r="M293" s="44" t="inlineStr">
        <is>
          <t>King Abdullah Univ. Science &amp; Technology as government entity</t>
        </is>
      </c>
      <c r="N293" s="59" t="inlineStr">
        <is>
          <t>LOW</t>
        </is>
      </c>
      <c r="O293" s="48" t="inlineStr">
        <is>
          <t>https://nca.gov.sa/</t>
        </is>
      </c>
      <c r="P293" s="44" t="inlineStr">
        <is>
          <t>NCA ECC scope</t>
        </is>
      </c>
      <c r="Q293" s="303" t="inlineStr">
        <is>
          <t>See official source for version history</t>
        </is>
      </c>
      <c r="R293" s="303" t="inlineStr">
        <is>
          <t>Framework issued by the relevant authority. Version details available on the official website referenced in the source URL column. The framework has been updated periodically since first issuance.</t>
        </is>
      </c>
      <c r="S293" s="305" t="inlineStr">
        <is>
          <t>See official source</t>
        </is>
      </c>
      <c r="T293" s="303" t="inlineStr">
        <is>
          <t>Updated as needed by the issuing authority</t>
        </is>
      </c>
      <c r="U293" s="25" t="inlineStr">
        <is>
          <t>CURRENT — consult official source for latest version</t>
        </is>
      </c>
      <c r="V293" s="303" t="inlineStr">
        <is>
          <t>Penalties defined by issuing authority; consult official source. NCA ECC-2 penalties apply if relevant</t>
        </is>
      </c>
      <c r="W293" s="304" t="inlineStr">
        <is>
          <t>Issuing authority and/or designated inspection department</t>
        </is>
      </c>
      <c r="X293" s="303" t="inlineStr">
        <is>
          <t>As specified in framework scope — consult official document</t>
        </is>
      </c>
      <c r="Y293" s="49" t="inlineStr">
        <is>
          <t>Both (unless specified otherwise in official document)</t>
        </is>
      </c>
      <c r="Z293" s="303" t="inlineStr">
        <is>
          <t>As defined by issuing authority</t>
        </is>
      </c>
      <c r="AA293" s="305" t="inlineStr">
        <is>
          <t>As defined by issuing authority</t>
        </is>
      </c>
      <c r="AB293" s="303" t="inlineStr">
        <is>
          <t>To be determined from framework text — see official source</t>
        </is>
      </c>
      <c r="AC293" s="303" t="inlineStr">
        <is>
          <t>See framework preamble for international standard references</t>
        </is>
      </c>
      <c r="AD293" s="49" t="inlineStr">
        <is>
          <t>Arabic (primary in KSA); English may be available</t>
        </is>
      </c>
      <c r="AE293" s="58" t="inlineStr">
        <is>
          <t>Mapped to relevant GH-ICGA layer — requires manual assessment</t>
        </is>
      </c>
      <c r="AF293" s="56" t="inlineStr">
        <is>
          <t>See official framework for maturity model details</t>
        </is>
      </c>
      <c r="AG293" s="303" t="inlineStr">
        <is>
          <t>Aligned with relevant Vision 2030 programme — see framework context</t>
        </is>
      </c>
      <c r="AH293" s="303" t="inlineStr">
        <is>
          <t>As specified in framework compliance requirements</t>
        </is>
      </c>
      <c r="AI293" s="308" t="inlineStr">
        <is>
          <t>Institutional theory and regulatory governance theory underpin all KSA regulatory frameworks. Specific theoretical basis varies by framework — consult academic literature via Google Scholar using framework name as search term.</t>
        </is>
      </c>
      <c r="AJ293" s="303" t="inlineStr">
        <is>
          <t>Academic debate varies by framework maturity and international adoption. For KSA-specific debate, consult: Almohammad &amp; Wills (2021) J Cybersecurity; Al-Khater et al. (2020) IEEE Access; Baker McKenzie KSA regulatory updates.</t>
        </is>
      </c>
      <c r="AK293" s="309" t="inlineStr">
        <is>
          <t>Known criticisms include: implementation gap between standards and practice; resource constraints for smaller healthcare entities; rapid technology evolution outpacing regulation. Consult framework evaluation literature for specifics.</t>
        </is>
      </c>
      <c r="AL293" s="310" t="inlineStr">
        <is>
          <t>Framework comparison requires contextual analysis. Key comparators: NIST CSF 2.0 (international benchmark), ISO 27001 (certifiable standard), ECC-2 (KSA mandatory baseline). See main database for cross-framework mapping.</t>
        </is>
      </c>
      <c r="AM293" s="311"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93" s="312" t="inlineStr">
        <is>
          <t>Official: Consult the official source URL in the database for the primary document. Training: ISACA, ISC2, RAPS, IAPP, and HIMSS offer professional development covering most regulatory domains. Estimated hours vary by framework complexity.</t>
        </is>
      </c>
      <c r="AO293" s="313" t="inlineStr">
        <is>
          <t>Relevance to GH-ICGA framework varies by layer — see GH-ICGA Layer Mapping column. All KSA mandatory frameworks are compliance inputs to GH-ICGA Layer 4. Frameworks with IoMT-specific provisions directly inform Layers 2 and 3.</t>
        </is>
      </c>
      <c r="AP293" s="51" t="inlineStr">
        <is>
          <t>G + C (Governance + Compliance — standard regulatory framework positioning)</t>
        </is>
      </c>
      <c r="AQ293" s="314" t="inlineStr">
        <is>
          <t>Senior management: accountability for framework compliance. Designated compliance officer: monitor requirements. All staff: awareness of applicable obligations</t>
        </is>
      </c>
      <c r="AR293" s="309" t="inlineStr">
        <is>
          <t>Regulatory Risk; Operational Risk; Reputational Risk — specific domains determined by framework scope</t>
        </is>
      </c>
      <c r="AS293" s="22" t="inlineStr">
        <is>
          <t>See official source — legal obligation, regulatory requirement, or voluntary standard as applicable</t>
        </is>
      </c>
      <c r="AT293" s="310" t="inlineStr">
        <is>
          <t>Administrative; Technical; Operational — specific distribution determined by framework content</t>
        </is>
      </c>
      <c r="AU293" s="315" t="inlineStr">
        <is>
          <t>1. Compliance status (compliant/non-compliant). 2. # open findings from last assessment. 3. % controls implemented. 4. Time to remediate findings. 5. Incident rate in framework scope area</t>
        </is>
      </c>
      <c r="AV293" s="316" t="inlineStr">
        <is>
          <t>Self-assessment; internal audit; external assessment as specified by issuing authority</t>
        </is>
      </c>
      <c r="AW293" s="317" t="inlineStr">
        <is>
          <t>ServiceNow GRC; IBM OpenPages; RSA Archer; MetricStream — all major GRC platforms support custom framework import. Contact vendor for framework-specific module</t>
        </is>
      </c>
      <c r="AX293" s="318" t="inlineStr">
        <is>
          <t>Third parties in scope must demonstrate equivalent compliance. Contractual compliance obligations; right-to-audit clauses; annual third-party assessment</t>
        </is>
      </c>
      <c r="AY293" s="319" t="inlineStr">
        <is>
          <t>Non-compliance: regulatory action by issuing authority; fines and penalties as specified; operational and reputational consequences</t>
        </is>
      </c>
      <c r="AZ293" s="316" t="inlineStr">
        <is>
          <t>ALL 17 SECTORS</t>
        </is>
      </c>
      <c r="BA293" s="34" t="inlineStr">
        <is>
          <t>YES — ALL SECTORS</t>
        </is>
      </c>
      <c r="BB293" s="591">
        <f>IF(E293="","",IF(ISNUMBER(SEARCH("Institutional theory and regulatory governance theory underpin",AI293)),"TEMPLATE",IF(LEN(AI293)&gt;100,"DEEP",IF(AI293="","SPARSE","SHALLOW"))))</f>
        <v/>
      </c>
      <c r="BC293" s="591">
        <f>IF(E293="","",D293&amp;"-"&amp;B293&amp;"-"&amp;E293)</f>
        <v/>
      </c>
      <c r="BD293" s="591">
        <f>IF(E293="","",SUBSTITUTE(SUBSTITUTE(B293&amp;"-"&amp;E293," ",""),":","-"))</f>
        <v/>
      </c>
      <c r="BE293" s="591">
        <f>IF(E293="","",IF(ISNUMBER(SEARCH("ECC",E293)),"NCA-ECC-2-2024",IF(ISNUMBER(SEARCH("OTCC",E293)),"NCA-ECC-2-2024",IF(ISNUMBER(SEARCH("CCC",E293)),"NCA-ECC-2-2024",IF(ISNUMBER(SEARCH("DCC",E293)),"NCA-ECC-2-2024",IF(ISNUMBER(SEARCH("CSCC",E293)),"NCA-ECC-2-2024",IF(ISNUMBER(SEARCH("PDPL-IR",E293)),"PDPL-2021",IF(ISNUMBER(SEARCH("PDPL-DTR",E293)),"PDPL-2021","NONE"))))))))</f>
        <v/>
      </c>
      <c r="BF293" s="594">
        <f>IF(E293="","",IF(BB293="DEEP",10,IF(BB293="SHALLOW",5,IF(BB293="TEMPLATE",3,1)))+IF(N293="HIGHEST",5,IF(N293="HIGH",3,IF(N293="MODERATE",1,0)))+IF(ISNUMBER(SEARCH("Mandatory",L293)),3,0))</f>
        <v/>
      </c>
    </row>
    <row r="294" ht="42" customHeight="1">
      <c r="A294" s="301" t="n">
        <v>259</v>
      </c>
      <c r="B294" s="302" t="inlineStr">
        <is>
          <t>KSU</t>
        </is>
      </c>
      <c r="C294" s="303" t="inlineStr">
        <is>
          <t>King Saud University (Univ. Hospital)</t>
        </is>
      </c>
      <c r="D294" s="303" t="inlineStr">
        <is>
          <t>12. Education &amp; Research</t>
        </is>
      </c>
      <c r="E294" s="302" t="inlineStr">
        <is>
          <t>KSU-FW</t>
        </is>
      </c>
      <c r="F294" s="304" t="inlineStr">
        <is>
          <t>Clinical Policy &amp; Hospital Governance</t>
        </is>
      </c>
      <c r="G294" s="303" t="inlineStr">
        <is>
          <t>الإطار التنظيمي الرئيسي</t>
        </is>
      </c>
      <c r="H294" s="303" t="inlineStr">
        <is>
          <t>Active/Updated</t>
        </is>
      </c>
      <c r="I294" s="305" t="inlineStr">
        <is>
          <t>1957</t>
        </is>
      </c>
      <c r="J294" s="305" t="inlineStr">
        <is>
          <t>N/A</t>
        </is>
      </c>
      <c r="K294" s="303" t="inlineStr">
        <is>
          <t>ISSUES/ENFORCES</t>
        </is>
      </c>
      <c r="L294" s="22" t="inlineStr">
        <is>
          <t>Mandatory Enforcer</t>
        </is>
      </c>
      <c r="M294" s="303" t="inlineStr">
        <is>
          <t>Entities regulated by this authority</t>
        </is>
      </c>
      <c r="N294" s="306" t="inlineStr">
        <is>
          <t>MODERATE</t>
        </is>
      </c>
      <c r="O294" s="307" t="inlineStr">
        <is>
          <t>https://www.gov.sa/</t>
        </is>
      </c>
      <c r="P294" s="303" t="inlineStr">
        <is>
          <t>Ministry/Authority official site</t>
        </is>
      </c>
      <c r="Q294" s="303" t="inlineStr">
        <is>
          <t>See official source for version history</t>
        </is>
      </c>
      <c r="R294" s="303" t="inlineStr">
        <is>
          <t>Framework issued by the relevant authority. Version details available on the official website referenced in the source URL column. The framework has been updated periodically since first issuance.</t>
        </is>
      </c>
      <c r="S294" s="305" t="inlineStr">
        <is>
          <t>See official source</t>
        </is>
      </c>
      <c r="T294" s="303" t="inlineStr">
        <is>
          <t>Updated as needed by the issuing authority</t>
        </is>
      </c>
      <c r="U294" s="25" t="inlineStr">
        <is>
          <t>CURRENT — consult official source for latest version</t>
        </is>
      </c>
      <c r="V294" s="303" t="inlineStr">
        <is>
          <t>Penalties defined by issuing authority; consult official source. NCA ECC-2 penalties apply if relevant</t>
        </is>
      </c>
      <c r="W294" s="304" t="inlineStr">
        <is>
          <t>Issuing authority and/or designated inspection department</t>
        </is>
      </c>
      <c r="X294" s="303" t="inlineStr">
        <is>
          <t>As specified in framework scope — consult official document</t>
        </is>
      </c>
      <c r="Y294" s="49" t="inlineStr">
        <is>
          <t>Both (unless specified otherwise in official document)</t>
        </is>
      </c>
      <c r="Z294" s="303" t="inlineStr">
        <is>
          <t>As defined by issuing authority</t>
        </is>
      </c>
      <c r="AA294" s="305" t="inlineStr">
        <is>
          <t>As defined by issuing authority</t>
        </is>
      </c>
      <c r="AB294" s="303" t="inlineStr">
        <is>
          <t>To be determined from framework text — see official source</t>
        </is>
      </c>
      <c r="AC294" s="303" t="inlineStr">
        <is>
          <t>See framework preamble for international standard references</t>
        </is>
      </c>
      <c r="AD294" s="49" t="inlineStr">
        <is>
          <t>Arabic (primary in KSA); English may be available</t>
        </is>
      </c>
      <c r="AE294" s="58" t="inlineStr">
        <is>
          <t>Mapped to relevant GH-ICGA layer — requires manual assessment</t>
        </is>
      </c>
      <c r="AF294" s="56" t="inlineStr">
        <is>
          <t>See official framework for maturity model details</t>
        </is>
      </c>
      <c r="AG294" s="303" t="inlineStr">
        <is>
          <t>Aligned with relevant Vision 2030 programme — see framework context</t>
        </is>
      </c>
      <c r="AH294" s="303" t="inlineStr">
        <is>
          <t>As specified in framework compliance requirements</t>
        </is>
      </c>
      <c r="AI294" s="308" t="inlineStr">
        <is>
          <t>Institutional theory and regulatory governance theory underpin all KSA regulatory frameworks. Specific theoretical basis varies by framework — consult academic literature via Google Scholar using framework name as search term.</t>
        </is>
      </c>
      <c r="AJ294" s="303" t="inlineStr">
        <is>
          <t>Academic debate varies by framework maturity and international adoption. For KSA-specific debate, consult: Almohammad &amp; Wills (2021) J Cybersecurity; Al-Khater et al. (2020) IEEE Access; Baker McKenzie KSA regulatory updates.</t>
        </is>
      </c>
      <c r="AK294" s="309" t="inlineStr">
        <is>
          <t>Known criticisms include: implementation gap between standards and practice; resource constraints for smaller healthcare entities; rapid technology evolution outpacing regulation. Consult framework evaluation literature for specifics.</t>
        </is>
      </c>
      <c r="AL294" s="310" t="inlineStr">
        <is>
          <t>Framework comparison requires contextual analysis. Key comparators: NIST CSF 2.0 (international benchmark), ISO 27001 (certifiable standard), ECC-2 (KSA mandatory baseline). See main database for cross-framework mapping.</t>
        </is>
      </c>
      <c r="AM294" s="311"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94" s="312" t="inlineStr">
        <is>
          <t>Official: Consult the official source URL in the database for the primary document. Training: ISACA, ISC2, RAPS, IAPP, and HIMSS offer professional development covering most regulatory domains. Estimated hours vary by framework complexity.</t>
        </is>
      </c>
      <c r="AO294" s="313" t="inlineStr">
        <is>
          <t>Relevance to GH-ICGA framework varies by layer — see GH-ICGA Layer Mapping column. All KSA mandatory frameworks are compliance inputs to GH-ICGA Layer 4. Frameworks with IoMT-specific provisions directly inform Layers 2 and 3.</t>
        </is>
      </c>
      <c r="AP294" s="51" t="inlineStr">
        <is>
          <t>G + C (Governance + Compliance — standard regulatory framework positioning)</t>
        </is>
      </c>
      <c r="AQ294" s="314" t="inlineStr">
        <is>
          <t>Senior management: accountability for framework compliance. Designated compliance officer: monitor requirements. All staff: awareness of applicable obligations</t>
        </is>
      </c>
      <c r="AR294" s="309" t="inlineStr">
        <is>
          <t>Regulatory Risk; Operational Risk; Reputational Risk — specific domains determined by framework scope</t>
        </is>
      </c>
      <c r="AS294" s="22" t="inlineStr">
        <is>
          <t>See official source — legal obligation, regulatory requirement, or voluntary standard as applicable</t>
        </is>
      </c>
      <c r="AT294" s="310" t="inlineStr">
        <is>
          <t>Administrative; Technical; Operational — specific distribution determined by framework content</t>
        </is>
      </c>
      <c r="AU294" s="315" t="inlineStr">
        <is>
          <t>1. Compliance status (compliant/non-compliant). 2. # open findings from last assessment. 3. % controls implemented. 4. Time to remediate findings. 5. Incident rate in framework scope area</t>
        </is>
      </c>
      <c r="AV294" s="316" t="inlineStr">
        <is>
          <t>Self-assessment; internal audit; external assessment as specified by issuing authority</t>
        </is>
      </c>
      <c r="AW294" s="317" t="inlineStr">
        <is>
          <t>ServiceNow GRC; IBM OpenPages; RSA Archer; MetricStream — all major GRC platforms support custom framework import. Contact vendor for framework-specific module</t>
        </is>
      </c>
      <c r="AX294" s="318" t="inlineStr">
        <is>
          <t>Third parties in scope must demonstrate equivalent compliance. Contractual compliance obligations; right-to-audit clauses; annual third-party assessment</t>
        </is>
      </c>
      <c r="AY294" s="319" t="inlineStr">
        <is>
          <t>Non-compliance: regulatory action by issuing authority; fines and penalties as specified; operational and reputational consequences</t>
        </is>
      </c>
      <c r="AZ294" s="316" t="inlineStr">
        <is>
          <t>Sector-specific — consult official source</t>
        </is>
      </c>
      <c r="BA294" s="41" t="inlineStr">
        <is>
          <t>Sector-Specific</t>
        </is>
      </c>
      <c r="BB294" s="591">
        <f>IF(E294="","",IF(ISNUMBER(SEARCH("Institutional theory and regulatory governance theory underpin",AI294)),"TEMPLATE",IF(LEN(AI294)&gt;100,"DEEP",IF(AI294="","SPARSE","SHALLOW"))))</f>
        <v/>
      </c>
      <c r="BC294" s="591">
        <f>IF(E294="","",D294&amp;"-"&amp;B294&amp;"-"&amp;E294)</f>
        <v/>
      </c>
      <c r="BD294" s="591">
        <f>IF(E294="","",SUBSTITUTE(SUBSTITUTE(B294&amp;"-"&amp;E294," ",""),":","-"))</f>
        <v/>
      </c>
      <c r="BE294" s="591">
        <f>IF(E294="","",IF(ISNUMBER(SEARCH("ECC",E294)),"NCA-ECC-2-2024",IF(ISNUMBER(SEARCH("OTCC",E294)),"NCA-ECC-2-2024",IF(ISNUMBER(SEARCH("CCC",E294)),"NCA-ECC-2-2024",IF(ISNUMBER(SEARCH("DCC",E294)),"NCA-ECC-2-2024",IF(ISNUMBER(SEARCH("CSCC",E294)),"NCA-ECC-2-2024",IF(ISNUMBER(SEARCH("PDPL-IR",E294)),"PDPL-2021",IF(ISNUMBER(SEARCH("PDPL-DTR",E294)),"PDPL-2021","NONE"))))))))</f>
        <v/>
      </c>
      <c r="BF294" s="594">
        <f>IF(E294="","",IF(BB294="DEEP",10,IF(BB294="SHALLOW",5,IF(BB294="TEMPLATE",3,1)))+IF(N294="HIGHEST",5,IF(N294="HIGH",3,IF(N294="MODERATE",1,0)))+IF(ISNUMBER(SEARCH("Mandatory",L294)),3,0))</f>
        <v/>
      </c>
    </row>
    <row r="295" ht="42" customHeight="1">
      <c r="A295" s="42" t="n">
        <v>260</v>
      </c>
      <c r="B295" s="320" t="inlineStr">
        <is>
          <t>KSU</t>
        </is>
      </c>
      <c r="C295" s="44" t="inlineStr">
        <is>
          <t>King Saud University (Univ. Hospital)</t>
        </is>
      </c>
      <c r="D295" s="44" t="inlineStr">
        <is>
          <t>12. Education &amp; Research</t>
        </is>
      </c>
      <c r="E295" s="320" t="inlineStr">
        <is>
          <t>NCA-ECC-2:2024</t>
        </is>
      </c>
      <c r="F295" s="45" t="inlineStr">
        <is>
          <t>Essential Cybersecurity Controls</t>
        </is>
      </c>
      <c r="G295" s="44" t="inlineStr">
        <is>
          <t>ضوابط الأمن السيبراني الأساسية</t>
        </is>
      </c>
      <c r="H295" s="44" t="inlineStr">
        <is>
          <t>ECC-2:2024</t>
        </is>
      </c>
      <c r="I295" s="46" t="inlineStr">
        <is>
          <t>2018</t>
        </is>
      </c>
      <c r="J295" s="46" t="inlineStr">
        <is>
          <t>108</t>
        </is>
      </c>
      <c r="K295" s="44" t="inlineStr">
        <is>
          <t>MUST COMPLY WITH</t>
        </is>
      </c>
      <c r="L295" s="66" t="inlineStr">
        <is>
          <t>Mandatory Complier</t>
        </is>
      </c>
      <c r="M295" s="44" t="inlineStr">
        <is>
          <t>King Saud University (Univ. Hospital) as government entity</t>
        </is>
      </c>
      <c r="N295" s="59" t="inlineStr">
        <is>
          <t>LOW</t>
        </is>
      </c>
      <c r="O295" s="48" t="inlineStr">
        <is>
          <t>https://nca.gov.sa/</t>
        </is>
      </c>
      <c r="P295" s="44" t="inlineStr">
        <is>
          <t>NCA ECC scope</t>
        </is>
      </c>
      <c r="Q295" s="303" t="inlineStr">
        <is>
          <t>See official source for version history</t>
        </is>
      </c>
      <c r="R295" s="303" t="inlineStr">
        <is>
          <t>Framework issued by the relevant authority. Version details available on the official website referenced in the source URL column. The framework has been updated periodically since first issuance.</t>
        </is>
      </c>
      <c r="S295" s="305" t="inlineStr">
        <is>
          <t>See official source</t>
        </is>
      </c>
      <c r="T295" s="303" t="inlineStr">
        <is>
          <t>Updated as needed by the issuing authority</t>
        </is>
      </c>
      <c r="U295" s="25" t="inlineStr">
        <is>
          <t>CURRENT — consult official source for latest version</t>
        </is>
      </c>
      <c r="V295" s="303" t="inlineStr">
        <is>
          <t>Penalties defined by issuing authority; consult official source. NCA ECC-2 penalties apply if relevant</t>
        </is>
      </c>
      <c r="W295" s="304" t="inlineStr">
        <is>
          <t>Issuing authority and/or designated inspection department</t>
        </is>
      </c>
      <c r="X295" s="303" t="inlineStr">
        <is>
          <t>As specified in framework scope — consult official document</t>
        </is>
      </c>
      <c r="Y295" s="49" t="inlineStr">
        <is>
          <t>Both (unless specified otherwise in official document)</t>
        </is>
      </c>
      <c r="Z295" s="303" t="inlineStr">
        <is>
          <t>As defined by issuing authority</t>
        </is>
      </c>
      <c r="AA295" s="305" t="inlineStr">
        <is>
          <t>As defined by issuing authority</t>
        </is>
      </c>
      <c r="AB295" s="303" t="inlineStr">
        <is>
          <t>To be determined from framework text — see official source</t>
        </is>
      </c>
      <c r="AC295" s="303" t="inlineStr">
        <is>
          <t>See framework preamble for international standard references</t>
        </is>
      </c>
      <c r="AD295" s="49" t="inlineStr">
        <is>
          <t>Arabic (primary in KSA); English may be available</t>
        </is>
      </c>
      <c r="AE295" s="58" t="inlineStr">
        <is>
          <t>Mapped to relevant GH-ICGA layer — requires manual assessment</t>
        </is>
      </c>
      <c r="AF295" s="56" t="inlineStr">
        <is>
          <t>See official framework for maturity model details</t>
        </is>
      </c>
      <c r="AG295" s="303" t="inlineStr">
        <is>
          <t>Aligned with relevant Vision 2030 programme — see framework context</t>
        </is>
      </c>
      <c r="AH295" s="303" t="inlineStr">
        <is>
          <t>As specified in framework compliance requirements</t>
        </is>
      </c>
      <c r="AI295" s="308" t="inlineStr">
        <is>
          <t>Institutional theory and regulatory governance theory underpin all KSA regulatory frameworks. Specific theoretical basis varies by framework — consult academic literature via Google Scholar using framework name as search term.</t>
        </is>
      </c>
      <c r="AJ295" s="303" t="inlineStr">
        <is>
          <t>Academic debate varies by framework maturity and international adoption. For KSA-specific debate, consult: Almohammad &amp; Wills (2021) J Cybersecurity; Al-Khater et al. (2020) IEEE Access; Baker McKenzie KSA regulatory updates.</t>
        </is>
      </c>
      <c r="AK295" s="309" t="inlineStr">
        <is>
          <t>Known criticisms include: implementation gap between standards and practice; resource constraints for smaller healthcare entities; rapid technology evolution outpacing regulation. Consult framework evaluation literature for specifics.</t>
        </is>
      </c>
      <c r="AL295" s="310" t="inlineStr">
        <is>
          <t>Framework comparison requires contextual analysis. Key comparators: NIST CSF 2.0 (international benchmark), ISO 27001 (certifiable standard), ECC-2 (KSA mandatory baseline). See main database for cross-framework mapping.</t>
        </is>
      </c>
      <c r="AM295" s="311"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95" s="312" t="inlineStr">
        <is>
          <t>Official: Consult the official source URL in the database for the primary document. Training: ISACA, ISC2, RAPS, IAPP, and HIMSS offer professional development covering most regulatory domains. Estimated hours vary by framework complexity.</t>
        </is>
      </c>
      <c r="AO295" s="313" t="inlineStr">
        <is>
          <t>Relevance to GH-ICGA framework varies by layer — see GH-ICGA Layer Mapping column. All KSA mandatory frameworks are compliance inputs to GH-ICGA Layer 4. Frameworks with IoMT-specific provisions directly inform Layers 2 and 3.</t>
        </is>
      </c>
      <c r="AP295" s="51" t="inlineStr">
        <is>
          <t>G + C (Governance + Compliance — standard regulatory framework positioning)</t>
        </is>
      </c>
      <c r="AQ295" s="314" t="inlineStr">
        <is>
          <t>Senior management: accountability for framework compliance. Designated compliance officer: monitor requirements. All staff: awareness of applicable obligations</t>
        </is>
      </c>
      <c r="AR295" s="309" t="inlineStr">
        <is>
          <t>Regulatory Risk; Operational Risk; Reputational Risk — specific domains determined by framework scope</t>
        </is>
      </c>
      <c r="AS295" s="22" t="inlineStr">
        <is>
          <t>See official source — legal obligation, regulatory requirement, or voluntary standard as applicable</t>
        </is>
      </c>
      <c r="AT295" s="310" t="inlineStr">
        <is>
          <t>Administrative; Technical; Operational — specific distribution determined by framework content</t>
        </is>
      </c>
      <c r="AU295" s="315" t="inlineStr">
        <is>
          <t>1. Compliance status (compliant/non-compliant). 2. # open findings from last assessment. 3. % controls implemented. 4. Time to remediate findings. 5. Incident rate in framework scope area</t>
        </is>
      </c>
      <c r="AV295" s="316" t="inlineStr">
        <is>
          <t>Self-assessment; internal audit; external assessment as specified by issuing authority</t>
        </is>
      </c>
      <c r="AW295" s="317" t="inlineStr">
        <is>
          <t>ServiceNow GRC; IBM OpenPages; RSA Archer; MetricStream — all major GRC platforms support custom framework import. Contact vendor for framework-specific module</t>
        </is>
      </c>
      <c r="AX295" s="318" t="inlineStr">
        <is>
          <t>Third parties in scope must demonstrate equivalent compliance. Contractual compliance obligations; right-to-audit clauses; annual third-party assessment</t>
        </is>
      </c>
      <c r="AY295" s="319" t="inlineStr">
        <is>
          <t>Non-compliance: regulatory action by issuing authority; fines and penalties as specified; operational and reputational consequences</t>
        </is>
      </c>
      <c r="AZ295" s="316" t="inlineStr">
        <is>
          <t>ALL 17 SECTORS</t>
        </is>
      </c>
      <c r="BA295" s="34" t="inlineStr">
        <is>
          <t>YES — ALL SECTORS</t>
        </is>
      </c>
      <c r="BB295" s="591">
        <f>IF(E295="","",IF(ISNUMBER(SEARCH("Institutional theory and regulatory governance theory underpin",AI295)),"TEMPLATE",IF(LEN(AI295)&gt;100,"DEEP",IF(AI295="","SPARSE","SHALLOW"))))</f>
        <v/>
      </c>
      <c r="BC295" s="591">
        <f>IF(E295="","",D295&amp;"-"&amp;B295&amp;"-"&amp;E295)</f>
        <v/>
      </c>
      <c r="BD295" s="591">
        <f>IF(E295="","",SUBSTITUTE(SUBSTITUTE(B295&amp;"-"&amp;E295," ",""),":","-"))</f>
        <v/>
      </c>
      <c r="BE295" s="591">
        <f>IF(E295="","",IF(ISNUMBER(SEARCH("ECC",E295)),"NCA-ECC-2-2024",IF(ISNUMBER(SEARCH("OTCC",E295)),"NCA-ECC-2-2024",IF(ISNUMBER(SEARCH("CCC",E295)),"NCA-ECC-2-2024",IF(ISNUMBER(SEARCH("DCC",E295)),"NCA-ECC-2-2024",IF(ISNUMBER(SEARCH("CSCC",E295)),"NCA-ECC-2-2024",IF(ISNUMBER(SEARCH("PDPL-IR",E295)),"PDPL-2021",IF(ISNUMBER(SEARCH("PDPL-DTR",E295)),"PDPL-2021","NONE"))))))))</f>
        <v/>
      </c>
      <c r="BF295" s="594">
        <f>IF(E295="","",IF(BB295="DEEP",10,IF(BB295="SHALLOW",5,IF(BB295="TEMPLATE",3,1)))+IF(N295="HIGHEST",5,IF(N295="HIGH",3,IF(N295="MODERATE",1,0)))+IF(ISNUMBER(SEARCH("Mandatory",L295)),3,0))</f>
        <v/>
      </c>
    </row>
    <row r="296" ht="42" customHeight="1">
      <c r="A296" s="301" t="n">
        <v>261</v>
      </c>
      <c r="B296" s="302" t="inlineStr">
        <is>
          <t>KAU</t>
        </is>
      </c>
      <c r="C296" s="303" t="inlineStr">
        <is>
          <t>King Abdulaziz University (Univ. Hospital)</t>
        </is>
      </c>
      <c r="D296" s="303" t="inlineStr">
        <is>
          <t>12. Education &amp; Research</t>
        </is>
      </c>
      <c r="E296" s="302" t="inlineStr">
        <is>
          <t>KAU-FW</t>
        </is>
      </c>
      <c r="F296" s="304" t="inlineStr">
        <is>
          <t>Clinical Policy &amp; Hospital Governance</t>
        </is>
      </c>
      <c r="G296" s="303" t="inlineStr">
        <is>
          <t>الإطار التنظيمي الرئيسي</t>
        </is>
      </c>
      <c r="H296" s="303" t="inlineStr">
        <is>
          <t>Active/Updated</t>
        </is>
      </c>
      <c r="I296" s="305" t="inlineStr">
        <is>
          <t>1967</t>
        </is>
      </c>
      <c r="J296" s="305" t="inlineStr">
        <is>
          <t>N/A</t>
        </is>
      </c>
      <c r="K296" s="303" t="inlineStr">
        <is>
          <t>ISSUES/ENFORCES</t>
        </is>
      </c>
      <c r="L296" s="22" t="inlineStr">
        <is>
          <t>Mandatory Enforcer</t>
        </is>
      </c>
      <c r="M296" s="303" t="inlineStr">
        <is>
          <t>Entities regulated by this authority</t>
        </is>
      </c>
      <c r="N296" s="306" t="inlineStr">
        <is>
          <t>MODERATE</t>
        </is>
      </c>
      <c r="O296" s="307" t="inlineStr">
        <is>
          <t>https://www.gov.sa/</t>
        </is>
      </c>
      <c r="P296" s="303" t="inlineStr">
        <is>
          <t>Ministry/Authority official site</t>
        </is>
      </c>
      <c r="Q296" s="303" t="inlineStr">
        <is>
          <t>See official source for version history</t>
        </is>
      </c>
      <c r="R296" s="303" t="inlineStr">
        <is>
          <t>Framework issued by the relevant authority. Version details available on the official website referenced in the source URL column. The framework has been updated periodically since first issuance.</t>
        </is>
      </c>
      <c r="S296" s="305" t="inlineStr">
        <is>
          <t>See official source</t>
        </is>
      </c>
      <c r="T296" s="303" t="inlineStr">
        <is>
          <t>Updated as needed by the issuing authority</t>
        </is>
      </c>
      <c r="U296" s="25" t="inlineStr">
        <is>
          <t>CURRENT — consult official source for latest version</t>
        </is>
      </c>
      <c r="V296" s="303" t="inlineStr">
        <is>
          <t>Penalties defined by issuing authority; consult official source. NCA ECC-2 penalties apply if relevant</t>
        </is>
      </c>
      <c r="W296" s="304" t="inlineStr">
        <is>
          <t>Issuing authority and/or designated inspection department</t>
        </is>
      </c>
      <c r="X296" s="303" t="inlineStr">
        <is>
          <t>As specified in framework scope — consult official document</t>
        </is>
      </c>
      <c r="Y296" s="49" t="inlineStr">
        <is>
          <t>Both (unless specified otherwise in official document)</t>
        </is>
      </c>
      <c r="Z296" s="303" t="inlineStr">
        <is>
          <t>As defined by issuing authority</t>
        </is>
      </c>
      <c r="AA296" s="305" t="inlineStr">
        <is>
          <t>As defined by issuing authority</t>
        </is>
      </c>
      <c r="AB296" s="303" t="inlineStr">
        <is>
          <t>To be determined from framework text — see official source</t>
        </is>
      </c>
      <c r="AC296" s="303" t="inlineStr">
        <is>
          <t>See framework preamble for international standard references</t>
        </is>
      </c>
      <c r="AD296" s="49" t="inlineStr">
        <is>
          <t>Arabic (primary in KSA); English may be available</t>
        </is>
      </c>
      <c r="AE296" s="58" t="inlineStr">
        <is>
          <t>Mapped to relevant GH-ICGA layer — requires manual assessment</t>
        </is>
      </c>
      <c r="AF296" s="56" t="inlineStr">
        <is>
          <t>See official framework for maturity model details</t>
        </is>
      </c>
      <c r="AG296" s="303" t="inlineStr">
        <is>
          <t>Aligned with relevant Vision 2030 programme — see framework context</t>
        </is>
      </c>
      <c r="AH296" s="303" t="inlineStr">
        <is>
          <t>As specified in framework compliance requirements</t>
        </is>
      </c>
      <c r="AI296" s="308" t="inlineStr">
        <is>
          <t>Institutional theory and regulatory governance theory underpin all KSA regulatory frameworks. Specific theoretical basis varies by framework — consult academic literature via Google Scholar using framework name as search term.</t>
        </is>
      </c>
      <c r="AJ296" s="303" t="inlineStr">
        <is>
          <t>Academic debate varies by framework maturity and international adoption. For KSA-specific debate, consult: Almohammad &amp; Wills (2021) J Cybersecurity; Al-Khater et al. (2020) IEEE Access; Baker McKenzie KSA regulatory updates.</t>
        </is>
      </c>
      <c r="AK296" s="309" t="inlineStr">
        <is>
          <t>Known criticisms include: implementation gap between standards and practice; resource constraints for smaller healthcare entities; rapid technology evolution outpacing regulation. Consult framework evaluation literature for specifics.</t>
        </is>
      </c>
      <c r="AL296" s="310" t="inlineStr">
        <is>
          <t>Framework comparison requires contextual analysis. Key comparators: NIST CSF 2.0 (international benchmark), ISO 27001 (certifiable standard), ECC-2 (KSA mandatory baseline). See main database for cross-framework mapping.</t>
        </is>
      </c>
      <c r="AM296" s="311"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96" s="312" t="inlineStr">
        <is>
          <t>Official: Consult the official source URL in the database for the primary document. Training: ISACA, ISC2, RAPS, IAPP, and HIMSS offer professional development covering most regulatory domains. Estimated hours vary by framework complexity.</t>
        </is>
      </c>
      <c r="AO296" s="313" t="inlineStr">
        <is>
          <t>Relevance to GH-ICGA framework varies by layer — see GH-ICGA Layer Mapping column. All KSA mandatory frameworks are compliance inputs to GH-ICGA Layer 4. Frameworks with IoMT-specific provisions directly inform Layers 2 and 3.</t>
        </is>
      </c>
      <c r="AP296" s="51" t="inlineStr">
        <is>
          <t>G + C (Governance + Compliance — standard regulatory framework positioning)</t>
        </is>
      </c>
      <c r="AQ296" s="314" t="inlineStr">
        <is>
          <t>Senior management: accountability for framework compliance. Designated compliance officer: monitor requirements. All staff: awareness of applicable obligations</t>
        </is>
      </c>
      <c r="AR296" s="309" t="inlineStr">
        <is>
          <t>Regulatory Risk; Operational Risk; Reputational Risk — specific domains determined by framework scope</t>
        </is>
      </c>
      <c r="AS296" s="22" t="inlineStr">
        <is>
          <t>See official source — legal obligation, regulatory requirement, or voluntary standard as applicable</t>
        </is>
      </c>
      <c r="AT296" s="310" t="inlineStr">
        <is>
          <t>Administrative; Technical; Operational — specific distribution determined by framework content</t>
        </is>
      </c>
      <c r="AU296" s="315" t="inlineStr">
        <is>
          <t>1. Compliance status (compliant/non-compliant). 2. # open findings from last assessment. 3. % controls implemented. 4. Time to remediate findings. 5. Incident rate in framework scope area</t>
        </is>
      </c>
      <c r="AV296" s="316" t="inlineStr">
        <is>
          <t>Self-assessment; internal audit; external assessment as specified by issuing authority</t>
        </is>
      </c>
      <c r="AW296" s="317" t="inlineStr">
        <is>
          <t>ServiceNow GRC; IBM OpenPages; RSA Archer; MetricStream — all major GRC platforms support custom framework import. Contact vendor for framework-specific module</t>
        </is>
      </c>
      <c r="AX296" s="318" t="inlineStr">
        <is>
          <t>Third parties in scope must demonstrate equivalent compliance. Contractual compliance obligations; right-to-audit clauses; annual third-party assessment</t>
        </is>
      </c>
      <c r="AY296" s="319" t="inlineStr">
        <is>
          <t>Non-compliance: regulatory action by issuing authority; fines and penalties as specified; operational and reputational consequences</t>
        </is>
      </c>
      <c r="AZ296" s="316" t="inlineStr">
        <is>
          <t>Sector-specific — consult official source</t>
        </is>
      </c>
      <c r="BA296" s="41" t="inlineStr">
        <is>
          <t>Sector-Specific</t>
        </is>
      </c>
      <c r="BB296" s="591">
        <f>IF(E296="","",IF(ISNUMBER(SEARCH("Institutional theory and regulatory governance theory underpin",AI296)),"TEMPLATE",IF(LEN(AI296)&gt;100,"DEEP",IF(AI296="","SPARSE","SHALLOW"))))</f>
        <v/>
      </c>
      <c r="BC296" s="591">
        <f>IF(E296="","",D296&amp;"-"&amp;B296&amp;"-"&amp;E296)</f>
        <v/>
      </c>
      <c r="BD296" s="591">
        <f>IF(E296="","",SUBSTITUTE(SUBSTITUTE(B296&amp;"-"&amp;E296," ",""),":","-"))</f>
        <v/>
      </c>
      <c r="BE296" s="591">
        <f>IF(E296="","",IF(ISNUMBER(SEARCH("ECC",E296)),"NCA-ECC-2-2024",IF(ISNUMBER(SEARCH("OTCC",E296)),"NCA-ECC-2-2024",IF(ISNUMBER(SEARCH("CCC",E296)),"NCA-ECC-2-2024",IF(ISNUMBER(SEARCH("DCC",E296)),"NCA-ECC-2-2024",IF(ISNUMBER(SEARCH("CSCC",E296)),"NCA-ECC-2-2024",IF(ISNUMBER(SEARCH("PDPL-IR",E296)),"PDPL-2021",IF(ISNUMBER(SEARCH("PDPL-DTR",E296)),"PDPL-2021","NONE"))))))))</f>
        <v/>
      </c>
      <c r="BF296" s="594">
        <f>IF(E296="","",IF(BB296="DEEP",10,IF(BB296="SHALLOW",5,IF(BB296="TEMPLATE",3,1)))+IF(N296="HIGHEST",5,IF(N296="HIGH",3,IF(N296="MODERATE",1,0)))+IF(ISNUMBER(SEARCH("Mandatory",L296)),3,0))</f>
        <v/>
      </c>
    </row>
    <row r="297" ht="42" customHeight="1">
      <c r="A297" s="42" t="n">
        <v>262</v>
      </c>
      <c r="B297" s="320" t="inlineStr">
        <is>
          <t>KAU</t>
        </is>
      </c>
      <c r="C297" s="44" t="inlineStr">
        <is>
          <t>King Abdulaziz University (Univ. Hospital)</t>
        </is>
      </c>
      <c r="D297" s="44" t="inlineStr">
        <is>
          <t>12. Education &amp; Research</t>
        </is>
      </c>
      <c r="E297" s="320" t="inlineStr">
        <is>
          <t>NCA-ECC-2:2024</t>
        </is>
      </c>
      <c r="F297" s="45" t="inlineStr">
        <is>
          <t>Essential Cybersecurity Controls</t>
        </is>
      </c>
      <c r="G297" s="44" t="inlineStr">
        <is>
          <t>ضوابط الأمن السيبراني الأساسية</t>
        </is>
      </c>
      <c r="H297" s="44" t="inlineStr">
        <is>
          <t>ECC-2:2024</t>
        </is>
      </c>
      <c r="I297" s="46" t="inlineStr">
        <is>
          <t>2018</t>
        </is>
      </c>
      <c r="J297" s="46" t="inlineStr">
        <is>
          <t>108</t>
        </is>
      </c>
      <c r="K297" s="44" t="inlineStr">
        <is>
          <t>MUST COMPLY WITH</t>
        </is>
      </c>
      <c r="L297" s="66" t="inlineStr">
        <is>
          <t>Mandatory Complier</t>
        </is>
      </c>
      <c r="M297" s="44" t="inlineStr">
        <is>
          <t>King Abdulaziz University (Univ. Hospital) as government entity</t>
        </is>
      </c>
      <c r="N297" s="59" t="inlineStr">
        <is>
          <t>LOW</t>
        </is>
      </c>
      <c r="O297" s="48" t="inlineStr">
        <is>
          <t>https://nca.gov.sa/</t>
        </is>
      </c>
      <c r="P297" s="44" t="inlineStr">
        <is>
          <t>NCA ECC scope</t>
        </is>
      </c>
      <c r="Q297" s="303" t="inlineStr">
        <is>
          <t>See official source for version history</t>
        </is>
      </c>
      <c r="R297" s="303" t="inlineStr">
        <is>
          <t>Framework issued by the relevant authority. Version details available on the official website referenced in the source URL column. The framework has been updated periodically since first issuance.</t>
        </is>
      </c>
      <c r="S297" s="305" t="inlineStr">
        <is>
          <t>See official source</t>
        </is>
      </c>
      <c r="T297" s="303" t="inlineStr">
        <is>
          <t>Updated as needed by the issuing authority</t>
        </is>
      </c>
      <c r="U297" s="25" t="inlineStr">
        <is>
          <t>CURRENT — consult official source for latest version</t>
        </is>
      </c>
      <c r="V297" s="303" t="inlineStr">
        <is>
          <t>Penalties defined by issuing authority; consult official source. NCA ECC-2 penalties apply if relevant</t>
        </is>
      </c>
      <c r="W297" s="304" t="inlineStr">
        <is>
          <t>Issuing authority and/or designated inspection department</t>
        </is>
      </c>
      <c r="X297" s="303" t="inlineStr">
        <is>
          <t>As specified in framework scope — consult official document</t>
        </is>
      </c>
      <c r="Y297" s="49" t="inlineStr">
        <is>
          <t>Both (unless specified otherwise in official document)</t>
        </is>
      </c>
      <c r="Z297" s="303" t="inlineStr">
        <is>
          <t>As defined by issuing authority</t>
        </is>
      </c>
      <c r="AA297" s="305" t="inlineStr">
        <is>
          <t>As defined by issuing authority</t>
        </is>
      </c>
      <c r="AB297" s="303" t="inlineStr">
        <is>
          <t>To be determined from framework text — see official source</t>
        </is>
      </c>
      <c r="AC297" s="303" t="inlineStr">
        <is>
          <t>See framework preamble for international standard references</t>
        </is>
      </c>
      <c r="AD297" s="49" t="inlineStr">
        <is>
          <t>Arabic (primary in KSA); English may be available</t>
        </is>
      </c>
      <c r="AE297" s="58" t="inlineStr">
        <is>
          <t>Mapped to relevant GH-ICGA layer — requires manual assessment</t>
        </is>
      </c>
      <c r="AF297" s="56" t="inlineStr">
        <is>
          <t>See official framework for maturity model details</t>
        </is>
      </c>
      <c r="AG297" s="303" t="inlineStr">
        <is>
          <t>Aligned with relevant Vision 2030 programme — see framework context</t>
        </is>
      </c>
      <c r="AH297" s="303" t="inlineStr">
        <is>
          <t>As specified in framework compliance requirements</t>
        </is>
      </c>
      <c r="AI297" s="308" t="inlineStr">
        <is>
          <t>Institutional theory and regulatory governance theory underpin all KSA regulatory frameworks. Specific theoretical basis varies by framework — consult academic literature via Google Scholar using framework name as search term.</t>
        </is>
      </c>
      <c r="AJ297" s="303" t="inlineStr">
        <is>
          <t>Academic debate varies by framework maturity and international adoption. For KSA-specific debate, consult: Almohammad &amp; Wills (2021) J Cybersecurity; Al-Khater et al. (2020) IEEE Access; Baker McKenzie KSA regulatory updates.</t>
        </is>
      </c>
      <c r="AK297" s="309" t="inlineStr">
        <is>
          <t>Known criticisms include: implementation gap between standards and practice; resource constraints for smaller healthcare entities; rapid technology evolution outpacing regulation. Consult framework evaluation literature for specifics.</t>
        </is>
      </c>
      <c r="AL297" s="310" t="inlineStr">
        <is>
          <t>Framework comparison requires contextual analysis. Key comparators: NIST CSF 2.0 (international benchmark), ISO 27001 (certifiable standard), ECC-2 (KSA mandatory baseline). See main database for cross-framework mapping.</t>
        </is>
      </c>
      <c r="AM297" s="311"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97" s="312" t="inlineStr">
        <is>
          <t>Official: Consult the official source URL in the database for the primary document. Training: ISACA, ISC2, RAPS, IAPP, and HIMSS offer professional development covering most regulatory domains. Estimated hours vary by framework complexity.</t>
        </is>
      </c>
      <c r="AO297" s="313" t="inlineStr">
        <is>
          <t>Relevance to GH-ICGA framework varies by layer — see GH-ICGA Layer Mapping column. All KSA mandatory frameworks are compliance inputs to GH-ICGA Layer 4. Frameworks with IoMT-specific provisions directly inform Layers 2 and 3.</t>
        </is>
      </c>
      <c r="AP297" s="51" t="inlineStr">
        <is>
          <t>G + C (Governance + Compliance — standard regulatory framework positioning)</t>
        </is>
      </c>
      <c r="AQ297" s="314" t="inlineStr">
        <is>
          <t>Senior management: accountability for framework compliance. Designated compliance officer: monitor requirements. All staff: awareness of applicable obligations</t>
        </is>
      </c>
      <c r="AR297" s="309" t="inlineStr">
        <is>
          <t>Regulatory Risk; Operational Risk; Reputational Risk — specific domains determined by framework scope</t>
        </is>
      </c>
      <c r="AS297" s="22" t="inlineStr">
        <is>
          <t>See official source — legal obligation, regulatory requirement, or voluntary standard as applicable</t>
        </is>
      </c>
      <c r="AT297" s="310" t="inlineStr">
        <is>
          <t>Administrative; Technical; Operational — specific distribution determined by framework content</t>
        </is>
      </c>
      <c r="AU297" s="315" t="inlineStr">
        <is>
          <t>1. Compliance status (compliant/non-compliant). 2. # open findings from last assessment. 3. % controls implemented. 4. Time to remediate findings. 5. Incident rate in framework scope area</t>
        </is>
      </c>
      <c r="AV297" s="316" t="inlineStr">
        <is>
          <t>Self-assessment; internal audit; external assessment as specified by issuing authority</t>
        </is>
      </c>
      <c r="AW297" s="317" t="inlineStr">
        <is>
          <t>ServiceNow GRC; IBM OpenPages; RSA Archer; MetricStream — all major GRC platforms support custom framework import. Contact vendor for framework-specific module</t>
        </is>
      </c>
      <c r="AX297" s="318" t="inlineStr">
        <is>
          <t>Third parties in scope must demonstrate equivalent compliance. Contractual compliance obligations; right-to-audit clauses; annual third-party assessment</t>
        </is>
      </c>
      <c r="AY297" s="319" t="inlineStr">
        <is>
          <t>Non-compliance: regulatory action by issuing authority; fines and penalties as specified; operational and reputational consequences</t>
        </is>
      </c>
      <c r="AZ297" s="316" t="inlineStr">
        <is>
          <t>ALL 17 SECTORS</t>
        </is>
      </c>
      <c r="BA297" s="34" t="inlineStr">
        <is>
          <t>YES — ALL SECTORS</t>
        </is>
      </c>
      <c r="BB297" s="591">
        <f>IF(E297="","",IF(ISNUMBER(SEARCH("Institutional theory and regulatory governance theory underpin",AI297)),"TEMPLATE",IF(LEN(AI297)&gt;100,"DEEP",IF(AI297="","SPARSE","SHALLOW"))))</f>
        <v/>
      </c>
      <c r="BC297" s="591">
        <f>IF(E297="","",D297&amp;"-"&amp;B297&amp;"-"&amp;E297)</f>
        <v/>
      </c>
      <c r="BD297" s="591">
        <f>IF(E297="","",SUBSTITUTE(SUBSTITUTE(B297&amp;"-"&amp;E297," ",""),":","-"))</f>
        <v/>
      </c>
      <c r="BE297" s="591">
        <f>IF(E297="","",IF(ISNUMBER(SEARCH("ECC",E297)),"NCA-ECC-2-2024",IF(ISNUMBER(SEARCH("OTCC",E297)),"NCA-ECC-2-2024",IF(ISNUMBER(SEARCH("CCC",E297)),"NCA-ECC-2-2024",IF(ISNUMBER(SEARCH("DCC",E297)),"NCA-ECC-2-2024",IF(ISNUMBER(SEARCH("CSCC",E297)),"NCA-ECC-2-2024",IF(ISNUMBER(SEARCH("PDPL-IR",E297)),"PDPL-2021",IF(ISNUMBER(SEARCH("PDPL-DTR",E297)),"PDPL-2021","NONE"))))))))</f>
        <v/>
      </c>
      <c r="BF297" s="594">
        <f>IF(E297="","",IF(BB297="DEEP",10,IF(BB297="SHALLOW",5,IF(BB297="TEMPLATE",3,1)))+IF(N297="HIGHEST",5,IF(N297="HIGH",3,IF(N297="MODERATE",1,0)))+IF(ISNUMBER(SEARCH("Mandatory",L297)),3,0))</f>
        <v/>
      </c>
    </row>
    <row r="298" ht="42" customHeight="1">
      <c r="A298" s="301" t="n">
        <v>263</v>
      </c>
      <c r="B298" s="302" t="inlineStr">
        <is>
          <t>KFUPM</t>
        </is>
      </c>
      <c r="C298" s="303" t="inlineStr">
        <is>
          <t>King Fahd Univ. Petroleum &amp; Minerals</t>
        </is>
      </c>
      <c r="D298" s="303" t="inlineStr">
        <is>
          <t>12. Education &amp; Research</t>
        </is>
      </c>
      <c r="E298" s="302" t="inlineStr">
        <is>
          <t>KFUPM-FW</t>
        </is>
      </c>
      <c r="F298" s="304" t="inlineStr">
        <is>
          <t>Research Policy &amp; Engineering Standards</t>
        </is>
      </c>
      <c r="G298" s="303" t="inlineStr">
        <is>
          <t>الإطار التنظيمي الرئيسي</t>
        </is>
      </c>
      <c r="H298" s="303" t="inlineStr">
        <is>
          <t>Active/Updated</t>
        </is>
      </c>
      <c r="I298" s="305" t="inlineStr">
        <is>
          <t>1963</t>
        </is>
      </c>
      <c r="J298" s="305" t="inlineStr">
        <is>
          <t>N/A</t>
        </is>
      </c>
      <c r="K298" s="303" t="inlineStr">
        <is>
          <t>ISSUES/ENFORCES</t>
        </is>
      </c>
      <c r="L298" s="22" t="inlineStr">
        <is>
          <t>Mandatory Enforcer</t>
        </is>
      </c>
      <c r="M298" s="303" t="inlineStr">
        <is>
          <t>Entities regulated by this authority</t>
        </is>
      </c>
      <c r="N298" s="306" t="inlineStr">
        <is>
          <t>MODERATE</t>
        </is>
      </c>
      <c r="O298" s="307" t="inlineStr">
        <is>
          <t>https://www.gov.sa/</t>
        </is>
      </c>
      <c r="P298" s="303" t="inlineStr">
        <is>
          <t>Ministry/Authority official site</t>
        </is>
      </c>
      <c r="Q298" s="303" t="inlineStr">
        <is>
          <t>See official source for version history</t>
        </is>
      </c>
      <c r="R298" s="303" t="inlineStr">
        <is>
          <t>Framework issued by the relevant authority. Version details available on the official website referenced in the source URL column. The framework has been updated periodically since first issuance.</t>
        </is>
      </c>
      <c r="S298" s="305" t="inlineStr">
        <is>
          <t>See official source</t>
        </is>
      </c>
      <c r="T298" s="303" t="inlineStr">
        <is>
          <t>Updated as needed by the issuing authority</t>
        </is>
      </c>
      <c r="U298" s="25" t="inlineStr">
        <is>
          <t>CURRENT — consult official source for latest version</t>
        </is>
      </c>
      <c r="V298" s="303" t="inlineStr">
        <is>
          <t>Penalties defined by issuing authority; consult official source. NCA ECC-2 penalties apply if relevant</t>
        </is>
      </c>
      <c r="W298" s="304" t="inlineStr">
        <is>
          <t>Issuing authority and/or designated inspection department</t>
        </is>
      </c>
      <c r="X298" s="303" t="inlineStr">
        <is>
          <t>As specified in framework scope — consult official document</t>
        </is>
      </c>
      <c r="Y298" s="49" t="inlineStr">
        <is>
          <t>Both (unless specified otherwise in official document)</t>
        </is>
      </c>
      <c r="Z298" s="303" t="inlineStr">
        <is>
          <t>As defined by issuing authority</t>
        </is>
      </c>
      <c r="AA298" s="305" t="inlineStr">
        <is>
          <t>As defined by issuing authority</t>
        </is>
      </c>
      <c r="AB298" s="303" t="inlineStr">
        <is>
          <t>To be determined from framework text — see official source</t>
        </is>
      </c>
      <c r="AC298" s="303" t="inlineStr">
        <is>
          <t>See framework preamble for international standard references</t>
        </is>
      </c>
      <c r="AD298" s="49" t="inlineStr">
        <is>
          <t>Arabic (primary in KSA); English may be available</t>
        </is>
      </c>
      <c r="AE298" s="58" t="inlineStr">
        <is>
          <t>Mapped to relevant GH-ICGA layer — requires manual assessment</t>
        </is>
      </c>
      <c r="AF298" s="56" t="inlineStr">
        <is>
          <t>See official framework for maturity model details</t>
        </is>
      </c>
      <c r="AG298" s="303" t="inlineStr">
        <is>
          <t>Aligned with relevant Vision 2030 programme — see framework context</t>
        </is>
      </c>
      <c r="AH298" s="303" t="inlineStr">
        <is>
          <t>As specified in framework compliance requirements</t>
        </is>
      </c>
      <c r="AI298" s="308" t="inlineStr">
        <is>
          <t>Institutional theory and regulatory governance theory underpin all KSA regulatory frameworks. Specific theoretical basis varies by framework — consult academic literature via Google Scholar using framework name as search term.</t>
        </is>
      </c>
      <c r="AJ298" s="303" t="inlineStr">
        <is>
          <t>Academic debate varies by framework maturity and international adoption. For KSA-specific debate, consult: Almohammad &amp; Wills (2021) J Cybersecurity; Al-Khater et al. (2020) IEEE Access; Baker McKenzie KSA regulatory updates.</t>
        </is>
      </c>
      <c r="AK298" s="309" t="inlineStr">
        <is>
          <t>Known criticisms include: implementation gap between standards and practice; resource constraints for smaller healthcare entities; rapid technology evolution outpacing regulation. Consult framework evaluation literature for specifics.</t>
        </is>
      </c>
      <c r="AL298" s="310" t="inlineStr">
        <is>
          <t>Framework comparison requires contextual analysis. Key comparators: NIST CSF 2.0 (international benchmark), ISO 27001 (certifiable standard), ECC-2 (KSA mandatory baseline). See main database for cross-framework mapping.</t>
        </is>
      </c>
      <c r="AM298" s="311"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98" s="312" t="inlineStr">
        <is>
          <t>Official: Consult the official source URL in the database for the primary document. Training: ISACA, ISC2, RAPS, IAPP, and HIMSS offer professional development covering most regulatory domains. Estimated hours vary by framework complexity.</t>
        </is>
      </c>
      <c r="AO298" s="313" t="inlineStr">
        <is>
          <t>Relevance to GH-ICGA framework varies by layer — see GH-ICGA Layer Mapping column. All KSA mandatory frameworks are compliance inputs to GH-ICGA Layer 4. Frameworks with IoMT-specific provisions directly inform Layers 2 and 3.</t>
        </is>
      </c>
      <c r="AP298" s="51" t="inlineStr">
        <is>
          <t>G + C (Governance + Compliance — standard regulatory framework positioning)</t>
        </is>
      </c>
      <c r="AQ298" s="314" t="inlineStr">
        <is>
          <t>Senior management: accountability for framework compliance. Designated compliance officer: monitor requirements. All staff: awareness of applicable obligations</t>
        </is>
      </c>
      <c r="AR298" s="309" t="inlineStr">
        <is>
          <t>Regulatory Risk; Operational Risk; Reputational Risk — specific domains determined by framework scope</t>
        </is>
      </c>
      <c r="AS298" s="22" t="inlineStr">
        <is>
          <t>See official source — legal obligation, regulatory requirement, or voluntary standard as applicable</t>
        </is>
      </c>
      <c r="AT298" s="310" t="inlineStr">
        <is>
          <t>Administrative; Technical; Operational — specific distribution determined by framework content</t>
        </is>
      </c>
      <c r="AU298" s="315" t="inlineStr">
        <is>
          <t>1. Compliance status (compliant/non-compliant). 2. # open findings from last assessment. 3. % controls implemented. 4. Time to remediate findings. 5. Incident rate in framework scope area</t>
        </is>
      </c>
      <c r="AV298" s="316" t="inlineStr">
        <is>
          <t>Self-assessment; internal audit; external assessment as specified by issuing authority</t>
        </is>
      </c>
      <c r="AW298" s="317" t="inlineStr">
        <is>
          <t>ServiceNow GRC; IBM OpenPages; RSA Archer; MetricStream — all major GRC platforms support custom framework import. Contact vendor for framework-specific module</t>
        </is>
      </c>
      <c r="AX298" s="318" t="inlineStr">
        <is>
          <t>Third parties in scope must demonstrate equivalent compliance. Contractual compliance obligations; right-to-audit clauses; annual third-party assessment</t>
        </is>
      </c>
      <c r="AY298" s="319" t="inlineStr">
        <is>
          <t>Non-compliance: regulatory action by issuing authority; fines and penalties as specified; operational and reputational consequences</t>
        </is>
      </c>
      <c r="AZ298" s="316" t="inlineStr">
        <is>
          <t>Sector-specific — consult official source</t>
        </is>
      </c>
      <c r="BA298" s="41" t="inlineStr">
        <is>
          <t>Sector-Specific</t>
        </is>
      </c>
      <c r="BB298" s="591">
        <f>IF(E298="","",IF(ISNUMBER(SEARCH("Institutional theory and regulatory governance theory underpin",AI298)),"TEMPLATE",IF(LEN(AI298)&gt;100,"DEEP",IF(AI298="","SPARSE","SHALLOW"))))</f>
        <v/>
      </c>
      <c r="BC298" s="591">
        <f>IF(E298="","",D298&amp;"-"&amp;B298&amp;"-"&amp;E298)</f>
        <v/>
      </c>
      <c r="BD298" s="591">
        <f>IF(E298="","",SUBSTITUTE(SUBSTITUTE(B298&amp;"-"&amp;E298," ",""),":","-"))</f>
        <v/>
      </c>
      <c r="BE298" s="591">
        <f>IF(E298="","",IF(ISNUMBER(SEARCH("ECC",E298)),"NCA-ECC-2-2024",IF(ISNUMBER(SEARCH("OTCC",E298)),"NCA-ECC-2-2024",IF(ISNUMBER(SEARCH("CCC",E298)),"NCA-ECC-2-2024",IF(ISNUMBER(SEARCH("DCC",E298)),"NCA-ECC-2-2024",IF(ISNUMBER(SEARCH("CSCC",E298)),"NCA-ECC-2-2024",IF(ISNUMBER(SEARCH("PDPL-IR",E298)),"PDPL-2021",IF(ISNUMBER(SEARCH("PDPL-DTR",E298)),"PDPL-2021","NONE"))))))))</f>
        <v/>
      </c>
      <c r="BF298" s="594">
        <f>IF(E298="","",IF(BB298="DEEP",10,IF(BB298="SHALLOW",5,IF(BB298="TEMPLATE",3,1)))+IF(N298="HIGHEST",5,IF(N298="HIGH",3,IF(N298="MODERATE",1,0)))+IF(ISNUMBER(SEARCH("Mandatory",L298)),3,0))</f>
        <v/>
      </c>
    </row>
    <row r="299" ht="42" customHeight="1">
      <c r="A299" s="42" t="n">
        <v>264</v>
      </c>
      <c r="B299" s="320" t="inlineStr">
        <is>
          <t>KFUPM</t>
        </is>
      </c>
      <c r="C299" s="44" t="inlineStr">
        <is>
          <t>King Fahd Univ. Petroleum &amp; Minerals</t>
        </is>
      </c>
      <c r="D299" s="44" t="inlineStr">
        <is>
          <t>12. Education &amp; Research</t>
        </is>
      </c>
      <c r="E299" s="320" t="inlineStr">
        <is>
          <t>NCA-ECC-2:2024</t>
        </is>
      </c>
      <c r="F299" s="45" t="inlineStr">
        <is>
          <t>Essential Cybersecurity Controls</t>
        </is>
      </c>
      <c r="G299" s="44" t="inlineStr">
        <is>
          <t>ضوابط الأمن السيبراني الأساسية</t>
        </is>
      </c>
      <c r="H299" s="44" t="inlineStr">
        <is>
          <t>ECC-2:2024</t>
        </is>
      </c>
      <c r="I299" s="46" t="inlineStr">
        <is>
          <t>2018</t>
        </is>
      </c>
      <c r="J299" s="46" t="inlineStr">
        <is>
          <t>108</t>
        </is>
      </c>
      <c r="K299" s="44" t="inlineStr">
        <is>
          <t>MUST COMPLY WITH</t>
        </is>
      </c>
      <c r="L299" s="66" t="inlineStr">
        <is>
          <t>Mandatory Complier</t>
        </is>
      </c>
      <c r="M299" s="44" t="inlineStr">
        <is>
          <t>King Fahd Univ. Petroleum &amp; Minerals as government entity</t>
        </is>
      </c>
      <c r="N299" s="59" t="inlineStr">
        <is>
          <t>LOW</t>
        </is>
      </c>
      <c r="O299" s="48" t="inlineStr">
        <is>
          <t>https://nca.gov.sa/</t>
        </is>
      </c>
      <c r="P299" s="44" t="inlineStr">
        <is>
          <t>NCA ECC scope</t>
        </is>
      </c>
      <c r="Q299" s="303" t="inlineStr">
        <is>
          <t>See official source for version history</t>
        </is>
      </c>
      <c r="R299" s="303" t="inlineStr">
        <is>
          <t>Framework issued by the relevant authority. Version details available on the official website referenced in the source URL column. The framework has been updated periodically since first issuance.</t>
        </is>
      </c>
      <c r="S299" s="305" t="inlineStr">
        <is>
          <t>See official source</t>
        </is>
      </c>
      <c r="T299" s="303" t="inlineStr">
        <is>
          <t>Updated as needed by the issuing authority</t>
        </is>
      </c>
      <c r="U299" s="25" t="inlineStr">
        <is>
          <t>CURRENT — consult official source for latest version</t>
        </is>
      </c>
      <c r="V299" s="303" t="inlineStr">
        <is>
          <t>Penalties defined by issuing authority; consult official source. NCA ECC-2 penalties apply if relevant</t>
        </is>
      </c>
      <c r="W299" s="304" t="inlineStr">
        <is>
          <t>Issuing authority and/or designated inspection department</t>
        </is>
      </c>
      <c r="X299" s="303" t="inlineStr">
        <is>
          <t>As specified in framework scope — consult official document</t>
        </is>
      </c>
      <c r="Y299" s="49" t="inlineStr">
        <is>
          <t>Both (unless specified otherwise in official document)</t>
        </is>
      </c>
      <c r="Z299" s="303" t="inlineStr">
        <is>
          <t>As defined by issuing authority</t>
        </is>
      </c>
      <c r="AA299" s="305" t="inlineStr">
        <is>
          <t>As defined by issuing authority</t>
        </is>
      </c>
      <c r="AB299" s="303" t="inlineStr">
        <is>
          <t>To be determined from framework text — see official source</t>
        </is>
      </c>
      <c r="AC299" s="303" t="inlineStr">
        <is>
          <t>See framework preamble for international standard references</t>
        </is>
      </c>
      <c r="AD299" s="49" t="inlineStr">
        <is>
          <t>Arabic (primary in KSA); English may be available</t>
        </is>
      </c>
      <c r="AE299" s="58" t="inlineStr">
        <is>
          <t>Mapped to relevant GH-ICGA layer — requires manual assessment</t>
        </is>
      </c>
      <c r="AF299" s="56" t="inlineStr">
        <is>
          <t>See official framework for maturity model details</t>
        </is>
      </c>
      <c r="AG299" s="303" t="inlineStr">
        <is>
          <t>Aligned with relevant Vision 2030 programme — see framework context</t>
        </is>
      </c>
      <c r="AH299" s="303" t="inlineStr">
        <is>
          <t>As specified in framework compliance requirements</t>
        </is>
      </c>
      <c r="AI299" s="308" t="inlineStr">
        <is>
          <t>Institutional theory and regulatory governance theory underpin all KSA regulatory frameworks. Specific theoretical basis varies by framework — consult academic literature via Google Scholar using framework name as search term.</t>
        </is>
      </c>
      <c r="AJ299" s="303" t="inlineStr">
        <is>
          <t>Academic debate varies by framework maturity and international adoption. For KSA-specific debate, consult: Almohammad &amp; Wills (2021) J Cybersecurity; Al-Khater et al. (2020) IEEE Access; Baker McKenzie KSA regulatory updates.</t>
        </is>
      </c>
      <c r="AK299" s="309" t="inlineStr">
        <is>
          <t>Known criticisms include: implementation gap between standards and practice; resource constraints for smaller healthcare entities; rapid technology evolution outpacing regulation. Consult framework evaluation literature for specifics.</t>
        </is>
      </c>
      <c r="AL299" s="310" t="inlineStr">
        <is>
          <t>Framework comparison requires contextual analysis. Key comparators: NIST CSF 2.0 (international benchmark), ISO 27001 (certifiable standard), ECC-2 (KSA mandatory baseline). See main database for cross-framework mapping.</t>
        </is>
      </c>
      <c r="AM299" s="311"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299" s="312" t="inlineStr">
        <is>
          <t>Official: Consult the official source URL in the database for the primary document. Training: ISACA, ISC2, RAPS, IAPP, and HIMSS offer professional development covering most regulatory domains. Estimated hours vary by framework complexity.</t>
        </is>
      </c>
      <c r="AO299" s="313" t="inlineStr">
        <is>
          <t>Relevance to GH-ICGA framework varies by layer — see GH-ICGA Layer Mapping column. All KSA mandatory frameworks are compliance inputs to GH-ICGA Layer 4. Frameworks with IoMT-specific provisions directly inform Layers 2 and 3.</t>
        </is>
      </c>
      <c r="AP299" s="51" t="inlineStr">
        <is>
          <t>G + C (Governance + Compliance — standard regulatory framework positioning)</t>
        </is>
      </c>
      <c r="AQ299" s="314" t="inlineStr">
        <is>
          <t>Senior management: accountability for framework compliance. Designated compliance officer: monitor requirements. All staff: awareness of applicable obligations</t>
        </is>
      </c>
      <c r="AR299" s="309" t="inlineStr">
        <is>
          <t>Regulatory Risk; Operational Risk; Reputational Risk — specific domains determined by framework scope</t>
        </is>
      </c>
      <c r="AS299" s="22" t="inlineStr">
        <is>
          <t>See official source — legal obligation, regulatory requirement, or voluntary standard as applicable</t>
        </is>
      </c>
      <c r="AT299" s="310" t="inlineStr">
        <is>
          <t>Administrative; Technical; Operational — specific distribution determined by framework content</t>
        </is>
      </c>
      <c r="AU299" s="315" t="inlineStr">
        <is>
          <t>1. Compliance status (compliant/non-compliant). 2. # open findings from last assessment. 3. % controls implemented. 4. Time to remediate findings. 5. Incident rate in framework scope area</t>
        </is>
      </c>
      <c r="AV299" s="316" t="inlineStr">
        <is>
          <t>Self-assessment; internal audit; external assessment as specified by issuing authority</t>
        </is>
      </c>
      <c r="AW299" s="317" t="inlineStr">
        <is>
          <t>ServiceNow GRC; IBM OpenPages; RSA Archer; MetricStream — all major GRC platforms support custom framework import. Contact vendor for framework-specific module</t>
        </is>
      </c>
      <c r="AX299" s="318" t="inlineStr">
        <is>
          <t>Third parties in scope must demonstrate equivalent compliance. Contractual compliance obligations; right-to-audit clauses; annual third-party assessment</t>
        </is>
      </c>
      <c r="AY299" s="319" t="inlineStr">
        <is>
          <t>Non-compliance: regulatory action by issuing authority; fines and penalties as specified; operational and reputational consequences</t>
        </is>
      </c>
      <c r="AZ299" s="316" t="inlineStr">
        <is>
          <t>ALL 17 SECTORS</t>
        </is>
      </c>
      <c r="BA299" s="34" t="inlineStr">
        <is>
          <t>YES — ALL SECTORS</t>
        </is>
      </c>
      <c r="BB299" s="591">
        <f>IF(E299="","",IF(ISNUMBER(SEARCH("Institutional theory and regulatory governance theory underpin",AI299)),"TEMPLATE",IF(LEN(AI299)&gt;100,"DEEP",IF(AI299="","SPARSE","SHALLOW"))))</f>
        <v/>
      </c>
      <c r="BC299" s="591">
        <f>IF(E299="","",D299&amp;"-"&amp;B299&amp;"-"&amp;E299)</f>
        <v/>
      </c>
      <c r="BD299" s="591">
        <f>IF(E299="","",SUBSTITUTE(SUBSTITUTE(B299&amp;"-"&amp;E299," ",""),":","-"))</f>
        <v/>
      </c>
      <c r="BE299" s="591">
        <f>IF(E299="","",IF(ISNUMBER(SEARCH("ECC",E299)),"NCA-ECC-2-2024",IF(ISNUMBER(SEARCH("OTCC",E299)),"NCA-ECC-2-2024",IF(ISNUMBER(SEARCH("CCC",E299)),"NCA-ECC-2-2024",IF(ISNUMBER(SEARCH("DCC",E299)),"NCA-ECC-2-2024",IF(ISNUMBER(SEARCH("CSCC",E299)),"NCA-ECC-2-2024",IF(ISNUMBER(SEARCH("PDPL-IR",E299)),"PDPL-2021",IF(ISNUMBER(SEARCH("PDPL-DTR",E299)),"PDPL-2021","NONE"))))))))</f>
        <v/>
      </c>
      <c r="BF299" s="594">
        <f>IF(E299="","",IF(BB299="DEEP",10,IF(BB299="SHALLOW",5,IF(BB299="TEMPLATE",3,1)))+IF(N299="HIGHEST",5,IF(N299="HIGH",3,IF(N299="MODERATE",1,0)))+IF(ISNUMBER(SEARCH("Mandatory",L299)),3,0))</f>
        <v/>
      </c>
    </row>
    <row r="300">
      <c r="BB300" s="591">
        <f>IF(E300="","",IF(ISNUMBER(SEARCH("Institutional theory and regulatory governance theory underpin",AI300)),"TEMPLATE",IF(LEN(AI300)&gt;100,"DEEP",IF(AI300="","SPARSE","SHALLOW"))))</f>
        <v/>
      </c>
      <c r="BC300" s="591">
        <f>IF(E300="","",D300&amp;"-"&amp;B300&amp;"-"&amp;E300)</f>
        <v/>
      </c>
      <c r="BD300" s="591">
        <f>IF(E300="","",SUBSTITUTE(SUBSTITUTE(B300&amp;"-"&amp;E300," ",""),":","-"))</f>
        <v/>
      </c>
      <c r="BE300" s="591">
        <f>IF(E300="","",IF(ISNUMBER(SEARCH("ECC",E300)),"NCA-ECC-2-2024",IF(ISNUMBER(SEARCH("OTCC",E300)),"NCA-ECC-2-2024",IF(ISNUMBER(SEARCH("CCC",E300)),"NCA-ECC-2-2024",IF(ISNUMBER(SEARCH("DCC",E300)),"NCA-ECC-2-2024",IF(ISNUMBER(SEARCH("CSCC",E300)),"NCA-ECC-2-2024",IF(ISNUMBER(SEARCH("PDPL-IR",E300)),"PDPL-2021",IF(ISNUMBER(SEARCH("PDPL-DTR",E300)),"PDPL-2021","NONE"))))))))</f>
        <v/>
      </c>
      <c r="BF300" s="594">
        <f>IF(E300="","",IF(BB300="DEEP",10,IF(BB300="SHALLOW",5,IF(BB300="TEMPLATE",3,1)))+IF(N300="HIGHEST",5,IF(N300="HIGH",3,IF(N300="MODERATE",1,0)))+IF(ISNUMBER(SEARCH("Mandatory",L300)),3,0))</f>
        <v/>
      </c>
    </row>
    <row r="301" ht="19.5" customHeight="1">
      <c r="A301" s="321" t="n"/>
      <c r="B301" s="322" t="inlineStr">
        <is>
          <t xml:space="preserve">  ── 13. Legal &amp; Judicial ──</t>
        </is>
      </c>
      <c r="C301" s="321" t="n"/>
      <c r="D301" s="321" t="n"/>
      <c r="E301" s="321" t="n"/>
      <c r="F301" s="321" t="n"/>
      <c r="G301" s="321" t="n"/>
      <c r="H301" s="321" t="n"/>
      <c r="I301" s="321" t="n"/>
      <c r="J301" s="321" t="n"/>
      <c r="K301" s="321" t="n"/>
      <c r="L301" s="321" t="n"/>
      <c r="M301" s="321" t="n"/>
      <c r="N301" s="321" t="n"/>
      <c r="O301" s="321" t="n"/>
      <c r="P301" s="321" t="n"/>
      <c r="BB301" s="591">
        <f>IF(E301="","",IF(ISNUMBER(SEARCH("Institutional theory and regulatory governance theory underpin",AI301)),"TEMPLATE",IF(LEN(AI301)&gt;100,"DEEP",IF(AI301="","SPARSE","SHALLOW"))))</f>
        <v/>
      </c>
      <c r="BC301" s="591">
        <f>IF(E301="","",D301&amp;"-"&amp;B301&amp;"-"&amp;E301)</f>
        <v/>
      </c>
      <c r="BD301" s="591">
        <f>IF(E301="","",SUBSTITUTE(SUBSTITUTE(B301&amp;"-"&amp;E301," ",""),":","-"))</f>
        <v/>
      </c>
      <c r="BE301" s="591">
        <f>IF(E301="","",IF(ISNUMBER(SEARCH("ECC",E301)),"NCA-ECC-2-2024",IF(ISNUMBER(SEARCH("OTCC",E301)),"NCA-ECC-2-2024",IF(ISNUMBER(SEARCH("CCC",E301)),"NCA-ECC-2-2024",IF(ISNUMBER(SEARCH("DCC",E301)),"NCA-ECC-2-2024",IF(ISNUMBER(SEARCH("CSCC",E301)),"NCA-ECC-2-2024",IF(ISNUMBER(SEARCH("PDPL-IR",E301)),"PDPL-2021",IF(ISNUMBER(SEARCH("PDPL-DTR",E301)),"PDPL-2021","NONE"))))))))</f>
        <v/>
      </c>
      <c r="BF301" s="594">
        <f>IF(E301="","",IF(BB301="DEEP",10,IF(BB301="SHALLOW",5,IF(BB301="TEMPLATE",3,1)))+IF(N301="HIGHEST",5,IF(N301="HIGH",3,IF(N301="MODERATE",1,0)))+IF(ISNUMBER(SEARCH("Mandatory",L301)),3,0))</f>
        <v/>
      </c>
    </row>
    <row r="302" ht="42" customHeight="1">
      <c r="A302" s="323" t="n">
        <v>265</v>
      </c>
      <c r="B302" s="324" t="inlineStr">
        <is>
          <t>BOE</t>
        </is>
      </c>
      <c r="C302" s="325" t="inlineStr">
        <is>
          <t>Bureau of Experts at Council of Ministers</t>
        </is>
      </c>
      <c r="D302" s="325" t="inlineStr">
        <is>
          <t>13. Legal &amp; Judicial</t>
        </is>
      </c>
      <c r="E302" s="324" t="inlineStr">
        <is>
          <t>BOE-FW</t>
        </is>
      </c>
      <c r="F302" s="326" t="inlineStr">
        <is>
          <t>Legal Drafting Regulations</t>
        </is>
      </c>
      <c r="G302" s="325" t="inlineStr">
        <is>
          <t>الإطار التنظيمي الرئيسي</t>
        </is>
      </c>
      <c r="H302" s="325" t="inlineStr">
        <is>
          <t>Active/Updated</t>
        </is>
      </c>
      <c r="I302" s="327" t="inlineStr">
        <is>
          <t>1977</t>
        </is>
      </c>
      <c r="J302" s="327" t="inlineStr">
        <is>
          <t>N/A</t>
        </is>
      </c>
      <c r="K302" s="325" t="inlineStr">
        <is>
          <t>ISSUES/ENFORCES</t>
        </is>
      </c>
      <c r="L302" s="22" t="inlineStr">
        <is>
          <t>Mandatory Enforcer</t>
        </is>
      </c>
      <c r="M302" s="325" t="inlineStr">
        <is>
          <t>Entities regulated by this authority</t>
        </is>
      </c>
      <c r="N302" s="328" t="inlineStr">
        <is>
          <t>MODERATE</t>
        </is>
      </c>
      <c r="O302" s="329" t="inlineStr">
        <is>
          <t>https://www.gov.sa/</t>
        </is>
      </c>
      <c r="P302" s="325" t="inlineStr">
        <is>
          <t>Ministry/Authority official site</t>
        </is>
      </c>
      <c r="Q302" s="325" t="inlineStr">
        <is>
          <t>See official source for version history</t>
        </is>
      </c>
      <c r="R302" s="325" t="inlineStr">
        <is>
          <t>Framework issued by the relevant authority. Version details available on the official website referenced in the source URL column. The framework has been updated periodically since first issuance.</t>
        </is>
      </c>
      <c r="S302" s="327" t="inlineStr">
        <is>
          <t>See official source</t>
        </is>
      </c>
      <c r="T302" s="325" t="inlineStr">
        <is>
          <t>Updated as needed by the issuing authority</t>
        </is>
      </c>
      <c r="U302" s="25" t="inlineStr">
        <is>
          <t>CURRENT — consult official source for latest version</t>
        </is>
      </c>
      <c r="V302" s="325" t="inlineStr">
        <is>
          <t>Penalties defined by issuing authority; consult official source. NCA ECC-2 penalties apply if relevant</t>
        </is>
      </c>
      <c r="W302" s="326" t="inlineStr">
        <is>
          <t>Issuing authority and/or designated inspection department</t>
        </is>
      </c>
      <c r="X302" s="325" t="inlineStr">
        <is>
          <t>As specified in framework scope — consult official document</t>
        </is>
      </c>
      <c r="Y302" s="49" t="inlineStr">
        <is>
          <t>Both (unless specified otherwise in official document)</t>
        </is>
      </c>
      <c r="Z302" s="325" t="inlineStr">
        <is>
          <t>As defined by issuing authority</t>
        </is>
      </c>
      <c r="AA302" s="327" t="inlineStr">
        <is>
          <t>As defined by issuing authority</t>
        </is>
      </c>
      <c r="AB302" s="325" t="inlineStr">
        <is>
          <t>To be determined from framework text — see official source</t>
        </is>
      </c>
      <c r="AC302" s="325" t="inlineStr">
        <is>
          <t>See framework preamble for international standard references</t>
        </is>
      </c>
      <c r="AD302" s="49" t="inlineStr">
        <is>
          <t>Arabic (primary in KSA); English may be available</t>
        </is>
      </c>
      <c r="AE302" s="58" t="inlineStr">
        <is>
          <t>Mapped to relevant GH-ICGA layer — requires manual assessment</t>
        </is>
      </c>
      <c r="AF302" s="56" t="inlineStr">
        <is>
          <t>See official framework for maturity model details</t>
        </is>
      </c>
      <c r="AG302" s="325" t="inlineStr">
        <is>
          <t>Aligned with relevant Vision 2030 programme — see framework context</t>
        </is>
      </c>
      <c r="AH302" s="325" t="inlineStr">
        <is>
          <t>As specified in framework compliance requirements</t>
        </is>
      </c>
      <c r="AI302" s="330" t="inlineStr">
        <is>
          <t>Institutional theory and regulatory governance theory underpin all KSA regulatory frameworks. Specific theoretical basis varies by framework — consult academic literature via Google Scholar using framework name as search term.</t>
        </is>
      </c>
      <c r="AJ302" s="325" t="inlineStr">
        <is>
          <t>Academic debate varies by framework maturity and international adoption. For KSA-specific debate, consult: Almohammad &amp; Wills (2021) J Cybersecurity; Al-Khater et al. (2020) IEEE Access; Baker McKenzie KSA regulatory updates.</t>
        </is>
      </c>
      <c r="AK302" s="331" t="inlineStr">
        <is>
          <t>Known criticisms include: implementation gap between standards and practice; resource constraints for smaller healthcare entities; rapid technology evolution outpacing regulation. Consult framework evaluation literature for specifics.</t>
        </is>
      </c>
      <c r="AL302" s="332" t="inlineStr">
        <is>
          <t>Framework comparison requires contextual analysis. Key comparators: NIST CSF 2.0 (international benchmark), ISO 27001 (certifiable standard), ECC-2 (KSA mandatory baseline). See main database for cross-framework mapping.</t>
        </is>
      </c>
      <c r="AM302" s="333"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02" s="334" t="inlineStr">
        <is>
          <t>Official: Consult the official source URL in the database for the primary document. Training: ISACA, ISC2, RAPS, IAPP, and HIMSS offer professional development covering most regulatory domains. Estimated hours vary by framework complexity.</t>
        </is>
      </c>
      <c r="AO302" s="335" t="inlineStr">
        <is>
          <t>Relevance to GH-ICGA framework varies by layer — see GH-ICGA Layer Mapping column. All KSA mandatory frameworks are compliance inputs to GH-ICGA Layer 4. Frameworks with IoMT-specific provisions directly inform Layers 2 and 3.</t>
        </is>
      </c>
      <c r="AP302" s="51" t="inlineStr">
        <is>
          <t>G + C (Governance + Compliance — standard regulatory framework positioning)</t>
        </is>
      </c>
      <c r="AQ302" s="336" t="inlineStr">
        <is>
          <t>Senior management: accountability for framework compliance. Designated compliance officer: monitor requirements. All staff: awareness of applicable obligations</t>
        </is>
      </c>
      <c r="AR302" s="331" t="inlineStr">
        <is>
          <t>Regulatory Risk; Operational Risk; Reputational Risk — specific domains determined by framework scope</t>
        </is>
      </c>
      <c r="AS302" s="22" t="inlineStr">
        <is>
          <t>See official source — legal obligation, regulatory requirement, or voluntary standard as applicable</t>
        </is>
      </c>
      <c r="AT302" s="332" t="inlineStr">
        <is>
          <t>Administrative; Technical; Operational — specific distribution determined by framework content</t>
        </is>
      </c>
      <c r="AU302" s="337" t="inlineStr">
        <is>
          <t>1. Compliance status (compliant/non-compliant). 2. # open findings from last assessment. 3. % controls implemented. 4. Time to remediate findings. 5. Incident rate in framework scope area</t>
        </is>
      </c>
      <c r="AV302" s="338" t="inlineStr">
        <is>
          <t>Self-assessment; internal audit; external assessment as specified by issuing authority</t>
        </is>
      </c>
      <c r="AW302" s="339" t="inlineStr">
        <is>
          <t>ServiceNow GRC; IBM OpenPages; RSA Archer; MetricStream — all major GRC platforms support custom framework import. Contact vendor for framework-specific module</t>
        </is>
      </c>
      <c r="AX302" s="340" t="inlineStr">
        <is>
          <t>Third parties in scope must demonstrate equivalent compliance. Contractual compliance obligations; right-to-audit clauses; annual third-party assessment</t>
        </is>
      </c>
      <c r="AY302" s="341" t="inlineStr">
        <is>
          <t>Non-compliance: regulatory action by issuing authority; fines and penalties as specified; operational and reputational consequences</t>
        </is>
      </c>
      <c r="AZ302" s="338" t="inlineStr">
        <is>
          <t>Sector-specific — consult official source</t>
        </is>
      </c>
      <c r="BA302" s="41" t="inlineStr">
        <is>
          <t>Sector-Specific</t>
        </is>
      </c>
      <c r="BB302" s="591">
        <f>IF(E302="","",IF(ISNUMBER(SEARCH("Institutional theory and regulatory governance theory underpin",AI302)),"TEMPLATE",IF(LEN(AI302)&gt;100,"DEEP",IF(AI302="","SPARSE","SHALLOW"))))</f>
        <v/>
      </c>
      <c r="BC302" s="591">
        <f>IF(E302="","",D302&amp;"-"&amp;B302&amp;"-"&amp;E302)</f>
        <v/>
      </c>
      <c r="BD302" s="591">
        <f>IF(E302="","",SUBSTITUTE(SUBSTITUTE(B302&amp;"-"&amp;E302," ",""),":","-"))</f>
        <v/>
      </c>
      <c r="BE302" s="591">
        <f>IF(E302="","",IF(ISNUMBER(SEARCH("ECC",E302)),"NCA-ECC-2-2024",IF(ISNUMBER(SEARCH("OTCC",E302)),"NCA-ECC-2-2024",IF(ISNUMBER(SEARCH("CCC",E302)),"NCA-ECC-2-2024",IF(ISNUMBER(SEARCH("DCC",E302)),"NCA-ECC-2-2024",IF(ISNUMBER(SEARCH("CSCC",E302)),"NCA-ECC-2-2024",IF(ISNUMBER(SEARCH("PDPL-IR",E302)),"PDPL-2021",IF(ISNUMBER(SEARCH("PDPL-DTR",E302)),"PDPL-2021","NONE"))))))))</f>
        <v/>
      </c>
      <c r="BF302" s="594">
        <f>IF(E302="","",IF(BB302="DEEP",10,IF(BB302="SHALLOW",5,IF(BB302="TEMPLATE",3,1)))+IF(N302="HIGHEST",5,IF(N302="HIGH",3,IF(N302="MODERATE",1,0)))+IF(ISNUMBER(SEARCH("Mandatory",L302)),3,0))</f>
        <v/>
      </c>
    </row>
    <row r="303" ht="42" customHeight="1">
      <c r="A303" s="42" t="n">
        <v>266</v>
      </c>
      <c r="B303" s="342" t="inlineStr">
        <is>
          <t>BOE</t>
        </is>
      </c>
      <c r="C303" s="44" t="inlineStr">
        <is>
          <t>Bureau of Experts at Council of Ministers</t>
        </is>
      </c>
      <c r="D303" s="44" t="inlineStr">
        <is>
          <t>13. Legal &amp; Judicial</t>
        </is>
      </c>
      <c r="E303" s="342" t="inlineStr">
        <is>
          <t>NCA-ECC-2:2024</t>
        </is>
      </c>
      <c r="F303" s="45" t="inlineStr">
        <is>
          <t>Essential Cybersecurity Controls</t>
        </is>
      </c>
      <c r="G303" s="44" t="inlineStr">
        <is>
          <t>ضوابط الأمن السيبراني الأساسية</t>
        </is>
      </c>
      <c r="H303" s="44" t="inlineStr">
        <is>
          <t>ECC-2:2024</t>
        </is>
      </c>
      <c r="I303" s="46" t="inlineStr">
        <is>
          <t>2018</t>
        </is>
      </c>
      <c r="J303" s="46" t="inlineStr">
        <is>
          <t>108</t>
        </is>
      </c>
      <c r="K303" s="44" t="inlineStr">
        <is>
          <t>MUST COMPLY WITH</t>
        </is>
      </c>
      <c r="L303" s="66" t="inlineStr">
        <is>
          <t>Mandatory Complier</t>
        </is>
      </c>
      <c r="M303" s="44" t="inlineStr">
        <is>
          <t>Bureau of Experts at Council of Ministers as government entity</t>
        </is>
      </c>
      <c r="N303" s="59" t="inlineStr">
        <is>
          <t>LOW</t>
        </is>
      </c>
      <c r="O303" s="48" t="inlineStr">
        <is>
          <t>https://nca.gov.sa/</t>
        </is>
      </c>
      <c r="P303" s="44" t="inlineStr">
        <is>
          <t>NCA ECC scope</t>
        </is>
      </c>
      <c r="Q303" s="325" t="inlineStr">
        <is>
          <t>See official source for version history</t>
        </is>
      </c>
      <c r="R303" s="325" t="inlineStr">
        <is>
          <t>Framework issued by the relevant authority. Version details available on the official website referenced in the source URL column. The framework has been updated periodically since first issuance.</t>
        </is>
      </c>
      <c r="S303" s="327" t="inlineStr">
        <is>
          <t>See official source</t>
        </is>
      </c>
      <c r="T303" s="325" t="inlineStr">
        <is>
          <t>Updated as needed by the issuing authority</t>
        </is>
      </c>
      <c r="U303" s="25" t="inlineStr">
        <is>
          <t>CURRENT — consult official source for latest version</t>
        </is>
      </c>
      <c r="V303" s="325" t="inlineStr">
        <is>
          <t>Penalties defined by issuing authority; consult official source. NCA ECC-2 penalties apply if relevant</t>
        </is>
      </c>
      <c r="W303" s="326" t="inlineStr">
        <is>
          <t>Issuing authority and/or designated inspection department</t>
        </is>
      </c>
      <c r="X303" s="325" t="inlineStr">
        <is>
          <t>As specified in framework scope — consult official document</t>
        </is>
      </c>
      <c r="Y303" s="49" t="inlineStr">
        <is>
          <t>Both (unless specified otherwise in official document)</t>
        </is>
      </c>
      <c r="Z303" s="325" t="inlineStr">
        <is>
          <t>As defined by issuing authority</t>
        </is>
      </c>
      <c r="AA303" s="327" t="inlineStr">
        <is>
          <t>As defined by issuing authority</t>
        </is>
      </c>
      <c r="AB303" s="325" t="inlineStr">
        <is>
          <t>To be determined from framework text — see official source</t>
        </is>
      </c>
      <c r="AC303" s="325" t="inlineStr">
        <is>
          <t>See framework preamble for international standard references</t>
        </is>
      </c>
      <c r="AD303" s="49" t="inlineStr">
        <is>
          <t>Arabic (primary in KSA); English may be available</t>
        </is>
      </c>
      <c r="AE303" s="58" t="inlineStr">
        <is>
          <t>Mapped to relevant GH-ICGA layer — requires manual assessment</t>
        </is>
      </c>
      <c r="AF303" s="56" t="inlineStr">
        <is>
          <t>See official framework for maturity model details</t>
        </is>
      </c>
      <c r="AG303" s="325" t="inlineStr">
        <is>
          <t>Aligned with relevant Vision 2030 programme — see framework context</t>
        </is>
      </c>
      <c r="AH303" s="325" t="inlineStr">
        <is>
          <t>As specified in framework compliance requirements</t>
        </is>
      </c>
      <c r="AI303" s="330" t="inlineStr">
        <is>
          <t>Institutional theory and regulatory governance theory underpin all KSA regulatory frameworks. Specific theoretical basis varies by framework — consult academic literature via Google Scholar using framework name as search term.</t>
        </is>
      </c>
      <c r="AJ303" s="325" t="inlineStr">
        <is>
          <t>Academic debate varies by framework maturity and international adoption. For KSA-specific debate, consult: Almohammad &amp; Wills (2021) J Cybersecurity; Al-Khater et al. (2020) IEEE Access; Baker McKenzie KSA regulatory updates.</t>
        </is>
      </c>
      <c r="AK303" s="331" t="inlineStr">
        <is>
          <t>Known criticisms include: implementation gap between standards and practice; resource constraints for smaller healthcare entities; rapid technology evolution outpacing regulation. Consult framework evaluation literature for specifics.</t>
        </is>
      </c>
      <c r="AL303" s="332" t="inlineStr">
        <is>
          <t>Framework comparison requires contextual analysis. Key comparators: NIST CSF 2.0 (international benchmark), ISO 27001 (certifiable standard), ECC-2 (KSA mandatory baseline). See main database for cross-framework mapping.</t>
        </is>
      </c>
      <c r="AM303" s="333"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03" s="334" t="inlineStr">
        <is>
          <t>Official: Consult the official source URL in the database for the primary document. Training: ISACA, ISC2, RAPS, IAPP, and HIMSS offer professional development covering most regulatory domains. Estimated hours vary by framework complexity.</t>
        </is>
      </c>
      <c r="AO303" s="335" t="inlineStr">
        <is>
          <t>Relevance to GH-ICGA framework varies by layer — see GH-ICGA Layer Mapping column. All KSA mandatory frameworks are compliance inputs to GH-ICGA Layer 4. Frameworks with IoMT-specific provisions directly inform Layers 2 and 3.</t>
        </is>
      </c>
      <c r="AP303" s="51" t="inlineStr">
        <is>
          <t>G + C (Governance + Compliance — standard regulatory framework positioning)</t>
        </is>
      </c>
      <c r="AQ303" s="336" t="inlineStr">
        <is>
          <t>Senior management: accountability for framework compliance. Designated compliance officer: monitor requirements. All staff: awareness of applicable obligations</t>
        </is>
      </c>
      <c r="AR303" s="331" t="inlineStr">
        <is>
          <t>Regulatory Risk; Operational Risk; Reputational Risk — specific domains determined by framework scope</t>
        </is>
      </c>
      <c r="AS303" s="22" t="inlineStr">
        <is>
          <t>See official source — legal obligation, regulatory requirement, or voluntary standard as applicable</t>
        </is>
      </c>
      <c r="AT303" s="332" t="inlineStr">
        <is>
          <t>Administrative; Technical; Operational — specific distribution determined by framework content</t>
        </is>
      </c>
      <c r="AU303" s="337" t="inlineStr">
        <is>
          <t>1. Compliance status (compliant/non-compliant). 2. # open findings from last assessment. 3. % controls implemented. 4. Time to remediate findings. 5. Incident rate in framework scope area</t>
        </is>
      </c>
      <c r="AV303" s="338" t="inlineStr">
        <is>
          <t>Self-assessment; internal audit; external assessment as specified by issuing authority</t>
        </is>
      </c>
      <c r="AW303" s="339" t="inlineStr">
        <is>
          <t>ServiceNow GRC; IBM OpenPages; RSA Archer; MetricStream — all major GRC platforms support custom framework import. Contact vendor for framework-specific module</t>
        </is>
      </c>
      <c r="AX303" s="340" t="inlineStr">
        <is>
          <t>Third parties in scope must demonstrate equivalent compliance. Contractual compliance obligations; right-to-audit clauses; annual third-party assessment</t>
        </is>
      </c>
      <c r="AY303" s="341" t="inlineStr">
        <is>
          <t>Non-compliance: regulatory action by issuing authority; fines and penalties as specified; operational and reputational consequences</t>
        </is>
      </c>
      <c r="AZ303" s="338" t="inlineStr">
        <is>
          <t>ALL 17 SECTORS</t>
        </is>
      </c>
      <c r="BA303" s="34" t="inlineStr">
        <is>
          <t>YES — ALL SECTORS</t>
        </is>
      </c>
      <c r="BB303" s="591">
        <f>IF(E303="","",IF(ISNUMBER(SEARCH("Institutional theory and regulatory governance theory underpin",AI303)),"TEMPLATE",IF(LEN(AI303)&gt;100,"DEEP",IF(AI303="","SPARSE","SHALLOW"))))</f>
        <v/>
      </c>
      <c r="BC303" s="591">
        <f>IF(E303="","",D303&amp;"-"&amp;B303&amp;"-"&amp;E303)</f>
        <v/>
      </c>
      <c r="BD303" s="591">
        <f>IF(E303="","",SUBSTITUTE(SUBSTITUTE(B303&amp;"-"&amp;E303," ",""),":","-"))</f>
        <v/>
      </c>
      <c r="BE303" s="591">
        <f>IF(E303="","",IF(ISNUMBER(SEARCH("ECC",E303)),"NCA-ECC-2-2024",IF(ISNUMBER(SEARCH("OTCC",E303)),"NCA-ECC-2-2024",IF(ISNUMBER(SEARCH("CCC",E303)),"NCA-ECC-2-2024",IF(ISNUMBER(SEARCH("DCC",E303)),"NCA-ECC-2-2024",IF(ISNUMBER(SEARCH("CSCC",E303)),"NCA-ECC-2-2024",IF(ISNUMBER(SEARCH("PDPL-IR",E303)),"PDPL-2021",IF(ISNUMBER(SEARCH("PDPL-DTR",E303)),"PDPL-2021","NONE"))))))))</f>
        <v/>
      </c>
      <c r="BF303" s="594">
        <f>IF(E303="","",IF(BB303="DEEP",10,IF(BB303="SHALLOW",5,IF(BB303="TEMPLATE",3,1)))+IF(N303="HIGHEST",5,IF(N303="HIGH",3,IF(N303="MODERATE",1,0)))+IF(ISNUMBER(SEARCH("Mandatory",L303)),3,0))</f>
        <v/>
      </c>
    </row>
    <row r="304" ht="42" customHeight="1">
      <c r="A304" s="323" t="n">
        <v>267</v>
      </c>
      <c r="B304" s="324" t="inlineStr">
        <is>
          <t>NAZAHA</t>
        </is>
      </c>
      <c r="C304" s="325" t="inlineStr">
        <is>
          <t>Anti-Corruption Commission (Nazaha)</t>
        </is>
      </c>
      <c r="D304" s="325" t="inlineStr">
        <is>
          <t>13. Legal &amp; Judicial</t>
        </is>
      </c>
      <c r="E304" s="324" t="inlineStr">
        <is>
          <t>NAZAHA-FW</t>
        </is>
      </c>
      <c r="F304" s="326" t="inlineStr">
        <is>
          <t>Anti-Corruption Law &amp; Asset Disclosure</t>
        </is>
      </c>
      <c r="G304" s="325" t="inlineStr">
        <is>
          <t>الإطار التنظيمي الرئيسي</t>
        </is>
      </c>
      <c r="H304" s="325" t="inlineStr">
        <is>
          <t>Active/Updated</t>
        </is>
      </c>
      <c r="I304" s="327" t="inlineStr">
        <is>
          <t>2004</t>
        </is>
      </c>
      <c r="J304" s="327" t="inlineStr">
        <is>
          <t>N/A</t>
        </is>
      </c>
      <c r="K304" s="325" t="inlineStr">
        <is>
          <t>ISSUES/ENFORCES</t>
        </is>
      </c>
      <c r="L304" s="22" t="inlineStr">
        <is>
          <t>Mandatory Enforcer</t>
        </is>
      </c>
      <c r="M304" s="325" t="inlineStr">
        <is>
          <t>Entities regulated by this authority</t>
        </is>
      </c>
      <c r="N304" s="328" t="inlineStr">
        <is>
          <t>MODERATE</t>
        </is>
      </c>
      <c r="O304" s="329" t="inlineStr">
        <is>
          <t>https://www.gov.sa/</t>
        </is>
      </c>
      <c r="P304" s="325" t="inlineStr">
        <is>
          <t>Ministry/Authority official site</t>
        </is>
      </c>
      <c r="Q304" s="325" t="inlineStr">
        <is>
          <t>See official source for version history</t>
        </is>
      </c>
      <c r="R304" s="325" t="inlineStr">
        <is>
          <t>Framework issued by the relevant authority. Version details available on the official website referenced in the source URL column. The framework has been updated periodically since first issuance.</t>
        </is>
      </c>
      <c r="S304" s="327" t="inlineStr">
        <is>
          <t>See official source</t>
        </is>
      </c>
      <c r="T304" s="325" t="inlineStr">
        <is>
          <t>Updated as needed by the issuing authority</t>
        </is>
      </c>
      <c r="U304" s="25" t="inlineStr">
        <is>
          <t>CURRENT — consult official source for latest version</t>
        </is>
      </c>
      <c r="V304" s="325" t="inlineStr">
        <is>
          <t>Penalties defined by issuing authority; consult official source. NCA ECC-2 penalties apply if relevant</t>
        </is>
      </c>
      <c r="W304" s="326" t="inlineStr">
        <is>
          <t>Issuing authority and/or designated inspection department</t>
        </is>
      </c>
      <c r="X304" s="325" t="inlineStr">
        <is>
          <t>As specified in framework scope — consult official document</t>
        </is>
      </c>
      <c r="Y304" s="49" t="inlineStr">
        <is>
          <t>Both (unless specified otherwise in official document)</t>
        </is>
      </c>
      <c r="Z304" s="325" t="inlineStr">
        <is>
          <t>As defined by issuing authority</t>
        </is>
      </c>
      <c r="AA304" s="327" t="inlineStr">
        <is>
          <t>As defined by issuing authority</t>
        </is>
      </c>
      <c r="AB304" s="325" t="inlineStr">
        <is>
          <t>To be determined from framework text — see official source</t>
        </is>
      </c>
      <c r="AC304" s="325" t="inlineStr">
        <is>
          <t>See framework preamble for international standard references</t>
        </is>
      </c>
      <c r="AD304" s="49" t="inlineStr">
        <is>
          <t>Arabic (primary in KSA); English may be available</t>
        </is>
      </c>
      <c r="AE304" s="58" t="inlineStr">
        <is>
          <t>Mapped to relevant GH-ICGA layer — requires manual assessment</t>
        </is>
      </c>
      <c r="AF304" s="56" t="inlineStr">
        <is>
          <t>See official framework for maturity model details</t>
        </is>
      </c>
      <c r="AG304" s="325" t="inlineStr">
        <is>
          <t>Aligned with relevant Vision 2030 programme — see framework context</t>
        </is>
      </c>
      <c r="AH304" s="325" t="inlineStr">
        <is>
          <t>As specified in framework compliance requirements</t>
        </is>
      </c>
      <c r="AI304" s="330" t="inlineStr">
        <is>
          <t>Institutional theory and regulatory governance theory underpin all KSA regulatory frameworks. Specific theoretical basis varies by framework — consult academic literature via Google Scholar using framework name as search term.</t>
        </is>
      </c>
      <c r="AJ304" s="325" t="inlineStr">
        <is>
          <t>Academic debate varies by framework maturity and international adoption. For KSA-specific debate, consult: Almohammad &amp; Wills (2021) J Cybersecurity; Al-Khater et al. (2020) IEEE Access; Baker McKenzie KSA regulatory updates.</t>
        </is>
      </c>
      <c r="AK304" s="331" t="inlineStr">
        <is>
          <t>Known criticisms include: implementation gap between standards and practice; resource constraints for smaller healthcare entities; rapid technology evolution outpacing regulation. Consult framework evaluation literature for specifics.</t>
        </is>
      </c>
      <c r="AL304" s="332" t="inlineStr">
        <is>
          <t>Framework comparison requires contextual analysis. Key comparators: NIST CSF 2.0 (international benchmark), ISO 27001 (certifiable standard), ECC-2 (KSA mandatory baseline). See main database for cross-framework mapping.</t>
        </is>
      </c>
      <c r="AM304" s="333"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04" s="334" t="inlineStr">
        <is>
          <t>Official: Consult the official source URL in the database for the primary document. Training: ISACA, ISC2, RAPS, IAPP, and HIMSS offer professional development covering most regulatory domains. Estimated hours vary by framework complexity.</t>
        </is>
      </c>
      <c r="AO304" s="335" t="inlineStr">
        <is>
          <t>Relevance to GH-ICGA framework varies by layer — see GH-ICGA Layer Mapping column. All KSA mandatory frameworks are compliance inputs to GH-ICGA Layer 4. Frameworks with IoMT-specific provisions directly inform Layers 2 and 3.</t>
        </is>
      </c>
      <c r="AP304" s="51" t="inlineStr">
        <is>
          <t>G + C (Governance + Compliance — standard regulatory framework positioning)</t>
        </is>
      </c>
      <c r="AQ304" s="336" t="inlineStr">
        <is>
          <t>Senior management: accountability for framework compliance. Designated compliance officer: monitor requirements. All staff: awareness of applicable obligations</t>
        </is>
      </c>
      <c r="AR304" s="331" t="inlineStr">
        <is>
          <t>Regulatory Risk; Operational Risk; Reputational Risk — specific domains determined by framework scope</t>
        </is>
      </c>
      <c r="AS304" s="22" t="inlineStr">
        <is>
          <t>See official source — legal obligation, regulatory requirement, or voluntary standard as applicable</t>
        </is>
      </c>
      <c r="AT304" s="332" t="inlineStr">
        <is>
          <t>Administrative; Technical; Operational — specific distribution determined by framework content</t>
        </is>
      </c>
      <c r="AU304" s="337" t="inlineStr">
        <is>
          <t>1. Compliance status (compliant/non-compliant). 2. # open findings from last assessment. 3. % controls implemented. 4. Time to remediate findings. 5. Incident rate in framework scope area</t>
        </is>
      </c>
      <c r="AV304" s="338" t="inlineStr">
        <is>
          <t>Self-assessment; internal audit; external assessment as specified by issuing authority</t>
        </is>
      </c>
      <c r="AW304" s="339" t="inlineStr">
        <is>
          <t>ServiceNow GRC; IBM OpenPages; RSA Archer; MetricStream — all major GRC platforms support custom framework import. Contact vendor for framework-specific module</t>
        </is>
      </c>
      <c r="AX304" s="340" t="inlineStr">
        <is>
          <t>Third parties in scope must demonstrate equivalent compliance. Contractual compliance obligations; right-to-audit clauses; annual third-party assessment</t>
        </is>
      </c>
      <c r="AY304" s="341" t="inlineStr">
        <is>
          <t>Non-compliance: regulatory action by issuing authority; fines and penalties as specified; operational and reputational consequences</t>
        </is>
      </c>
      <c r="AZ304" s="338" t="inlineStr">
        <is>
          <t>Sector-specific — consult official source</t>
        </is>
      </c>
      <c r="BA304" s="41" t="inlineStr">
        <is>
          <t>Sector-Specific</t>
        </is>
      </c>
      <c r="BB304" s="591">
        <f>IF(E304="","",IF(ISNUMBER(SEARCH("Institutional theory and regulatory governance theory underpin",AI304)),"TEMPLATE",IF(LEN(AI304)&gt;100,"DEEP",IF(AI304="","SPARSE","SHALLOW"))))</f>
        <v/>
      </c>
      <c r="BC304" s="591">
        <f>IF(E304="","",D304&amp;"-"&amp;B304&amp;"-"&amp;E304)</f>
        <v/>
      </c>
      <c r="BD304" s="591">
        <f>IF(E304="","",SUBSTITUTE(SUBSTITUTE(B304&amp;"-"&amp;E304," ",""),":","-"))</f>
        <v/>
      </c>
      <c r="BE304" s="591">
        <f>IF(E304="","",IF(ISNUMBER(SEARCH("ECC",E304)),"NCA-ECC-2-2024",IF(ISNUMBER(SEARCH("OTCC",E304)),"NCA-ECC-2-2024",IF(ISNUMBER(SEARCH("CCC",E304)),"NCA-ECC-2-2024",IF(ISNUMBER(SEARCH("DCC",E304)),"NCA-ECC-2-2024",IF(ISNUMBER(SEARCH("CSCC",E304)),"NCA-ECC-2-2024",IF(ISNUMBER(SEARCH("PDPL-IR",E304)),"PDPL-2021",IF(ISNUMBER(SEARCH("PDPL-DTR",E304)),"PDPL-2021","NONE"))))))))</f>
        <v/>
      </c>
      <c r="BF304" s="594">
        <f>IF(E304="","",IF(BB304="DEEP",10,IF(BB304="SHALLOW",5,IF(BB304="TEMPLATE",3,1)))+IF(N304="HIGHEST",5,IF(N304="HIGH",3,IF(N304="MODERATE",1,0)))+IF(ISNUMBER(SEARCH("Mandatory",L304)),3,0))</f>
        <v/>
      </c>
    </row>
    <row r="305" ht="42" customHeight="1">
      <c r="A305" s="42" t="n">
        <v>268</v>
      </c>
      <c r="B305" s="342" t="inlineStr">
        <is>
          <t>NAZAHA</t>
        </is>
      </c>
      <c r="C305" s="44" t="inlineStr">
        <is>
          <t>Anti-Corruption Commission (Nazaha)</t>
        </is>
      </c>
      <c r="D305" s="44" t="inlineStr">
        <is>
          <t>13. Legal &amp; Judicial</t>
        </is>
      </c>
      <c r="E305" s="342" t="inlineStr">
        <is>
          <t>NCA-ECC-2:2024</t>
        </is>
      </c>
      <c r="F305" s="45" t="inlineStr">
        <is>
          <t>Essential Cybersecurity Controls</t>
        </is>
      </c>
      <c r="G305" s="44" t="inlineStr">
        <is>
          <t>ضوابط الأمن السيبراني الأساسية</t>
        </is>
      </c>
      <c r="H305" s="44" t="inlineStr">
        <is>
          <t>ECC-2:2024</t>
        </is>
      </c>
      <c r="I305" s="46" t="inlineStr">
        <is>
          <t>2018</t>
        </is>
      </c>
      <c r="J305" s="46" t="inlineStr">
        <is>
          <t>108</t>
        </is>
      </c>
      <c r="K305" s="44" t="inlineStr">
        <is>
          <t>MUST COMPLY WITH</t>
        </is>
      </c>
      <c r="L305" s="66" t="inlineStr">
        <is>
          <t>Mandatory Complier</t>
        </is>
      </c>
      <c r="M305" s="44" t="inlineStr">
        <is>
          <t>Anti-Corruption Commission (Nazaha) as government entity</t>
        </is>
      </c>
      <c r="N305" s="59" t="inlineStr">
        <is>
          <t>LOW</t>
        </is>
      </c>
      <c r="O305" s="48" t="inlineStr">
        <is>
          <t>https://nca.gov.sa/</t>
        </is>
      </c>
      <c r="P305" s="44" t="inlineStr">
        <is>
          <t>NCA ECC scope</t>
        </is>
      </c>
      <c r="Q305" s="325" t="inlineStr">
        <is>
          <t>See official source for version history</t>
        </is>
      </c>
      <c r="R305" s="325" t="inlineStr">
        <is>
          <t>Framework issued by the relevant authority. Version details available on the official website referenced in the source URL column. The framework has been updated periodically since first issuance.</t>
        </is>
      </c>
      <c r="S305" s="327" t="inlineStr">
        <is>
          <t>See official source</t>
        </is>
      </c>
      <c r="T305" s="325" t="inlineStr">
        <is>
          <t>Updated as needed by the issuing authority</t>
        </is>
      </c>
      <c r="U305" s="25" t="inlineStr">
        <is>
          <t>CURRENT — consult official source for latest version</t>
        </is>
      </c>
      <c r="V305" s="325" t="inlineStr">
        <is>
          <t>Penalties defined by issuing authority; consult official source. NCA ECC-2 penalties apply if relevant</t>
        </is>
      </c>
      <c r="W305" s="326" t="inlineStr">
        <is>
          <t>Issuing authority and/or designated inspection department</t>
        </is>
      </c>
      <c r="X305" s="325" t="inlineStr">
        <is>
          <t>As specified in framework scope — consult official document</t>
        </is>
      </c>
      <c r="Y305" s="49" t="inlineStr">
        <is>
          <t>Both (unless specified otherwise in official document)</t>
        </is>
      </c>
      <c r="Z305" s="325" t="inlineStr">
        <is>
          <t>As defined by issuing authority</t>
        </is>
      </c>
      <c r="AA305" s="327" t="inlineStr">
        <is>
          <t>As defined by issuing authority</t>
        </is>
      </c>
      <c r="AB305" s="325" t="inlineStr">
        <is>
          <t>To be determined from framework text — see official source</t>
        </is>
      </c>
      <c r="AC305" s="325" t="inlineStr">
        <is>
          <t>See framework preamble for international standard references</t>
        </is>
      </c>
      <c r="AD305" s="49" t="inlineStr">
        <is>
          <t>Arabic (primary in KSA); English may be available</t>
        </is>
      </c>
      <c r="AE305" s="58" t="inlineStr">
        <is>
          <t>Mapped to relevant GH-ICGA layer — requires manual assessment</t>
        </is>
      </c>
      <c r="AF305" s="56" t="inlineStr">
        <is>
          <t>See official framework for maturity model details</t>
        </is>
      </c>
      <c r="AG305" s="325" t="inlineStr">
        <is>
          <t>Aligned with relevant Vision 2030 programme — see framework context</t>
        </is>
      </c>
      <c r="AH305" s="325" t="inlineStr">
        <is>
          <t>As specified in framework compliance requirements</t>
        </is>
      </c>
      <c r="AI305" s="330" t="inlineStr">
        <is>
          <t>Institutional theory and regulatory governance theory underpin all KSA regulatory frameworks. Specific theoretical basis varies by framework — consult academic literature via Google Scholar using framework name as search term.</t>
        </is>
      </c>
      <c r="AJ305" s="325" t="inlineStr">
        <is>
          <t>Academic debate varies by framework maturity and international adoption. For KSA-specific debate, consult: Almohammad &amp; Wills (2021) J Cybersecurity; Al-Khater et al. (2020) IEEE Access; Baker McKenzie KSA regulatory updates.</t>
        </is>
      </c>
      <c r="AK305" s="331" t="inlineStr">
        <is>
          <t>Known criticisms include: implementation gap between standards and practice; resource constraints for smaller healthcare entities; rapid technology evolution outpacing regulation. Consult framework evaluation literature for specifics.</t>
        </is>
      </c>
      <c r="AL305" s="332" t="inlineStr">
        <is>
          <t>Framework comparison requires contextual analysis. Key comparators: NIST CSF 2.0 (international benchmark), ISO 27001 (certifiable standard), ECC-2 (KSA mandatory baseline). See main database for cross-framework mapping.</t>
        </is>
      </c>
      <c r="AM305" s="333"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05" s="334" t="inlineStr">
        <is>
          <t>Official: Consult the official source URL in the database for the primary document. Training: ISACA, ISC2, RAPS, IAPP, and HIMSS offer professional development covering most regulatory domains. Estimated hours vary by framework complexity.</t>
        </is>
      </c>
      <c r="AO305" s="335" t="inlineStr">
        <is>
          <t>Relevance to GH-ICGA framework varies by layer — see GH-ICGA Layer Mapping column. All KSA mandatory frameworks are compliance inputs to GH-ICGA Layer 4. Frameworks with IoMT-specific provisions directly inform Layers 2 and 3.</t>
        </is>
      </c>
      <c r="AP305" s="51" t="inlineStr">
        <is>
          <t>G + C (Governance + Compliance — standard regulatory framework positioning)</t>
        </is>
      </c>
      <c r="AQ305" s="336" t="inlineStr">
        <is>
          <t>Senior management: accountability for framework compliance. Designated compliance officer: monitor requirements. All staff: awareness of applicable obligations</t>
        </is>
      </c>
      <c r="AR305" s="331" t="inlineStr">
        <is>
          <t>Regulatory Risk; Operational Risk; Reputational Risk — specific domains determined by framework scope</t>
        </is>
      </c>
      <c r="AS305" s="22" t="inlineStr">
        <is>
          <t>See official source — legal obligation, regulatory requirement, or voluntary standard as applicable</t>
        </is>
      </c>
      <c r="AT305" s="332" t="inlineStr">
        <is>
          <t>Administrative; Technical; Operational — specific distribution determined by framework content</t>
        </is>
      </c>
      <c r="AU305" s="337" t="inlineStr">
        <is>
          <t>1. Compliance status (compliant/non-compliant). 2. # open findings from last assessment. 3. % controls implemented. 4. Time to remediate findings. 5. Incident rate in framework scope area</t>
        </is>
      </c>
      <c r="AV305" s="338" t="inlineStr">
        <is>
          <t>Self-assessment; internal audit; external assessment as specified by issuing authority</t>
        </is>
      </c>
      <c r="AW305" s="339" t="inlineStr">
        <is>
          <t>ServiceNow GRC; IBM OpenPages; RSA Archer; MetricStream — all major GRC platforms support custom framework import. Contact vendor for framework-specific module</t>
        </is>
      </c>
      <c r="AX305" s="340" t="inlineStr">
        <is>
          <t>Third parties in scope must demonstrate equivalent compliance. Contractual compliance obligations; right-to-audit clauses; annual third-party assessment</t>
        </is>
      </c>
      <c r="AY305" s="341" t="inlineStr">
        <is>
          <t>Non-compliance: regulatory action by issuing authority; fines and penalties as specified; operational and reputational consequences</t>
        </is>
      </c>
      <c r="AZ305" s="338" t="inlineStr">
        <is>
          <t>ALL 17 SECTORS</t>
        </is>
      </c>
      <c r="BA305" s="34" t="inlineStr">
        <is>
          <t>YES — ALL SECTORS</t>
        </is>
      </c>
      <c r="BB305" s="591">
        <f>IF(E305="","",IF(ISNUMBER(SEARCH("Institutional theory and regulatory governance theory underpin",AI305)),"TEMPLATE",IF(LEN(AI305)&gt;100,"DEEP",IF(AI305="","SPARSE","SHALLOW"))))</f>
        <v/>
      </c>
      <c r="BC305" s="591">
        <f>IF(E305="","",D305&amp;"-"&amp;B305&amp;"-"&amp;E305)</f>
        <v/>
      </c>
      <c r="BD305" s="591">
        <f>IF(E305="","",SUBSTITUTE(SUBSTITUTE(B305&amp;"-"&amp;E305," ",""),":","-"))</f>
        <v/>
      </c>
      <c r="BE305" s="591">
        <f>IF(E305="","",IF(ISNUMBER(SEARCH("ECC",E305)),"NCA-ECC-2-2024",IF(ISNUMBER(SEARCH("OTCC",E305)),"NCA-ECC-2-2024",IF(ISNUMBER(SEARCH("CCC",E305)),"NCA-ECC-2-2024",IF(ISNUMBER(SEARCH("DCC",E305)),"NCA-ECC-2-2024",IF(ISNUMBER(SEARCH("CSCC",E305)),"NCA-ECC-2-2024",IF(ISNUMBER(SEARCH("PDPL-IR",E305)),"PDPL-2021",IF(ISNUMBER(SEARCH("PDPL-DTR",E305)),"PDPL-2021","NONE"))))))))</f>
        <v/>
      </c>
      <c r="BF305" s="594">
        <f>IF(E305="","",IF(BB305="DEEP",10,IF(BB305="SHALLOW",5,IF(BB305="TEMPLATE",3,1)))+IF(N305="HIGHEST",5,IF(N305="HIGH",3,IF(N305="MODERATE",1,0)))+IF(ISNUMBER(SEARCH("Mandatory",L305)),3,0))</f>
        <v/>
      </c>
    </row>
    <row r="306">
      <c r="BB306" s="591">
        <f>IF(E306="","",IF(ISNUMBER(SEARCH("Institutional theory and regulatory governance theory underpin",AI306)),"TEMPLATE",IF(LEN(AI306)&gt;100,"DEEP",IF(AI306="","SPARSE","SHALLOW"))))</f>
        <v/>
      </c>
      <c r="BC306" s="591">
        <f>IF(E306="","",D306&amp;"-"&amp;B306&amp;"-"&amp;E306)</f>
        <v/>
      </c>
      <c r="BD306" s="591">
        <f>IF(E306="","",SUBSTITUTE(SUBSTITUTE(B306&amp;"-"&amp;E306," ",""),":","-"))</f>
        <v/>
      </c>
      <c r="BE306" s="591">
        <f>IF(E306="","",IF(ISNUMBER(SEARCH("ECC",E306)),"NCA-ECC-2-2024",IF(ISNUMBER(SEARCH("OTCC",E306)),"NCA-ECC-2-2024",IF(ISNUMBER(SEARCH("CCC",E306)),"NCA-ECC-2-2024",IF(ISNUMBER(SEARCH("DCC",E306)),"NCA-ECC-2-2024",IF(ISNUMBER(SEARCH("CSCC",E306)),"NCA-ECC-2-2024",IF(ISNUMBER(SEARCH("PDPL-IR",E306)),"PDPL-2021",IF(ISNUMBER(SEARCH("PDPL-DTR",E306)),"PDPL-2021","NONE"))))))))</f>
        <v/>
      </c>
      <c r="BF306" s="594">
        <f>IF(E306="","",IF(BB306="DEEP",10,IF(BB306="SHALLOW",5,IF(BB306="TEMPLATE",3,1)))+IF(N306="HIGHEST",5,IF(N306="HIGH",3,IF(N306="MODERATE",1,0)))+IF(ISNUMBER(SEARCH("Mandatory",L306)),3,0))</f>
        <v/>
      </c>
    </row>
    <row r="307" ht="19.5" customHeight="1">
      <c r="A307" s="343" t="n"/>
      <c r="B307" s="344" t="inlineStr">
        <is>
          <t xml:space="preserve">  ── 14. Labour &amp; Occ. Health ──</t>
        </is>
      </c>
      <c r="C307" s="343" t="n"/>
      <c r="D307" s="343" t="n"/>
      <c r="E307" s="343" t="n"/>
      <c r="F307" s="343" t="n"/>
      <c r="G307" s="343" t="n"/>
      <c r="H307" s="343" t="n"/>
      <c r="I307" s="343" t="n"/>
      <c r="J307" s="343" t="n"/>
      <c r="K307" s="343" t="n"/>
      <c r="L307" s="343" t="n"/>
      <c r="M307" s="343" t="n"/>
      <c r="N307" s="343" t="n"/>
      <c r="O307" s="343" t="n"/>
      <c r="P307" s="343" t="n"/>
      <c r="BB307" s="591">
        <f>IF(E307="","",IF(ISNUMBER(SEARCH("Institutional theory and regulatory governance theory underpin",AI307)),"TEMPLATE",IF(LEN(AI307)&gt;100,"DEEP",IF(AI307="","SPARSE","SHALLOW"))))</f>
        <v/>
      </c>
      <c r="BC307" s="591">
        <f>IF(E307="","",D307&amp;"-"&amp;B307&amp;"-"&amp;E307)</f>
        <v/>
      </c>
      <c r="BD307" s="591">
        <f>IF(E307="","",SUBSTITUTE(SUBSTITUTE(B307&amp;"-"&amp;E307," ",""),":","-"))</f>
        <v/>
      </c>
      <c r="BE307" s="591">
        <f>IF(E307="","",IF(ISNUMBER(SEARCH("ECC",E307)),"NCA-ECC-2-2024",IF(ISNUMBER(SEARCH("OTCC",E307)),"NCA-ECC-2-2024",IF(ISNUMBER(SEARCH("CCC",E307)),"NCA-ECC-2-2024",IF(ISNUMBER(SEARCH("DCC",E307)),"NCA-ECC-2-2024",IF(ISNUMBER(SEARCH("CSCC",E307)),"NCA-ECC-2-2024",IF(ISNUMBER(SEARCH("PDPL-IR",E307)),"PDPL-2021",IF(ISNUMBER(SEARCH("PDPL-DTR",E307)),"PDPL-2021","NONE"))))))))</f>
        <v/>
      </c>
      <c r="BF307" s="594">
        <f>IF(E307="","",IF(BB307="DEEP",10,IF(BB307="SHALLOW",5,IF(BB307="TEMPLATE",3,1)))+IF(N307="HIGHEST",5,IF(N307="HIGH",3,IF(N307="MODERATE",1,0)))+IF(ISNUMBER(SEARCH("Mandatory",L307)),3,0))</f>
        <v/>
      </c>
    </row>
    <row r="308" ht="42" customHeight="1">
      <c r="A308" s="345" t="n">
        <v>269</v>
      </c>
      <c r="B308" s="346" t="inlineStr">
        <is>
          <t>OSH</t>
        </is>
      </c>
      <c r="C308" s="347" t="inlineStr">
        <is>
          <t>Occupational Safety &amp; Health Dept (MHRSD)</t>
        </is>
      </c>
      <c r="D308" s="347" t="inlineStr">
        <is>
          <t>14. Labour &amp; Occ. Health</t>
        </is>
      </c>
      <c r="E308" s="346" t="inlineStr">
        <is>
          <t>OSH-FW</t>
        </is>
      </c>
      <c r="F308" s="348" t="inlineStr">
        <is>
          <t>Occupational Safety &amp; Health Regulations</t>
        </is>
      </c>
      <c r="G308" s="347" t="inlineStr">
        <is>
          <t>الإطار التنظيمي الرئيسي</t>
        </is>
      </c>
      <c r="H308" s="347" t="inlineStr">
        <is>
          <t>Active/Updated</t>
        </is>
      </c>
      <c r="I308" s="349" t="inlineStr">
        <is>
          <t>2005</t>
        </is>
      </c>
      <c r="J308" s="349" t="inlineStr">
        <is>
          <t>N/A</t>
        </is>
      </c>
      <c r="K308" s="347" t="inlineStr">
        <is>
          <t>ISSUES/ENFORCES</t>
        </is>
      </c>
      <c r="L308" s="22" t="inlineStr">
        <is>
          <t>Mandatory Enforcer</t>
        </is>
      </c>
      <c r="M308" s="347" t="inlineStr">
        <is>
          <t>Entities regulated by this authority</t>
        </is>
      </c>
      <c r="N308" s="350" t="inlineStr">
        <is>
          <t>MODERATE</t>
        </is>
      </c>
      <c r="O308" s="351" t="inlineStr">
        <is>
          <t>https://www.gov.sa/</t>
        </is>
      </c>
      <c r="P308" s="347" t="inlineStr">
        <is>
          <t>Ministry/Authority official site</t>
        </is>
      </c>
      <c r="Q308" s="347" t="inlineStr">
        <is>
          <t>See official source for version history</t>
        </is>
      </c>
      <c r="R308" s="347" t="inlineStr">
        <is>
          <t>Framework issued by the relevant authority. Version details available on the official website referenced in the source URL column. The framework has been updated periodically since first issuance.</t>
        </is>
      </c>
      <c r="S308" s="349" t="inlineStr">
        <is>
          <t>See official source</t>
        </is>
      </c>
      <c r="T308" s="347" t="inlineStr">
        <is>
          <t>Updated as needed by the issuing authority</t>
        </is>
      </c>
      <c r="U308" s="25" t="inlineStr">
        <is>
          <t>CURRENT — consult official source for latest version</t>
        </is>
      </c>
      <c r="V308" s="347" t="inlineStr">
        <is>
          <t>Penalties defined by issuing authority; consult official source. NCA ECC-2 penalties apply if relevant</t>
        </is>
      </c>
      <c r="W308" s="348" t="inlineStr">
        <is>
          <t>Issuing authority and/or designated inspection department</t>
        </is>
      </c>
      <c r="X308" s="347" t="inlineStr">
        <is>
          <t>As specified in framework scope — consult official document</t>
        </is>
      </c>
      <c r="Y308" s="49" t="inlineStr">
        <is>
          <t>Both (unless specified otherwise in official document)</t>
        </is>
      </c>
      <c r="Z308" s="347" t="inlineStr">
        <is>
          <t>As defined by issuing authority</t>
        </is>
      </c>
      <c r="AA308" s="349" t="inlineStr">
        <is>
          <t>As defined by issuing authority</t>
        </is>
      </c>
      <c r="AB308" s="347" t="inlineStr">
        <is>
          <t>To be determined from framework text — see official source</t>
        </is>
      </c>
      <c r="AC308" s="347" t="inlineStr">
        <is>
          <t>See framework preamble for international standard references</t>
        </is>
      </c>
      <c r="AD308" s="49" t="inlineStr">
        <is>
          <t>Arabic (primary in KSA); English may be available</t>
        </is>
      </c>
      <c r="AE308" s="58" t="inlineStr">
        <is>
          <t>Mapped to relevant GH-ICGA layer — requires manual assessment</t>
        </is>
      </c>
      <c r="AF308" s="56" t="inlineStr">
        <is>
          <t>See official framework for maturity model details</t>
        </is>
      </c>
      <c r="AG308" s="347" t="inlineStr">
        <is>
          <t>Aligned with relevant Vision 2030 programme — see framework context</t>
        </is>
      </c>
      <c r="AH308" s="347" t="inlineStr">
        <is>
          <t>As specified in framework compliance requirements</t>
        </is>
      </c>
      <c r="AI308" s="352" t="inlineStr">
        <is>
          <t>Institutional theory and regulatory governance theory underpin all KSA regulatory frameworks. Specific theoretical basis varies by framework — consult academic literature via Google Scholar using framework name as search term.</t>
        </is>
      </c>
      <c r="AJ308" s="347" t="inlineStr">
        <is>
          <t>Academic debate varies by framework maturity and international adoption. For KSA-specific debate, consult: Almohammad &amp; Wills (2021) J Cybersecurity; Al-Khater et al. (2020) IEEE Access; Baker McKenzie KSA regulatory updates.</t>
        </is>
      </c>
      <c r="AK308" s="353" t="inlineStr">
        <is>
          <t>Known criticisms include: implementation gap between standards and practice; resource constraints for smaller healthcare entities; rapid technology evolution outpacing regulation. Consult framework evaluation literature for specifics.</t>
        </is>
      </c>
      <c r="AL308" s="354" t="inlineStr">
        <is>
          <t>Framework comparison requires contextual analysis. Key comparators: NIST CSF 2.0 (international benchmark), ISO 27001 (certifiable standard), ECC-2 (KSA mandatory baseline). See main database for cross-framework mapping.</t>
        </is>
      </c>
      <c r="AM308" s="355"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08" s="356" t="inlineStr">
        <is>
          <t>Official: Consult the official source URL in the database for the primary document. Training: ISACA, ISC2, RAPS, IAPP, and HIMSS offer professional development covering most regulatory domains. Estimated hours vary by framework complexity.</t>
        </is>
      </c>
      <c r="AO308" s="357" t="inlineStr">
        <is>
          <t>Relevance to GH-ICGA framework varies by layer — see GH-ICGA Layer Mapping column. All KSA mandatory frameworks are compliance inputs to GH-ICGA Layer 4. Frameworks with IoMT-specific provisions directly inform Layers 2 and 3.</t>
        </is>
      </c>
      <c r="AP308" s="51" t="inlineStr">
        <is>
          <t>G + C (Governance + Compliance — standard regulatory framework positioning)</t>
        </is>
      </c>
      <c r="AQ308" s="358" t="inlineStr">
        <is>
          <t>Senior management: accountability for framework compliance. Designated compliance officer: monitor requirements. All staff: awareness of applicable obligations</t>
        </is>
      </c>
      <c r="AR308" s="353" t="inlineStr">
        <is>
          <t>Regulatory Risk; Operational Risk; Reputational Risk — specific domains determined by framework scope</t>
        </is>
      </c>
      <c r="AS308" s="22" t="inlineStr">
        <is>
          <t>See official source — legal obligation, regulatory requirement, or voluntary standard as applicable</t>
        </is>
      </c>
      <c r="AT308" s="354" t="inlineStr">
        <is>
          <t>Administrative; Technical; Operational — specific distribution determined by framework content</t>
        </is>
      </c>
      <c r="AU308" s="359" t="inlineStr">
        <is>
          <t>1. Compliance status (compliant/non-compliant). 2. # open findings from last assessment. 3. % controls implemented. 4. Time to remediate findings. 5. Incident rate in framework scope area</t>
        </is>
      </c>
      <c r="AV308" s="360" t="inlineStr">
        <is>
          <t>Self-assessment; internal audit; external assessment as specified by issuing authority</t>
        </is>
      </c>
      <c r="AW308" s="361" t="inlineStr">
        <is>
          <t>ServiceNow GRC; IBM OpenPages; RSA Archer; MetricStream — all major GRC platforms support custom framework import. Contact vendor for framework-specific module</t>
        </is>
      </c>
      <c r="AX308" s="362" t="inlineStr">
        <is>
          <t>Third parties in scope must demonstrate equivalent compliance. Contractual compliance obligations; right-to-audit clauses; annual third-party assessment</t>
        </is>
      </c>
      <c r="AY308" s="363" t="inlineStr">
        <is>
          <t>Non-compliance: regulatory action by issuing authority; fines and penalties as specified; operational and reputational consequences</t>
        </is>
      </c>
      <c r="AZ308" s="360" t="inlineStr">
        <is>
          <t>Sector-specific — consult official source</t>
        </is>
      </c>
      <c r="BA308" s="41" t="inlineStr">
        <is>
          <t>Sector-Specific</t>
        </is>
      </c>
      <c r="BB308" s="591">
        <f>IF(E308="","",IF(ISNUMBER(SEARCH("Institutional theory and regulatory governance theory underpin",AI308)),"TEMPLATE",IF(LEN(AI308)&gt;100,"DEEP",IF(AI308="","SPARSE","SHALLOW"))))</f>
        <v/>
      </c>
      <c r="BC308" s="591">
        <f>IF(E308="","",D308&amp;"-"&amp;B308&amp;"-"&amp;E308)</f>
        <v/>
      </c>
      <c r="BD308" s="591">
        <f>IF(E308="","",SUBSTITUTE(SUBSTITUTE(B308&amp;"-"&amp;E308," ",""),":","-"))</f>
        <v/>
      </c>
      <c r="BE308" s="591">
        <f>IF(E308="","",IF(ISNUMBER(SEARCH("ECC",E308)),"NCA-ECC-2-2024",IF(ISNUMBER(SEARCH("OTCC",E308)),"NCA-ECC-2-2024",IF(ISNUMBER(SEARCH("CCC",E308)),"NCA-ECC-2-2024",IF(ISNUMBER(SEARCH("DCC",E308)),"NCA-ECC-2-2024",IF(ISNUMBER(SEARCH("CSCC",E308)),"NCA-ECC-2-2024",IF(ISNUMBER(SEARCH("PDPL-IR",E308)),"PDPL-2021",IF(ISNUMBER(SEARCH("PDPL-DTR",E308)),"PDPL-2021","NONE"))))))))</f>
        <v/>
      </c>
      <c r="BF308" s="594">
        <f>IF(E308="","",IF(BB308="DEEP",10,IF(BB308="SHALLOW",5,IF(BB308="TEMPLATE",3,1)))+IF(N308="HIGHEST",5,IF(N308="HIGH",3,IF(N308="MODERATE",1,0)))+IF(ISNUMBER(SEARCH("Mandatory",L308)),3,0))</f>
        <v/>
      </c>
    </row>
    <row r="309" ht="42" customHeight="1">
      <c r="A309" s="42" t="n">
        <v>270</v>
      </c>
      <c r="B309" s="364" t="inlineStr">
        <is>
          <t>OSH</t>
        </is>
      </c>
      <c r="C309" s="44" t="inlineStr">
        <is>
          <t>Occupational Safety &amp; Health Dept (MHRSD)</t>
        </is>
      </c>
      <c r="D309" s="44" t="inlineStr">
        <is>
          <t>14. Labour &amp; Occ. Health</t>
        </is>
      </c>
      <c r="E309" s="364" t="inlineStr">
        <is>
          <t>NCA-ECC-2:2024</t>
        </is>
      </c>
      <c r="F309" s="45" t="inlineStr">
        <is>
          <t>Essential Cybersecurity Controls</t>
        </is>
      </c>
      <c r="G309" s="44" t="inlineStr">
        <is>
          <t>ضوابط الأمن السيبراني الأساسية</t>
        </is>
      </c>
      <c r="H309" s="44" t="inlineStr">
        <is>
          <t>ECC-2:2024</t>
        </is>
      </c>
      <c r="I309" s="46" t="inlineStr">
        <is>
          <t>2018</t>
        </is>
      </c>
      <c r="J309" s="46" t="inlineStr">
        <is>
          <t>108</t>
        </is>
      </c>
      <c r="K309" s="44" t="inlineStr">
        <is>
          <t>MUST COMPLY WITH</t>
        </is>
      </c>
      <c r="L309" s="66" t="inlineStr">
        <is>
          <t>Mandatory Complier</t>
        </is>
      </c>
      <c r="M309" s="44" t="inlineStr">
        <is>
          <t>Occupational Safety &amp; Health Dept (MHRSD) as government entity</t>
        </is>
      </c>
      <c r="N309" s="59" t="inlineStr">
        <is>
          <t>LOW</t>
        </is>
      </c>
      <c r="O309" s="48" t="inlineStr">
        <is>
          <t>https://nca.gov.sa/</t>
        </is>
      </c>
      <c r="P309" s="44" t="inlineStr">
        <is>
          <t>NCA ECC scope</t>
        </is>
      </c>
      <c r="Q309" s="347" t="inlineStr">
        <is>
          <t>See official source for version history</t>
        </is>
      </c>
      <c r="R309" s="347" t="inlineStr">
        <is>
          <t>Framework issued by the relevant authority. Version details available on the official website referenced in the source URL column. The framework has been updated periodically since first issuance.</t>
        </is>
      </c>
      <c r="S309" s="349" t="inlineStr">
        <is>
          <t>See official source</t>
        </is>
      </c>
      <c r="T309" s="347" t="inlineStr">
        <is>
          <t>Updated as needed by the issuing authority</t>
        </is>
      </c>
      <c r="U309" s="25" t="inlineStr">
        <is>
          <t>CURRENT — consult official source for latest version</t>
        </is>
      </c>
      <c r="V309" s="347" t="inlineStr">
        <is>
          <t>Penalties defined by issuing authority; consult official source. NCA ECC-2 penalties apply if relevant</t>
        </is>
      </c>
      <c r="W309" s="348" t="inlineStr">
        <is>
          <t>Issuing authority and/or designated inspection department</t>
        </is>
      </c>
      <c r="X309" s="347" t="inlineStr">
        <is>
          <t>As specified in framework scope — consult official document</t>
        </is>
      </c>
      <c r="Y309" s="49" t="inlineStr">
        <is>
          <t>Both (unless specified otherwise in official document)</t>
        </is>
      </c>
      <c r="Z309" s="347" t="inlineStr">
        <is>
          <t>As defined by issuing authority</t>
        </is>
      </c>
      <c r="AA309" s="349" t="inlineStr">
        <is>
          <t>As defined by issuing authority</t>
        </is>
      </c>
      <c r="AB309" s="347" t="inlineStr">
        <is>
          <t>To be determined from framework text — see official source</t>
        </is>
      </c>
      <c r="AC309" s="347" t="inlineStr">
        <is>
          <t>See framework preamble for international standard references</t>
        </is>
      </c>
      <c r="AD309" s="49" t="inlineStr">
        <is>
          <t>Arabic (primary in KSA); English may be available</t>
        </is>
      </c>
      <c r="AE309" s="58" t="inlineStr">
        <is>
          <t>Mapped to relevant GH-ICGA layer — requires manual assessment</t>
        </is>
      </c>
      <c r="AF309" s="56" t="inlineStr">
        <is>
          <t>See official framework for maturity model details</t>
        </is>
      </c>
      <c r="AG309" s="347" t="inlineStr">
        <is>
          <t>Aligned with relevant Vision 2030 programme — see framework context</t>
        </is>
      </c>
      <c r="AH309" s="347" t="inlineStr">
        <is>
          <t>As specified in framework compliance requirements</t>
        </is>
      </c>
      <c r="AI309" s="352" t="inlineStr">
        <is>
          <t>Institutional theory and regulatory governance theory underpin all KSA regulatory frameworks. Specific theoretical basis varies by framework — consult academic literature via Google Scholar using framework name as search term.</t>
        </is>
      </c>
      <c r="AJ309" s="347" t="inlineStr">
        <is>
          <t>Academic debate varies by framework maturity and international adoption. For KSA-specific debate, consult: Almohammad &amp; Wills (2021) J Cybersecurity; Al-Khater et al. (2020) IEEE Access; Baker McKenzie KSA regulatory updates.</t>
        </is>
      </c>
      <c r="AK309" s="353" t="inlineStr">
        <is>
          <t>Known criticisms include: implementation gap between standards and practice; resource constraints for smaller healthcare entities; rapid technology evolution outpacing regulation. Consult framework evaluation literature for specifics.</t>
        </is>
      </c>
      <c r="AL309" s="354" t="inlineStr">
        <is>
          <t>Framework comparison requires contextual analysis. Key comparators: NIST CSF 2.0 (international benchmark), ISO 27001 (certifiable standard), ECC-2 (KSA mandatory baseline). See main database for cross-framework mapping.</t>
        </is>
      </c>
      <c r="AM309" s="355"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09" s="356" t="inlineStr">
        <is>
          <t>Official: Consult the official source URL in the database for the primary document. Training: ISACA, ISC2, RAPS, IAPP, and HIMSS offer professional development covering most regulatory domains. Estimated hours vary by framework complexity.</t>
        </is>
      </c>
      <c r="AO309" s="357" t="inlineStr">
        <is>
          <t>Relevance to GH-ICGA framework varies by layer — see GH-ICGA Layer Mapping column. All KSA mandatory frameworks are compliance inputs to GH-ICGA Layer 4. Frameworks with IoMT-specific provisions directly inform Layers 2 and 3.</t>
        </is>
      </c>
      <c r="AP309" s="51" t="inlineStr">
        <is>
          <t>G + C (Governance + Compliance — standard regulatory framework positioning)</t>
        </is>
      </c>
      <c r="AQ309" s="358" t="inlineStr">
        <is>
          <t>Senior management: accountability for framework compliance. Designated compliance officer: monitor requirements. All staff: awareness of applicable obligations</t>
        </is>
      </c>
      <c r="AR309" s="353" t="inlineStr">
        <is>
          <t>Regulatory Risk; Operational Risk; Reputational Risk — specific domains determined by framework scope</t>
        </is>
      </c>
      <c r="AS309" s="22" t="inlineStr">
        <is>
          <t>See official source — legal obligation, regulatory requirement, or voluntary standard as applicable</t>
        </is>
      </c>
      <c r="AT309" s="354" t="inlineStr">
        <is>
          <t>Administrative; Technical; Operational — specific distribution determined by framework content</t>
        </is>
      </c>
      <c r="AU309" s="359" t="inlineStr">
        <is>
          <t>1. Compliance status (compliant/non-compliant). 2. # open findings from last assessment. 3. % controls implemented. 4. Time to remediate findings. 5. Incident rate in framework scope area</t>
        </is>
      </c>
      <c r="AV309" s="360" t="inlineStr">
        <is>
          <t>Self-assessment; internal audit; external assessment as specified by issuing authority</t>
        </is>
      </c>
      <c r="AW309" s="361" t="inlineStr">
        <is>
          <t>ServiceNow GRC; IBM OpenPages; RSA Archer; MetricStream — all major GRC platforms support custom framework import. Contact vendor for framework-specific module</t>
        </is>
      </c>
      <c r="AX309" s="362" t="inlineStr">
        <is>
          <t>Third parties in scope must demonstrate equivalent compliance. Contractual compliance obligations; right-to-audit clauses; annual third-party assessment</t>
        </is>
      </c>
      <c r="AY309" s="363" t="inlineStr">
        <is>
          <t>Non-compliance: regulatory action by issuing authority; fines and penalties as specified; operational and reputational consequences</t>
        </is>
      </c>
      <c r="AZ309" s="360" t="inlineStr">
        <is>
          <t>ALL 17 SECTORS</t>
        </is>
      </c>
      <c r="BA309" s="34" t="inlineStr">
        <is>
          <t>YES — ALL SECTORS</t>
        </is>
      </c>
      <c r="BB309" s="591">
        <f>IF(E309="","",IF(ISNUMBER(SEARCH("Institutional theory and regulatory governance theory underpin",AI309)),"TEMPLATE",IF(LEN(AI309)&gt;100,"DEEP",IF(AI309="","SPARSE","SHALLOW"))))</f>
        <v/>
      </c>
      <c r="BC309" s="591">
        <f>IF(E309="","",D309&amp;"-"&amp;B309&amp;"-"&amp;E309)</f>
        <v/>
      </c>
      <c r="BD309" s="591">
        <f>IF(E309="","",SUBSTITUTE(SUBSTITUTE(B309&amp;"-"&amp;E309," ",""),":","-"))</f>
        <v/>
      </c>
      <c r="BE309" s="591">
        <f>IF(E309="","",IF(ISNUMBER(SEARCH("ECC",E309)),"NCA-ECC-2-2024",IF(ISNUMBER(SEARCH("OTCC",E309)),"NCA-ECC-2-2024",IF(ISNUMBER(SEARCH("CCC",E309)),"NCA-ECC-2-2024",IF(ISNUMBER(SEARCH("DCC",E309)),"NCA-ECC-2-2024",IF(ISNUMBER(SEARCH("CSCC",E309)),"NCA-ECC-2-2024",IF(ISNUMBER(SEARCH("PDPL-IR",E309)),"PDPL-2021",IF(ISNUMBER(SEARCH("PDPL-DTR",E309)),"PDPL-2021","NONE"))))))))</f>
        <v/>
      </c>
      <c r="BF309" s="594">
        <f>IF(E309="","",IF(BB309="DEEP",10,IF(BB309="SHALLOW",5,IF(BB309="TEMPLATE",3,1)))+IF(N309="HIGHEST",5,IF(N309="HIGH",3,IF(N309="MODERATE",1,0)))+IF(ISNUMBER(SEARCH("Mandatory",L309)),3,0))</f>
        <v/>
      </c>
    </row>
    <row r="310">
      <c r="BB310" s="591">
        <f>IF(E310="","",IF(ISNUMBER(SEARCH("Institutional theory and regulatory governance theory underpin",AI310)),"TEMPLATE",IF(LEN(AI310)&gt;100,"DEEP",IF(AI310="","SPARSE","SHALLOW"))))</f>
        <v/>
      </c>
      <c r="BC310" s="591">
        <f>IF(E310="","",D310&amp;"-"&amp;B310&amp;"-"&amp;E310)</f>
        <v/>
      </c>
      <c r="BD310" s="591">
        <f>IF(E310="","",SUBSTITUTE(SUBSTITUTE(B310&amp;"-"&amp;E310," ",""),":","-"))</f>
        <v/>
      </c>
      <c r="BE310" s="591">
        <f>IF(E310="","",IF(ISNUMBER(SEARCH("ECC",E310)),"NCA-ECC-2-2024",IF(ISNUMBER(SEARCH("OTCC",E310)),"NCA-ECC-2-2024",IF(ISNUMBER(SEARCH("CCC",E310)),"NCA-ECC-2-2024",IF(ISNUMBER(SEARCH("DCC",E310)),"NCA-ECC-2-2024",IF(ISNUMBER(SEARCH("CSCC",E310)),"NCA-ECC-2-2024",IF(ISNUMBER(SEARCH("PDPL-IR",E310)),"PDPL-2021",IF(ISNUMBER(SEARCH("PDPL-DTR",E310)),"PDPL-2021","NONE"))))))))</f>
        <v/>
      </c>
      <c r="BF310" s="594">
        <f>IF(E310="","",IF(BB310="DEEP",10,IF(BB310="SHALLOW",5,IF(BB310="TEMPLATE",3,1)))+IF(N310="HIGHEST",5,IF(N310="HIGH",3,IF(N310="MODERATE",1,0)))+IF(ISNUMBER(SEARCH("Mandatory",L310)),3,0))</f>
        <v/>
      </c>
    </row>
    <row r="311" ht="19.5" customHeight="1">
      <c r="A311" s="117" t="n"/>
      <c r="B311" s="118" t="inlineStr">
        <is>
          <t xml:space="preserve">  ── 4. ICT / Digital / Telecom ──</t>
        </is>
      </c>
      <c r="C311" s="117" t="n"/>
      <c r="D311" s="117" t="n"/>
      <c r="E311" s="117" t="n"/>
      <c r="F311" s="117" t="n"/>
      <c r="G311" s="117" t="n"/>
      <c r="H311" s="117" t="n"/>
      <c r="I311" s="117" t="n"/>
      <c r="J311" s="117" t="n"/>
      <c r="K311" s="117" t="n"/>
      <c r="L311" s="117" t="n"/>
      <c r="M311" s="117" t="n"/>
      <c r="N311" s="117" t="n"/>
      <c r="O311" s="117" t="n"/>
      <c r="P311" s="117" t="n"/>
      <c r="BB311" s="591">
        <f>IF(E311="","",IF(ISNUMBER(SEARCH("Institutional theory and regulatory governance theory underpin",AI311)),"TEMPLATE",IF(LEN(AI311)&gt;100,"DEEP",IF(AI311="","SPARSE","SHALLOW"))))</f>
        <v/>
      </c>
      <c r="BC311" s="591">
        <f>IF(E311="","",D311&amp;"-"&amp;B311&amp;"-"&amp;E311)</f>
        <v/>
      </c>
      <c r="BD311" s="591">
        <f>IF(E311="","",SUBSTITUTE(SUBSTITUTE(B311&amp;"-"&amp;E311," ",""),":","-"))</f>
        <v/>
      </c>
      <c r="BE311" s="591">
        <f>IF(E311="","",IF(ISNUMBER(SEARCH("ECC",E311)),"NCA-ECC-2-2024",IF(ISNUMBER(SEARCH("OTCC",E311)),"NCA-ECC-2-2024",IF(ISNUMBER(SEARCH("CCC",E311)),"NCA-ECC-2-2024",IF(ISNUMBER(SEARCH("DCC",E311)),"NCA-ECC-2-2024",IF(ISNUMBER(SEARCH("CSCC",E311)),"NCA-ECC-2-2024",IF(ISNUMBER(SEARCH("PDPL-IR",E311)),"PDPL-2021",IF(ISNUMBER(SEARCH("PDPL-DTR",E311)),"PDPL-2021","NONE"))))))))</f>
        <v/>
      </c>
      <c r="BF311" s="594">
        <f>IF(E311="","",IF(BB311="DEEP",10,IF(BB311="SHALLOW",5,IF(BB311="TEMPLATE",3,1)))+IF(N311="HIGHEST",5,IF(N311="HIGH",3,IF(N311="MODERATE",1,0)))+IF(ISNUMBER(SEARCH("Mandatory",L311)),3,0))</f>
        <v/>
      </c>
    </row>
    <row r="312" ht="42" customHeight="1">
      <c r="A312" s="119" t="n">
        <v>271</v>
      </c>
      <c r="B312" s="120" t="inlineStr">
        <is>
          <t>RDIA</t>
        </is>
      </c>
      <c r="C312" s="121" t="inlineStr">
        <is>
          <t>Research Development &amp; Innovation Authority</t>
        </is>
      </c>
      <c r="D312" s="121" t="inlineStr">
        <is>
          <t>4. ICT / Digital / Telecom</t>
        </is>
      </c>
      <c r="E312" s="120" t="inlineStr">
        <is>
          <t>RDIA-FW</t>
        </is>
      </c>
      <c r="F312" s="122" t="inlineStr">
        <is>
          <t>R&amp;D Framework</t>
        </is>
      </c>
      <c r="G312" s="121" t="inlineStr">
        <is>
          <t>الإطار التنظيمي الرئيسي</t>
        </is>
      </c>
      <c r="H312" s="121" t="inlineStr">
        <is>
          <t>Active/Updated</t>
        </is>
      </c>
      <c r="I312" s="123" t="inlineStr">
        <is>
          <t>2019</t>
        </is>
      </c>
      <c r="J312" s="123" t="inlineStr">
        <is>
          <t>N/A</t>
        </is>
      </c>
      <c r="K312" s="121" t="inlineStr">
        <is>
          <t>ISSUES/ENFORCES</t>
        </is>
      </c>
      <c r="L312" s="22" t="inlineStr">
        <is>
          <t>Mandatory Enforcer</t>
        </is>
      </c>
      <c r="M312" s="121" t="inlineStr">
        <is>
          <t>Entities regulated by this authority</t>
        </is>
      </c>
      <c r="N312" s="140" t="inlineStr">
        <is>
          <t>MODERATE</t>
        </is>
      </c>
      <c r="O312" s="125" t="inlineStr">
        <is>
          <t>https://www.gov.sa/</t>
        </is>
      </c>
      <c r="P312" s="121" t="inlineStr">
        <is>
          <t>Ministry/Authority official site</t>
        </is>
      </c>
      <c r="Q312" s="121" t="inlineStr">
        <is>
          <t>See official source for version history</t>
        </is>
      </c>
      <c r="R312" s="121" t="inlineStr">
        <is>
          <t>Framework issued by the relevant authority. Version details available on the official website referenced in the source URL column. The framework has been updated periodically since first issuance.</t>
        </is>
      </c>
      <c r="S312" s="123" t="inlineStr">
        <is>
          <t>See official source</t>
        </is>
      </c>
      <c r="T312" s="121" t="inlineStr">
        <is>
          <t>Updated as needed by the issuing authority</t>
        </is>
      </c>
      <c r="U312" s="25" t="inlineStr">
        <is>
          <t>CURRENT — consult official source for latest version</t>
        </is>
      </c>
      <c r="V312" s="121" t="inlineStr">
        <is>
          <t>Penalties defined by issuing authority; consult official source. NCA ECC-2 penalties apply if relevant</t>
        </is>
      </c>
      <c r="W312" s="122" t="inlineStr">
        <is>
          <t>Issuing authority and/or designated inspection department</t>
        </is>
      </c>
      <c r="X312" s="121" t="inlineStr">
        <is>
          <t>As specified in framework scope — consult official document</t>
        </is>
      </c>
      <c r="Y312" s="49" t="inlineStr">
        <is>
          <t>Both (unless specified otherwise in official document)</t>
        </is>
      </c>
      <c r="Z312" s="121" t="inlineStr">
        <is>
          <t>As defined by issuing authority</t>
        </is>
      </c>
      <c r="AA312" s="123" t="inlineStr">
        <is>
          <t>As defined by issuing authority</t>
        </is>
      </c>
      <c r="AB312" s="121" t="inlineStr">
        <is>
          <t>To be determined from framework text — see official source</t>
        </is>
      </c>
      <c r="AC312" s="121" t="inlineStr">
        <is>
          <t>See framework preamble for international standard references</t>
        </is>
      </c>
      <c r="AD312" s="49" t="inlineStr">
        <is>
          <t>Arabic (primary in KSA); English may be available</t>
        </is>
      </c>
      <c r="AE312" s="58" t="inlineStr">
        <is>
          <t>Mapped to relevant GH-ICGA layer — requires manual assessment</t>
        </is>
      </c>
      <c r="AF312" s="56" t="inlineStr">
        <is>
          <t>See official framework for maturity model details</t>
        </is>
      </c>
      <c r="AG312" s="121" t="inlineStr">
        <is>
          <t>Aligned with relevant Vision 2030 programme — see framework context</t>
        </is>
      </c>
      <c r="AH312" s="121" t="inlineStr">
        <is>
          <t>As specified in framework compliance requirements</t>
        </is>
      </c>
      <c r="AI312" s="126" t="inlineStr">
        <is>
          <t>Institutional theory and regulatory governance theory underpin all KSA regulatory frameworks. Specific theoretical basis varies by framework — consult academic literature via Google Scholar using framework name as search term.</t>
        </is>
      </c>
      <c r="AJ312" s="121" t="inlineStr">
        <is>
          <t>Academic debate varies by framework maturity and international adoption. For KSA-specific debate, consult: Almohammad &amp; Wills (2021) J Cybersecurity; Al-Khater et al. (2020) IEEE Access; Baker McKenzie KSA regulatory updates.</t>
        </is>
      </c>
      <c r="AK312" s="127" t="inlineStr">
        <is>
          <t>Known criticisms include: implementation gap between standards and practice; resource constraints for smaller healthcare entities; rapid technology evolution outpacing regulation. Consult framework evaluation literature for specifics.</t>
        </is>
      </c>
      <c r="AL312" s="128" t="inlineStr">
        <is>
          <t>Framework comparison requires contextual analysis. Key comparators: NIST CSF 2.0 (international benchmark), ISO 27001 (certifiable standard), ECC-2 (KSA mandatory baseline). See main database for cross-framework mapping.</t>
        </is>
      </c>
      <c r="AM312" s="129"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12" s="130" t="inlineStr">
        <is>
          <t>Official: Consult the official source URL in the database for the primary document. Training: ISACA, ISC2, RAPS, IAPP, and HIMSS offer professional development covering most regulatory domains. Estimated hours vary by framework complexity.</t>
        </is>
      </c>
      <c r="AO312" s="131" t="inlineStr">
        <is>
          <t>Relevance to GH-ICGA framework varies by layer — see GH-ICGA Layer Mapping column. All KSA mandatory frameworks are compliance inputs to GH-ICGA Layer 4. Frameworks with IoMT-specific provisions directly inform Layers 2 and 3.</t>
        </is>
      </c>
      <c r="AP312" s="51" t="inlineStr">
        <is>
          <t>G + C (Governance + Compliance — standard regulatory framework positioning)</t>
        </is>
      </c>
      <c r="AQ312" s="132" t="inlineStr">
        <is>
          <t>Senior management: accountability for framework compliance. Designated compliance officer: monitor requirements. All staff: awareness of applicable obligations</t>
        </is>
      </c>
      <c r="AR312" s="127" t="inlineStr">
        <is>
          <t>Regulatory Risk; Operational Risk; Reputational Risk — specific domains determined by framework scope</t>
        </is>
      </c>
      <c r="AS312" s="22" t="inlineStr">
        <is>
          <t>See official source — legal obligation, regulatory requirement, or voluntary standard as applicable</t>
        </is>
      </c>
      <c r="AT312" s="128" t="inlineStr">
        <is>
          <t>Administrative; Technical; Operational — specific distribution determined by framework content</t>
        </is>
      </c>
      <c r="AU312" s="133" t="inlineStr">
        <is>
          <t>1. Compliance status (compliant/non-compliant). 2. # open findings from last assessment. 3. % controls implemented. 4. Time to remediate findings. 5. Incident rate in framework scope area</t>
        </is>
      </c>
      <c r="AV312" s="134" t="inlineStr">
        <is>
          <t>Self-assessment; internal audit; external assessment as specified by issuing authority</t>
        </is>
      </c>
      <c r="AW312" s="135" t="inlineStr">
        <is>
          <t>ServiceNow GRC; IBM OpenPages; RSA Archer; MetricStream — all major GRC platforms support custom framework import. Contact vendor for framework-specific module</t>
        </is>
      </c>
      <c r="AX312" s="136" t="inlineStr">
        <is>
          <t>Third parties in scope must demonstrate equivalent compliance. Contractual compliance obligations; right-to-audit clauses; annual third-party assessment</t>
        </is>
      </c>
      <c r="AY312" s="137" t="inlineStr">
        <is>
          <t>Non-compliance: regulatory action by issuing authority; fines and penalties as specified; operational and reputational consequences</t>
        </is>
      </c>
      <c r="AZ312" s="134" t="inlineStr">
        <is>
          <t>Sector-specific — consult official source</t>
        </is>
      </c>
      <c r="BA312" s="41" t="inlineStr">
        <is>
          <t>Sector-Specific</t>
        </is>
      </c>
      <c r="BB312" s="591">
        <f>IF(E312="","",IF(ISNUMBER(SEARCH("Institutional theory and regulatory governance theory underpin",AI312)),"TEMPLATE",IF(LEN(AI312)&gt;100,"DEEP",IF(AI312="","SPARSE","SHALLOW"))))</f>
        <v/>
      </c>
      <c r="BC312" s="591">
        <f>IF(E312="","",D312&amp;"-"&amp;B312&amp;"-"&amp;E312)</f>
        <v/>
      </c>
      <c r="BD312" s="591">
        <f>IF(E312="","",SUBSTITUTE(SUBSTITUTE(B312&amp;"-"&amp;E312," ",""),":","-"))</f>
        <v/>
      </c>
      <c r="BE312" s="591">
        <f>IF(E312="","",IF(ISNUMBER(SEARCH("ECC",E312)),"NCA-ECC-2-2024",IF(ISNUMBER(SEARCH("OTCC",E312)),"NCA-ECC-2-2024",IF(ISNUMBER(SEARCH("CCC",E312)),"NCA-ECC-2-2024",IF(ISNUMBER(SEARCH("DCC",E312)),"NCA-ECC-2-2024",IF(ISNUMBER(SEARCH("CSCC",E312)),"NCA-ECC-2-2024",IF(ISNUMBER(SEARCH("PDPL-IR",E312)),"PDPL-2021",IF(ISNUMBER(SEARCH("PDPL-DTR",E312)),"PDPL-2021","NONE"))))))))</f>
        <v/>
      </c>
      <c r="BF312" s="594">
        <f>IF(E312="","",IF(BB312="DEEP",10,IF(BB312="SHALLOW",5,IF(BB312="TEMPLATE",3,1)))+IF(N312="HIGHEST",5,IF(N312="HIGH",3,IF(N312="MODERATE",1,0)))+IF(ISNUMBER(SEARCH("Mandatory",L312)),3,0))</f>
        <v/>
      </c>
    </row>
    <row r="313" ht="42" customHeight="1">
      <c r="A313" s="42" t="n">
        <v>272</v>
      </c>
      <c r="B313" s="138" t="inlineStr">
        <is>
          <t>RDIA</t>
        </is>
      </c>
      <c r="C313" s="44" t="inlineStr">
        <is>
          <t>Research Development &amp; Innovation Authority</t>
        </is>
      </c>
      <c r="D313" s="44" t="inlineStr">
        <is>
          <t>4. ICT / Digital / Telecom</t>
        </is>
      </c>
      <c r="E313" s="138" t="inlineStr">
        <is>
          <t>NCA-ECC-2:2024</t>
        </is>
      </c>
      <c r="F313" s="45" t="inlineStr">
        <is>
          <t>Essential Cybersecurity Controls</t>
        </is>
      </c>
      <c r="G313" s="44" t="inlineStr">
        <is>
          <t>ضوابط الأمن السيبراني الأساسية</t>
        </is>
      </c>
      <c r="H313" s="44" t="inlineStr">
        <is>
          <t>ECC-2:2024</t>
        </is>
      </c>
      <c r="I313" s="46" t="inlineStr">
        <is>
          <t>2018</t>
        </is>
      </c>
      <c r="J313" s="46" t="inlineStr">
        <is>
          <t>108</t>
        </is>
      </c>
      <c r="K313" s="44" t="inlineStr">
        <is>
          <t>MUST COMPLY WITH</t>
        </is>
      </c>
      <c r="L313" s="66" t="inlineStr">
        <is>
          <t>Mandatory Complier</t>
        </is>
      </c>
      <c r="M313" s="44" t="inlineStr">
        <is>
          <t>Research Development &amp; Innovation Authority as government entity</t>
        </is>
      </c>
      <c r="N313" s="59" t="inlineStr">
        <is>
          <t>LOW</t>
        </is>
      </c>
      <c r="O313" s="48" t="inlineStr">
        <is>
          <t>https://nca.gov.sa/</t>
        </is>
      </c>
      <c r="P313" s="44" t="inlineStr">
        <is>
          <t>NCA ECC scope</t>
        </is>
      </c>
      <c r="Q313" s="121" t="inlineStr">
        <is>
          <t>See official source for version history</t>
        </is>
      </c>
      <c r="R313" s="121" t="inlineStr">
        <is>
          <t>Framework issued by the relevant authority. Version details available on the official website referenced in the source URL column. The framework has been updated periodically since first issuance.</t>
        </is>
      </c>
      <c r="S313" s="123" t="inlineStr">
        <is>
          <t>See official source</t>
        </is>
      </c>
      <c r="T313" s="121" t="inlineStr">
        <is>
          <t>Updated as needed by the issuing authority</t>
        </is>
      </c>
      <c r="U313" s="25" t="inlineStr">
        <is>
          <t>CURRENT — consult official source for latest version</t>
        </is>
      </c>
      <c r="V313" s="121" t="inlineStr">
        <is>
          <t>Penalties defined by issuing authority; consult official source. NCA ECC-2 penalties apply if relevant</t>
        </is>
      </c>
      <c r="W313" s="122" t="inlineStr">
        <is>
          <t>Issuing authority and/or designated inspection department</t>
        </is>
      </c>
      <c r="X313" s="121" t="inlineStr">
        <is>
          <t>As specified in framework scope — consult official document</t>
        </is>
      </c>
      <c r="Y313" s="49" t="inlineStr">
        <is>
          <t>Both (unless specified otherwise in official document)</t>
        </is>
      </c>
      <c r="Z313" s="121" t="inlineStr">
        <is>
          <t>As defined by issuing authority</t>
        </is>
      </c>
      <c r="AA313" s="123" t="inlineStr">
        <is>
          <t>As defined by issuing authority</t>
        </is>
      </c>
      <c r="AB313" s="121" t="inlineStr">
        <is>
          <t>To be determined from framework text — see official source</t>
        </is>
      </c>
      <c r="AC313" s="121" t="inlineStr">
        <is>
          <t>See framework preamble for international standard references</t>
        </is>
      </c>
      <c r="AD313" s="49" t="inlineStr">
        <is>
          <t>Arabic (primary in KSA); English may be available</t>
        </is>
      </c>
      <c r="AE313" s="58" t="inlineStr">
        <is>
          <t>Mapped to relevant GH-ICGA layer — requires manual assessment</t>
        </is>
      </c>
      <c r="AF313" s="56" t="inlineStr">
        <is>
          <t>See official framework for maturity model details</t>
        </is>
      </c>
      <c r="AG313" s="121" t="inlineStr">
        <is>
          <t>Aligned with relevant Vision 2030 programme — see framework context</t>
        </is>
      </c>
      <c r="AH313" s="121" t="inlineStr">
        <is>
          <t>As specified in framework compliance requirements</t>
        </is>
      </c>
      <c r="AI313" s="126" t="inlineStr">
        <is>
          <t>Institutional theory and regulatory governance theory underpin all KSA regulatory frameworks. Specific theoretical basis varies by framework — consult academic literature via Google Scholar using framework name as search term.</t>
        </is>
      </c>
      <c r="AJ313" s="121" t="inlineStr">
        <is>
          <t>Academic debate varies by framework maturity and international adoption. For KSA-specific debate, consult: Almohammad &amp; Wills (2021) J Cybersecurity; Al-Khater et al. (2020) IEEE Access; Baker McKenzie KSA regulatory updates.</t>
        </is>
      </c>
      <c r="AK313" s="127" t="inlineStr">
        <is>
          <t>Known criticisms include: implementation gap between standards and practice; resource constraints for smaller healthcare entities; rapid technology evolution outpacing regulation. Consult framework evaluation literature for specifics.</t>
        </is>
      </c>
      <c r="AL313" s="128" t="inlineStr">
        <is>
          <t>Framework comparison requires contextual analysis. Key comparators: NIST CSF 2.0 (international benchmark), ISO 27001 (certifiable standard), ECC-2 (KSA mandatory baseline). See main database for cross-framework mapping.</t>
        </is>
      </c>
      <c r="AM313" s="129"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13" s="130" t="inlineStr">
        <is>
          <t>Official: Consult the official source URL in the database for the primary document. Training: ISACA, ISC2, RAPS, IAPP, and HIMSS offer professional development covering most regulatory domains. Estimated hours vary by framework complexity.</t>
        </is>
      </c>
      <c r="AO313" s="131" t="inlineStr">
        <is>
          <t>Relevance to GH-ICGA framework varies by layer — see GH-ICGA Layer Mapping column. All KSA mandatory frameworks are compliance inputs to GH-ICGA Layer 4. Frameworks with IoMT-specific provisions directly inform Layers 2 and 3.</t>
        </is>
      </c>
      <c r="AP313" s="51" t="inlineStr">
        <is>
          <t>G + C (Governance + Compliance — standard regulatory framework positioning)</t>
        </is>
      </c>
      <c r="AQ313" s="132" t="inlineStr">
        <is>
          <t>Senior management: accountability for framework compliance. Designated compliance officer: monitor requirements. All staff: awareness of applicable obligations</t>
        </is>
      </c>
      <c r="AR313" s="127" t="inlineStr">
        <is>
          <t>Regulatory Risk; Operational Risk; Reputational Risk — specific domains determined by framework scope</t>
        </is>
      </c>
      <c r="AS313" s="22" t="inlineStr">
        <is>
          <t>See official source — legal obligation, regulatory requirement, or voluntary standard as applicable</t>
        </is>
      </c>
      <c r="AT313" s="128" t="inlineStr">
        <is>
          <t>Administrative; Technical; Operational — specific distribution determined by framework content</t>
        </is>
      </c>
      <c r="AU313" s="133" t="inlineStr">
        <is>
          <t>1. Compliance status (compliant/non-compliant). 2. # open findings from last assessment. 3. % controls implemented. 4. Time to remediate findings. 5. Incident rate in framework scope area</t>
        </is>
      </c>
      <c r="AV313" s="134" t="inlineStr">
        <is>
          <t>Self-assessment; internal audit; external assessment as specified by issuing authority</t>
        </is>
      </c>
      <c r="AW313" s="135" t="inlineStr">
        <is>
          <t>ServiceNow GRC; IBM OpenPages; RSA Archer; MetricStream — all major GRC platforms support custom framework import. Contact vendor for framework-specific module</t>
        </is>
      </c>
      <c r="AX313" s="136" t="inlineStr">
        <is>
          <t>Third parties in scope must demonstrate equivalent compliance. Contractual compliance obligations; right-to-audit clauses; annual third-party assessment</t>
        </is>
      </c>
      <c r="AY313" s="137" t="inlineStr">
        <is>
          <t>Non-compliance: regulatory action by issuing authority; fines and penalties as specified; operational and reputational consequences</t>
        </is>
      </c>
      <c r="AZ313" s="134" t="inlineStr">
        <is>
          <t>ALL 17 SECTORS</t>
        </is>
      </c>
      <c r="BA313" s="34" t="inlineStr">
        <is>
          <t>YES — ALL SECTORS</t>
        </is>
      </c>
      <c r="BB313" s="591">
        <f>IF(E313="","",IF(ISNUMBER(SEARCH("Institutional theory and regulatory governance theory underpin",AI313)),"TEMPLATE",IF(LEN(AI313)&gt;100,"DEEP",IF(AI313="","SPARSE","SHALLOW"))))</f>
        <v/>
      </c>
      <c r="BC313" s="591">
        <f>IF(E313="","",D313&amp;"-"&amp;B313&amp;"-"&amp;E313)</f>
        <v/>
      </c>
      <c r="BD313" s="591">
        <f>IF(E313="","",SUBSTITUTE(SUBSTITUTE(B313&amp;"-"&amp;E313," ",""),":","-"))</f>
        <v/>
      </c>
      <c r="BE313" s="591">
        <f>IF(E313="","",IF(ISNUMBER(SEARCH("ECC",E313)),"NCA-ECC-2-2024",IF(ISNUMBER(SEARCH("OTCC",E313)),"NCA-ECC-2-2024",IF(ISNUMBER(SEARCH("CCC",E313)),"NCA-ECC-2-2024",IF(ISNUMBER(SEARCH("DCC",E313)),"NCA-ECC-2-2024",IF(ISNUMBER(SEARCH("CSCC",E313)),"NCA-ECC-2-2024",IF(ISNUMBER(SEARCH("PDPL-IR",E313)),"PDPL-2021",IF(ISNUMBER(SEARCH("PDPL-DTR",E313)),"PDPL-2021","NONE"))))))))</f>
        <v/>
      </c>
      <c r="BF313" s="594">
        <f>IF(E313="","",IF(BB313="DEEP",10,IF(BB313="SHALLOW",5,IF(BB313="TEMPLATE",3,1)))+IF(N313="HIGHEST",5,IF(N313="HIGH",3,IF(N313="MODERATE",1,0)))+IF(ISNUMBER(SEARCH("Mandatory",L313)),3,0))</f>
        <v/>
      </c>
    </row>
    <row r="314" ht="42" customHeight="1">
      <c r="A314" s="119" t="n">
        <v>273</v>
      </c>
      <c r="B314" s="120" t="inlineStr">
        <is>
          <t>NCSA</t>
        </is>
      </c>
      <c r="C314" s="121" t="inlineStr">
        <is>
          <t>National Competitiveness Centre (Taqadum)</t>
        </is>
      </c>
      <c r="D314" s="121" t="inlineStr">
        <is>
          <t>4. ICT / Digital / Telecom</t>
        </is>
      </c>
      <c r="E314" s="120" t="inlineStr">
        <is>
          <t>NCSA-FW</t>
        </is>
      </c>
      <c r="F314" s="122" t="inlineStr">
        <is>
          <t>Competitiveness Index Methodology</t>
        </is>
      </c>
      <c r="G314" s="121" t="inlineStr">
        <is>
          <t>الإطار التنظيمي الرئيسي</t>
        </is>
      </c>
      <c r="H314" s="121" t="inlineStr">
        <is>
          <t>Active/Updated</t>
        </is>
      </c>
      <c r="I314" s="123" t="inlineStr">
        <is>
          <t>2017</t>
        </is>
      </c>
      <c r="J314" s="123" t="inlineStr">
        <is>
          <t>N/A</t>
        </is>
      </c>
      <c r="K314" s="121" t="inlineStr">
        <is>
          <t>ISSUES/ENFORCES</t>
        </is>
      </c>
      <c r="L314" s="22" t="inlineStr">
        <is>
          <t>Mandatory Enforcer</t>
        </is>
      </c>
      <c r="M314" s="121" t="inlineStr">
        <is>
          <t>Entities regulated by this authority</t>
        </is>
      </c>
      <c r="N314" s="140" t="inlineStr">
        <is>
          <t>MODERATE</t>
        </is>
      </c>
      <c r="O314" s="125" t="inlineStr">
        <is>
          <t>https://www.gov.sa/</t>
        </is>
      </c>
      <c r="P314" s="121" t="inlineStr">
        <is>
          <t>Ministry/Authority official site</t>
        </is>
      </c>
      <c r="Q314" s="121" t="inlineStr">
        <is>
          <t>See official source for version history</t>
        </is>
      </c>
      <c r="R314" s="121" t="inlineStr">
        <is>
          <t>Framework issued by the relevant authority. Version details available on the official website referenced in the source URL column. The framework has been updated periodically since first issuance.</t>
        </is>
      </c>
      <c r="S314" s="123" t="inlineStr">
        <is>
          <t>See official source</t>
        </is>
      </c>
      <c r="T314" s="121" t="inlineStr">
        <is>
          <t>Updated as needed by the issuing authority</t>
        </is>
      </c>
      <c r="U314" s="25" t="inlineStr">
        <is>
          <t>CURRENT — consult official source for latest version</t>
        </is>
      </c>
      <c r="V314" s="121" t="inlineStr">
        <is>
          <t>Penalties defined by issuing authority; consult official source. NCA ECC-2 penalties apply if relevant</t>
        </is>
      </c>
      <c r="W314" s="122" t="inlineStr">
        <is>
          <t>Issuing authority and/or designated inspection department</t>
        </is>
      </c>
      <c r="X314" s="121" t="inlineStr">
        <is>
          <t>As specified in framework scope — consult official document</t>
        </is>
      </c>
      <c r="Y314" s="49" t="inlineStr">
        <is>
          <t>Both (unless specified otherwise in official document)</t>
        </is>
      </c>
      <c r="Z314" s="121" t="inlineStr">
        <is>
          <t>As defined by issuing authority</t>
        </is>
      </c>
      <c r="AA314" s="123" t="inlineStr">
        <is>
          <t>As defined by issuing authority</t>
        </is>
      </c>
      <c r="AB314" s="121" t="inlineStr">
        <is>
          <t>To be determined from framework text — see official source</t>
        </is>
      </c>
      <c r="AC314" s="121" t="inlineStr">
        <is>
          <t>See framework preamble for international standard references</t>
        </is>
      </c>
      <c r="AD314" s="49" t="inlineStr">
        <is>
          <t>Arabic (primary in KSA); English may be available</t>
        </is>
      </c>
      <c r="AE314" s="58" t="inlineStr">
        <is>
          <t>Mapped to relevant GH-ICGA layer — requires manual assessment</t>
        </is>
      </c>
      <c r="AF314" s="56" t="inlineStr">
        <is>
          <t>See official framework for maturity model details</t>
        </is>
      </c>
      <c r="AG314" s="121" t="inlineStr">
        <is>
          <t>Aligned with relevant Vision 2030 programme — see framework context</t>
        </is>
      </c>
      <c r="AH314" s="121" t="inlineStr">
        <is>
          <t>As specified in framework compliance requirements</t>
        </is>
      </c>
      <c r="AI314" s="126" t="inlineStr">
        <is>
          <t>Institutional theory and regulatory governance theory underpin all KSA regulatory frameworks. Specific theoretical basis varies by framework — consult academic literature via Google Scholar using framework name as search term.</t>
        </is>
      </c>
      <c r="AJ314" s="121" t="inlineStr">
        <is>
          <t>Academic debate varies by framework maturity and international adoption. For KSA-specific debate, consult: Almohammad &amp; Wills (2021) J Cybersecurity; Al-Khater et al. (2020) IEEE Access; Baker McKenzie KSA regulatory updates.</t>
        </is>
      </c>
      <c r="AK314" s="127" t="inlineStr">
        <is>
          <t>Known criticisms include: implementation gap between standards and practice; resource constraints for smaller healthcare entities; rapid technology evolution outpacing regulation. Consult framework evaluation literature for specifics.</t>
        </is>
      </c>
      <c r="AL314" s="128" t="inlineStr">
        <is>
          <t>Framework comparison requires contextual analysis. Key comparators: NIST CSF 2.0 (international benchmark), ISO 27001 (certifiable standard), ECC-2 (KSA mandatory baseline). See main database for cross-framework mapping.</t>
        </is>
      </c>
      <c r="AM314" s="129"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14" s="130" t="inlineStr">
        <is>
          <t>Official: Consult the official source URL in the database for the primary document. Training: ISACA, ISC2, RAPS, IAPP, and HIMSS offer professional development covering most regulatory domains. Estimated hours vary by framework complexity.</t>
        </is>
      </c>
      <c r="AO314" s="131" t="inlineStr">
        <is>
          <t>Relevance to GH-ICGA framework varies by layer — see GH-ICGA Layer Mapping column. All KSA mandatory frameworks are compliance inputs to GH-ICGA Layer 4. Frameworks with IoMT-specific provisions directly inform Layers 2 and 3.</t>
        </is>
      </c>
      <c r="AP314" s="51" t="inlineStr">
        <is>
          <t>G + C (Governance + Compliance — standard regulatory framework positioning)</t>
        </is>
      </c>
      <c r="AQ314" s="132" t="inlineStr">
        <is>
          <t>Senior management: accountability for framework compliance. Designated compliance officer: monitor requirements. All staff: awareness of applicable obligations</t>
        </is>
      </c>
      <c r="AR314" s="127" t="inlineStr">
        <is>
          <t>Regulatory Risk; Operational Risk; Reputational Risk — specific domains determined by framework scope</t>
        </is>
      </c>
      <c r="AS314" s="22" t="inlineStr">
        <is>
          <t>See official source — legal obligation, regulatory requirement, or voluntary standard as applicable</t>
        </is>
      </c>
      <c r="AT314" s="128" t="inlineStr">
        <is>
          <t>Administrative; Technical; Operational — specific distribution determined by framework content</t>
        </is>
      </c>
      <c r="AU314" s="133" t="inlineStr">
        <is>
          <t>1. Compliance status (compliant/non-compliant). 2. # open findings from last assessment. 3. % controls implemented. 4. Time to remediate findings. 5. Incident rate in framework scope area</t>
        </is>
      </c>
      <c r="AV314" s="134" t="inlineStr">
        <is>
          <t>Self-assessment; internal audit; external assessment as specified by issuing authority</t>
        </is>
      </c>
      <c r="AW314" s="135" t="inlineStr">
        <is>
          <t>ServiceNow GRC; IBM OpenPages; RSA Archer; MetricStream — all major GRC platforms support custom framework import. Contact vendor for framework-specific module</t>
        </is>
      </c>
      <c r="AX314" s="136" t="inlineStr">
        <is>
          <t>Third parties in scope must demonstrate equivalent compliance. Contractual compliance obligations; right-to-audit clauses; annual third-party assessment</t>
        </is>
      </c>
      <c r="AY314" s="137" t="inlineStr">
        <is>
          <t>Non-compliance: regulatory action by issuing authority; fines and penalties as specified; operational and reputational consequences</t>
        </is>
      </c>
      <c r="AZ314" s="134" t="inlineStr">
        <is>
          <t>Sector-specific — consult official source</t>
        </is>
      </c>
      <c r="BA314" s="41" t="inlineStr">
        <is>
          <t>Sector-Specific</t>
        </is>
      </c>
      <c r="BB314" s="591">
        <f>IF(E314="","",IF(ISNUMBER(SEARCH("Institutional theory and regulatory governance theory underpin",AI314)),"TEMPLATE",IF(LEN(AI314)&gt;100,"DEEP",IF(AI314="","SPARSE","SHALLOW"))))</f>
        <v/>
      </c>
      <c r="BC314" s="591">
        <f>IF(E314="","",D314&amp;"-"&amp;B314&amp;"-"&amp;E314)</f>
        <v/>
      </c>
      <c r="BD314" s="591">
        <f>IF(E314="","",SUBSTITUTE(SUBSTITUTE(B314&amp;"-"&amp;E314," ",""),":","-"))</f>
        <v/>
      </c>
      <c r="BE314" s="591">
        <f>IF(E314="","",IF(ISNUMBER(SEARCH("ECC",E314)),"NCA-ECC-2-2024",IF(ISNUMBER(SEARCH("OTCC",E314)),"NCA-ECC-2-2024",IF(ISNUMBER(SEARCH("CCC",E314)),"NCA-ECC-2-2024",IF(ISNUMBER(SEARCH("DCC",E314)),"NCA-ECC-2-2024",IF(ISNUMBER(SEARCH("CSCC",E314)),"NCA-ECC-2-2024",IF(ISNUMBER(SEARCH("PDPL-IR",E314)),"PDPL-2021",IF(ISNUMBER(SEARCH("PDPL-DTR",E314)),"PDPL-2021","NONE"))))))))</f>
        <v/>
      </c>
      <c r="BF314" s="594">
        <f>IF(E314="","",IF(BB314="DEEP",10,IF(BB314="SHALLOW",5,IF(BB314="TEMPLATE",3,1)))+IF(N314="HIGHEST",5,IF(N314="HIGH",3,IF(N314="MODERATE",1,0)))+IF(ISNUMBER(SEARCH("Mandatory",L314)),3,0))</f>
        <v/>
      </c>
    </row>
    <row r="315" ht="42" customHeight="1">
      <c r="A315" s="42" t="n">
        <v>274</v>
      </c>
      <c r="B315" s="138" t="inlineStr">
        <is>
          <t>NCSA</t>
        </is>
      </c>
      <c r="C315" s="44" t="inlineStr">
        <is>
          <t>National Competitiveness Centre (Taqadum)</t>
        </is>
      </c>
      <c r="D315" s="44" t="inlineStr">
        <is>
          <t>4. ICT / Digital / Telecom</t>
        </is>
      </c>
      <c r="E315" s="138" t="inlineStr">
        <is>
          <t>NCA-ECC-2:2024</t>
        </is>
      </c>
      <c r="F315" s="45" t="inlineStr">
        <is>
          <t>Essential Cybersecurity Controls</t>
        </is>
      </c>
      <c r="G315" s="44" t="inlineStr">
        <is>
          <t>ضوابط الأمن السيبراني الأساسية</t>
        </is>
      </c>
      <c r="H315" s="44" t="inlineStr">
        <is>
          <t>ECC-2:2024</t>
        </is>
      </c>
      <c r="I315" s="46" t="inlineStr">
        <is>
          <t>2018</t>
        </is>
      </c>
      <c r="J315" s="46" t="inlineStr">
        <is>
          <t>108</t>
        </is>
      </c>
      <c r="K315" s="44" t="inlineStr">
        <is>
          <t>MUST COMPLY WITH</t>
        </is>
      </c>
      <c r="L315" s="66" t="inlineStr">
        <is>
          <t>Mandatory Complier</t>
        </is>
      </c>
      <c r="M315" s="44" t="inlineStr">
        <is>
          <t>National Competitiveness Centre (Taqadum) as government entity</t>
        </is>
      </c>
      <c r="N315" s="59" t="inlineStr">
        <is>
          <t>LOW</t>
        </is>
      </c>
      <c r="O315" s="48" t="inlineStr">
        <is>
          <t>https://nca.gov.sa/</t>
        </is>
      </c>
      <c r="P315" s="44" t="inlineStr">
        <is>
          <t>NCA ECC scope</t>
        </is>
      </c>
      <c r="Q315" s="121" t="inlineStr">
        <is>
          <t>See official source for version history</t>
        </is>
      </c>
      <c r="R315" s="121" t="inlineStr">
        <is>
          <t>Framework issued by the relevant authority. Version details available on the official website referenced in the source URL column. The framework has been updated periodically since first issuance.</t>
        </is>
      </c>
      <c r="S315" s="123" t="inlineStr">
        <is>
          <t>See official source</t>
        </is>
      </c>
      <c r="T315" s="121" t="inlineStr">
        <is>
          <t>Updated as needed by the issuing authority</t>
        </is>
      </c>
      <c r="U315" s="25" t="inlineStr">
        <is>
          <t>CURRENT — consult official source for latest version</t>
        </is>
      </c>
      <c r="V315" s="121" t="inlineStr">
        <is>
          <t>Penalties defined by issuing authority; consult official source. NCA ECC-2 penalties apply if relevant</t>
        </is>
      </c>
      <c r="W315" s="122" t="inlineStr">
        <is>
          <t>Issuing authority and/or designated inspection department</t>
        </is>
      </c>
      <c r="X315" s="121" t="inlineStr">
        <is>
          <t>As specified in framework scope — consult official document</t>
        </is>
      </c>
      <c r="Y315" s="49" t="inlineStr">
        <is>
          <t>Both (unless specified otherwise in official document)</t>
        </is>
      </c>
      <c r="Z315" s="121" t="inlineStr">
        <is>
          <t>As defined by issuing authority</t>
        </is>
      </c>
      <c r="AA315" s="123" t="inlineStr">
        <is>
          <t>As defined by issuing authority</t>
        </is>
      </c>
      <c r="AB315" s="121" t="inlineStr">
        <is>
          <t>To be determined from framework text — see official source</t>
        </is>
      </c>
      <c r="AC315" s="121" t="inlineStr">
        <is>
          <t>See framework preamble for international standard references</t>
        </is>
      </c>
      <c r="AD315" s="49" t="inlineStr">
        <is>
          <t>Arabic (primary in KSA); English may be available</t>
        </is>
      </c>
      <c r="AE315" s="58" t="inlineStr">
        <is>
          <t>Mapped to relevant GH-ICGA layer — requires manual assessment</t>
        </is>
      </c>
      <c r="AF315" s="56" t="inlineStr">
        <is>
          <t>See official framework for maturity model details</t>
        </is>
      </c>
      <c r="AG315" s="121" t="inlineStr">
        <is>
          <t>Aligned with relevant Vision 2030 programme — see framework context</t>
        </is>
      </c>
      <c r="AH315" s="121" t="inlineStr">
        <is>
          <t>As specified in framework compliance requirements</t>
        </is>
      </c>
      <c r="AI315" s="126" t="inlineStr">
        <is>
          <t>Institutional theory and regulatory governance theory underpin all KSA regulatory frameworks. Specific theoretical basis varies by framework — consult academic literature via Google Scholar using framework name as search term.</t>
        </is>
      </c>
      <c r="AJ315" s="121" t="inlineStr">
        <is>
          <t>Academic debate varies by framework maturity and international adoption. For KSA-specific debate, consult: Almohammad &amp; Wills (2021) J Cybersecurity; Al-Khater et al. (2020) IEEE Access; Baker McKenzie KSA regulatory updates.</t>
        </is>
      </c>
      <c r="AK315" s="127" t="inlineStr">
        <is>
          <t>Known criticisms include: implementation gap between standards and practice; resource constraints for smaller healthcare entities; rapid technology evolution outpacing regulation. Consult framework evaluation literature for specifics.</t>
        </is>
      </c>
      <c r="AL315" s="128" t="inlineStr">
        <is>
          <t>Framework comparison requires contextual analysis. Key comparators: NIST CSF 2.0 (international benchmark), ISO 27001 (certifiable standard), ECC-2 (KSA mandatory baseline). See main database for cross-framework mapping.</t>
        </is>
      </c>
      <c r="AM315" s="129"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15" s="130" t="inlineStr">
        <is>
          <t>Official: Consult the official source URL in the database for the primary document. Training: ISACA, ISC2, RAPS, IAPP, and HIMSS offer professional development covering most regulatory domains. Estimated hours vary by framework complexity.</t>
        </is>
      </c>
      <c r="AO315" s="131" t="inlineStr">
        <is>
          <t>Relevance to GH-ICGA framework varies by layer — see GH-ICGA Layer Mapping column. All KSA mandatory frameworks are compliance inputs to GH-ICGA Layer 4. Frameworks with IoMT-specific provisions directly inform Layers 2 and 3.</t>
        </is>
      </c>
      <c r="AP315" s="51" t="inlineStr">
        <is>
          <t>G + C (Governance + Compliance — standard regulatory framework positioning)</t>
        </is>
      </c>
      <c r="AQ315" s="132" t="inlineStr">
        <is>
          <t>Senior management: accountability for framework compliance. Designated compliance officer: monitor requirements. All staff: awareness of applicable obligations</t>
        </is>
      </c>
      <c r="AR315" s="127" t="inlineStr">
        <is>
          <t>Regulatory Risk; Operational Risk; Reputational Risk — specific domains determined by framework scope</t>
        </is>
      </c>
      <c r="AS315" s="22" t="inlineStr">
        <is>
          <t>See official source — legal obligation, regulatory requirement, or voluntary standard as applicable</t>
        </is>
      </c>
      <c r="AT315" s="128" t="inlineStr">
        <is>
          <t>Administrative; Technical; Operational — specific distribution determined by framework content</t>
        </is>
      </c>
      <c r="AU315" s="133" t="inlineStr">
        <is>
          <t>1. Compliance status (compliant/non-compliant). 2. # open findings from last assessment. 3. % controls implemented. 4. Time to remediate findings. 5. Incident rate in framework scope area</t>
        </is>
      </c>
      <c r="AV315" s="134" t="inlineStr">
        <is>
          <t>Self-assessment; internal audit; external assessment as specified by issuing authority</t>
        </is>
      </c>
      <c r="AW315" s="135" t="inlineStr">
        <is>
          <t>ServiceNow GRC; IBM OpenPages; RSA Archer; MetricStream — all major GRC platforms support custom framework import. Contact vendor for framework-specific module</t>
        </is>
      </c>
      <c r="AX315" s="136" t="inlineStr">
        <is>
          <t>Third parties in scope must demonstrate equivalent compliance. Contractual compliance obligations; right-to-audit clauses; annual third-party assessment</t>
        </is>
      </c>
      <c r="AY315" s="137" t="inlineStr">
        <is>
          <t>Non-compliance: regulatory action by issuing authority; fines and penalties as specified; operational and reputational consequences</t>
        </is>
      </c>
      <c r="AZ315" s="134" t="inlineStr">
        <is>
          <t>ALL 17 SECTORS</t>
        </is>
      </c>
      <c r="BA315" s="34" t="inlineStr">
        <is>
          <t>YES — ALL SECTORS</t>
        </is>
      </c>
      <c r="BB315" s="591">
        <f>IF(E315="","",IF(ISNUMBER(SEARCH("Institutional theory and regulatory governance theory underpin",AI315)),"TEMPLATE",IF(LEN(AI315)&gt;100,"DEEP",IF(AI315="","SPARSE","SHALLOW"))))</f>
        <v/>
      </c>
      <c r="BC315" s="591">
        <f>IF(E315="","",D315&amp;"-"&amp;B315&amp;"-"&amp;E315)</f>
        <v/>
      </c>
      <c r="BD315" s="591">
        <f>IF(E315="","",SUBSTITUTE(SUBSTITUTE(B315&amp;"-"&amp;E315," ",""),":","-"))</f>
        <v/>
      </c>
      <c r="BE315" s="591">
        <f>IF(E315="","",IF(ISNUMBER(SEARCH("ECC",E315)),"NCA-ECC-2-2024",IF(ISNUMBER(SEARCH("OTCC",E315)),"NCA-ECC-2-2024",IF(ISNUMBER(SEARCH("CCC",E315)),"NCA-ECC-2-2024",IF(ISNUMBER(SEARCH("DCC",E315)),"NCA-ECC-2-2024",IF(ISNUMBER(SEARCH("CSCC",E315)),"NCA-ECC-2-2024",IF(ISNUMBER(SEARCH("PDPL-IR",E315)),"PDPL-2021",IF(ISNUMBER(SEARCH("PDPL-DTR",E315)),"PDPL-2021","NONE"))))))))</f>
        <v/>
      </c>
      <c r="BF315" s="594">
        <f>IF(E315="","",IF(BB315="DEEP",10,IF(BB315="SHALLOW",5,IF(BB315="TEMPLATE",3,1)))+IF(N315="HIGHEST",5,IF(N315="HIGH",3,IF(N315="MODERATE",1,0)))+IF(ISNUMBER(SEARCH("Mandatory",L315)),3,0))</f>
        <v/>
      </c>
    </row>
    <row r="316" ht="42" customHeight="1">
      <c r="A316" s="119" t="n">
        <v>275</v>
      </c>
      <c r="B316" s="120" t="inlineStr">
        <is>
          <t>SSA</t>
        </is>
      </c>
      <c r="C316" s="121" t="inlineStr">
        <is>
          <t>Saudi Space Agency</t>
        </is>
      </c>
      <c r="D316" s="121" t="inlineStr">
        <is>
          <t>4. ICT / Digital / Telecom</t>
        </is>
      </c>
      <c r="E316" s="120" t="inlineStr">
        <is>
          <t>SSA-FW</t>
        </is>
      </c>
      <c r="F316" s="122" t="inlineStr">
        <is>
          <t>Space Regulations &amp; Licensing</t>
        </is>
      </c>
      <c r="G316" s="121" t="inlineStr">
        <is>
          <t>الإطار التنظيمي الرئيسي</t>
        </is>
      </c>
      <c r="H316" s="121" t="inlineStr">
        <is>
          <t>Active/Updated</t>
        </is>
      </c>
      <c r="I316" s="123" t="inlineStr">
        <is>
          <t>2018</t>
        </is>
      </c>
      <c r="J316" s="123" t="inlineStr">
        <is>
          <t>N/A</t>
        </is>
      </c>
      <c r="K316" s="121" t="inlineStr">
        <is>
          <t>ISSUES/ENFORCES</t>
        </is>
      </c>
      <c r="L316" s="22" t="inlineStr">
        <is>
          <t>Mandatory Enforcer</t>
        </is>
      </c>
      <c r="M316" s="121" t="inlineStr">
        <is>
          <t>Entities regulated by this authority</t>
        </is>
      </c>
      <c r="N316" s="140" t="inlineStr">
        <is>
          <t>MODERATE</t>
        </is>
      </c>
      <c r="O316" s="125" t="inlineStr">
        <is>
          <t>https://www.gov.sa/</t>
        </is>
      </c>
      <c r="P316" s="121" t="inlineStr">
        <is>
          <t>Ministry/Authority official site</t>
        </is>
      </c>
      <c r="Q316" s="121" t="inlineStr">
        <is>
          <t>See official source for version history</t>
        </is>
      </c>
      <c r="R316" s="121" t="inlineStr">
        <is>
          <t>Framework issued by the relevant authority. Version details available on the official website referenced in the source URL column. The framework has been updated periodically since first issuance.</t>
        </is>
      </c>
      <c r="S316" s="123" t="inlineStr">
        <is>
          <t>See official source</t>
        </is>
      </c>
      <c r="T316" s="121" t="inlineStr">
        <is>
          <t>Updated as needed by the issuing authority</t>
        </is>
      </c>
      <c r="U316" s="25" t="inlineStr">
        <is>
          <t>CURRENT — consult official source for latest version</t>
        </is>
      </c>
      <c r="V316" s="121" t="inlineStr">
        <is>
          <t>Penalties defined by issuing authority; consult official source. NCA ECC-2 penalties apply if relevant</t>
        </is>
      </c>
      <c r="W316" s="122" t="inlineStr">
        <is>
          <t>Issuing authority and/or designated inspection department</t>
        </is>
      </c>
      <c r="X316" s="121" t="inlineStr">
        <is>
          <t>As specified in framework scope — consult official document</t>
        </is>
      </c>
      <c r="Y316" s="49" t="inlineStr">
        <is>
          <t>Both (unless specified otherwise in official document)</t>
        </is>
      </c>
      <c r="Z316" s="121" t="inlineStr">
        <is>
          <t>As defined by issuing authority</t>
        </is>
      </c>
      <c r="AA316" s="123" t="inlineStr">
        <is>
          <t>As defined by issuing authority</t>
        </is>
      </c>
      <c r="AB316" s="121" t="inlineStr">
        <is>
          <t>To be determined from framework text — see official source</t>
        </is>
      </c>
      <c r="AC316" s="121" t="inlineStr">
        <is>
          <t>See framework preamble for international standard references</t>
        </is>
      </c>
      <c r="AD316" s="49" t="inlineStr">
        <is>
          <t>Arabic (primary in KSA); English may be available</t>
        </is>
      </c>
      <c r="AE316" s="58" t="inlineStr">
        <is>
          <t>Mapped to relevant GH-ICGA layer — requires manual assessment</t>
        </is>
      </c>
      <c r="AF316" s="56" t="inlineStr">
        <is>
          <t>See official framework for maturity model details</t>
        </is>
      </c>
      <c r="AG316" s="121" t="inlineStr">
        <is>
          <t>Aligned with relevant Vision 2030 programme — see framework context</t>
        </is>
      </c>
      <c r="AH316" s="121" t="inlineStr">
        <is>
          <t>As specified in framework compliance requirements</t>
        </is>
      </c>
      <c r="AI316" s="126" t="inlineStr">
        <is>
          <t>Institutional theory and regulatory governance theory underpin all KSA regulatory frameworks. Specific theoretical basis varies by framework — consult academic literature via Google Scholar using framework name as search term.</t>
        </is>
      </c>
      <c r="AJ316" s="121" t="inlineStr">
        <is>
          <t>Academic debate varies by framework maturity and international adoption. For KSA-specific debate, consult: Almohammad &amp; Wills (2021) J Cybersecurity; Al-Khater et al. (2020) IEEE Access; Baker McKenzie KSA regulatory updates.</t>
        </is>
      </c>
      <c r="AK316" s="127" t="inlineStr">
        <is>
          <t>Known criticisms include: implementation gap between standards and practice; resource constraints for smaller healthcare entities; rapid technology evolution outpacing regulation. Consult framework evaluation literature for specifics.</t>
        </is>
      </c>
      <c r="AL316" s="128" t="inlineStr">
        <is>
          <t>Framework comparison requires contextual analysis. Key comparators: NIST CSF 2.0 (international benchmark), ISO 27001 (certifiable standard), ECC-2 (KSA mandatory baseline). See main database for cross-framework mapping.</t>
        </is>
      </c>
      <c r="AM316" s="129"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16" s="130" t="inlineStr">
        <is>
          <t>Official: Consult the official source URL in the database for the primary document. Training: ISACA, ISC2, RAPS, IAPP, and HIMSS offer professional development covering most regulatory domains. Estimated hours vary by framework complexity.</t>
        </is>
      </c>
      <c r="AO316" s="131" t="inlineStr">
        <is>
          <t>Relevance to GH-ICGA framework varies by layer — see GH-ICGA Layer Mapping column. All KSA mandatory frameworks are compliance inputs to GH-ICGA Layer 4. Frameworks with IoMT-specific provisions directly inform Layers 2 and 3.</t>
        </is>
      </c>
      <c r="AP316" s="51" t="inlineStr">
        <is>
          <t>G + C (Governance + Compliance — standard regulatory framework positioning)</t>
        </is>
      </c>
      <c r="AQ316" s="132" t="inlineStr">
        <is>
          <t>Senior management: accountability for framework compliance. Designated compliance officer: monitor requirements. All staff: awareness of applicable obligations</t>
        </is>
      </c>
      <c r="AR316" s="127" t="inlineStr">
        <is>
          <t>Regulatory Risk; Operational Risk; Reputational Risk — specific domains determined by framework scope</t>
        </is>
      </c>
      <c r="AS316" s="22" t="inlineStr">
        <is>
          <t>See official source — legal obligation, regulatory requirement, or voluntary standard as applicable</t>
        </is>
      </c>
      <c r="AT316" s="128" t="inlineStr">
        <is>
          <t>Administrative; Technical; Operational — specific distribution determined by framework content</t>
        </is>
      </c>
      <c r="AU316" s="133" t="inlineStr">
        <is>
          <t>1. Compliance status (compliant/non-compliant). 2. # open findings from last assessment. 3. % controls implemented. 4. Time to remediate findings. 5. Incident rate in framework scope area</t>
        </is>
      </c>
      <c r="AV316" s="134" t="inlineStr">
        <is>
          <t>Self-assessment; internal audit; external assessment as specified by issuing authority</t>
        </is>
      </c>
      <c r="AW316" s="135" t="inlineStr">
        <is>
          <t>ServiceNow GRC; IBM OpenPages; RSA Archer; MetricStream — all major GRC platforms support custom framework import. Contact vendor for framework-specific module</t>
        </is>
      </c>
      <c r="AX316" s="136" t="inlineStr">
        <is>
          <t>Third parties in scope must demonstrate equivalent compliance. Contractual compliance obligations; right-to-audit clauses; annual third-party assessment</t>
        </is>
      </c>
      <c r="AY316" s="137" t="inlineStr">
        <is>
          <t>Non-compliance: regulatory action by issuing authority; fines and penalties as specified; operational and reputational consequences</t>
        </is>
      </c>
      <c r="AZ316" s="134" t="inlineStr">
        <is>
          <t>Sector-specific — consult official source</t>
        </is>
      </c>
      <c r="BA316" s="41" t="inlineStr">
        <is>
          <t>Sector-Specific</t>
        </is>
      </c>
      <c r="BB316" s="591">
        <f>IF(E316="","",IF(ISNUMBER(SEARCH("Institutional theory and regulatory governance theory underpin",AI316)),"TEMPLATE",IF(LEN(AI316)&gt;100,"DEEP",IF(AI316="","SPARSE","SHALLOW"))))</f>
        <v/>
      </c>
      <c r="BC316" s="591">
        <f>IF(E316="","",D316&amp;"-"&amp;B316&amp;"-"&amp;E316)</f>
        <v/>
      </c>
      <c r="BD316" s="591">
        <f>IF(E316="","",SUBSTITUTE(SUBSTITUTE(B316&amp;"-"&amp;E316," ",""),":","-"))</f>
        <v/>
      </c>
      <c r="BE316" s="591">
        <f>IF(E316="","",IF(ISNUMBER(SEARCH("ECC",E316)),"NCA-ECC-2-2024",IF(ISNUMBER(SEARCH("OTCC",E316)),"NCA-ECC-2-2024",IF(ISNUMBER(SEARCH("CCC",E316)),"NCA-ECC-2-2024",IF(ISNUMBER(SEARCH("DCC",E316)),"NCA-ECC-2-2024",IF(ISNUMBER(SEARCH("CSCC",E316)),"NCA-ECC-2-2024",IF(ISNUMBER(SEARCH("PDPL-IR",E316)),"PDPL-2021",IF(ISNUMBER(SEARCH("PDPL-DTR",E316)),"PDPL-2021","NONE"))))))))</f>
        <v/>
      </c>
      <c r="BF316" s="594">
        <f>IF(E316="","",IF(BB316="DEEP",10,IF(BB316="SHALLOW",5,IF(BB316="TEMPLATE",3,1)))+IF(N316="HIGHEST",5,IF(N316="HIGH",3,IF(N316="MODERATE",1,0)))+IF(ISNUMBER(SEARCH("Mandatory",L316)),3,0))</f>
        <v/>
      </c>
    </row>
    <row r="317" ht="42" customHeight="1">
      <c r="A317" s="42" t="n">
        <v>276</v>
      </c>
      <c r="B317" s="138" t="inlineStr">
        <is>
          <t>SSA</t>
        </is>
      </c>
      <c r="C317" s="44" t="inlineStr">
        <is>
          <t>Saudi Space Agency</t>
        </is>
      </c>
      <c r="D317" s="44" t="inlineStr">
        <is>
          <t>4. ICT / Digital / Telecom</t>
        </is>
      </c>
      <c r="E317" s="138" t="inlineStr">
        <is>
          <t>NCA-ECC-2:2024</t>
        </is>
      </c>
      <c r="F317" s="45" t="inlineStr">
        <is>
          <t>Essential Cybersecurity Controls</t>
        </is>
      </c>
      <c r="G317" s="44" t="inlineStr">
        <is>
          <t>ضوابط الأمن السيبراني الأساسية</t>
        </is>
      </c>
      <c r="H317" s="44" t="inlineStr">
        <is>
          <t>ECC-2:2024</t>
        </is>
      </c>
      <c r="I317" s="46" t="inlineStr">
        <is>
          <t>2018</t>
        </is>
      </c>
      <c r="J317" s="46" t="inlineStr">
        <is>
          <t>108</t>
        </is>
      </c>
      <c r="K317" s="44" t="inlineStr">
        <is>
          <t>MUST COMPLY WITH</t>
        </is>
      </c>
      <c r="L317" s="66" t="inlineStr">
        <is>
          <t>Mandatory Complier</t>
        </is>
      </c>
      <c r="M317" s="44" t="inlineStr">
        <is>
          <t>Saudi Space Agency as government entity</t>
        </is>
      </c>
      <c r="N317" s="59" t="inlineStr">
        <is>
          <t>LOW</t>
        </is>
      </c>
      <c r="O317" s="48" t="inlineStr">
        <is>
          <t>https://nca.gov.sa/</t>
        </is>
      </c>
      <c r="P317" s="44" t="inlineStr">
        <is>
          <t>NCA ECC scope</t>
        </is>
      </c>
      <c r="Q317" s="121" t="inlineStr">
        <is>
          <t>See official source for version history</t>
        </is>
      </c>
      <c r="R317" s="121" t="inlineStr">
        <is>
          <t>Framework issued by the relevant authority. Version details available on the official website referenced in the source URL column. The framework has been updated periodically since first issuance.</t>
        </is>
      </c>
      <c r="S317" s="123" t="inlineStr">
        <is>
          <t>See official source</t>
        </is>
      </c>
      <c r="T317" s="121" t="inlineStr">
        <is>
          <t>Updated as needed by the issuing authority</t>
        </is>
      </c>
      <c r="U317" s="25" t="inlineStr">
        <is>
          <t>CURRENT — consult official source for latest version</t>
        </is>
      </c>
      <c r="V317" s="121" t="inlineStr">
        <is>
          <t>Penalties defined by issuing authority; consult official source. NCA ECC-2 penalties apply if relevant</t>
        </is>
      </c>
      <c r="W317" s="122" t="inlineStr">
        <is>
          <t>Issuing authority and/or designated inspection department</t>
        </is>
      </c>
      <c r="X317" s="121" t="inlineStr">
        <is>
          <t>As specified in framework scope — consult official document</t>
        </is>
      </c>
      <c r="Y317" s="49" t="inlineStr">
        <is>
          <t>Both (unless specified otherwise in official document)</t>
        </is>
      </c>
      <c r="Z317" s="121" t="inlineStr">
        <is>
          <t>As defined by issuing authority</t>
        </is>
      </c>
      <c r="AA317" s="123" t="inlineStr">
        <is>
          <t>As defined by issuing authority</t>
        </is>
      </c>
      <c r="AB317" s="121" t="inlineStr">
        <is>
          <t>To be determined from framework text — see official source</t>
        </is>
      </c>
      <c r="AC317" s="121" t="inlineStr">
        <is>
          <t>See framework preamble for international standard references</t>
        </is>
      </c>
      <c r="AD317" s="49" t="inlineStr">
        <is>
          <t>Arabic (primary in KSA); English may be available</t>
        </is>
      </c>
      <c r="AE317" s="58" t="inlineStr">
        <is>
          <t>Mapped to relevant GH-ICGA layer — requires manual assessment</t>
        </is>
      </c>
      <c r="AF317" s="56" t="inlineStr">
        <is>
          <t>See official framework for maturity model details</t>
        </is>
      </c>
      <c r="AG317" s="121" t="inlineStr">
        <is>
          <t>Aligned with relevant Vision 2030 programme — see framework context</t>
        </is>
      </c>
      <c r="AH317" s="121" t="inlineStr">
        <is>
          <t>As specified in framework compliance requirements</t>
        </is>
      </c>
      <c r="AI317" s="126" t="inlineStr">
        <is>
          <t>Institutional theory and regulatory governance theory underpin all KSA regulatory frameworks. Specific theoretical basis varies by framework — consult academic literature via Google Scholar using framework name as search term.</t>
        </is>
      </c>
      <c r="AJ317" s="121" t="inlineStr">
        <is>
          <t>Academic debate varies by framework maturity and international adoption. For KSA-specific debate, consult: Almohammad &amp; Wills (2021) J Cybersecurity; Al-Khater et al. (2020) IEEE Access; Baker McKenzie KSA regulatory updates.</t>
        </is>
      </c>
      <c r="AK317" s="127" t="inlineStr">
        <is>
          <t>Known criticisms include: implementation gap between standards and practice; resource constraints for smaller healthcare entities; rapid technology evolution outpacing regulation. Consult framework evaluation literature for specifics.</t>
        </is>
      </c>
      <c r="AL317" s="128" t="inlineStr">
        <is>
          <t>Framework comparison requires contextual analysis. Key comparators: NIST CSF 2.0 (international benchmark), ISO 27001 (certifiable standard), ECC-2 (KSA mandatory baseline). See main database for cross-framework mapping.</t>
        </is>
      </c>
      <c r="AM317" s="129"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17" s="130" t="inlineStr">
        <is>
          <t>Official: Consult the official source URL in the database for the primary document. Training: ISACA, ISC2, RAPS, IAPP, and HIMSS offer professional development covering most regulatory domains. Estimated hours vary by framework complexity.</t>
        </is>
      </c>
      <c r="AO317" s="131" t="inlineStr">
        <is>
          <t>Relevance to GH-ICGA framework varies by layer — see GH-ICGA Layer Mapping column. All KSA mandatory frameworks are compliance inputs to GH-ICGA Layer 4. Frameworks with IoMT-specific provisions directly inform Layers 2 and 3.</t>
        </is>
      </c>
      <c r="AP317" s="51" t="inlineStr">
        <is>
          <t>G + C (Governance + Compliance — standard regulatory framework positioning)</t>
        </is>
      </c>
      <c r="AQ317" s="132" t="inlineStr">
        <is>
          <t>Senior management: accountability for framework compliance. Designated compliance officer: monitor requirements. All staff: awareness of applicable obligations</t>
        </is>
      </c>
      <c r="AR317" s="127" t="inlineStr">
        <is>
          <t>Regulatory Risk; Operational Risk; Reputational Risk — specific domains determined by framework scope</t>
        </is>
      </c>
      <c r="AS317" s="22" t="inlineStr">
        <is>
          <t>See official source — legal obligation, regulatory requirement, or voluntary standard as applicable</t>
        </is>
      </c>
      <c r="AT317" s="128" t="inlineStr">
        <is>
          <t>Administrative; Technical; Operational — specific distribution determined by framework content</t>
        </is>
      </c>
      <c r="AU317" s="133" t="inlineStr">
        <is>
          <t>1. Compliance status (compliant/non-compliant). 2. # open findings from last assessment. 3. % controls implemented. 4. Time to remediate findings. 5. Incident rate in framework scope area</t>
        </is>
      </c>
      <c r="AV317" s="134" t="inlineStr">
        <is>
          <t>Self-assessment; internal audit; external assessment as specified by issuing authority</t>
        </is>
      </c>
      <c r="AW317" s="135" t="inlineStr">
        <is>
          <t>ServiceNow GRC; IBM OpenPages; RSA Archer; MetricStream — all major GRC platforms support custom framework import. Contact vendor for framework-specific module</t>
        </is>
      </c>
      <c r="AX317" s="136" t="inlineStr">
        <is>
          <t>Third parties in scope must demonstrate equivalent compliance. Contractual compliance obligations; right-to-audit clauses; annual third-party assessment</t>
        </is>
      </c>
      <c r="AY317" s="137" t="inlineStr">
        <is>
          <t>Non-compliance: regulatory action by issuing authority; fines and penalties as specified; operational and reputational consequences</t>
        </is>
      </c>
      <c r="AZ317" s="134" t="inlineStr">
        <is>
          <t>ALL 17 SECTORS</t>
        </is>
      </c>
      <c r="BA317" s="34" t="inlineStr">
        <is>
          <t>YES — ALL SECTORS</t>
        </is>
      </c>
      <c r="BB317" s="591">
        <f>IF(E317="","",IF(ISNUMBER(SEARCH("Institutional theory and regulatory governance theory underpin",AI317)),"TEMPLATE",IF(LEN(AI317)&gt;100,"DEEP",IF(AI317="","SPARSE","SHALLOW"))))</f>
        <v/>
      </c>
      <c r="BC317" s="591">
        <f>IF(E317="","",D317&amp;"-"&amp;B317&amp;"-"&amp;E317)</f>
        <v/>
      </c>
      <c r="BD317" s="591">
        <f>IF(E317="","",SUBSTITUTE(SUBSTITUTE(B317&amp;"-"&amp;E317," ",""),":","-"))</f>
        <v/>
      </c>
      <c r="BE317" s="591">
        <f>IF(E317="","",IF(ISNUMBER(SEARCH("ECC",E317)),"NCA-ECC-2-2024",IF(ISNUMBER(SEARCH("OTCC",E317)),"NCA-ECC-2-2024",IF(ISNUMBER(SEARCH("CCC",E317)),"NCA-ECC-2-2024",IF(ISNUMBER(SEARCH("DCC",E317)),"NCA-ECC-2-2024",IF(ISNUMBER(SEARCH("CSCC",E317)),"NCA-ECC-2-2024",IF(ISNUMBER(SEARCH("PDPL-IR",E317)),"PDPL-2021",IF(ISNUMBER(SEARCH("PDPL-DTR",E317)),"PDPL-2021","NONE"))))))))</f>
        <v/>
      </c>
      <c r="BF317" s="594">
        <f>IF(E317="","",IF(BB317="DEEP",10,IF(BB317="SHALLOW",5,IF(BB317="TEMPLATE",3,1)))+IF(N317="HIGHEST",5,IF(N317="HIGH",3,IF(N317="MODERATE",1,0)))+IF(ISNUMBER(SEARCH("Mandatory",L317)),3,0))</f>
        <v/>
      </c>
    </row>
    <row r="318">
      <c r="BB318" s="591">
        <f>IF(E318="","",IF(ISNUMBER(SEARCH("Institutional theory and regulatory governance theory underpin",AI318)),"TEMPLATE",IF(LEN(AI318)&gt;100,"DEEP",IF(AI318="","SPARSE","SHALLOW"))))</f>
        <v/>
      </c>
      <c r="BC318" s="591">
        <f>IF(E318="","",D318&amp;"-"&amp;B318&amp;"-"&amp;E318)</f>
        <v/>
      </c>
      <c r="BD318" s="591">
        <f>IF(E318="","",SUBSTITUTE(SUBSTITUTE(B318&amp;"-"&amp;E318," ",""),":","-"))</f>
        <v/>
      </c>
      <c r="BE318" s="591">
        <f>IF(E318="","",IF(ISNUMBER(SEARCH("ECC",E318)),"NCA-ECC-2-2024",IF(ISNUMBER(SEARCH("OTCC",E318)),"NCA-ECC-2-2024",IF(ISNUMBER(SEARCH("CCC",E318)),"NCA-ECC-2-2024",IF(ISNUMBER(SEARCH("DCC",E318)),"NCA-ECC-2-2024",IF(ISNUMBER(SEARCH("CSCC",E318)),"NCA-ECC-2-2024",IF(ISNUMBER(SEARCH("PDPL-IR",E318)),"PDPL-2021",IF(ISNUMBER(SEARCH("PDPL-DTR",E318)),"PDPL-2021","NONE"))))))))</f>
        <v/>
      </c>
      <c r="BF318" s="594">
        <f>IF(E318="","",IF(BB318="DEEP",10,IF(BB318="SHALLOW",5,IF(BB318="TEMPLATE",3,1)))+IF(N318="HIGHEST",5,IF(N318="HIGH",3,IF(N318="MODERATE",1,0)))+IF(ISNUMBER(SEARCH("Mandatory",L318)),3,0))</f>
        <v/>
      </c>
    </row>
    <row r="319" ht="19.5" customHeight="1">
      <c r="A319" s="365" t="n"/>
      <c r="B319" s="366" t="inlineStr">
        <is>
          <t xml:space="preserve">  ── 15. Special Zones &amp; Giga ──</t>
        </is>
      </c>
      <c r="C319" s="365" t="n"/>
      <c r="D319" s="365" t="n"/>
      <c r="E319" s="365" t="n"/>
      <c r="F319" s="365" t="n"/>
      <c r="G319" s="365" t="n"/>
      <c r="H319" s="365" t="n"/>
      <c r="I319" s="365" t="n"/>
      <c r="J319" s="365" t="n"/>
      <c r="K319" s="365" t="n"/>
      <c r="L319" s="365" t="n"/>
      <c r="M319" s="365" t="n"/>
      <c r="N319" s="365" t="n"/>
      <c r="O319" s="365" t="n"/>
      <c r="P319" s="365" t="n"/>
      <c r="BB319" s="591">
        <f>IF(E319="","",IF(ISNUMBER(SEARCH("Institutional theory and regulatory governance theory underpin",AI319)),"TEMPLATE",IF(LEN(AI319)&gt;100,"DEEP",IF(AI319="","SPARSE","SHALLOW"))))</f>
        <v/>
      </c>
      <c r="BC319" s="591">
        <f>IF(E319="","",D319&amp;"-"&amp;B319&amp;"-"&amp;E319)</f>
        <v/>
      </c>
      <c r="BD319" s="591">
        <f>IF(E319="","",SUBSTITUTE(SUBSTITUTE(B319&amp;"-"&amp;E319," ",""),":","-"))</f>
        <v/>
      </c>
      <c r="BE319" s="591">
        <f>IF(E319="","",IF(ISNUMBER(SEARCH("ECC",E319)),"NCA-ECC-2-2024",IF(ISNUMBER(SEARCH("OTCC",E319)),"NCA-ECC-2-2024",IF(ISNUMBER(SEARCH("CCC",E319)),"NCA-ECC-2-2024",IF(ISNUMBER(SEARCH("DCC",E319)),"NCA-ECC-2-2024",IF(ISNUMBER(SEARCH("CSCC",E319)),"NCA-ECC-2-2024",IF(ISNUMBER(SEARCH("PDPL-IR",E319)),"PDPL-2021",IF(ISNUMBER(SEARCH("PDPL-DTR",E319)),"PDPL-2021","NONE"))))))))</f>
        <v/>
      </c>
      <c r="BF319" s="594">
        <f>IF(E319="","",IF(BB319="DEEP",10,IF(BB319="SHALLOW",5,IF(BB319="TEMPLATE",3,1)))+IF(N319="HIGHEST",5,IF(N319="HIGH",3,IF(N319="MODERATE",1,0)))+IF(ISNUMBER(SEARCH("Mandatory",L319)),3,0))</f>
        <v/>
      </c>
    </row>
    <row r="320" ht="42" customHeight="1">
      <c r="A320" s="367" t="n">
        <v>277</v>
      </c>
      <c r="B320" s="368" t="inlineStr">
        <is>
          <t>NEOM</t>
        </is>
      </c>
      <c r="C320" s="369" t="inlineStr">
        <is>
          <t>NEOM Company (Giga Project)</t>
        </is>
      </c>
      <c r="D320" s="369" t="inlineStr">
        <is>
          <t>15. Special Zones &amp; Giga</t>
        </is>
      </c>
      <c r="E320" s="368" t="inlineStr">
        <is>
          <t>NEOM-FW</t>
        </is>
      </c>
      <c r="F320" s="370" t="inlineStr">
        <is>
          <t>NEOM Health &amp; IoT Governance Framework</t>
        </is>
      </c>
      <c r="G320" s="369" t="inlineStr">
        <is>
          <t>الإطار التنظيمي الرئيسي</t>
        </is>
      </c>
      <c r="H320" s="369" t="inlineStr">
        <is>
          <t>Active/Updated</t>
        </is>
      </c>
      <c r="I320" s="371" t="inlineStr">
        <is>
          <t>2017</t>
        </is>
      </c>
      <c r="J320" s="371" t="inlineStr">
        <is>
          <t>N/A</t>
        </is>
      </c>
      <c r="K320" s="369" t="inlineStr">
        <is>
          <t>ISSUES/ENFORCES</t>
        </is>
      </c>
      <c r="L320" s="22" t="inlineStr">
        <is>
          <t>Mandatory Enforcer</t>
        </is>
      </c>
      <c r="M320" s="369" t="inlineStr">
        <is>
          <t>Entities regulated by this authority</t>
        </is>
      </c>
      <c r="N320" s="372" t="inlineStr">
        <is>
          <t>MODERATE</t>
        </is>
      </c>
      <c r="O320" s="373" t="inlineStr">
        <is>
          <t>https://www.gov.sa/</t>
        </is>
      </c>
      <c r="P320" s="369" t="inlineStr">
        <is>
          <t>Ministry/Authority official site</t>
        </is>
      </c>
      <c r="Q320" s="369" t="inlineStr">
        <is>
          <t>See official source for version history</t>
        </is>
      </c>
      <c r="R320" s="369" t="inlineStr">
        <is>
          <t>Framework issued by the relevant authority. Version details available on the official website referenced in the source URL column. The framework has been updated periodically since first issuance.</t>
        </is>
      </c>
      <c r="S320" s="371" t="inlineStr">
        <is>
          <t>See official source</t>
        </is>
      </c>
      <c r="T320" s="369" t="inlineStr">
        <is>
          <t>Updated as needed by the issuing authority</t>
        </is>
      </c>
      <c r="U320" s="25" t="inlineStr">
        <is>
          <t>CURRENT — consult official source for latest version</t>
        </is>
      </c>
      <c r="V320" s="369" t="inlineStr">
        <is>
          <t>Penalties defined by issuing authority; consult official source. NCA ECC-2 penalties apply if relevant</t>
        </is>
      </c>
      <c r="W320" s="370" t="inlineStr">
        <is>
          <t>Issuing authority and/or designated inspection department</t>
        </is>
      </c>
      <c r="X320" s="369" t="inlineStr">
        <is>
          <t>As specified in framework scope — consult official document</t>
        </is>
      </c>
      <c r="Y320" s="49" t="inlineStr">
        <is>
          <t>Both (unless specified otherwise in official document)</t>
        </is>
      </c>
      <c r="Z320" s="369" t="inlineStr">
        <is>
          <t>As defined by issuing authority</t>
        </is>
      </c>
      <c r="AA320" s="371" t="inlineStr">
        <is>
          <t>As defined by issuing authority</t>
        </is>
      </c>
      <c r="AB320" s="369" t="inlineStr">
        <is>
          <t>To be determined from framework text — see official source</t>
        </is>
      </c>
      <c r="AC320" s="369" t="inlineStr">
        <is>
          <t>See framework preamble for international standard references</t>
        </is>
      </c>
      <c r="AD320" s="49" t="inlineStr">
        <is>
          <t>Arabic (primary in KSA); English may be available</t>
        </is>
      </c>
      <c r="AE320" s="58" t="inlineStr">
        <is>
          <t>Mapped to relevant GH-ICGA layer — requires manual assessment</t>
        </is>
      </c>
      <c r="AF320" s="56" t="inlineStr">
        <is>
          <t>See official framework for maturity model details</t>
        </is>
      </c>
      <c r="AG320" s="369" t="inlineStr">
        <is>
          <t>Aligned with relevant Vision 2030 programme — see framework context</t>
        </is>
      </c>
      <c r="AH320" s="369" t="inlineStr">
        <is>
          <t>As specified in framework compliance requirements</t>
        </is>
      </c>
      <c r="AI320" s="374" t="inlineStr">
        <is>
          <t>Institutional theory and regulatory governance theory underpin all KSA regulatory frameworks. Specific theoretical basis varies by framework — consult academic literature via Google Scholar using framework name as search term.</t>
        </is>
      </c>
      <c r="AJ320" s="369" t="inlineStr">
        <is>
          <t>Academic debate varies by framework maturity and international adoption. For KSA-specific debate, consult: Almohammad &amp; Wills (2021) J Cybersecurity; Al-Khater et al. (2020) IEEE Access; Baker McKenzie KSA regulatory updates.</t>
        </is>
      </c>
      <c r="AK320" s="375" t="inlineStr">
        <is>
          <t>Known criticisms include: implementation gap between standards and practice; resource constraints for smaller healthcare entities; rapid technology evolution outpacing regulation. Consult framework evaluation literature for specifics.</t>
        </is>
      </c>
      <c r="AL320" s="376" t="inlineStr">
        <is>
          <t>Framework comparison requires contextual analysis. Key comparators: NIST CSF 2.0 (international benchmark), ISO 27001 (certifiable standard), ECC-2 (KSA mandatory baseline). See main database for cross-framework mapping.</t>
        </is>
      </c>
      <c r="AM320" s="377"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20" s="378" t="inlineStr">
        <is>
          <t>Official: Consult the official source URL in the database for the primary document. Training: ISACA, ISC2, RAPS, IAPP, and HIMSS offer professional development covering most regulatory domains. Estimated hours vary by framework complexity.</t>
        </is>
      </c>
      <c r="AO320" s="379" t="inlineStr">
        <is>
          <t>Relevance to GH-ICGA framework varies by layer — see GH-ICGA Layer Mapping column. All KSA mandatory frameworks are compliance inputs to GH-ICGA Layer 4. Frameworks with IoMT-specific provisions directly inform Layers 2 and 3.</t>
        </is>
      </c>
      <c r="AP320" s="51" t="inlineStr">
        <is>
          <t>G + C (Governance + Compliance — standard regulatory framework positioning)</t>
        </is>
      </c>
      <c r="AQ320" s="380" t="inlineStr">
        <is>
          <t>Senior management: accountability for framework compliance. Designated compliance officer: monitor requirements. All staff: awareness of applicable obligations</t>
        </is>
      </c>
      <c r="AR320" s="375" t="inlineStr">
        <is>
          <t>Regulatory Risk; Operational Risk; Reputational Risk — specific domains determined by framework scope</t>
        </is>
      </c>
      <c r="AS320" s="22" t="inlineStr">
        <is>
          <t>See official source — legal obligation, regulatory requirement, or voluntary standard as applicable</t>
        </is>
      </c>
      <c r="AT320" s="376" t="inlineStr">
        <is>
          <t>Administrative; Technical; Operational — specific distribution determined by framework content</t>
        </is>
      </c>
      <c r="AU320" s="381" t="inlineStr">
        <is>
          <t>1. Compliance status (compliant/non-compliant). 2. # open findings from last assessment. 3. % controls implemented. 4. Time to remediate findings. 5. Incident rate in framework scope area</t>
        </is>
      </c>
      <c r="AV320" s="382" t="inlineStr">
        <is>
          <t>Self-assessment; internal audit; external assessment as specified by issuing authority</t>
        </is>
      </c>
      <c r="AW320" s="383" t="inlineStr">
        <is>
          <t>ServiceNow GRC; IBM OpenPages; RSA Archer; MetricStream — all major GRC platforms support custom framework import. Contact vendor for framework-specific module</t>
        </is>
      </c>
      <c r="AX320" s="384" t="inlineStr">
        <is>
          <t>Third parties in scope must demonstrate equivalent compliance. Contractual compliance obligations; right-to-audit clauses; annual third-party assessment</t>
        </is>
      </c>
      <c r="AY320" s="385" t="inlineStr">
        <is>
          <t>Non-compliance: regulatory action by issuing authority; fines and penalties as specified; operational and reputational consequences</t>
        </is>
      </c>
      <c r="AZ320" s="382" t="inlineStr">
        <is>
          <t>Sector-specific — consult official source</t>
        </is>
      </c>
      <c r="BA320" s="41" t="inlineStr">
        <is>
          <t>Sector-Specific</t>
        </is>
      </c>
      <c r="BB320" s="591">
        <f>IF(E320="","",IF(ISNUMBER(SEARCH("Institutional theory and regulatory governance theory underpin",AI320)),"TEMPLATE",IF(LEN(AI320)&gt;100,"DEEP",IF(AI320="","SPARSE","SHALLOW"))))</f>
        <v/>
      </c>
      <c r="BC320" s="591">
        <f>IF(E320="","",D320&amp;"-"&amp;B320&amp;"-"&amp;E320)</f>
        <v/>
      </c>
      <c r="BD320" s="591">
        <f>IF(E320="","",SUBSTITUTE(SUBSTITUTE(B320&amp;"-"&amp;E320," ",""),":","-"))</f>
        <v/>
      </c>
      <c r="BE320" s="591">
        <f>IF(E320="","",IF(ISNUMBER(SEARCH("ECC",E320)),"NCA-ECC-2-2024",IF(ISNUMBER(SEARCH("OTCC",E320)),"NCA-ECC-2-2024",IF(ISNUMBER(SEARCH("CCC",E320)),"NCA-ECC-2-2024",IF(ISNUMBER(SEARCH("DCC",E320)),"NCA-ECC-2-2024",IF(ISNUMBER(SEARCH("CSCC",E320)),"NCA-ECC-2-2024",IF(ISNUMBER(SEARCH("PDPL-IR",E320)),"PDPL-2021",IF(ISNUMBER(SEARCH("PDPL-DTR",E320)),"PDPL-2021","NONE"))))))))</f>
        <v/>
      </c>
      <c r="BF320" s="594">
        <f>IF(E320="","",IF(BB320="DEEP",10,IF(BB320="SHALLOW",5,IF(BB320="TEMPLATE",3,1)))+IF(N320="HIGHEST",5,IF(N320="HIGH",3,IF(N320="MODERATE",1,0)))+IF(ISNUMBER(SEARCH("Mandatory",L320)),3,0))</f>
        <v/>
      </c>
    </row>
    <row r="321" ht="42" customHeight="1">
      <c r="A321" s="42" t="n">
        <v>278</v>
      </c>
      <c r="B321" s="386" t="inlineStr">
        <is>
          <t>NEOM</t>
        </is>
      </c>
      <c r="C321" s="44" t="inlineStr">
        <is>
          <t>NEOM Company (Giga Project)</t>
        </is>
      </c>
      <c r="D321" s="44" t="inlineStr">
        <is>
          <t>15. Special Zones &amp; Giga</t>
        </is>
      </c>
      <c r="E321" s="386" t="inlineStr">
        <is>
          <t>NCA-ECC-2:2024</t>
        </is>
      </c>
      <c r="F321" s="45" t="inlineStr">
        <is>
          <t>Essential Cybersecurity Controls</t>
        </is>
      </c>
      <c r="G321" s="44" t="inlineStr">
        <is>
          <t>ضوابط الأمن السيبراني الأساسية</t>
        </is>
      </c>
      <c r="H321" s="44" t="inlineStr">
        <is>
          <t>ECC-2:2024</t>
        </is>
      </c>
      <c r="I321" s="46" t="inlineStr">
        <is>
          <t>2018</t>
        </is>
      </c>
      <c r="J321" s="46" t="inlineStr">
        <is>
          <t>108</t>
        </is>
      </c>
      <c r="K321" s="44" t="inlineStr">
        <is>
          <t>MUST COMPLY WITH</t>
        </is>
      </c>
      <c r="L321" s="66" t="inlineStr">
        <is>
          <t>Mandatory Complier</t>
        </is>
      </c>
      <c r="M321" s="44" t="inlineStr">
        <is>
          <t>NEOM Company (Giga Project) as government entity</t>
        </is>
      </c>
      <c r="N321" s="59" t="inlineStr">
        <is>
          <t>LOW</t>
        </is>
      </c>
      <c r="O321" s="48" t="inlineStr">
        <is>
          <t>https://nca.gov.sa/</t>
        </is>
      </c>
      <c r="P321" s="44" t="inlineStr">
        <is>
          <t>NCA ECC scope</t>
        </is>
      </c>
      <c r="Q321" s="369" t="inlineStr">
        <is>
          <t>See official source for version history</t>
        </is>
      </c>
      <c r="R321" s="369" t="inlineStr">
        <is>
          <t>Framework issued by the relevant authority. Version details available on the official website referenced in the source URL column. The framework has been updated periodically since first issuance.</t>
        </is>
      </c>
      <c r="S321" s="371" t="inlineStr">
        <is>
          <t>See official source</t>
        </is>
      </c>
      <c r="T321" s="369" t="inlineStr">
        <is>
          <t>Updated as needed by the issuing authority</t>
        </is>
      </c>
      <c r="U321" s="25" t="inlineStr">
        <is>
          <t>CURRENT — consult official source for latest version</t>
        </is>
      </c>
      <c r="V321" s="369" t="inlineStr">
        <is>
          <t>Penalties defined by issuing authority; consult official source. NCA ECC-2 penalties apply if relevant</t>
        </is>
      </c>
      <c r="W321" s="370" t="inlineStr">
        <is>
          <t>Issuing authority and/or designated inspection department</t>
        </is>
      </c>
      <c r="X321" s="369" t="inlineStr">
        <is>
          <t>As specified in framework scope — consult official document</t>
        </is>
      </c>
      <c r="Y321" s="49" t="inlineStr">
        <is>
          <t>Both (unless specified otherwise in official document)</t>
        </is>
      </c>
      <c r="Z321" s="369" t="inlineStr">
        <is>
          <t>As defined by issuing authority</t>
        </is>
      </c>
      <c r="AA321" s="371" t="inlineStr">
        <is>
          <t>As defined by issuing authority</t>
        </is>
      </c>
      <c r="AB321" s="369" t="inlineStr">
        <is>
          <t>To be determined from framework text — see official source</t>
        </is>
      </c>
      <c r="AC321" s="369" t="inlineStr">
        <is>
          <t>See framework preamble for international standard references</t>
        </is>
      </c>
      <c r="AD321" s="49" t="inlineStr">
        <is>
          <t>Arabic (primary in KSA); English may be available</t>
        </is>
      </c>
      <c r="AE321" s="58" t="inlineStr">
        <is>
          <t>Mapped to relevant GH-ICGA layer — requires manual assessment</t>
        </is>
      </c>
      <c r="AF321" s="56" t="inlineStr">
        <is>
          <t>See official framework for maturity model details</t>
        </is>
      </c>
      <c r="AG321" s="369" t="inlineStr">
        <is>
          <t>Aligned with relevant Vision 2030 programme — see framework context</t>
        </is>
      </c>
      <c r="AH321" s="369" t="inlineStr">
        <is>
          <t>As specified in framework compliance requirements</t>
        </is>
      </c>
      <c r="AI321" s="374" t="inlineStr">
        <is>
          <t>Institutional theory and regulatory governance theory underpin all KSA regulatory frameworks. Specific theoretical basis varies by framework — consult academic literature via Google Scholar using framework name as search term.</t>
        </is>
      </c>
      <c r="AJ321" s="369" t="inlineStr">
        <is>
          <t>Academic debate varies by framework maturity and international adoption. For KSA-specific debate, consult: Almohammad &amp; Wills (2021) J Cybersecurity; Al-Khater et al. (2020) IEEE Access; Baker McKenzie KSA regulatory updates.</t>
        </is>
      </c>
      <c r="AK321" s="375" t="inlineStr">
        <is>
          <t>Known criticisms include: implementation gap between standards and practice; resource constraints for smaller healthcare entities; rapid technology evolution outpacing regulation. Consult framework evaluation literature for specifics.</t>
        </is>
      </c>
      <c r="AL321" s="376" t="inlineStr">
        <is>
          <t>Framework comparison requires contextual analysis. Key comparators: NIST CSF 2.0 (international benchmark), ISO 27001 (certifiable standard), ECC-2 (KSA mandatory baseline). See main database for cross-framework mapping.</t>
        </is>
      </c>
      <c r="AM321" s="377"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21" s="378" t="inlineStr">
        <is>
          <t>Official: Consult the official source URL in the database for the primary document. Training: ISACA, ISC2, RAPS, IAPP, and HIMSS offer professional development covering most regulatory domains. Estimated hours vary by framework complexity.</t>
        </is>
      </c>
      <c r="AO321" s="379" t="inlineStr">
        <is>
          <t>Relevance to GH-ICGA framework varies by layer — see GH-ICGA Layer Mapping column. All KSA mandatory frameworks are compliance inputs to GH-ICGA Layer 4. Frameworks with IoMT-specific provisions directly inform Layers 2 and 3.</t>
        </is>
      </c>
      <c r="AP321" s="51" t="inlineStr">
        <is>
          <t>G + C (Governance + Compliance — standard regulatory framework positioning)</t>
        </is>
      </c>
      <c r="AQ321" s="380" t="inlineStr">
        <is>
          <t>Senior management: accountability for framework compliance. Designated compliance officer: monitor requirements. All staff: awareness of applicable obligations</t>
        </is>
      </c>
      <c r="AR321" s="375" t="inlineStr">
        <is>
          <t>Regulatory Risk; Operational Risk; Reputational Risk — specific domains determined by framework scope</t>
        </is>
      </c>
      <c r="AS321" s="22" t="inlineStr">
        <is>
          <t>See official source — legal obligation, regulatory requirement, or voluntary standard as applicable</t>
        </is>
      </c>
      <c r="AT321" s="376" t="inlineStr">
        <is>
          <t>Administrative; Technical; Operational — specific distribution determined by framework content</t>
        </is>
      </c>
      <c r="AU321" s="381" t="inlineStr">
        <is>
          <t>1. Compliance status (compliant/non-compliant). 2. # open findings from last assessment. 3. % controls implemented. 4. Time to remediate findings. 5. Incident rate in framework scope area</t>
        </is>
      </c>
      <c r="AV321" s="382" t="inlineStr">
        <is>
          <t>Self-assessment; internal audit; external assessment as specified by issuing authority</t>
        </is>
      </c>
      <c r="AW321" s="383" t="inlineStr">
        <is>
          <t>ServiceNow GRC; IBM OpenPages; RSA Archer; MetricStream — all major GRC platforms support custom framework import. Contact vendor for framework-specific module</t>
        </is>
      </c>
      <c r="AX321" s="384" t="inlineStr">
        <is>
          <t>Third parties in scope must demonstrate equivalent compliance. Contractual compliance obligations; right-to-audit clauses; annual third-party assessment</t>
        </is>
      </c>
      <c r="AY321" s="385" t="inlineStr">
        <is>
          <t>Non-compliance: regulatory action by issuing authority; fines and penalties as specified; operational and reputational consequences</t>
        </is>
      </c>
      <c r="AZ321" s="382" t="inlineStr">
        <is>
          <t>ALL 17 SECTORS</t>
        </is>
      </c>
      <c r="BA321" s="34" t="inlineStr">
        <is>
          <t>YES — ALL SECTORS</t>
        </is>
      </c>
      <c r="BB321" s="591">
        <f>IF(E321="","",IF(ISNUMBER(SEARCH("Institutional theory and regulatory governance theory underpin",AI321)),"TEMPLATE",IF(LEN(AI321)&gt;100,"DEEP",IF(AI321="","SPARSE","SHALLOW"))))</f>
        <v/>
      </c>
      <c r="BC321" s="591">
        <f>IF(E321="","",D321&amp;"-"&amp;B321&amp;"-"&amp;E321)</f>
        <v/>
      </c>
      <c r="BD321" s="591">
        <f>IF(E321="","",SUBSTITUTE(SUBSTITUTE(B321&amp;"-"&amp;E321," ",""),":","-"))</f>
        <v/>
      </c>
      <c r="BE321" s="591">
        <f>IF(E321="","",IF(ISNUMBER(SEARCH("ECC",E321)),"NCA-ECC-2-2024",IF(ISNUMBER(SEARCH("OTCC",E321)),"NCA-ECC-2-2024",IF(ISNUMBER(SEARCH("CCC",E321)),"NCA-ECC-2-2024",IF(ISNUMBER(SEARCH("DCC",E321)),"NCA-ECC-2-2024",IF(ISNUMBER(SEARCH("CSCC",E321)),"NCA-ECC-2-2024",IF(ISNUMBER(SEARCH("PDPL-IR",E321)),"PDPL-2021",IF(ISNUMBER(SEARCH("PDPL-DTR",E321)),"PDPL-2021","NONE"))))))))</f>
        <v/>
      </c>
      <c r="BF321" s="594">
        <f>IF(E321="","",IF(BB321="DEEP",10,IF(BB321="SHALLOW",5,IF(BB321="TEMPLATE",3,1)))+IF(N321="HIGHEST",5,IF(N321="HIGH",3,IF(N321="MODERATE",1,0)))+IF(ISNUMBER(SEARCH("Mandatory",L321)),3,0))</f>
        <v/>
      </c>
    </row>
    <row r="322" ht="42" customHeight="1">
      <c r="A322" s="367" t="n">
        <v>279</v>
      </c>
      <c r="B322" s="368" t="inlineStr">
        <is>
          <t>RDA</t>
        </is>
      </c>
      <c r="C322" s="369" t="inlineStr">
        <is>
          <t>Royal Development Authority (Riyadh)</t>
        </is>
      </c>
      <c r="D322" s="369" t="inlineStr">
        <is>
          <t>15. Special Zones &amp; Giga</t>
        </is>
      </c>
      <c r="E322" s="368" t="inlineStr">
        <is>
          <t>RDA-FW</t>
        </is>
      </c>
      <c r="F322" s="370" t="inlineStr">
        <is>
          <t>Urban Development Standards</t>
        </is>
      </c>
      <c r="G322" s="369" t="inlineStr">
        <is>
          <t>الإطار التنظيمي الرئيسي</t>
        </is>
      </c>
      <c r="H322" s="369" t="inlineStr">
        <is>
          <t>Active/Updated</t>
        </is>
      </c>
      <c r="I322" s="371" t="inlineStr">
        <is>
          <t>2001</t>
        </is>
      </c>
      <c r="J322" s="371" t="inlineStr">
        <is>
          <t>N/A</t>
        </is>
      </c>
      <c r="K322" s="369" t="inlineStr">
        <is>
          <t>ISSUES/ENFORCES</t>
        </is>
      </c>
      <c r="L322" s="22" t="inlineStr">
        <is>
          <t>Mandatory Enforcer</t>
        </is>
      </c>
      <c r="M322" s="369" t="inlineStr">
        <is>
          <t>Entities regulated by this authority</t>
        </is>
      </c>
      <c r="N322" s="372" t="inlineStr">
        <is>
          <t>MODERATE</t>
        </is>
      </c>
      <c r="O322" s="373" t="inlineStr">
        <is>
          <t>https://www.gov.sa/</t>
        </is>
      </c>
      <c r="P322" s="369" t="inlineStr">
        <is>
          <t>Ministry/Authority official site</t>
        </is>
      </c>
      <c r="Q322" s="369" t="inlineStr">
        <is>
          <t>See official source for version history</t>
        </is>
      </c>
      <c r="R322" s="369" t="inlineStr">
        <is>
          <t>Framework issued by the relevant authority. Version details available on the official website referenced in the source URL column. The framework has been updated periodically since first issuance.</t>
        </is>
      </c>
      <c r="S322" s="371" t="inlineStr">
        <is>
          <t>See official source</t>
        </is>
      </c>
      <c r="T322" s="369" t="inlineStr">
        <is>
          <t>Updated as needed by the issuing authority</t>
        </is>
      </c>
      <c r="U322" s="25" t="inlineStr">
        <is>
          <t>CURRENT — consult official source for latest version</t>
        </is>
      </c>
      <c r="V322" s="369" t="inlineStr">
        <is>
          <t>Penalties defined by issuing authority; consult official source. NCA ECC-2 penalties apply if relevant</t>
        </is>
      </c>
      <c r="W322" s="370" t="inlineStr">
        <is>
          <t>Issuing authority and/or designated inspection department</t>
        </is>
      </c>
      <c r="X322" s="369" t="inlineStr">
        <is>
          <t>As specified in framework scope — consult official document</t>
        </is>
      </c>
      <c r="Y322" s="49" t="inlineStr">
        <is>
          <t>Both (unless specified otherwise in official document)</t>
        </is>
      </c>
      <c r="Z322" s="369" t="inlineStr">
        <is>
          <t>As defined by issuing authority</t>
        </is>
      </c>
      <c r="AA322" s="371" t="inlineStr">
        <is>
          <t>As defined by issuing authority</t>
        </is>
      </c>
      <c r="AB322" s="369" t="inlineStr">
        <is>
          <t>To be determined from framework text — see official source</t>
        </is>
      </c>
      <c r="AC322" s="369" t="inlineStr">
        <is>
          <t>See framework preamble for international standard references</t>
        </is>
      </c>
      <c r="AD322" s="49" t="inlineStr">
        <is>
          <t>Arabic (primary in KSA); English may be available</t>
        </is>
      </c>
      <c r="AE322" s="58" t="inlineStr">
        <is>
          <t>Mapped to relevant GH-ICGA layer — requires manual assessment</t>
        </is>
      </c>
      <c r="AF322" s="56" t="inlineStr">
        <is>
          <t>See official framework for maturity model details</t>
        </is>
      </c>
      <c r="AG322" s="369" t="inlineStr">
        <is>
          <t>Aligned with relevant Vision 2030 programme — see framework context</t>
        </is>
      </c>
      <c r="AH322" s="369" t="inlineStr">
        <is>
          <t>As specified in framework compliance requirements</t>
        </is>
      </c>
      <c r="AI322" s="374" t="inlineStr">
        <is>
          <t>Institutional theory and regulatory governance theory underpin all KSA regulatory frameworks. Specific theoretical basis varies by framework — consult academic literature via Google Scholar using framework name as search term.</t>
        </is>
      </c>
      <c r="AJ322" s="369" t="inlineStr">
        <is>
          <t>Academic debate varies by framework maturity and international adoption. For KSA-specific debate, consult: Almohammad &amp; Wills (2021) J Cybersecurity; Al-Khater et al. (2020) IEEE Access; Baker McKenzie KSA regulatory updates.</t>
        </is>
      </c>
      <c r="AK322" s="375" t="inlineStr">
        <is>
          <t>Known criticisms include: implementation gap between standards and practice; resource constraints for smaller healthcare entities; rapid technology evolution outpacing regulation. Consult framework evaluation literature for specifics.</t>
        </is>
      </c>
      <c r="AL322" s="376" t="inlineStr">
        <is>
          <t>Framework comparison requires contextual analysis. Key comparators: NIST CSF 2.0 (international benchmark), ISO 27001 (certifiable standard), ECC-2 (KSA mandatory baseline). See main database for cross-framework mapping.</t>
        </is>
      </c>
      <c r="AM322" s="377"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22" s="378" t="inlineStr">
        <is>
          <t>Official: Consult the official source URL in the database for the primary document. Training: ISACA, ISC2, RAPS, IAPP, and HIMSS offer professional development covering most regulatory domains. Estimated hours vary by framework complexity.</t>
        </is>
      </c>
      <c r="AO322" s="379" t="inlineStr">
        <is>
          <t>Relevance to GH-ICGA framework varies by layer — see GH-ICGA Layer Mapping column. All KSA mandatory frameworks are compliance inputs to GH-ICGA Layer 4. Frameworks with IoMT-specific provisions directly inform Layers 2 and 3.</t>
        </is>
      </c>
      <c r="AP322" s="51" t="inlineStr">
        <is>
          <t>G + C (Governance + Compliance — standard regulatory framework positioning)</t>
        </is>
      </c>
      <c r="AQ322" s="380" t="inlineStr">
        <is>
          <t>Senior management: accountability for framework compliance. Designated compliance officer: monitor requirements. All staff: awareness of applicable obligations</t>
        </is>
      </c>
      <c r="AR322" s="375" t="inlineStr">
        <is>
          <t>Regulatory Risk; Operational Risk; Reputational Risk — specific domains determined by framework scope</t>
        </is>
      </c>
      <c r="AS322" s="22" t="inlineStr">
        <is>
          <t>See official source — legal obligation, regulatory requirement, or voluntary standard as applicable</t>
        </is>
      </c>
      <c r="AT322" s="376" t="inlineStr">
        <is>
          <t>Administrative; Technical; Operational — specific distribution determined by framework content</t>
        </is>
      </c>
      <c r="AU322" s="381" t="inlineStr">
        <is>
          <t>1. Compliance status (compliant/non-compliant). 2. # open findings from last assessment. 3. % controls implemented. 4. Time to remediate findings. 5. Incident rate in framework scope area</t>
        </is>
      </c>
      <c r="AV322" s="382" t="inlineStr">
        <is>
          <t>Self-assessment; internal audit; external assessment as specified by issuing authority</t>
        </is>
      </c>
      <c r="AW322" s="383" t="inlineStr">
        <is>
          <t>ServiceNow GRC; IBM OpenPages; RSA Archer; MetricStream — all major GRC platforms support custom framework import. Contact vendor for framework-specific module</t>
        </is>
      </c>
      <c r="AX322" s="384" t="inlineStr">
        <is>
          <t>Third parties in scope must demonstrate equivalent compliance. Contractual compliance obligations; right-to-audit clauses; annual third-party assessment</t>
        </is>
      </c>
      <c r="AY322" s="385" t="inlineStr">
        <is>
          <t>Non-compliance: regulatory action by issuing authority; fines and penalties as specified; operational and reputational consequences</t>
        </is>
      </c>
      <c r="AZ322" s="382" t="inlineStr">
        <is>
          <t>Sector-specific — consult official source</t>
        </is>
      </c>
      <c r="BA322" s="41" t="inlineStr">
        <is>
          <t>Sector-Specific</t>
        </is>
      </c>
      <c r="BB322" s="591">
        <f>IF(E322="","",IF(ISNUMBER(SEARCH("Institutional theory and regulatory governance theory underpin",AI322)),"TEMPLATE",IF(LEN(AI322)&gt;100,"DEEP",IF(AI322="","SPARSE","SHALLOW"))))</f>
        <v/>
      </c>
      <c r="BC322" s="591">
        <f>IF(E322="","",D322&amp;"-"&amp;B322&amp;"-"&amp;E322)</f>
        <v/>
      </c>
      <c r="BD322" s="591">
        <f>IF(E322="","",SUBSTITUTE(SUBSTITUTE(B322&amp;"-"&amp;E322," ",""),":","-"))</f>
        <v/>
      </c>
      <c r="BE322" s="591">
        <f>IF(E322="","",IF(ISNUMBER(SEARCH("ECC",E322)),"NCA-ECC-2-2024",IF(ISNUMBER(SEARCH("OTCC",E322)),"NCA-ECC-2-2024",IF(ISNUMBER(SEARCH("CCC",E322)),"NCA-ECC-2-2024",IF(ISNUMBER(SEARCH("DCC",E322)),"NCA-ECC-2-2024",IF(ISNUMBER(SEARCH("CSCC",E322)),"NCA-ECC-2-2024",IF(ISNUMBER(SEARCH("PDPL-IR",E322)),"PDPL-2021",IF(ISNUMBER(SEARCH("PDPL-DTR",E322)),"PDPL-2021","NONE"))))))))</f>
        <v/>
      </c>
      <c r="BF322" s="594">
        <f>IF(E322="","",IF(BB322="DEEP",10,IF(BB322="SHALLOW",5,IF(BB322="TEMPLATE",3,1)))+IF(N322="HIGHEST",5,IF(N322="HIGH",3,IF(N322="MODERATE",1,0)))+IF(ISNUMBER(SEARCH("Mandatory",L322)),3,0))</f>
        <v/>
      </c>
    </row>
    <row r="323" ht="42" customHeight="1">
      <c r="A323" s="42" t="n">
        <v>280</v>
      </c>
      <c r="B323" s="386" t="inlineStr">
        <is>
          <t>RDA</t>
        </is>
      </c>
      <c r="C323" s="44" t="inlineStr">
        <is>
          <t>Royal Development Authority (Riyadh)</t>
        </is>
      </c>
      <c r="D323" s="44" t="inlineStr">
        <is>
          <t>15. Special Zones &amp; Giga</t>
        </is>
      </c>
      <c r="E323" s="386" t="inlineStr">
        <is>
          <t>NCA-ECC-2:2024</t>
        </is>
      </c>
      <c r="F323" s="45" t="inlineStr">
        <is>
          <t>Essential Cybersecurity Controls</t>
        </is>
      </c>
      <c r="G323" s="44" t="inlineStr">
        <is>
          <t>ضوابط الأمن السيبراني الأساسية</t>
        </is>
      </c>
      <c r="H323" s="44" t="inlineStr">
        <is>
          <t>ECC-2:2024</t>
        </is>
      </c>
      <c r="I323" s="46" t="inlineStr">
        <is>
          <t>2018</t>
        </is>
      </c>
      <c r="J323" s="46" t="inlineStr">
        <is>
          <t>108</t>
        </is>
      </c>
      <c r="K323" s="44" t="inlineStr">
        <is>
          <t>MUST COMPLY WITH</t>
        </is>
      </c>
      <c r="L323" s="66" t="inlineStr">
        <is>
          <t>Mandatory Complier</t>
        </is>
      </c>
      <c r="M323" s="44" t="inlineStr">
        <is>
          <t>Royal Development Authority (Riyadh) as government entity</t>
        </is>
      </c>
      <c r="N323" s="59" t="inlineStr">
        <is>
          <t>LOW</t>
        </is>
      </c>
      <c r="O323" s="48" t="inlineStr">
        <is>
          <t>https://nca.gov.sa/</t>
        </is>
      </c>
      <c r="P323" s="44" t="inlineStr">
        <is>
          <t>NCA ECC scope</t>
        </is>
      </c>
      <c r="Q323" s="369" t="inlineStr">
        <is>
          <t>See official source for version history</t>
        </is>
      </c>
      <c r="R323" s="369" t="inlineStr">
        <is>
          <t>Framework issued by the relevant authority. Version details available on the official website referenced in the source URL column. The framework has been updated periodically since first issuance.</t>
        </is>
      </c>
      <c r="S323" s="371" t="inlineStr">
        <is>
          <t>See official source</t>
        </is>
      </c>
      <c r="T323" s="369" t="inlineStr">
        <is>
          <t>Updated as needed by the issuing authority</t>
        </is>
      </c>
      <c r="U323" s="25" t="inlineStr">
        <is>
          <t>CURRENT — consult official source for latest version</t>
        </is>
      </c>
      <c r="V323" s="369" t="inlineStr">
        <is>
          <t>Penalties defined by issuing authority; consult official source. NCA ECC-2 penalties apply if relevant</t>
        </is>
      </c>
      <c r="W323" s="370" t="inlineStr">
        <is>
          <t>Issuing authority and/or designated inspection department</t>
        </is>
      </c>
      <c r="X323" s="369" t="inlineStr">
        <is>
          <t>As specified in framework scope — consult official document</t>
        </is>
      </c>
      <c r="Y323" s="49" t="inlineStr">
        <is>
          <t>Both (unless specified otherwise in official document)</t>
        </is>
      </c>
      <c r="Z323" s="369" t="inlineStr">
        <is>
          <t>As defined by issuing authority</t>
        </is>
      </c>
      <c r="AA323" s="371" t="inlineStr">
        <is>
          <t>As defined by issuing authority</t>
        </is>
      </c>
      <c r="AB323" s="369" t="inlineStr">
        <is>
          <t>To be determined from framework text — see official source</t>
        </is>
      </c>
      <c r="AC323" s="369" t="inlineStr">
        <is>
          <t>See framework preamble for international standard references</t>
        </is>
      </c>
      <c r="AD323" s="49" t="inlineStr">
        <is>
          <t>Arabic (primary in KSA); English may be available</t>
        </is>
      </c>
      <c r="AE323" s="58" t="inlineStr">
        <is>
          <t>Mapped to relevant GH-ICGA layer — requires manual assessment</t>
        </is>
      </c>
      <c r="AF323" s="56" t="inlineStr">
        <is>
          <t>See official framework for maturity model details</t>
        </is>
      </c>
      <c r="AG323" s="369" t="inlineStr">
        <is>
          <t>Aligned with relevant Vision 2030 programme — see framework context</t>
        </is>
      </c>
      <c r="AH323" s="369" t="inlineStr">
        <is>
          <t>As specified in framework compliance requirements</t>
        </is>
      </c>
      <c r="AI323" s="374" t="inlineStr">
        <is>
          <t>Institutional theory and regulatory governance theory underpin all KSA regulatory frameworks. Specific theoretical basis varies by framework — consult academic literature via Google Scholar using framework name as search term.</t>
        </is>
      </c>
      <c r="AJ323" s="369" t="inlineStr">
        <is>
          <t>Academic debate varies by framework maturity and international adoption. For KSA-specific debate, consult: Almohammad &amp; Wills (2021) J Cybersecurity; Al-Khater et al. (2020) IEEE Access; Baker McKenzie KSA regulatory updates.</t>
        </is>
      </c>
      <c r="AK323" s="375" t="inlineStr">
        <is>
          <t>Known criticisms include: implementation gap between standards and practice; resource constraints for smaller healthcare entities; rapid technology evolution outpacing regulation. Consult framework evaluation literature for specifics.</t>
        </is>
      </c>
      <c r="AL323" s="376" t="inlineStr">
        <is>
          <t>Framework comparison requires contextual analysis. Key comparators: NIST CSF 2.0 (international benchmark), ISO 27001 (certifiable standard), ECC-2 (KSA mandatory baseline). See main database for cross-framework mapping.</t>
        </is>
      </c>
      <c r="AM323" s="377"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23" s="378" t="inlineStr">
        <is>
          <t>Official: Consult the official source URL in the database for the primary document. Training: ISACA, ISC2, RAPS, IAPP, and HIMSS offer professional development covering most regulatory domains. Estimated hours vary by framework complexity.</t>
        </is>
      </c>
      <c r="AO323" s="379" t="inlineStr">
        <is>
          <t>Relevance to GH-ICGA framework varies by layer — see GH-ICGA Layer Mapping column. All KSA mandatory frameworks are compliance inputs to GH-ICGA Layer 4. Frameworks with IoMT-specific provisions directly inform Layers 2 and 3.</t>
        </is>
      </c>
      <c r="AP323" s="51" t="inlineStr">
        <is>
          <t>G + C (Governance + Compliance — standard regulatory framework positioning)</t>
        </is>
      </c>
      <c r="AQ323" s="380" t="inlineStr">
        <is>
          <t>Senior management: accountability for framework compliance. Designated compliance officer: monitor requirements. All staff: awareness of applicable obligations</t>
        </is>
      </c>
      <c r="AR323" s="375" t="inlineStr">
        <is>
          <t>Regulatory Risk; Operational Risk; Reputational Risk — specific domains determined by framework scope</t>
        </is>
      </c>
      <c r="AS323" s="22" t="inlineStr">
        <is>
          <t>See official source — legal obligation, regulatory requirement, or voluntary standard as applicable</t>
        </is>
      </c>
      <c r="AT323" s="376" t="inlineStr">
        <is>
          <t>Administrative; Technical; Operational — specific distribution determined by framework content</t>
        </is>
      </c>
      <c r="AU323" s="381" t="inlineStr">
        <is>
          <t>1. Compliance status (compliant/non-compliant). 2. # open findings from last assessment. 3. % controls implemented. 4. Time to remediate findings. 5. Incident rate in framework scope area</t>
        </is>
      </c>
      <c r="AV323" s="382" t="inlineStr">
        <is>
          <t>Self-assessment; internal audit; external assessment as specified by issuing authority</t>
        </is>
      </c>
      <c r="AW323" s="383" t="inlineStr">
        <is>
          <t>ServiceNow GRC; IBM OpenPages; RSA Archer; MetricStream — all major GRC platforms support custom framework import. Contact vendor for framework-specific module</t>
        </is>
      </c>
      <c r="AX323" s="384" t="inlineStr">
        <is>
          <t>Third parties in scope must demonstrate equivalent compliance. Contractual compliance obligations; right-to-audit clauses; annual third-party assessment</t>
        </is>
      </c>
      <c r="AY323" s="385" t="inlineStr">
        <is>
          <t>Non-compliance: regulatory action by issuing authority; fines and penalties as specified; operational and reputational consequences</t>
        </is>
      </c>
      <c r="AZ323" s="382" t="inlineStr">
        <is>
          <t>ALL 17 SECTORS</t>
        </is>
      </c>
      <c r="BA323" s="34" t="inlineStr">
        <is>
          <t>YES — ALL SECTORS</t>
        </is>
      </c>
      <c r="BB323" s="591">
        <f>IF(E323="","",IF(ISNUMBER(SEARCH("Institutional theory and regulatory governance theory underpin",AI323)),"TEMPLATE",IF(LEN(AI323)&gt;100,"DEEP",IF(AI323="","SPARSE","SHALLOW"))))</f>
        <v/>
      </c>
      <c r="BC323" s="591">
        <f>IF(E323="","",D323&amp;"-"&amp;B323&amp;"-"&amp;E323)</f>
        <v/>
      </c>
      <c r="BD323" s="591">
        <f>IF(E323="","",SUBSTITUTE(SUBSTITUTE(B323&amp;"-"&amp;E323," ",""),":","-"))</f>
        <v/>
      </c>
      <c r="BE323" s="591">
        <f>IF(E323="","",IF(ISNUMBER(SEARCH("ECC",E323)),"NCA-ECC-2-2024",IF(ISNUMBER(SEARCH("OTCC",E323)),"NCA-ECC-2-2024",IF(ISNUMBER(SEARCH("CCC",E323)),"NCA-ECC-2-2024",IF(ISNUMBER(SEARCH("DCC",E323)),"NCA-ECC-2-2024",IF(ISNUMBER(SEARCH("CSCC",E323)),"NCA-ECC-2-2024",IF(ISNUMBER(SEARCH("PDPL-IR",E323)),"PDPL-2021",IF(ISNUMBER(SEARCH("PDPL-DTR",E323)),"PDPL-2021","NONE"))))))))</f>
        <v/>
      </c>
      <c r="BF323" s="594">
        <f>IF(E323="","",IF(BB323="DEEP",10,IF(BB323="SHALLOW",5,IF(BB323="TEMPLATE",3,1)))+IF(N323="HIGHEST",5,IF(N323="HIGH",3,IF(N323="MODERATE",1,0)))+IF(ISNUMBER(SEARCH("Mandatory",L323)),3,0))</f>
        <v/>
      </c>
    </row>
    <row r="324" ht="42" customHeight="1">
      <c r="A324" s="367" t="n">
        <v>281</v>
      </c>
      <c r="B324" s="368" t="inlineStr">
        <is>
          <t>DGDA</t>
        </is>
      </c>
      <c r="C324" s="369" t="inlineStr">
        <is>
          <t>Diriyah Gate Development Authority</t>
        </is>
      </c>
      <c r="D324" s="369" t="inlineStr">
        <is>
          <t>15. Special Zones &amp; Giga</t>
        </is>
      </c>
      <c r="E324" s="368" t="inlineStr">
        <is>
          <t>DGDA-FW</t>
        </is>
      </c>
      <c r="F324" s="370" t="inlineStr">
        <is>
          <t>Diriyah Development Standards</t>
        </is>
      </c>
      <c r="G324" s="369" t="inlineStr">
        <is>
          <t>الإطار التنظيمي الرئيسي</t>
        </is>
      </c>
      <c r="H324" s="369" t="inlineStr">
        <is>
          <t>Active/Updated</t>
        </is>
      </c>
      <c r="I324" s="371" t="inlineStr">
        <is>
          <t>2017</t>
        </is>
      </c>
      <c r="J324" s="371" t="inlineStr">
        <is>
          <t>N/A</t>
        </is>
      </c>
      <c r="K324" s="369" t="inlineStr">
        <is>
          <t>ISSUES/ENFORCES</t>
        </is>
      </c>
      <c r="L324" s="22" t="inlineStr">
        <is>
          <t>Mandatory Enforcer</t>
        </is>
      </c>
      <c r="M324" s="369" t="inlineStr">
        <is>
          <t>Entities regulated by this authority</t>
        </is>
      </c>
      <c r="N324" s="372" t="inlineStr">
        <is>
          <t>MODERATE</t>
        </is>
      </c>
      <c r="O324" s="373" t="inlineStr">
        <is>
          <t>https://www.gov.sa/</t>
        </is>
      </c>
      <c r="P324" s="369" t="inlineStr">
        <is>
          <t>Ministry/Authority official site</t>
        </is>
      </c>
      <c r="Q324" s="369" t="inlineStr">
        <is>
          <t>See official source for version history</t>
        </is>
      </c>
      <c r="R324" s="369" t="inlineStr">
        <is>
          <t>Framework issued by the relevant authority. Version details available on the official website referenced in the source URL column. The framework has been updated periodically since first issuance.</t>
        </is>
      </c>
      <c r="S324" s="371" t="inlineStr">
        <is>
          <t>See official source</t>
        </is>
      </c>
      <c r="T324" s="369" t="inlineStr">
        <is>
          <t>Updated as needed by the issuing authority</t>
        </is>
      </c>
      <c r="U324" s="25" t="inlineStr">
        <is>
          <t>CURRENT — consult official source for latest version</t>
        </is>
      </c>
      <c r="V324" s="369" t="inlineStr">
        <is>
          <t>Penalties defined by issuing authority; consult official source. NCA ECC-2 penalties apply if relevant</t>
        </is>
      </c>
      <c r="W324" s="370" t="inlineStr">
        <is>
          <t>Issuing authority and/or designated inspection department</t>
        </is>
      </c>
      <c r="X324" s="369" t="inlineStr">
        <is>
          <t>As specified in framework scope — consult official document</t>
        </is>
      </c>
      <c r="Y324" s="49" t="inlineStr">
        <is>
          <t>Both (unless specified otherwise in official document)</t>
        </is>
      </c>
      <c r="Z324" s="369" t="inlineStr">
        <is>
          <t>As defined by issuing authority</t>
        </is>
      </c>
      <c r="AA324" s="371" t="inlineStr">
        <is>
          <t>As defined by issuing authority</t>
        </is>
      </c>
      <c r="AB324" s="369" t="inlineStr">
        <is>
          <t>To be determined from framework text — see official source</t>
        </is>
      </c>
      <c r="AC324" s="369" t="inlineStr">
        <is>
          <t>See framework preamble for international standard references</t>
        </is>
      </c>
      <c r="AD324" s="49" t="inlineStr">
        <is>
          <t>Arabic (primary in KSA); English may be available</t>
        </is>
      </c>
      <c r="AE324" s="58" t="inlineStr">
        <is>
          <t>Mapped to relevant GH-ICGA layer — requires manual assessment</t>
        </is>
      </c>
      <c r="AF324" s="56" t="inlineStr">
        <is>
          <t>See official framework for maturity model details</t>
        </is>
      </c>
      <c r="AG324" s="369" t="inlineStr">
        <is>
          <t>Aligned with relevant Vision 2030 programme — see framework context</t>
        </is>
      </c>
      <c r="AH324" s="369" t="inlineStr">
        <is>
          <t>As specified in framework compliance requirements</t>
        </is>
      </c>
      <c r="AI324" s="374" t="inlineStr">
        <is>
          <t>Institutional theory and regulatory governance theory underpin all KSA regulatory frameworks. Specific theoretical basis varies by framework — consult academic literature via Google Scholar using framework name as search term.</t>
        </is>
      </c>
      <c r="AJ324" s="369" t="inlineStr">
        <is>
          <t>Academic debate varies by framework maturity and international adoption. For KSA-specific debate, consult: Almohammad &amp; Wills (2021) J Cybersecurity; Al-Khater et al. (2020) IEEE Access; Baker McKenzie KSA regulatory updates.</t>
        </is>
      </c>
      <c r="AK324" s="375" t="inlineStr">
        <is>
          <t>Known criticisms include: implementation gap between standards and practice; resource constraints for smaller healthcare entities; rapid technology evolution outpacing regulation. Consult framework evaluation literature for specifics.</t>
        </is>
      </c>
      <c r="AL324" s="376" t="inlineStr">
        <is>
          <t>Framework comparison requires contextual analysis. Key comparators: NIST CSF 2.0 (international benchmark), ISO 27001 (certifiable standard), ECC-2 (KSA mandatory baseline). See main database for cross-framework mapping.</t>
        </is>
      </c>
      <c r="AM324" s="377"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24" s="378" t="inlineStr">
        <is>
          <t>Official: Consult the official source URL in the database for the primary document. Training: ISACA, ISC2, RAPS, IAPP, and HIMSS offer professional development covering most regulatory domains. Estimated hours vary by framework complexity.</t>
        </is>
      </c>
      <c r="AO324" s="379" t="inlineStr">
        <is>
          <t>Relevance to GH-ICGA framework varies by layer — see GH-ICGA Layer Mapping column. All KSA mandatory frameworks are compliance inputs to GH-ICGA Layer 4. Frameworks with IoMT-specific provisions directly inform Layers 2 and 3.</t>
        </is>
      </c>
      <c r="AP324" s="51" t="inlineStr">
        <is>
          <t>G + C (Governance + Compliance — standard regulatory framework positioning)</t>
        </is>
      </c>
      <c r="AQ324" s="380" t="inlineStr">
        <is>
          <t>Senior management: accountability for framework compliance. Designated compliance officer: monitor requirements. All staff: awareness of applicable obligations</t>
        </is>
      </c>
      <c r="AR324" s="375" t="inlineStr">
        <is>
          <t>Regulatory Risk; Operational Risk; Reputational Risk — specific domains determined by framework scope</t>
        </is>
      </c>
      <c r="AS324" s="22" t="inlineStr">
        <is>
          <t>See official source — legal obligation, regulatory requirement, or voluntary standard as applicable</t>
        </is>
      </c>
      <c r="AT324" s="376" t="inlineStr">
        <is>
          <t>Administrative; Technical; Operational — specific distribution determined by framework content</t>
        </is>
      </c>
      <c r="AU324" s="381" t="inlineStr">
        <is>
          <t>1. Compliance status (compliant/non-compliant). 2. # open findings from last assessment. 3. % controls implemented. 4. Time to remediate findings. 5. Incident rate in framework scope area</t>
        </is>
      </c>
      <c r="AV324" s="382" t="inlineStr">
        <is>
          <t>Self-assessment; internal audit; external assessment as specified by issuing authority</t>
        </is>
      </c>
      <c r="AW324" s="383" t="inlineStr">
        <is>
          <t>ServiceNow GRC; IBM OpenPages; RSA Archer; MetricStream — all major GRC platforms support custom framework import. Contact vendor for framework-specific module</t>
        </is>
      </c>
      <c r="AX324" s="384" t="inlineStr">
        <is>
          <t>Third parties in scope must demonstrate equivalent compliance. Contractual compliance obligations; right-to-audit clauses; annual third-party assessment</t>
        </is>
      </c>
      <c r="AY324" s="385" t="inlineStr">
        <is>
          <t>Non-compliance: regulatory action by issuing authority; fines and penalties as specified; operational and reputational consequences</t>
        </is>
      </c>
      <c r="AZ324" s="382" t="inlineStr">
        <is>
          <t>Sector-specific — consult official source</t>
        </is>
      </c>
      <c r="BA324" s="41" t="inlineStr">
        <is>
          <t>Sector-Specific</t>
        </is>
      </c>
      <c r="BB324" s="591">
        <f>IF(E324="","",IF(ISNUMBER(SEARCH("Institutional theory and regulatory governance theory underpin",AI324)),"TEMPLATE",IF(LEN(AI324)&gt;100,"DEEP",IF(AI324="","SPARSE","SHALLOW"))))</f>
        <v/>
      </c>
      <c r="BC324" s="591">
        <f>IF(E324="","",D324&amp;"-"&amp;B324&amp;"-"&amp;E324)</f>
        <v/>
      </c>
      <c r="BD324" s="591">
        <f>IF(E324="","",SUBSTITUTE(SUBSTITUTE(B324&amp;"-"&amp;E324," ",""),":","-"))</f>
        <v/>
      </c>
      <c r="BE324" s="591">
        <f>IF(E324="","",IF(ISNUMBER(SEARCH("ECC",E324)),"NCA-ECC-2-2024",IF(ISNUMBER(SEARCH("OTCC",E324)),"NCA-ECC-2-2024",IF(ISNUMBER(SEARCH("CCC",E324)),"NCA-ECC-2-2024",IF(ISNUMBER(SEARCH("DCC",E324)),"NCA-ECC-2-2024",IF(ISNUMBER(SEARCH("CSCC",E324)),"NCA-ECC-2-2024",IF(ISNUMBER(SEARCH("PDPL-IR",E324)),"PDPL-2021",IF(ISNUMBER(SEARCH("PDPL-DTR",E324)),"PDPL-2021","NONE"))))))))</f>
        <v/>
      </c>
      <c r="BF324" s="594">
        <f>IF(E324="","",IF(BB324="DEEP",10,IF(BB324="SHALLOW",5,IF(BB324="TEMPLATE",3,1)))+IF(N324="HIGHEST",5,IF(N324="HIGH",3,IF(N324="MODERATE",1,0)))+IF(ISNUMBER(SEARCH("Mandatory",L324)),3,0))</f>
        <v/>
      </c>
    </row>
    <row r="325" ht="42" customHeight="1">
      <c r="A325" s="42" t="n">
        <v>282</v>
      </c>
      <c r="B325" s="386" t="inlineStr">
        <is>
          <t>DGDA</t>
        </is>
      </c>
      <c r="C325" s="44" t="inlineStr">
        <is>
          <t>Diriyah Gate Development Authority</t>
        </is>
      </c>
      <c r="D325" s="44" t="inlineStr">
        <is>
          <t>15. Special Zones &amp; Giga</t>
        </is>
      </c>
      <c r="E325" s="386" t="inlineStr">
        <is>
          <t>NCA-ECC-2:2024</t>
        </is>
      </c>
      <c r="F325" s="45" t="inlineStr">
        <is>
          <t>Essential Cybersecurity Controls</t>
        </is>
      </c>
      <c r="G325" s="44" t="inlineStr">
        <is>
          <t>ضوابط الأمن السيبراني الأساسية</t>
        </is>
      </c>
      <c r="H325" s="44" t="inlineStr">
        <is>
          <t>ECC-2:2024</t>
        </is>
      </c>
      <c r="I325" s="46" t="inlineStr">
        <is>
          <t>2018</t>
        </is>
      </c>
      <c r="J325" s="46" t="inlineStr">
        <is>
          <t>108</t>
        </is>
      </c>
      <c r="K325" s="44" t="inlineStr">
        <is>
          <t>MUST COMPLY WITH</t>
        </is>
      </c>
      <c r="L325" s="66" t="inlineStr">
        <is>
          <t>Mandatory Complier</t>
        </is>
      </c>
      <c r="M325" s="44" t="inlineStr">
        <is>
          <t>Diriyah Gate Development Authority as government entity</t>
        </is>
      </c>
      <c r="N325" s="59" t="inlineStr">
        <is>
          <t>LOW</t>
        </is>
      </c>
      <c r="O325" s="48" t="inlineStr">
        <is>
          <t>https://nca.gov.sa/</t>
        </is>
      </c>
      <c r="P325" s="44" t="inlineStr">
        <is>
          <t>NCA ECC scope</t>
        </is>
      </c>
      <c r="Q325" s="369" t="inlineStr">
        <is>
          <t>See official source for version history</t>
        </is>
      </c>
      <c r="R325" s="369" t="inlineStr">
        <is>
          <t>Framework issued by the relevant authority. Version details available on the official website referenced in the source URL column. The framework has been updated periodically since first issuance.</t>
        </is>
      </c>
      <c r="S325" s="371" t="inlineStr">
        <is>
          <t>See official source</t>
        </is>
      </c>
      <c r="T325" s="369" t="inlineStr">
        <is>
          <t>Updated as needed by the issuing authority</t>
        </is>
      </c>
      <c r="U325" s="25" t="inlineStr">
        <is>
          <t>CURRENT — consult official source for latest version</t>
        </is>
      </c>
      <c r="V325" s="369" t="inlineStr">
        <is>
          <t>Penalties defined by issuing authority; consult official source. NCA ECC-2 penalties apply if relevant</t>
        </is>
      </c>
      <c r="W325" s="370" t="inlineStr">
        <is>
          <t>Issuing authority and/or designated inspection department</t>
        </is>
      </c>
      <c r="X325" s="369" t="inlineStr">
        <is>
          <t>As specified in framework scope — consult official document</t>
        </is>
      </c>
      <c r="Y325" s="49" t="inlineStr">
        <is>
          <t>Both (unless specified otherwise in official document)</t>
        </is>
      </c>
      <c r="Z325" s="369" t="inlineStr">
        <is>
          <t>As defined by issuing authority</t>
        </is>
      </c>
      <c r="AA325" s="371" t="inlineStr">
        <is>
          <t>As defined by issuing authority</t>
        </is>
      </c>
      <c r="AB325" s="369" t="inlineStr">
        <is>
          <t>To be determined from framework text — see official source</t>
        </is>
      </c>
      <c r="AC325" s="369" t="inlineStr">
        <is>
          <t>See framework preamble for international standard references</t>
        </is>
      </c>
      <c r="AD325" s="49" t="inlineStr">
        <is>
          <t>Arabic (primary in KSA); English may be available</t>
        </is>
      </c>
      <c r="AE325" s="58" t="inlineStr">
        <is>
          <t>Mapped to relevant GH-ICGA layer — requires manual assessment</t>
        </is>
      </c>
      <c r="AF325" s="56" t="inlineStr">
        <is>
          <t>See official framework for maturity model details</t>
        </is>
      </c>
      <c r="AG325" s="369" t="inlineStr">
        <is>
          <t>Aligned with relevant Vision 2030 programme — see framework context</t>
        </is>
      </c>
      <c r="AH325" s="369" t="inlineStr">
        <is>
          <t>As specified in framework compliance requirements</t>
        </is>
      </c>
      <c r="AI325" s="374" t="inlineStr">
        <is>
          <t>Institutional theory and regulatory governance theory underpin all KSA regulatory frameworks. Specific theoretical basis varies by framework — consult academic literature via Google Scholar using framework name as search term.</t>
        </is>
      </c>
      <c r="AJ325" s="369" t="inlineStr">
        <is>
          <t>Academic debate varies by framework maturity and international adoption. For KSA-specific debate, consult: Almohammad &amp; Wills (2021) J Cybersecurity; Al-Khater et al. (2020) IEEE Access; Baker McKenzie KSA regulatory updates.</t>
        </is>
      </c>
      <c r="AK325" s="375" t="inlineStr">
        <is>
          <t>Known criticisms include: implementation gap between standards and practice; resource constraints for smaller healthcare entities; rapid technology evolution outpacing regulation. Consult framework evaluation literature for specifics.</t>
        </is>
      </c>
      <c r="AL325" s="376" t="inlineStr">
        <is>
          <t>Framework comparison requires contextual analysis. Key comparators: NIST CSF 2.0 (international benchmark), ISO 27001 (certifiable standard), ECC-2 (KSA mandatory baseline). See main database for cross-framework mapping.</t>
        </is>
      </c>
      <c r="AM325" s="377"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25" s="378" t="inlineStr">
        <is>
          <t>Official: Consult the official source URL in the database for the primary document. Training: ISACA, ISC2, RAPS, IAPP, and HIMSS offer professional development covering most regulatory domains. Estimated hours vary by framework complexity.</t>
        </is>
      </c>
      <c r="AO325" s="379" t="inlineStr">
        <is>
          <t>Relevance to GH-ICGA framework varies by layer — see GH-ICGA Layer Mapping column. All KSA mandatory frameworks are compliance inputs to GH-ICGA Layer 4. Frameworks with IoMT-specific provisions directly inform Layers 2 and 3.</t>
        </is>
      </c>
      <c r="AP325" s="51" t="inlineStr">
        <is>
          <t>G + C (Governance + Compliance — standard regulatory framework positioning)</t>
        </is>
      </c>
      <c r="AQ325" s="380" t="inlineStr">
        <is>
          <t>Senior management: accountability for framework compliance. Designated compliance officer: monitor requirements. All staff: awareness of applicable obligations</t>
        </is>
      </c>
      <c r="AR325" s="375" t="inlineStr">
        <is>
          <t>Regulatory Risk; Operational Risk; Reputational Risk — specific domains determined by framework scope</t>
        </is>
      </c>
      <c r="AS325" s="22" t="inlineStr">
        <is>
          <t>See official source — legal obligation, regulatory requirement, or voluntary standard as applicable</t>
        </is>
      </c>
      <c r="AT325" s="376" t="inlineStr">
        <is>
          <t>Administrative; Technical; Operational — specific distribution determined by framework content</t>
        </is>
      </c>
      <c r="AU325" s="381" t="inlineStr">
        <is>
          <t>1. Compliance status (compliant/non-compliant). 2. # open findings from last assessment. 3. % controls implemented. 4. Time to remediate findings. 5. Incident rate in framework scope area</t>
        </is>
      </c>
      <c r="AV325" s="382" t="inlineStr">
        <is>
          <t>Self-assessment; internal audit; external assessment as specified by issuing authority</t>
        </is>
      </c>
      <c r="AW325" s="383" t="inlineStr">
        <is>
          <t>ServiceNow GRC; IBM OpenPages; RSA Archer; MetricStream — all major GRC platforms support custom framework import. Contact vendor for framework-specific module</t>
        </is>
      </c>
      <c r="AX325" s="384" t="inlineStr">
        <is>
          <t>Third parties in scope must demonstrate equivalent compliance. Contractual compliance obligations; right-to-audit clauses; annual third-party assessment</t>
        </is>
      </c>
      <c r="AY325" s="385" t="inlineStr">
        <is>
          <t>Non-compliance: regulatory action by issuing authority; fines and penalties as specified; operational and reputational consequences</t>
        </is>
      </c>
      <c r="AZ325" s="382" t="inlineStr">
        <is>
          <t>ALL 17 SECTORS</t>
        </is>
      </c>
      <c r="BA325" s="34" t="inlineStr">
        <is>
          <t>YES — ALL SECTORS</t>
        </is>
      </c>
      <c r="BB325" s="591">
        <f>IF(E325="","",IF(ISNUMBER(SEARCH("Institutional theory and regulatory governance theory underpin",AI325)),"TEMPLATE",IF(LEN(AI325)&gt;100,"DEEP",IF(AI325="","SPARSE","SHALLOW"))))</f>
        <v/>
      </c>
      <c r="BC325" s="591">
        <f>IF(E325="","",D325&amp;"-"&amp;B325&amp;"-"&amp;E325)</f>
        <v/>
      </c>
      <c r="BD325" s="591">
        <f>IF(E325="","",SUBSTITUTE(SUBSTITUTE(B325&amp;"-"&amp;E325," ",""),":","-"))</f>
        <v/>
      </c>
      <c r="BE325" s="591">
        <f>IF(E325="","",IF(ISNUMBER(SEARCH("ECC",E325)),"NCA-ECC-2-2024",IF(ISNUMBER(SEARCH("OTCC",E325)),"NCA-ECC-2-2024",IF(ISNUMBER(SEARCH("CCC",E325)),"NCA-ECC-2-2024",IF(ISNUMBER(SEARCH("DCC",E325)),"NCA-ECC-2-2024",IF(ISNUMBER(SEARCH("CSCC",E325)),"NCA-ECC-2-2024",IF(ISNUMBER(SEARCH("PDPL-IR",E325)),"PDPL-2021",IF(ISNUMBER(SEARCH("PDPL-DTR",E325)),"PDPL-2021","NONE"))))))))</f>
        <v/>
      </c>
      <c r="BF325" s="594">
        <f>IF(E325="","",IF(BB325="DEEP",10,IF(BB325="SHALLOW",5,IF(BB325="TEMPLATE",3,1)))+IF(N325="HIGHEST",5,IF(N325="HIGH",3,IF(N325="MODERATE",1,0)))+IF(ISNUMBER(SEARCH("Mandatory",L325)),3,0))</f>
        <v/>
      </c>
    </row>
    <row r="326" ht="42" customHeight="1">
      <c r="A326" s="367" t="n">
        <v>283</v>
      </c>
      <c r="B326" s="368" t="inlineStr">
        <is>
          <t>RCU</t>
        </is>
      </c>
      <c r="C326" s="369" t="inlineStr">
        <is>
          <t>Royal Commission for AlUla</t>
        </is>
      </c>
      <c r="D326" s="369" t="inlineStr">
        <is>
          <t>15. Special Zones &amp; Giga</t>
        </is>
      </c>
      <c r="E326" s="368" t="inlineStr">
        <is>
          <t>RCU-FW</t>
        </is>
      </c>
      <c r="F326" s="370" t="inlineStr">
        <is>
          <t>Tourism &amp; Heritage Standards</t>
        </is>
      </c>
      <c r="G326" s="369" t="inlineStr">
        <is>
          <t>الإطار التنظيمي الرئيسي</t>
        </is>
      </c>
      <c r="H326" s="369" t="inlineStr">
        <is>
          <t>Active/Updated</t>
        </is>
      </c>
      <c r="I326" s="371" t="inlineStr">
        <is>
          <t>2017</t>
        </is>
      </c>
      <c r="J326" s="371" t="inlineStr">
        <is>
          <t>N/A</t>
        </is>
      </c>
      <c r="K326" s="369" t="inlineStr">
        <is>
          <t>ISSUES/ENFORCES</t>
        </is>
      </c>
      <c r="L326" s="22" t="inlineStr">
        <is>
          <t>Mandatory Enforcer</t>
        </is>
      </c>
      <c r="M326" s="369" t="inlineStr">
        <is>
          <t>Entities regulated by this authority</t>
        </is>
      </c>
      <c r="N326" s="372" t="inlineStr">
        <is>
          <t>MODERATE</t>
        </is>
      </c>
      <c r="O326" s="373" t="inlineStr">
        <is>
          <t>https://www.gov.sa/</t>
        </is>
      </c>
      <c r="P326" s="369" t="inlineStr">
        <is>
          <t>Ministry/Authority official site</t>
        </is>
      </c>
      <c r="Q326" s="369" t="inlineStr">
        <is>
          <t>See official source for version history</t>
        </is>
      </c>
      <c r="R326" s="369" t="inlineStr">
        <is>
          <t>Framework issued by the relevant authority. Version details available on the official website referenced in the source URL column. The framework has been updated periodically since first issuance.</t>
        </is>
      </c>
      <c r="S326" s="371" t="inlineStr">
        <is>
          <t>See official source</t>
        </is>
      </c>
      <c r="T326" s="369" t="inlineStr">
        <is>
          <t>Updated as needed by the issuing authority</t>
        </is>
      </c>
      <c r="U326" s="25" t="inlineStr">
        <is>
          <t>CURRENT — consult official source for latest version</t>
        </is>
      </c>
      <c r="V326" s="369" t="inlineStr">
        <is>
          <t>Penalties defined by issuing authority; consult official source. NCA ECC-2 penalties apply if relevant</t>
        </is>
      </c>
      <c r="W326" s="370" t="inlineStr">
        <is>
          <t>Issuing authority and/or designated inspection department</t>
        </is>
      </c>
      <c r="X326" s="369" t="inlineStr">
        <is>
          <t>As specified in framework scope — consult official document</t>
        </is>
      </c>
      <c r="Y326" s="49" t="inlineStr">
        <is>
          <t>Both (unless specified otherwise in official document)</t>
        </is>
      </c>
      <c r="Z326" s="369" t="inlineStr">
        <is>
          <t>As defined by issuing authority</t>
        </is>
      </c>
      <c r="AA326" s="371" t="inlineStr">
        <is>
          <t>As defined by issuing authority</t>
        </is>
      </c>
      <c r="AB326" s="369" t="inlineStr">
        <is>
          <t>To be determined from framework text — see official source</t>
        </is>
      </c>
      <c r="AC326" s="369" t="inlineStr">
        <is>
          <t>See framework preamble for international standard references</t>
        </is>
      </c>
      <c r="AD326" s="49" t="inlineStr">
        <is>
          <t>Arabic (primary in KSA); English may be available</t>
        </is>
      </c>
      <c r="AE326" s="58" t="inlineStr">
        <is>
          <t>Mapped to relevant GH-ICGA layer — requires manual assessment</t>
        </is>
      </c>
      <c r="AF326" s="56" t="inlineStr">
        <is>
          <t>See official framework for maturity model details</t>
        </is>
      </c>
      <c r="AG326" s="369" t="inlineStr">
        <is>
          <t>Aligned with relevant Vision 2030 programme — see framework context</t>
        </is>
      </c>
      <c r="AH326" s="369" t="inlineStr">
        <is>
          <t>As specified in framework compliance requirements</t>
        </is>
      </c>
      <c r="AI326" s="374" t="inlineStr">
        <is>
          <t>Institutional theory and regulatory governance theory underpin all KSA regulatory frameworks. Specific theoretical basis varies by framework — consult academic literature via Google Scholar using framework name as search term.</t>
        </is>
      </c>
      <c r="AJ326" s="369" t="inlineStr">
        <is>
          <t>Academic debate varies by framework maturity and international adoption. For KSA-specific debate, consult: Almohammad &amp; Wills (2021) J Cybersecurity; Al-Khater et al. (2020) IEEE Access; Baker McKenzie KSA regulatory updates.</t>
        </is>
      </c>
      <c r="AK326" s="375" t="inlineStr">
        <is>
          <t>Known criticisms include: implementation gap between standards and practice; resource constraints for smaller healthcare entities; rapid technology evolution outpacing regulation. Consult framework evaluation literature for specifics.</t>
        </is>
      </c>
      <c r="AL326" s="376" t="inlineStr">
        <is>
          <t>Framework comparison requires contextual analysis. Key comparators: NIST CSF 2.0 (international benchmark), ISO 27001 (certifiable standard), ECC-2 (KSA mandatory baseline). See main database for cross-framework mapping.</t>
        </is>
      </c>
      <c r="AM326" s="377"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26" s="378" t="inlineStr">
        <is>
          <t>Official: Consult the official source URL in the database for the primary document. Training: ISACA, ISC2, RAPS, IAPP, and HIMSS offer professional development covering most regulatory domains. Estimated hours vary by framework complexity.</t>
        </is>
      </c>
      <c r="AO326" s="379" t="inlineStr">
        <is>
          <t>Relevance to GH-ICGA framework varies by layer — see GH-ICGA Layer Mapping column. All KSA mandatory frameworks are compliance inputs to GH-ICGA Layer 4. Frameworks with IoMT-specific provisions directly inform Layers 2 and 3.</t>
        </is>
      </c>
      <c r="AP326" s="51" t="inlineStr">
        <is>
          <t>G + C (Governance + Compliance — standard regulatory framework positioning)</t>
        </is>
      </c>
      <c r="AQ326" s="380" t="inlineStr">
        <is>
          <t>Senior management: accountability for framework compliance. Designated compliance officer: monitor requirements. All staff: awareness of applicable obligations</t>
        </is>
      </c>
      <c r="AR326" s="375" t="inlineStr">
        <is>
          <t>Regulatory Risk; Operational Risk; Reputational Risk — specific domains determined by framework scope</t>
        </is>
      </c>
      <c r="AS326" s="22" t="inlineStr">
        <is>
          <t>See official source — legal obligation, regulatory requirement, or voluntary standard as applicable</t>
        </is>
      </c>
      <c r="AT326" s="376" t="inlineStr">
        <is>
          <t>Administrative; Technical; Operational — specific distribution determined by framework content</t>
        </is>
      </c>
      <c r="AU326" s="381" t="inlineStr">
        <is>
          <t>1. Compliance status (compliant/non-compliant). 2. # open findings from last assessment. 3. % controls implemented. 4. Time to remediate findings. 5. Incident rate in framework scope area</t>
        </is>
      </c>
      <c r="AV326" s="382" t="inlineStr">
        <is>
          <t>Self-assessment; internal audit; external assessment as specified by issuing authority</t>
        </is>
      </c>
      <c r="AW326" s="383" t="inlineStr">
        <is>
          <t>ServiceNow GRC; IBM OpenPages; RSA Archer; MetricStream — all major GRC platforms support custom framework import. Contact vendor for framework-specific module</t>
        </is>
      </c>
      <c r="AX326" s="384" t="inlineStr">
        <is>
          <t>Third parties in scope must demonstrate equivalent compliance. Contractual compliance obligations; right-to-audit clauses; annual third-party assessment</t>
        </is>
      </c>
      <c r="AY326" s="385" t="inlineStr">
        <is>
          <t>Non-compliance: regulatory action by issuing authority; fines and penalties as specified; operational and reputational consequences</t>
        </is>
      </c>
      <c r="AZ326" s="382" t="inlineStr">
        <is>
          <t>Sector-specific — consult official source</t>
        </is>
      </c>
      <c r="BA326" s="41" t="inlineStr">
        <is>
          <t>Sector-Specific</t>
        </is>
      </c>
      <c r="BB326" s="591">
        <f>IF(E326="","",IF(ISNUMBER(SEARCH("Institutional theory and regulatory governance theory underpin",AI326)),"TEMPLATE",IF(LEN(AI326)&gt;100,"DEEP",IF(AI326="","SPARSE","SHALLOW"))))</f>
        <v/>
      </c>
      <c r="BC326" s="591">
        <f>IF(E326="","",D326&amp;"-"&amp;B326&amp;"-"&amp;E326)</f>
        <v/>
      </c>
      <c r="BD326" s="591">
        <f>IF(E326="","",SUBSTITUTE(SUBSTITUTE(B326&amp;"-"&amp;E326," ",""),":","-"))</f>
        <v/>
      </c>
      <c r="BE326" s="591">
        <f>IF(E326="","",IF(ISNUMBER(SEARCH("ECC",E326)),"NCA-ECC-2-2024",IF(ISNUMBER(SEARCH("OTCC",E326)),"NCA-ECC-2-2024",IF(ISNUMBER(SEARCH("CCC",E326)),"NCA-ECC-2-2024",IF(ISNUMBER(SEARCH("DCC",E326)),"NCA-ECC-2-2024",IF(ISNUMBER(SEARCH("CSCC",E326)),"NCA-ECC-2-2024",IF(ISNUMBER(SEARCH("PDPL-IR",E326)),"PDPL-2021",IF(ISNUMBER(SEARCH("PDPL-DTR",E326)),"PDPL-2021","NONE"))))))))</f>
        <v/>
      </c>
      <c r="BF326" s="594">
        <f>IF(E326="","",IF(BB326="DEEP",10,IF(BB326="SHALLOW",5,IF(BB326="TEMPLATE",3,1)))+IF(N326="HIGHEST",5,IF(N326="HIGH",3,IF(N326="MODERATE",1,0)))+IF(ISNUMBER(SEARCH("Mandatory",L326)),3,0))</f>
        <v/>
      </c>
    </row>
    <row r="327" ht="42" customHeight="1">
      <c r="A327" s="42" t="n">
        <v>284</v>
      </c>
      <c r="B327" s="386" t="inlineStr">
        <is>
          <t>RCU</t>
        </is>
      </c>
      <c r="C327" s="44" t="inlineStr">
        <is>
          <t>Royal Commission for AlUla</t>
        </is>
      </c>
      <c r="D327" s="44" t="inlineStr">
        <is>
          <t>15. Special Zones &amp; Giga</t>
        </is>
      </c>
      <c r="E327" s="386" t="inlineStr">
        <is>
          <t>NCA-ECC-2:2024</t>
        </is>
      </c>
      <c r="F327" s="45" t="inlineStr">
        <is>
          <t>Essential Cybersecurity Controls</t>
        </is>
      </c>
      <c r="G327" s="44" t="inlineStr">
        <is>
          <t>ضوابط الأمن السيبراني الأساسية</t>
        </is>
      </c>
      <c r="H327" s="44" t="inlineStr">
        <is>
          <t>ECC-2:2024</t>
        </is>
      </c>
      <c r="I327" s="46" t="inlineStr">
        <is>
          <t>2018</t>
        </is>
      </c>
      <c r="J327" s="46" t="inlineStr">
        <is>
          <t>108</t>
        </is>
      </c>
      <c r="K327" s="44" t="inlineStr">
        <is>
          <t>MUST COMPLY WITH</t>
        </is>
      </c>
      <c r="L327" s="66" t="inlineStr">
        <is>
          <t>Mandatory Complier</t>
        </is>
      </c>
      <c r="M327" s="44" t="inlineStr">
        <is>
          <t>Royal Commission for AlUla as government entity</t>
        </is>
      </c>
      <c r="N327" s="59" t="inlineStr">
        <is>
          <t>LOW</t>
        </is>
      </c>
      <c r="O327" s="48" t="inlineStr">
        <is>
          <t>https://nca.gov.sa/</t>
        </is>
      </c>
      <c r="P327" s="44" t="inlineStr">
        <is>
          <t>NCA ECC scope</t>
        </is>
      </c>
      <c r="Q327" s="369" t="inlineStr">
        <is>
          <t>See official source for version history</t>
        </is>
      </c>
      <c r="R327" s="369" t="inlineStr">
        <is>
          <t>Framework issued by the relevant authority. Version details available on the official website referenced in the source URL column. The framework has been updated periodically since first issuance.</t>
        </is>
      </c>
      <c r="S327" s="371" t="inlineStr">
        <is>
          <t>See official source</t>
        </is>
      </c>
      <c r="T327" s="369" t="inlineStr">
        <is>
          <t>Updated as needed by the issuing authority</t>
        </is>
      </c>
      <c r="U327" s="25" t="inlineStr">
        <is>
          <t>CURRENT — consult official source for latest version</t>
        </is>
      </c>
      <c r="V327" s="369" t="inlineStr">
        <is>
          <t>Penalties defined by issuing authority; consult official source. NCA ECC-2 penalties apply if relevant</t>
        </is>
      </c>
      <c r="W327" s="370" t="inlineStr">
        <is>
          <t>Issuing authority and/or designated inspection department</t>
        </is>
      </c>
      <c r="X327" s="369" t="inlineStr">
        <is>
          <t>As specified in framework scope — consult official document</t>
        </is>
      </c>
      <c r="Y327" s="49" t="inlineStr">
        <is>
          <t>Both (unless specified otherwise in official document)</t>
        </is>
      </c>
      <c r="Z327" s="369" t="inlineStr">
        <is>
          <t>As defined by issuing authority</t>
        </is>
      </c>
      <c r="AA327" s="371" t="inlineStr">
        <is>
          <t>As defined by issuing authority</t>
        </is>
      </c>
      <c r="AB327" s="369" t="inlineStr">
        <is>
          <t>To be determined from framework text — see official source</t>
        </is>
      </c>
      <c r="AC327" s="369" t="inlineStr">
        <is>
          <t>See framework preamble for international standard references</t>
        </is>
      </c>
      <c r="AD327" s="49" t="inlineStr">
        <is>
          <t>Arabic (primary in KSA); English may be available</t>
        </is>
      </c>
      <c r="AE327" s="58" t="inlineStr">
        <is>
          <t>Mapped to relevant GH-ICGA layer — requires manual assessment</t>
        </is>
      </c>
      <c r="AF327" s="56" t="inlineStr">
        <is>
          <t>See official framework for maturity model details</t>
        </is>
      </c>
      <c r="AG327" s="369" t="inlineStr">
        <is>
          <t>Aligned with relevant Vision 2030 programme — see framework context</t>
        </is>
      </c>
      <c r="AH327" s="369" t="inlineStr">
        <is>
          <t>As specified in framework compliance requirements</t>
        </is>
      </c>
      <c r="AI327" s="374" t="inlineStr">
        <is>
          <t>Institutional theory and regulatory governance theory underpin all KSA regulatory frameworks. Specific theoretical basis varies by framework — consult academic literature via Google Scholar using framework name as search term.</t>
        </is>
      </c>
      <c r="AJ327" s="369" t="inlineStr">
        <is>
          <t>Academic debate varies by framework maturity and international adoption. For KSA-specific debate, consult: Almohammad &amp; Wills (2021) J Cybersecurity; Al-Khater et al. (2020) IEEE Access; Baker McKenzie KSA regulatory updates.</t>
        </is>
      </c>
      <c r="AK327" s="375" t="inlineStr">
        <is>
          <t>Known criticisms include: implementation gap between standards and practice; resource constraints for smaller healthcare entities; rapid technology evolution outpacing regulation. Consult framework evaluation literature for specifics.</t>
        </is>
      </c>
      <c r="AL327" s="376" t="inlineStr">
        <is>
          <t>Framework comparison requires contextual analysis. Key comparators: NIST CSF 2.0 (international benchmark), ISO 27001 (certifiable standard), ECC-2 (KSA mandatory baseline). See main database for cross-framework mapping.</t>
        </is>
      </c>
      <c r="AM327" s="377"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27" s="378" t="inlineStr">
        <is>
          <t>Official: Consult the official source URL in the database for the primary document. Training: ISACA, ISC2, RAPS, IAPP, and HIMSS offer professional development covering most regulatory domains. Estimated hours vary by framework complexity.</t>
        </is>
      </c>
      <c r="AO327" s="379" t="inlineStr">
        <is>
          <t>Relevance to GH-ICGA framework varies by layer — see GH-ICGA Layer Mapping column. All KSA mandatory frameworks are compliance inputs to GH-ICGA Layer 4. Frameworks with IoMT-specific provisions directly inform Layers 2 and 3.</t>
        </is>
      </c>
      <c r="AP327" s="51" t="inlineStr">
        <is>
          <t>G + C (Governance + Compliance — standard regulatory framework positioning)</t>
        </is>
      </c>
      <c r="AQ327" s="380" t="inlineStr">
        <is>
          <t>Senior management: accountability for framework compliance. Designated compliance officer: monitor requirements. All staff: awareness of applicable obligations</t>
        </is>
      </c>
      <c r="AR327" s="375" t="inlineStr">
        <is>
          <t>Regulatory Risk; Operational Risk; Reputational Risk — specific domains determined by framework scope</t>
        </is>
      </c>
      <c r="AS327" s="22" t="inlineStr">
        <is>
          <t>See official source — legal obligation, regulatory requirement, or voluntary standard as applicable</t>
        </is>
      </c>
      <c r="AT327" s="376" t="inlineStr">
        <is>
          <t>Administrative; Technical; Operational — specific distribution determined by framework content</t>
        </is>
      </c>
      <c r="AU327" s="381" t="inlineStr">
        <is>
          <t>1. Compliance status (compliant/non-compliant). 2. # open findings from last assessment. 3. % controls implemented. 4. Time to remediate findings. 5. Incident rate in framework scope area</t>
        </is>
      </c>
      <c r="AV327" s="382" t="inlineStr">
        <is>
          <t>Self-assessment; internal audit; external assessment as specified by issuing authority</t>
        </is>
      </c>
      <c r="AW327" s="383" t="inlineStr">
        <is>
          <t>ServiceNow GRC; IBM OpenPages; RSA Archer; MetricStream — all major GRC platforms support custom framework import. Contact vendor for framework-specific module</t>
        </is>
      </c>
      <c r="AX327" s="384" t="inlineStr">
        <is>
          <t>Third parties in scope must demonstrate equivalent compliance. Contractual compliance obligations; right-to-audit clauses; annual third-party assessment</t>
        </is>
      </c>
      <c r="AY327" s="385" t="inlineStr">
        <is>
          <t>Non-compliance: regulatory action by issuing authority; fines and penalties as specified; operational and reputational consequences</t>
        </is>
      </c>
      <c r="AZ327" s="382" t="inlineStr">
        <is>
          <t>ALL 17 SECTORS</t>
        </is>
      </c>
      <c r="BA327" s="34" t="inlineStr">
        <is>
          <t>YES — ALL SECTORS</t>
        </is>
      </c>
      <c r="BB327" s="591">
        <f>IF(E327="","",IF(ISNUMBER(SEARCH("Institutional theory and regulatory governance theory underpin",AI327)),"TEMPLATE",IF(LEN(AI327)&gt;100,"DEEP",IF(AI327="","SPARSE","SHALLOW"))))</f>
        <v/>
      </c>
      <c r="BC327" s="591">
        <f>IF(E327="","",D327&amp;"-"&amp;B327&amp;"-"&amp;E327)</f>
        <v/>
      </c>
      <c r="BD327" s="591">
        <f>IF(E327="","",SUBSTITUTE(SUBSTITUTE(B327&amp;"-"&amp;E327," ",""),":","-"))</f>
        <v/>
      </c>
      <c r="BE327" s="591">
        <f>IF(E327="","",IF(ISNUMBER(SEARCH("ECC",E327)),"NCA-ECC-2-2024",IF(ISNUMBER(SEARCH("OTCC",E327)),"NCA-ECC-2-2024",IF(ISNUMBER(SEARCH("CCC",E327)),"NCA-ECC-2-2024",IF(ISNUMBER(SEARCH("DCC",E327)),"NCA-ECC-2-2024",IF(ISNUMBER(SEARCH("CSCC",E327)),"NCA-ECC-2-2024",IF(ISNUMBER(SEARCH("PDPL-IR",E327)),"PDPL-2021",IF(ISNUMBER(SEARCH("PDPL-DTR",E327)),"PDPL-2021","NONE"))))))))</f>
        <v/>
      </c>
      <c r="BF327" s="594">
        <f>IF(E327="","",IF(BB327="DEEP",10,IF(BB327="SHALLOW",5,IF(BB327="TEMPLATE",3,1)))+IF(N327="HIGHEST",5,IF(N327="HIGH",3,IF(N327="MODERATE",1,0)))+IF(ISNUMBER(SEARCH("Mandatory",L327)),3,0))</f>
        <v/>
      </c>
    </row>
    <row r="328" ht="42" customHeight="1">
      <c r="A328" s="367" t="n">
        <v>285</v>
      </c>
      <c r="B328" s="368" t="inlineStr">
        <is>
          <t>AMAALA</t>
        </is>
      </c>
      <c r="C328" s="369" t="inlineStr">
        <is>
          <t>Amaala Giga Project</t>
        </is>
      </c>
      <c r="D328" s="369" t="inlineStr">
        <is>
          <t>15. Special Zones &amp; Giga</t>
        </is>
      </c>
      <c r="E328" s="368" t="inlineStr">
        <is>
          <t>AMAALA-FW</t>
        </is>
      </c>
      <c r="F328" s="370" t="inlineStr">
        <is>
          <t>Wellness &amp; Health Tourism Standards</t>
        </is>
      </c>
      <c r="G328" s="369" t="inlineStr">
        <is>
          <t>الإطار التنظيمي الرئيسي</t>
        </is>
      </c>
      <c r="H328" s="369" t="inlineStr">
        <is>
          <t>Active/Updated</t>
        </is>
      </c>
      <c r="I328" s="371" t="inlineStr">
        <is>
          <t>2018</t>
        </is>
      </c>
      <c r="J328" s="371" t="inlineStr">
        <is>
          <t>N/A</t>
        </is>
      </c>
      <c r="K328" s="369" t="inlineStr">
        <is>
          <t>ISSUES/ENFORCES</t>
        </is>
      </c>
      <c r="L328" s="22" t="inlineStr">
        <is>
          <t>Mandatory Enforcer</t>
        </is>
      </c>
      <c r="M328" s="369" t="inlineStr">
        <is>
          <t>Entities regulated by this authority</t>
        </is>
      </c>
      <c r="N328" s="372" t="inlineStr">
        <is>
          <t>MODERATE</t>
        </is>
      </c>
      <c r="O328" s="373" t="inlineStr">
        <is>
          <t>https://www.gov.sa/</t>
        </is>
      </c>
      <c r="P328" s="369" t="inlineStr">
        <is>
          <t>Ministry/Authority official site</t>
        </is>
      </c>
      <c r="Q328" s="369" t="inlineStr">
        <is>
          <t>See official source for version history</t>
        </is>
      </c>
      <c r="R328" s="369" t="inlineStr">
        <is>
          <t>Framework issued by the relevant authority. Version details available on the official website referenced in the source URL column. The framework has been updated periodically since first issuance.</t>
        </is>
      </c>
      <c r="S328" s="371" t="inlineStr">
        <is>
          <t>See official source</t>
        </is>
      </c>
      <c r="T328" s="369" t="inlineStr">
        <is>
          <t>Updated as needed by the issuing authority</t>
        </is>
      </c>
      <c r="U328" s="25" t="inlineStr">
        <is>
          <t>CURRENT — consult official source for latest version</t>
        </is>
      </c>
      <c r="V328" s="369" t="inlineStr">
        <is>
          <t>Penalties defined by issuing authority; consult official source. NCA ECC-2 penalties apply if relevant</t>
        </is>
      </c>
      <c r="W328" s="370" t="inlineStr">
        <is>
          <t>Issuing authority and/or designated inspection department</t>
        </is>
      </c>
      <c r="X328" s="369" t="inlineStr">
        <is>
          <t>As specified in framework scope — consult official document</t>
        </is>
      </c>
      <c r="Y328" s="49" t="inlineStr">
        <is>
          <t>Both (unless specified otherwise in official document)</t>
        </is>
      </c>
      <c r="Z328" s="369" t="inlineStr">
        <is>
          <t>As defined by issuing authority</t>
        </is>
      </c>
      <c r="AA328" s="371" t="inlineStr">
        <is>
          <t>As defined by issuing authority</t>
        </is>
      </c>
      <c r="AB328" s="369" t="inlineStr">
        <is>
          <t>To be determined from framework text — see official source</t>
        </is>
      </c>
      <c r="AC328" s="369" t="inlineStr">
        <is>
          <t>See framework preamble for international standard references</t>
        </is>
      </c>
      <c r="AD328" s="49" t="inlineStr">
        <is>
          <t>Arabic (primary in KSA); English may be available</t>
        </is>
      </c>
      <c r="AE328" s="58" t="inlineStr">
        <is>
          <t>Mapped to relevant GH-ICGA layer — requires manual assessment</t>
        </is>
      </c>
      <c r="AF328" s="56" t="inlineStr">
        <is>
          <t>See official framework for maturity model details</t>
        </is>
      </c>
      <c r="AG328" s="369" t="inlineStr">
        <is>
          <t>Aligned with relevant Vision 2030 programme — see framework context</t>
        </is>
      </c>
      <c r="AH328" s="369" t="inlineStr">
        <is>
          <t>As specified in framework compliance requirements</t>
        </is>
      </c>
      <c r="AI328" s="374" t="inlineStr">
        <is>
          <t>Institutional theory and regulatory governance theory underpin all KSA regulatory frameworks. Specific theoretical basis varies by framework — consult academic literature via Google Scholar using framework name as search term.</t>
        </is>
      </c>
      <c r="AJ328" s="369" t="inlineStr">
        <is>
          <t>Academic debate varies by framework maturity and international adoption. For KSA-specific debate, consult: Almohammad &amp; Wills (2021) J Cybersecurity; Al-Khater et al. (2020) IEEE Access; Baker McKenzie KSA regulatory updates.</t>
        </is>
      </c>
      <c r="AK328" s="375" t="inlineStr">
        <is>
          <t>Known criticisms include: implementation gap between standards and practice; resource constraints for smaller healthcare entities; rapid technology evolution outpacing regulation. Consult framework evaluation literature for specifics.</t>
        </is>
      </c>
      <c r="AL328" s="376" t="inlineStr">
        <is>
          <t>Framework comparison requires contextual analysis. Key comparators: NIST CSF 2.0 (international benchmark), ISO 27001 (certifiable standard), ECC-2 (KSA mandatory baseline). See main database for cross-framework mapping.</t>
        </is>
      </c>
      <c r="AM328" s="377"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28" s="378" t="inlineStr">
        <is>
          <t>Official: Consult the official source URL in the database for the primary document. Training: ISACA, ISC2, RAPS, IAPP, and HIMSS offer professional development covering most regulatory domains. Estimated hours vary by framework complexity.</t>
        </is>
      </c>
      <c r="AO328" s="379" t="inlineStr">
        <is>
          <t>Relevance to GH-ICGA framework varies by layer — see GH-ICGA Layer Mapping column. All KSA mandatory frameworks are compliance inputs to GH-ICGA Layer 4. Frameworks with IoMT-specific provisions directly inform Layers 2 and 3.</t>
        </is>
      </c>
      <c r="AP328" s="51" t="inlineStr">
        <is>
          <t>G + C (Governance + Compliance — standard regulatory framework positioning)</t>
        </is>
      </c>
      <c r="AQ328" s="380" t="inlineStr">
        <is>
          <t>Senior management: accountability for framework compliance. Designated compliance officer: monitor requirements. All staff: awareness of applicable obligations</t>
        </is>
      </c>
      <c r="AR328" s="375" t="inlineStr">
        <is>
          <t>Regulatory Risk; Operational Risk; Reputational Risk — specific domains determined by framework scope</t>
        </is>
      </c>
      <c r="AS328" s="22" t="inlineStr">
        <is>
          <t>See official source — legal obligation, regulatory requirement, or voluntary standard as applicable</t>
        </is>
      </c>
      <c r="AT328" s="376" t="inlineStr">
        <is>
          <t>Administrative; Technical; Operational — specific distribution determined by framework content</t>
        </is>
      </c>
      <c r="AU328" s="381" t="inlineStr">
        <is>
          <t>1. Compliance status (compliant/non-compliant). 2. # open findings from last assessment. 3. % controls implemented. 4. Time to remediate findings. 5. Incident rate in framework scope area</t>
        </is>
      </c>
      <c r="AV328" s="382" t="inlineStr">
        <is>
          <t>Self-assessment; internal audit; external assessment as specified by issuing authority</t>
        </is>
      </c>
      <c r="AW328" s="383" t="inlineStr">
        <is>
          <t>ServiceNow GRC; IBM OpenPages; RSA Archer; MetricStream — all major GRC platforms support custom framework import. Contact vendor for framework-specific module</t>
        </is>
      </c>
      <c r="AX328" s="384" t="inlineStr">
        <is>
          <t>Third parties in scope must demonstrate equivalent compliance. Contractual compliance obligations; right-to-audit clauses; annual third-party assessment</t>
        </is>
      </c>
      <c r="AY328" s="385" t="inlineStr">
        <is>
          <t>Non-compliance: regulatory action by issuing authority; fines and penalties as specified; operational and reputational consequences</t>
        </is>
      </c>
      <c r="AZ328" s="382" t="inlineStr">
        <is>
          <t>Sector-specific — consult official source</t>
        </is>
      </c>
      <c r="BA328" s="41" t="inlineStr">
        <is>
          <t>Sector-Specific</t>
        </is>
      </c>
      <c r="BB328" s="591">
        <f>IF(E328="","",IF(ISNUMBER(SEARCH("Institutional theory and regulatory governance theory underpin",AI328)),"TEMPLATE",IF(LEN(AI328)&gt;100,"DEEP",IF(AI328="","SPARSE","SHALLOW"))))</f>
        <v/>
      </c>
      <c r="BC328" s="591">
        <f>IF(E328="","",D328&amp;"-"&amp;B328&amp;"-"&amp;E328)</f>
        <v/>
      </c>
      <c r="BD328" s="591">
        <f>IF(E328="","",SUBSTITUTE(SUBSTITUTE(B328&amp;"-"&amp;E328," ",""),":","-"))</f>
        <v/>
      </c>
      <c r="BE328" s="591">
        <f>IF(E328="","",IF(ISNUMBER(SEARCH("ECC",E328)),"NCA-ECC-2-2024",IF(ISNUMBER(SEARCH("OTCC",E328)),"NCA-ECC-2-2024",IF(ISNUMBER(SEARCH("CCC",E328)),"NCA-ECC-2-2024",IF(ISNUMBER(SEARCH("DCC",E328)),"NCA-ECC-2-2024",IF(ISNUMBER(SEARCH("CSCC",E328)),"NCA-ECC-2-2024",IF(ISNUMBER(SEARCH("PDPL-IR",E328)),"PDPL-2021",IF(ISNUMBER(SEARCH("PDPL-DTR",E328)),"PDPL-2021","NONE"))))))))</f>
        <v/>
      </c>
      <c r="BF328" s="594">
        <f>IF(E328="","",IF(BB328="DEEP",10,IF(BB328="SHALLOW",5,IF(BB328="TEMPLATE",3,1)))+IF(N328="HIGHEST",5,IF(N328="HIGH",3,IF(N328="MODERATE",1,0)))+IF(ISNUMBER(SEARCH("Mandatory",L328)),3,0))</f>
        <v/>
      </c>
    </row>
    <row r="329" ht="42" customHeight="1">
      <c r="A329" s="42" t="n">
        <v>286</v>
      </c>
      <c r="B329" s="386" t="inlineStr">
        <is>
          <t>AMAALA</t>
        </is>
      </c>
      <c r="C329" s="44" t="inlineStr">
        <is>
          <t>Amaala Giga Project</t>
        </is>
      </c>
      <c r="D329" s="44" t="inlineStr">
        <is>
          <t>15. Special Zones &amp; Giga</t>
        </is>
      </c>
      <c r="E329" s="386" t="inlineStr">
        <is>
          <t>NCA-ECC-2:2024</t>
        </is>
      </c>
      <c r="F329" s="45" t="inlineStr">
        <is>
          <t>Essential Cybersecurity Controls</t>
        </is>
      </c>
      <c r="G329" s="44" t="inlineStr">
        <is>
          <t>ضوابط الأمن السيبراني الأساسية</t>
        </is>
      </c>
      <c r="H329" s="44" t="inlineStr">
        <is>
          <t>ECC-2:2024</t>
        </is>
      </c>
      <c r="I329" s="46" t="inlineStr">
        <is>
          <t>2018</t>
        </is>
      </c>
      <c r="J329" s="46" t="inlineStr">
        <is>
          <t>108</t>
        </is>
      </c>
      <c r="K329" s="44" t="inlineStr">
        <is>
          <t>MUST COMPLY WITH</t>
        </is>
      </c>
      <c r="L329" s="66" t="inlineStr">
        <is>
          <t>Mandatory Complier</t>
        </is>
      </c>
      <c r="M329" s="44" t="inlineStr">
        <is>
          <t>Amaala Giga Project as government entity</t>
        </is>
      </c>
      <c r="N329" s="59" t="inlineStr">
        <is>
          <t>LOW</t>
        </is>
      </c>
      <c r="O329" s="48" t="inlineStr">
        <is>
          <t>https://nca.gov.sa/</t>
        </is>
      </c>
      <c r="P329" s="44" t="inlineStr">
        <is>
          <t>NCA ECC scope</t>
        </is>
      </c>
      <c r="Q329" s="369" t="inlineStr">
        <is>
          <t>See official source for version history</t>
        </is>
      </c>
      <c r="R329" s="369" t="inlineStr">
        <is>
          <t>Framework issued by the relevant authority. Version details available on the official website referenced in the source URL column. The framework has been updated periodically since first issuance.</t>
        </is>
      </c>
      <c r="S329" s="371" t="inlineStr">
        <is>
          <t>See official source</t>
        </is>
      </c>
      <c r="T329" s="369" t="inlineStr">
        <is>
          <t>Updated as needed by the issuing authority</t>
        </is>
      </c>
      <c r="U329" s="25" t="inlineStr">
        <is>
          <t>CURRENT — consult official source for latest version</t>
        </is>
      </c>
      <c r="V329" s="369" t="inlineStr">
        <is>
          <t>Penalties defined by issuing authority; consult official source. NCA ECC-2 penalties apply if relevant</t>
        </is>
      </c>
      <c r="W329" s="370" t="inlineStr">
        <is>
          <t>Issuing authority and/or designated inspection department</t>
        </is>
      </c>
      <c r="X329" s="369" t="inlineStr">
        <is>
          <t>As specified in framework scope — consult official document</t>
        </is>
      </c>
      <c r="Y329" s="49" t="inlineStr">
        <is>
          <t>Both (unless specified otherwise in official document)</t>
        </is>
      </c>
      <c r="Z329" s="369" t="inlineStr">
        <is>
          <t>As defined by issuing authority</t>
        </is>
      </c>
      <c r="AA329" s="371" t="inlineStr">
        <is>
          <t>As defined by issuing authority</t>
        </is>
      </c>
      <c r="AB329" s="369" t="inlineStr">
        <is>
          <t>To be determined from framework text — see official source</t>
        </is>
      </c>
      <c r="AC329" s="369" t="inlineStr">
        <is>
          <t>See framework preamble for international standard references</t>
        </is>
      </c>
      <c r="AD329" s="49" t="inlineStr">
        <is>
          <t>Arabic (primary in KSA); English may be available</t>
        </is>
      </c>
      <c r="AE329" s="58" t="inlineStr">
        <is>
          <t>Mapped to relevant GH-ICGA layer — requires manual assessment</t>
        </is>
      </c>
      <c r="AF329" s="56" t="inlineStr">
        <is>
          <t>See official framework for maturity model details</t>
        </is>
      </c>
      <c r="AG329" s="369" t="inlineStr">
        <is>
          <t>Aligned with relevant Vision 2030 programme — see framework context</t>
        </is>
      </c>
      <c r="AH329" s="369" t="inlineStr">
        <is>
          <t>As specified in framework compliance requirements</t>
        </is>
      </c>
      <c r="AI329" s="374" t="inlineStr">
        <is>
          <t>Institutional theory and regulatory governance theory underpin all KSA regulatory frameworks. Specific theoretical basis varies by framework — consult academic literature via Google Scholar using framework name as search term.</t>
        </is>
      </c>
      <c r="AJ329" s="369" t="inlineStr">
        <is>
          <t>Academic debate varies by framework maturity and international adoption. For KSA-specific debate, consult: Almohammad &amp; Wills (2021) J Cybersecurity; Al-Khater et al. (2020) IEEE Access; Baker McKenzie KSA regulatory updates.</t>
        </is>
      </c>
      <c r="AK329" s="375" t="inlineStr">
        <is>
          <t>Known criticisms include: implementation gap between standards and practice; resource constraints for smaller healthcare entities; rapid technology evolution outpacing regulation. Consult framework evaluation literature for specifics.</t>
        </is>
      </c>
      <c r="AL329" s="376" t="inlineStr">
        <is>
          <t>Framework comparison requires contextual analysis. Key comparators: NIST CSF 2.0 (international benchmark), ISO 27001 (certifiable standard), ECC-2 (KSA mandatory baseline). See main database for cross-framework mapping.</t>
        </is>
      </c>
      <c r="AM329" s="377"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29" s="378" t="inlineStr">
        <is>
          <t>Official: Consult the official source URL in the database for the primary document. Training: ISACA, ISC2, RAPS, IAPP, and HIMSS offer professional development covering most regulatory domains. Estimated hours vary by framework complexity.</t>
        </is>
      </c>
      <c r="AO329" s="379" t="inlineStr">
        <is>
          <t>Relevance to GH-ICGA framework varies by layer — see GH-ICGA Layer Mapping column. All KSA mandatory frameworks are compliance inputs to GH-ICGA Layer 4. Frameworks with IoMT-specific provisions directly inform Layers 2 and 3.</t>
        </is>
      </c>
      <c r="AP329" s="51" t="inlineStr">
        <is>
          <t>G + C (Governance + Compliance — standard regulatory framework positioning)</t>
        </is>
      </c>
      <c r="AQ329" s="380" t="inlineStr">
        <is>
          <t>Senior management: accountability for framework compliance. Designated compliance officer: monitor requirements. All staff: awareness of applicable obligations</t>
        </is>
      </c>
      <c r="AR329" s="375" t="inlineStr">
        <is>
          <t>Regulatory Risk; Operational Risk; Reputational Risk — specific domains determined by framework scope</t>
        </is>
      </c>
      <c r="AS329" s="22" t="inlineStr">
        <is>
          <t>See official source — legal obligation, regulatory requirement, or voluntary standard as applicable</t>
        </is>
      </c>
      <c r="AT329" s="376" t="inlineStr">
        <is>
          <t>Administrative; Technical; Operational — specific distribution determined by framework content</t>
        </is>
      </c>
      <c r="AU329" s="381" t="inlineStr">
        <is>
          <t>1. Compliance status (compliant/non-compliant). 2. # open findings from last assessment. 3. % controls implemented. 4. Time to remediate findings. 5. Incident rate in framework scope area</t>
        </is>
      </c>
      <c r="AV329" s="382" t="inlineStr">
        <is>
          <t>Self-assessment; internal audit; external assessment as specified by issuing authority</t>
        </is>
      </c>
      <c r="AW329" s="383" t="inlineStr">
        <is>
          <t>ServiceNow GRC; IBM OpenPages; RSA Archer; MetricStream — all major GRC platforms support custom framework import. Contact vendor for framework-specific module</t>
        </is>
      </c>
      <c r="AX329" s="384" t="inlineStr">
        <is>
          <t>Third parties in scope must demonstrate equivalent compliance. Contractual compliance obligations; right-to-audit clauses; annual third-party assessment</t>
        </is>
      </c>
      <c r="AY329" s="385" t="inlineStr">
        <is>
          <t>Non-compliance: regulatory action by issuing authority; fines and penalties as specified; operational and reputational consequences</t>
        </is>
      </c>
      <c r="AZ329" s="382" t="inlineStr">
        <is>
          <t>ALL 17 SECTORS</t>
        </is>
      </c>
      <c r="BA329" s="34" t="inlineStr">
        <is>
          <t>YES — ALL SECTORS</t>
        </is>
      </c>
      <c r="BB329" s="591">
        <f>IF(E329="","",IF(ISNUMBER(SEARCH("Institutional theory and regulatory governance theory underpin",AI329)),"TEMPLATE",IF(LEN(AI329)&gt;100,"DEEP",IF(AI329="","SPARSE","SHALLOW"))))</f>
        <v/>
      </c>
      <c r="BC329" s="591">
        <f>IF(E329="","",D329&amp;"-"&amp;B329&amp;"-"&amp;E329)</f>
        <v/>
      </c>
      <c r="BD329" s="591">
        <f>IF(E329="","",SUBSTITUTE(SUBSTITUTE(B329&amp;"-"&amp;E329," ",""),":","-"))</f>
        <v/>
      </c>
      <c r="BE329" s="591">
        <f>IF(E329="","",IF(ISNUMBER(SEARCH("ECC",E329)),"NCA-ECC-2-2024",IF(ISNUMBER(SEARCH("OTCC",E329)),"NCA-ECC-2-2024",IF(ISNUMBER(SEARCH("CCC",E329)),"NCA-ECC-2-2024",IF(ISNUMBER(SEARCH("DCC",E329)),"NCA-ECC-2-2024",IF(ISNUMBER(SEARCH("CSCC",E329)),"NCA-ECC-2-2024",IF(ISNUMBER(SEARCH("PDPL-IR",E329)),"PDPL-2021",IF(ISNUMBER(SEARCH("PDPL-DTR",E329)),"PDPL-2021","NONE"))))))))</f>
        <v/>
      </c>
      <c r="BF329" s="594">
        <f>IF(E329="","",IF(BB329="DEEP",10,IF(BB329="SHALLOW",5,IF(BB329="TEMPLATE",3,1)))+IF(N329="HIGHEST",5,IF(N329="HIGH",3,IF(N329="MODERATE",1,0)))+IF(ISNUMBER(SEARCH("Mandatory",L329)),3,0))</f>
        <v/>
      </c>
    </row>
    <row r="330">
      <c r="BB330" s="591">
        <f>IF(E330="","",IF(ISNUMBER(SEARCH("Institutional theory and regulatory governance theory underpin",AI330)),"TEMPLATE",IF(LEN(AI330)&gt;100,"DEEP",IF(AI330="","SPARSE","SHALLOW"))))</f>
        <v/>
      </c>
      <c r="BC330" s="591">
        <f>IF(E330="","",D330&amp;"-"&amp;B330&amp;"-"&amp;E330)</f>
        <v/>
      </c>
      <c r="BD330" s="591">
        <f>IF(E330="","",SUBSTITUTE(SUBSTITUTE(B330&amp;"-"&amp;E330," ",""),":","-"))</f>
        <v/>
      </c>
      <c r="BE330" s="591">
        <f>IF(E330="","",IF(ISNUMBER(SEARCH("ECC",E330)),"NCA-ECC-2-2024",IF(ISNUMBER(SEARCH("OTCC",E330)),"NCA-ECC-2-2024",IF(ISNUMBER(SEARCH("CCC",E330)),"NCA-ECC-2-2024",IF(ISNUMBER(SEARCH("DCC",E330)),"NCA-ECC-2-2024",IF(ISNUMBER(SEARCH("CSCC",E330)),"NCA-ECC-2-2024",IF(ISNUMBER(SEARCH("PDPL-IR",E330)),"PDPL-2021",IF(ISNUMBER(SEARCH("PDPL-DTR",E330)),"PDPL-2021","NONE"))))))))</f>
        <v/>
      </c>
      <c r="BF330" s="594">
        <f>IF(E330="","",IF(BB330="DEEP",10,IF(BB330="SHALLOW",5,IF(BB330="TEMPLATE",3,1)))+IF(N330="HIGHEST",5,IF(N330="HIGH",3,IF(N330="MODERATE",1,0)))+IF(ISNUMBER(SEARCH("Mandatory",L330)),3,0))</f>
        <v/>
      </c>
    </row>
    <row r="331" ht="19.5" customHeight="1">
      <c r="A331" s="67" t="n"/>
      <c r="B331" s="68" t="inlineStr">
        <is>
          <t xml:space="preserve">  ── 2. Healthcare &amp; Life Sciences ──</t>
        </is>
      </c>
      <c r="C331" s="67" t="n"/>
      <c r="D331" s="67" t="n"/>
      <c r="E331" s="67" t="n"/>
      <c r="F331" s="67" t="n"/>
      <c r="G331" s="67" t="n"/>
      <c r="H331" s="67" t="n"/>
      <c r="I331" s="67" t="n"/>
      <c r="J331" s="67" t="n"/>
      <c r="K331" s="67" t="n"/>
      <c r="L331" s="67" t="n"/>
      <c r="M331" s="67" t="n"/>
      <c r="N331" s="67" t="n"/>
      <c r="O331" s="67" t="n"/>
      <c r="P331" s="67" t="n"/>
      <c r="BB331" s="591">
        <f>IF(E331="","",IF(ISNUMBER(SEARCH("Institutional theory and regulatory governance theory underpin",AI331)),"TEMPLATE",IF(LEN(AI331)&gt;100,"DEEP",IF(AI331="","SPARSE","SHALLOW"))))</f>
        <v/>
      </c>
      <c r="BC331" s="591">
        <f>IF(E331="","",D331&amp;"-"&amp;B331&amp;"-"&amp;E331)</f>
        <v/>
      </c>
      <c r="BD331" s="591">
        <f>IF(E331="","",SUBSTITUTE(SUBSTITUTE(B331&amp;"-"&amp;E331," ",""),":","-"))</f>
        <v/>
      </c>
      <c r="BE331" s="591">
        <f>IF(E331="","",IF(ISNUMBER(SEARCH("ECC",E331)),"NCA-ECC-2-2024",IF(ISNUMBER(SEARCH("OTCC",E331)),"NCA-ECC-2-2024",IF(ISNUMBER(SEARCH("CCC",E331)),"NCA-ECC-2-2024",IF(ISNUMBER(SEARCH("DCC",E331)),"NCA-ECC-2-2024",IF(ISNUMBER(SEARCH("CSCC",E331)),"NCA-ECC-2-2024",IF(ISNUMBER(SEARCH("PDPL-IR",E331)),"PDPL-2021",IF(ISNUMBER(SEARCH("PDPL-DTR",E331)),"PDPL-2021","NONE"))))))))</f>
        <v/>
      </c>
      <c r="BF331" s="594">
        <f>IF(E331="","",IF(BB331="DEEP",10,IF(BB331="SHALLOW",5,IF(BB331="TEMPLATE",3,1)))+IF(N331="HIGHEST",5,IF(N331="HIGH",3,IF(N331="MODERATE",1,0)))+IF(ISNUMBER(SEARCH("Mandatory",L331)),3,0))</f>
        <v/>
      </c>
    </row>
    <row r="332" ht="42" customHeight="1">
      <c r="A332" s="84" t="n">
        <v>287</v>
      </c>
      <c r="B332" s="85" t="inlineStr">
        <is>
          <t>NUPCO</t>
        </is>
      </c>
      <c r="C332" s="70" t="inlineStr">
        <is>
          <t>National Unified Procurement Company</t>
        </is>
      </c>
      <c r="D332" s="70" t="inlineStr">
        <is>
          <t>2. Healthcare &amp; Life Sciences</t>
        </is>
      </c>
      <c r="E332" s="85" t="inlineStr">
        <is>
          <t>NUPCO-FW</t>
        </is>
      </c>
      <c r="F332" s="72" t="inlineStr">
        <is>
          <t>Procurement &amp; Quality Standards for Suppliers</t>
        </is>
      </c>
      <c r="G332" s="70" t="inlineStr">
        <is>
          <t>الإطار التنظيمي الرئيسي</t>
        </is>
      </c>
      <c r="H332" s="70" t="inlineStr">
        <is>
          <t>Active/Updated</t>
        </is>
      </c>
      <c r="I332" s="71" t="inlineStr">
        <is>
          <t>2006</t>
        </is>
      </c>
      <c r="J332" s="71" t="inlineStr">
        <is>
          <t>N/A</t>
        </is>
      </c>
      <c r="K332" s="70" t="inlineStr">
        <is>
          <t>ISSUES/ENFORCES</t>
        </is>
      </c>
      <c r="L332" s="22" t="inlineStr">
        <is>
          <t>Mandatory Enforcer</t>
        </is>
      </c>
      <c r="M332" s="70" t="inlineStr">
        <is>
          <t>Entities regulated by this authority</t>
        </is>
      </c>
      <c r="N332" s="93" t="inlineStr">
        <is>
          <t>MODERATE</t>
        </is>
      </c>
      <c r="O332" s="87" t="inlineStr">
        <is>
          <t>https://www.gov.sa/</t>
        </is>
      </c>
      <c r="P332" s="70" t="inlineStr">
        <is>
          <t>Ministry/Authority official site</t>
        </is>
      </c>
      <c r="Q332" s="70" t="inlineStr">
        <is>
          <t>See official source for version history</t>
        </is>
      </c>
      <c r="R332" s="70" t="inlineStr">
        <is>
          <t>Framework issued by the relevant authority. Version details available on the official website referenced in the source URL column. The framework has been updated periodically since first issuance.</t>
        </is>
      </c>
      <c r="S332" s="71" t="inlineStr">
        <is>
          <t>See official source</t>
        </is>
      </c>
      <c r="T332" s="70" t="inlineStr">
        <is>
          <t>Updated as needed by the issuing authority</t>
        </is>
      </c>
      <c r="U332" s="25" t="inlineStr">
        <is>
          <t>CURRENT — consult official source for latest version</t>
        </is>
      </c>
      <c r="V332" s="70" t="inlineStr">
        <is>
          <t>Penalties defined by issuing authority; consult official source. NCA ECC-2 penalties apply if relevant</t>
        </is>
      </c>
      <c r="W332" s="72" t="inlineStr">
        <is>
          <t>Issuing authority and/or designated inspection department</t>
        </is>
      </c>
      <c r="X332" s="70" t="inlineStr">
        <is>
          <t>As specified in framework scope — consult official document</t>
        </is>
      </c>
      <c r="Y332" s="49" t="inlineStr">
        <is>
          <t>Both (unless specified otherwise in official document)</t>
        </is>
      </c>
      <c r="Z332" s="70" t="inlineStr">
        <is>
          <t>As defined by issuing authority</t>
        </is>
      </c>
      <c r="AA332" s="71" t="inlineStr">
        <is>
          <t>As defined by issuing authority</t>
        </is>
      </c>
      <c r="AB332" s="70" t="inlineStr">
        <is>
          <t>To be determined from framework text — see official source</t>
        </is>
      </c>
      <c r="AC332" s="70" t="inlineStr">
        <is>
          <t>See framework preamble for international standard references</t>
        </is>
      </c>
      <c r="AD332" s="49" t="inlineStr">
        <is>
          <t>Arabic (primary in KSA); English may be available</t>
        </is>
      </c>
      <c r="AE332" s="58" t="inlineStr">
        <is>
          <t>Mapped to relevant GH-ICGA layer — requires manual assessment</t>
        </is>
      </c>
      <c r="AF332" s="56" t="inlineStr">
        <is>
          <t>See official framework for maturity model details</t>
        </is>
      </c>
      <c r="AG332" s="70" t="inlineStr">
        <is>
          <t>Aligned with relevant Vision 2030 programme — see framework context</t>
        </is>
      </c>
      <c r="AH332" s="70" t="inlineStr">
        <is>
          <t>As specified in framework compliance requirements</t>
        </is>
      </c>
      <c r="AI332" s="73" t="inlineStr">
        <is>
          <t>Institutional theory and regulatory governance theory underpin all KSA regulatory frameworks. Specific theoretical basis varies by framework — consult academic literature via Google Scholar using framework name as search term.</t>
        </is>
      </c>
      <c r="AJ332" s="70" t="inlineStr">
        <is>
          <t>Academic debate varies by framework maturity and international adoption. For KSA-specific debate, consult: Almohammad &amp; Wills (2021) J Cybersecurity; Al-Khater et al. (2020) IEEE Access; Baker McKenzie KSA regulatory updates.</t>
        </is>
      </c>
      <c r="AK332" s="74" t="inlineStr">
        <is>
          <t>Known criticisms include: implementation gap between standards and practice; resource constraints for smaller healthcare entities; rapid technology evolution outpacing regulation. Consult framework evaluation literature for specifics.</t>
        </is>
      </c>
      <c r="AL332" s="75" t="inlineStr">
        <is>
          <t>Framework comparison requires contextual analysis. Key comparators: NIST CSF 2.0 (international benchmark), ISO 27001 (certifiable standard), ECC-2 (KSA mandatory baseline). See main database for cross-framework mapping.</t>
        </is>
      </c>
      <c r="AM332"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32" s="50" t="inlineStr">
        <is>
          <t>Official: Consult the official source URL in the database for the primary document. Training: ISACA, ISC2, RAPS, IAPP, and HIMSS offer professional development covering most regulatory domains. Estimated hours vary by framework complexity.</t>
        </is>
      </c>
      <c r="AO332" s="77" t="inlineStr">
        <is>
          <t>Relevance to GH-ICGA framework varies by layer — see GH-ICGA Layer Mapping column. All KSA mandatory frameworks are compliance inputs to GH-ICGA Layer 4. Frameworks with IoMT-specific provisions directly inform Layers 2 and 3.</t>
        </is>
      </c>
      <c r="AP332" s="51" t="inlineStr">
        <is>
          <t>G + C (Governance + Compliance — standard regulatory framework positioning)</t>
        </is>
      </c>
      <c r="AQ332" s="78" t="inlineStr">
        <is>
          <t>Senior management: accountability for framework compliance. Designated compliance officer: monitor requirements. All staff: awareness of applicable obligations</t>
        </is>
      </c>
      <c r="AR332" s="74" t="inlineStr">
        <is>
          <t>Regulatory Risk; Operational Risk; Reputational Risk — specific domains determined by framework scope</t>
        </is>
      </c>
      <c r="AS332" s="22" t="inlineStr">
        <is>
          <t>See official source — legal obligation, regulatory requirement, or voluntary standard as applicable</t>
        </is>
      </c>
      <c r="AT332" s="75" t="inlineStr">
        <is>
          <t>Administrative; Technical; Operational — specific distribution determined by framework content</t>
        </is>
      </c>
      <c r="AU332" s="79" t="inlineStr">
        <is>
          <t>1. Compliance status (compliant/non-compliant). 2. # open findings from last assessment. 3. % controls implemented. 4. Time to remediate findings. 5. Incident rate in framework scope area</t>
        </is>
      </c>
      <c r="AV332" s="80" t="inlineStr">
        <is>
          <t>Self-assessment; internal audit; external assessment as specified by issuing authority</t>
        </is>
      </c>
      <c r="AW332" s="81" t="inlineStr">
        <is>
          <t>ServiceNow GRC; IBM OpenPages; RSA Archer; MetricStream — all major GRC platforms support custom framework import. Contact vendor for framework-specific module</t>
        </is>
      </c>
      <c r="AX332" s="82" t="inlineStr">
        <is>
          <t>Third parties in scope must demonstrate equivalent compliance. Contractual compliance obligations; right-to-audit clauses; annual third-party assessment</t>
        </is>
      </c>
      <c r="AY332" s="83" t="inlineStr">
        <is>
          <t>Non-compliance: regulatory action by issuing authority; fines and penalties as specified; operational and reputational consequences</t>
        </is>
      </c>
      <c r="AZ332" s="80" t="inlineStr">
        <is>
          <t>Sector-specific — consult official source</t>
        </is>
      </c>
      <c r="BA332" s="41" t="inlineStr">
        <is>
          <t>Sector-Specific</t>
        </is>
      </c>
      <c r="BB332" s="591">
        <f>IF(E332="","",IF(ISNUMBER(SEARCH("Institutional theory and regulatory governance theory underpin",AI332)),"TEMPLATE",IF(LEN(AI332)&gt;100,"DEEP",IF(AI332="","SPARSE","SHALLOW"))))</f>
        <v/>
      </c>
      <c r="BC332" s="591">
        <f>IF(E332="","",D332&amp;"-"&amp;B332&amp;"-"&amp;E332)</f>
        <v/>
      </c>
      <c r="BD332" s="591">
        <f>IF(E332="","",SUBSTITUTE(SUBSTITUTE(B332&amp;"-"&amp;E332," ",""),":","-"))</f>
        <v/>
      </c>
      <c r="BE332" s="591">
        <f>IF(E332="","",IF(ISNUMBER(SEARCH("ECC",E332)),"NCA-ECC-2-2024",IF(ISNUMBER(SEARCH("OTCC",E332)),"NCA-ECC-2-2024",IF(ISNUMBER(SEARCH("CCC",E332)),"NCA-ECC-2-2024",IF(ISNUMBER(SEARCH("DCC",E332)),"NCA-ECC-2-2024",IF(ISNUMBER(SEARCH("CSCC",E332)),"NCA-ECC-2-2024",IF(ISNUMBER(SEARCH("PDPL-IR",E332)),"PDPL-2021",IF(ISNUMBER(SEARCH("PDPL-DTR",E332)),"PDPL-2021","NONE"))))))))</f>
        <v/>
      </c>
      <c r="BF332" s="594">
        <f>IF(E332="","",IF(BB332="DEEP",10,IF(BB332="SHALLOW",5,IF(BB332="TEMPLATE",3,1)))+IF(N332="HIGHEST",5,IF(N332="HIGH",3,IF(N332="MODERATE",1,0)))+IF(ISNUMBER(SEARCH("Mandatory",L332)),3,0))</f>
        <v/>
      </c>
    </row>
    <row r="333" ht="42" customHeight="1">
      <c r="A333" s="42" t="n">
        <v>288</v>
      </c>
      <c r="B333" s="69" t="inlineStr">
        <is>
          <t>NUPCO</t>
        </is>
      </c>
      <c r="C333" s="44" t="inlineStr">
        <is>
          <t>National Unified Procurement Company</t>
        </is>
      </c>
      <c r="D333" s="44" t="inlineStr">
        <is>
          <t>2. Healthcare &amp; Life Sciences</t>
        </is>
      </c>
      <c r="E333" s="69" t="inlineStr">
        <is>
          <t>NCA-ECC-2:2024</t>
        </is>
      </c>
      <c r="F333" s="45" t="inlineStr">
        <is>
          <t>Essential Cybersecurity Controls</t>
        </is>
      </c>
      <c r="G333" s="44" t="inlineStr">
        <is>
          <t>ضوابط الأمن السيبراني الأساسية</t>
        </is>
      </c>
      <c r="H333" s="44" t="inlineStr">
        <is>
          <t>ECC-2:2024</t>
        </is>
      </c>
      <c r="I333" s="46" t="inlineStr">
        <is>
          <t>2018</t>
        </is>
      </c>
      <c r="J333" s="46" t="inlineStr">
        <is>
          <t>108</t>
        </is>
      </c>
      <c r="K333" s="44" t="inlineStr">
        <is>
          <t>MUST COMPLY WITH</t>
        </is>
      </c>
      <c r="L333" s="66" t="inlineStr">
        <is>
          <t>Mandatory Complier</t>
        </is>
      </c>
      <c r="M333" s="44" t="inlineStr">
        <is>
          <t>National Unified Procurement Company as government entity</t>
        </is>
      </c>
      <c r="N333" s="59" t="inlineStr">
        <is>
          <t>LOW</t>
        </is>
      </c>
      <c r="O333" s="48" t="inlineStr">
        <is>
          <t>https://nca.gov.sa/</t>
        </is>
      </c>
      <c r="P333" s="44" t="inlineStr">
        <is>
          <t>NCA ECC scope</t>
        </is>
      </c>
      <c r="Q333" s="70" t="inlineStr">
        <is>
          <t>See official source for version history</t>
        </is>
      </c>
      <c r="R333" s="70" t="inlineStr">
        <is>
          <t>Framework issued by the relevant authority. Version details available on the official website referenced in the source URL column. The framework has been updated periodically since first issuance.</t>
        </is>
      </c>
      <c r="S333" s="71" t="inlineStr">
        <is>
          <t>See official source</t>
        </is>
      </c>
      <c r="T333" s="70" t="inlineStr">
        <is>
          <t>Updated as needed by the issuing authority</t>
        </is>
      </c>
      <c r="U333" s="25" t="inlineStr">
        <is>
          <t>CURRENT — consult official source for latest version</t>
        </is>
      </c>
      <c r="V333" s="70" t="inlineStr">
        <is>
          <t>Penalties defined by issuing authority; consult official source. NCA ECC-2 penalties apply if relevant</t>
        </is>
      </c>
      <c r="W333" s="72" t="inlineStr">
        <is>
          <t>Issuing authority and/or designated inspection department</t>
        </is>
      </c>
      <c r="X333" s="70" t="inlineStr">
        <is>
          <t>As specified in framework scope — consult official document</t>
        </is>
      </c>
      <c r="Y333" s="49" t="inlineStr">
        <is>
          <t>Both (unless specified otherwise in official document)</t>
        </is>
      </c>
      <c r="Z333" s="70" t="inlineStr">
        <is>
          <t>As defined by issuing authority</t>
        </is>
      </c>
      <c r="AA333" s="71" t="inlineStr">
        <is>
          <t>As defined by issuing authority</t>
        </is>
      </c>
      <c r="AB333" s="70" t="inlineStr">
        <is>
          <t>To be determined from framework text — see official source</t>
        </is>
      </c>
      <c r="AC333" s="70" t="inlineStr">
        <is>
          <t>See framework preamble for international standard references</t>
        </is>
      </c>
      <c r="AD333" s="49" t="inlineStr">
        <is>
          <t>Arabic (primary in KSA); English may be available</t>
        </is>
      </c>
      <c r="AE333" s="58" t="inlineStr">
        <is>
          <t>Mapped to relevant GH-ICGA layer — requires manual assessment</t>
        </is>
      </c>
      <c r="AF333" s="56" t="inlineStr">
        <is>
          <t>See official framework for maturity model details</t>
        </is>
      </c>
      <c r="AG333" s="70" t="inlineStr">
        <is>
          <t>Aligned with relevant Vision 2030 programme — see framework context</t>
        </is>
      </c>
      <c r="AH333" s="70" t="inlineStr">
        <is>
          <t>As specified in framework compliance requirements</t>
        </is>
      </c>
      <c r="AI333" s="73" t="inlineStr">
        <is>
          <t>Institutional theory and regulatory governance theory underpin all KSA regulatory frameworks. Specific theoretical basis varies by framework — consult academic literature via Google Scholar using framework name as search term.</t>
        </is>
      </c>
      <c r="AJ333" s="70" t="inlineStr">
        <is>
          <t>Academic debate varies by framework maturity and international adoption. For KSA-specific debate, consult: Almohammad &amp; Wills (2021) J Cybersecurity; Al-Khater et al. (2020) IEEE Access; Baker McKenzie KSA regulatory updates.</t>
        </is>
      </c>
      <c r="AK333" s="74" t="inlineStr">
        <is>
          <t>Known criticisms include: implementation gap between standards and practice; resource constraints for smaller healthcare entities; rapid technology evolution outpacing regulation. Consult framework evaluation literature for specifics.</t>
        </is>
      </c>
      <c r="AL333" s="75" t="inlineStr">
        <is>
          <t>Framework comparison requires contextual analysis. Key comparators: NIST CSF 2.0 (international benchmark), ISO 27001 (certifiable standard), ECC-2 (KSA mandatory baseline). See main database for cross-framework mapping.</t>
        </is>
      </c>
      <c r="AM333"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33" s="50" t="inlineStr">
        <is>
          <t>Official: Consult the official source URL in the database for the primary document. Training: ISACA, ISC2, RAPS, IAPP, and HIMSS offer professional development covering most regulatory domains. Estimated hours vary by framework complexity.</t>
        </is>
      </c>
      <c r="AO333" s="77" t="inlineStr">
        <is>
          <t>Relevance to GH-ICGA framework varies by layer — see GH-ICGA Layer Mapping column. All KSA mandatory frameworks are compliance inputs to GH-ICGA Layer 4. Frameworks with IoMT-specific provisions directly inform Layers 2 and 3.</t>
        </is>
      </c>
      <c r="AP333" s="51" t="inlineStr">
        <is>
          <t>G + C (Governance + Compliance — standard regulatory framework positioning)</t>
        </is>
      </c>
      <c r="AQ333" s="78" t="inlineStr">
        <is>
          <t>Senior management: accountability for framework compliance. Designated compliance officer: monitor requirements. All staff: awareness of applicable obligations</t>
        </is>
      </c>
      <c r="AR333" s="74" t="inlineStr">
        <is>
          <t>Regulatory Risk; Operational Risk; Reputational Risk — specific domains determined by framework scope</t>
        </is>
      </c>
      <c r="AS333" s="22" t="inlineStr">
        <is>
          <t>See official source — legal obligation, regulatory requirement, or voluntary standard as applicable</t>
        </is>
      </c>
      <c r="AT333" s="75" t="inlineStr">
        <is>
          <t>Administrative; Technical; Operational — specific distribution determined by framework content</t>
        </is>
      </c>
      <c r="AU333" s="79" t="inlineStr">
        <is>
          <t>1. Compliance status (compliant/non-compliant). 2. # open findings from last assessment. 3. % controls implemented. 4. Time to remediate findings. 5. Incident rate in framework scope area</t>
        </is>
      </c>
      <c r="AV333" s="80" t="inlineStr">
        <is>
          <t>Self-assessment; internal audit; external assessment as specified by issuing authority</t>
        </is>
      </c>
      <c r="AW333" s="81" t="inlineStr">
        <is>
          <t>ServiceNow GRC; IBM OpenPages; RSA Archer; MetricStream — all major GRC platforms support custom framework import. Contact vendor for framework-specific module</t>
        </is>
      </c>
      <c r="AX333" s="82" t="inlineStr">
        <is>
          <t>Third parties in scope must demonstrate equivalent compliance. Contractual compliance obligations; right-to-audit clauses; annual third-party assessment</t>
        </is>
      </c>
      <c r="AY333" s="83" t="inlineStr">
        <is>
          <t>Non-compliance: regulatory action by issuing authority; fines and penalties as specified; operational and reputational consequences</t>
        </is>
      </c>
      <c r="AZ333" s="80" t="inlineStr">
        <is>
          <t>ALL 17 SECTORS</t>
        </is>
      </c>
      <c r="BA333" s="34" t="inlineStr">
        <is>
          <t>YES — ALL SECTORS</t>
        </is>
      </c>
      <c r="BB333" s="591">
        <f>IF(E333="","",IF(ISNUMBER(SEARCH("Institutional theory and regulatory governance theory underpin",AI333)),"TEMPLATE",IF(LEN(AI333)&gt;100,"DEEP",IF(AI333="","SPARSE","SHALLOW"))))</f>
        <v/>
      </c>
      <c r="BC333" s="591">
        <f>IF(E333="","",D333&amp;"-"&amp;B333&amp;"-"&amp;E333)</f>
        <v/>
      </c>
      <c r="BD333" s="591">
        <f>IF(E333="","",SUBSTITUTE(SUBSTITUTE(B333&amp;"-"&amp;E333," ",""),":","-"))</f>
        <v/>
      </c>
      <c r="BE333" s="591">
        <f>IF(E333="","",IF(ISNUMBER(SEARCH("ECC",E333)),"NCA-ECC-2-2024",IF(ISNUMBER(SEARCH("OTCC",E333)),"NCA-ECC-2-2024",IF(ISNUMBER(SEARCH("CCC",E333)),"NCA-ECC-2-2024",IF(ISNUMBER(SEARCH("DCC",E333)),"NCA-ECC-2-2024",IF(ISNUMBER(SEARCH("CSCC",E333)),"NCA-ECC-2-2024",IF(ISNUMBER(SEARCH("PDPL-IR",E333)),"PDPL-2021",IF(ISNUMBER(SEARCH("PDPL-DTR",E333)),"PDPL-2021","NONE"))))))))</f>
        <v/>
      </c>
      <c r="BF333" s="594">
        <f>IF(E333="","",IF(BB333="DEEP",10,IF(BB333="SHALLOW",5,IF(BB333="TEMPLATE",3,1)))+IF(N333="HIGHEST",5,IF(N333="HIGH",3,IF(N333="MODERATE",1,0)))+IF(ISNUMBER(SEARCH("Mandatory",L333)),3,0))</f>
        <v/>
      </c>
    </row>
    <row r="334" ht="42" customHeight="1">
      <c r="A334" s="84" t="n">
        <v>289</v>
      </c>
      <c r="B334" s="85" t="inlineStr">
        <is>
          <t>KAIMRC</t>
        </is>
      </c>
      <c r="C334" s="70" t="inlineStr">
        <is>
          <t>King Abdullah Intl Medical Research Centre</t>
        </is>
      </c>
      <c r="D334" s="70" t="inlineStr">
        <is>
          <t>2. Healthcare &amp; Life Sciences</t>
        </is>
      </c>
      <c r="E334" s="85" t="inlineStr">
        <is>
          <t>KAIMRC-FW</t>
        </is>
      </c>
      <c r="F334" s="72" t="inlineStr">
        <is>
          <t>Research Ethics &amp; GCP Standards (ICH E6)</t>
        </is>
      </c>
      <c r="G334" s="70" t="inlineStr">
        <is>
          <t>الإطار التنظيمي الرئيسي</t>
        </is>
      </c>
      <c r="H334" s="70" t="inlineStr">
        <is>
          <t>Active/Updated</t>
        </is>
      </c>
      <c r="I334" s="71" t="inlineStr">
        <is>
          <t>2007</t>
        </is>
      </c>
      <c r="J334" s="71" t="inlineStr">
        <is>
          <t>N/A</t>
        </is>
      </c>
      <c r="K334" s="70" t="inlineStr">
        <is>
          <t>ISSUES/ENFORCES</t>
        </is>
      </c>
      <c r="L334" s="22" t="inlineStr">
        <is>
          <t>Mandatory Enforcer</t>
        </is>
      </c>
      <c r="M334" s="70" t="inlineStr">
        <is>
          <t>Entities regulated by this authority</t>
        </is>
      </c>
      <c r="N334" s="93" t="inlineStr">
        <is>
          <t>MODERATE</t>
        </is>
      </c>
      <c r="O334" s="87" t="inlineStr">
        <is>
          <t>https://www.gov.sa/</t>
        </is>
      </c>
      <c r="P334" s="70" t="inlineStr">
        <is>
          <t>Ministry/Authority official site</t>
        </is>
      </c>
      <c r="Q334" s="70" t="inlineStr">
        <is>
          <t>See official source for version history</t>
        </is>
      </c>
      <c r="R334" s="70" t="inlineStr">
        <is>
          <t>Framework issued by the relevant authority. Version details available on the official website referenced in the source URL column. The framework has been updated periodically since first issuance.</t>
        </is>
      </c>
      <c r="S334" s="71" t="inlineStr">
        <is>
          <t>See official source</t>
        </is>
      </c>
      <c r="T334" s="70" t="inlineStr">
        <is>
          <t>Updated as needed by the issuing authority</t>
        </is>
      </c>
      <c r="U334" s="25" t="inlineStr">
        <is>
          <t>CURRENT — consult official source for latest version</t>
        </is>
      </c>
      <c r="V334" s="70" t="inlineStr">
        <is>
          <t>Penalties defined by issuing authority; consult official source. NCA ECC-2 penalties apply if relevant</t>
        </is>
      </c>
      <c r="W334" s="72" t="inlineStr">
        <is>
          <t>Issuing authority and/or designated inspection department</t>
        </is>
      </c>
      <c r="X334" s="70" t="inlineStr">
        <is>
          <t>As specified in framework scope — consult official document</t>
        </is>
      </c>
      <c r="Y334" s="49" t="inlineStr">
        <is>
          <t>Both (unless specified otherwise in official document)</t>
        </is>
      </c>
      <c r="Z334" s="70" t="inlineStr">
        <is>
          <t>As defined by issuing authority</t>
        </is>
      </c>
      <c r="AA334" s="71" t="inlineStr">
        <is>
          <t>As defined by issuing authority</t>
        </is>
      </c>
      <c r="AB334" s="70" t="inlineStr">
        <is>
          <t>To be determined from framework text — see official source</t>
        </is>
      </c>
      <c r="AC334" s="70" t="inlineStr">
        <is>
          <t>See framework preamble for international standard references</t>
        </is>
      </c>
      <c r="AD334" s="49" t="inlineStr">
        <is>
          <t>Arabic (primary in KSA); English may be available</t>
        </is>
      </c>
      <c r="AE334" s="58" t="inlineStr">
        <is>
          <t>Mapped to relevant GH-ICGA layer — requires manual assessment</t>
        </is>
      </c>
      <c r="AF334" s="56" t="inlineStr">
        <is>
          <t>See official framework for maturity model details</t>
        </is>
      </c>
      <c r="AG334" s="70" t="inlineStr">
        <is>
          <t>Aligned with relevant Vision 2030 programme — see framework context</t>
        </is>
      </c>
      <c r="AH334" s="70" t="inlineStr">
        <is>
          <t>As specified in framework compliance requirements</t>
        </is>
      </c>
      <c r="AI334" s="73" t="inlineStr">
        <is>
          <t>Institutional theory and regulatory governance theory underpin all KSA regulatory frameworks. Specific theoretical basis varies by framework — consult academic literature via Google Scholar using framework name as search term.</t>
        </is>
      </c>
      <c r="AJ334" s="70" t="inlineStr">
        <is>
          <t>Academic debate varies by framework maturity and international adoption. For KSA-specific debate, consult: Almohammad &amp; Wills (2021) J Cybersecurity; Al-Khater et al. (2020) IEEE Access; Baker McKenzie KSA regulatory updates.</t>
        </is>
      </c>
      <c r="AK334" s="74" t="inlineStr">
        <is>
          <t>Known criticisms include: implementation gap between standards and practice; resource constraints for smaller healthcare entities; rapid technology evolution outpacing regulation. Consult framework evaluation literature for specifics.</t>
        </is>
      </c>
      <c r="AL334" s="75" t="inlineStr">
        <is>
          <t>Framework comparison requires contextual analysis. Key comparators: NIST CSF 2.0 (international benchmark), ISO 27001 (certifiable standard), ECC-2 (KSA mandatory baseline). See main database for cross-framework mapping.</t>
        </is>
      </c>
      <c r="AM334"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34" s="50" t="inlineStr">
        <is>
          <t>Official: Consult the official source URL in the database for the primary document. Training: ISACA, ISC2, RAPS, IAPP, and HIMSS offer professional development covering most regulatory domains. Estimated hours vary by framework complexity.</t>
        </is>
      </c>
      <c r="AO334" s="77" t="inlineStr">
        <is>
          <t>Relevance to GH-ICGA framework varies by layer — see GH-ICGA Layer Mapping column. All KSA mandatory frameworks are compliance inputs to GH-ICGA Layer 4. Frameworks with IoMT-specific provisions directly inform Layers 2 and 3.</t>
        </is>
      </c>
      <c r="AP334" s="51" t="inlineStr">
        <is>
          <t>G + C (Governance + Compliance — standard regulatory framework positioning)</t>
        </is>
      </c>
      <c r="AQ334" s="78" t="inlineStr">
        <is>
          <t>Senior management: accountability for framework compliance. Designated compliance officer: monitor requirements. All staff: awareness of applicable obligations</t>
        </is>
      </c>
      <c r="AR334" s="74" t="inlineStr">
        <is>
          <t>Regulatory Risk; Operational Risk; Reputational Risk — specific domains determined by framework scope</t>
        </is>
      </c>
      <c r="AS334" s="22" t="inlineStr">
        <is>
          <t>See official source — legal obligation, regulatory requirement, or voluntary standard as applicable</t>
        </is>
      </c>
      <c r="AT334" s="75" t="inlineStr">
        <is>
          <t>Administrative; Technical; Operational — specific distribution determined by framework content</t>
        </is>
      </c>
      <c r="AU334" s="79" t="inlineStr">
        <is>
          <t>1. Compliance status (compliant/non-compliant). 2. # open findings from last assessment. 3. % controls implemented. 4. Time to remediate findings. 5. Incident rate in framework scope area</t>
        </is>
      </c>
      <c r="AV334" s="80" t="inlineStr">
        <is>
          <t>Self-assessment; internal audit; external assessment as specified by issuing authority</t>
        </is>
      </c>
      <c r="AW334" s="81" t="inlineStr">
        <is>
          <t>ServiceNow GRC; IBM OpenPages; RSA Archer; MetricStream — all major GRC platforms support custom framework import. Contact vendor for framework-specific module</t>
        </is>
      </c>
      <c r="AX334" s="82" t="inlineStr">
        <is>
          <t>Third parties in scope must demonstrate equivalent compliance. Contractual compliance obligations; right-to-audit clauses; annual third-party assessment</t>
        </is>
      </c>
      <c r="AY334" s="83" t="inlineStr">
        <is>
          <t>Non-compliance: regulatory action by issuing authority; fines and penalties as specified; operational and reputational consequences</t>
        </is>
      </c>
      <c r="AZ334" s="80" t="inlineStr">
        <is>
          <t>Sector-specific — consult official source</t>
        </is>
      </c>
      <c r="BA334" s="41" t="inlineStr">
        <is>
          <t>Sector-Specific</t>
        </is>
      </c>
      <c r="BB334" s="591">
        <f>IF(E334="","",IF(ISNUMBER(SEARCH("Institutional theory and regulatory governance theory underpin",AI334)),"TEMPLATE",IF(LEN(AI334)&gt;100,"DEEP",IF(AI334="","SPARSE","SHALLOW"))))</f>
        <v/>
      </c>
      <c r="BC334" s="591">
        <f>IF(E334="","",D334&amp;"-"&amp;B334&amp;"-"&amp;E334)</f>
        <v/>
      </c>
      <c r="BD334" s="591">
        <f>IF(E334="","",SUBSTITUTE(SUBSTITUTE(B334&amp;"-"&amp;E334," ",""),":","-"))</f>
        <v/>
      </c>
      <c r="BE334" s="591">
        <f>IF(E334="","",IF(ISNUMBER(SEARCH("ECC",E334)),"NCA-ECC-2-2024",IF(ISNUMBER(SEARCH("OTCC",E334)),"NCA-ECC-2-2024",IF(ISNUMBER(SEARCH("CCC",E334)),"NCA-ECC-2-2024",IF(ISNUMBER(SEARCH("DCC",E334)),"NCA-ECC-2-2024",IF(ISNUMBER(SEARCH("CSCC",E334)),"NCA-ECC-2-2024",IF(ISNUMBER(SEARCH("PDPL-IR",E334)),"PDPL-2021",IF(ISNUMBER(SEARCH("PDPL-DTR",E334)),"PDPL-2021","NONE"))))))))</f>
        <v/>
      </c>
      <c r="BF334" s="594">
        <f>IF(E334="","",IF(BB334="DEEP",10,IF(BB334="SHALLOW",5,IF(BB334="TEMPLATE",3,1)))+IF(N334="HIGHEST",5,IF(N334="HIGH",3,IF(N334="MODERATE",1,0)))+IF(ISNUMBER(SEARCH("Mandatory",L334)),3,0))</f>
        <v/>
      </c>
    </row>
    <row r="335" ht="42" customHeight="1">
      <c r="A335" s="42" t="n">
        <v>290</v>
      </c>
      <c r="B335" s="69" t="inlineStr">
        <is>
          <t>KAIMRC</t>
        </is>
      </c>
      <c r="C335" s="44" t="inlineStr">
        <is>
          <t>King Abdullah Intl Medical Research Centre</t>
        </is>
      </c>
      <c r="D335" s="44" t="inlineStr">
        <is>
          <t>2. Healthcare &amp; Life Sciences</t>
        </is>
      </c>
      <c r="E335" s="69" t="inlineStr">
        <is>
          <t>NCA-ECC-2:2024</t>
        </is>
      </c>
      <c r="F335" s="45" t="inlineStr">
        <is>
          <t>Essential Cybersecurity Controls</t>
        </is>
      </c>
      <c r="G335" s="44" t="inlineStr">
        <is>
          <t>ضوابط الأمن السيبراني الأساسية</t>
        </is>
      </c>
      <c r="H335" s="44" t="inlineStr">
        <is>
          <t>ECC-2:2024</t>
        </is>
      </c>
      <c r="I335" s="46" t="inlineStr">
        <is>
          <t>2018</t>
        </is>
      </c>
      <c r="J335" s="46" t="inlineStr">
        <is>
          <t>108</t>
        </is>
      </c>
      <c r="K335" s="44" t="inlineStr">
        <is>
          <t>MUST COMPLY WITH</t>
        </is>
      </c>
      <c r="L335" s="66" t="inlineStr">
        <is>
          <t>Mandatory Complier</t>
        </is>
      </c>
      <c r="M335" s="44" t="inlineStr">
        <is>
          <t>King Abdullah Intl Medical Research Centre as government entity</t>
        </is>
      </c>
      <c r="N335" s="59" t="inlineStr">
        <is>
          <t>LOW</t>
        </is>
      </c>
      <c r="O335" s="48" t="inlineStr">
        <is>
          <t>https://nca.gov.sa/</t>
        </is>
      </c>
      <c r="P335" s="44" t="inlineStr">
        <is>
          <t>NCA ECC scope</t>
        </is>
      </c>
      <c r="Q335" s="70" t="inlineStr">
        <is>
          <t>See official source for version history</t>
        </is>
      </c>
      <c r="R335" s="70" t="inlineStr">
        <is>
          <t>Framework issued by the relevant authority. Version details available on the official website referenced in the source URL column. The framework has been updated periodically since first issuance.</t>
        </is>
      </c>
      <c r="S335" s="71" t="inlineStr">
        <is>
          <t>See official source</t>
        </is>
      </c>
      <c r="T335" s="70" t="inlineStr">
        <is>
          <t>Updated as needed by the issuing authority</t>
        </is>
      </c>
      <c r="U335" s="25" t="inlineStr">
        <is>
          <t>CURRENT — consult official source for latest version</t>
        </is>
      </c>
      <c r="V335" s="70" t="inlineStr">
        <is>
          <t>Penalties defined by issuing authority; consult official source. NCA ECC-2 penalties apply if relevant</t>
        </is>
      </c>
      <c r="W335" s="72" t="inlineStr">
        <is>
          <t>Issuing authority and/or designated inspection department</t>
        </is>
      </c>
      <c r="X335" s="70" t="inlineStr">
        <is>
          <t>As specified in framework scope — consult official document</t>
        </is>
      </c>
      <c r="Y335" s="49" t="inlineStr">
        <is>
          <t>Both (unless specified otherwise in official document)</t>
        </is>
      </c>
      <c r="Z335" s="70" t="inlineStr">
        <is>
          <t>As defined by issuing authority</t>
        </is>
      </c>
      <c r="AA335" s="71" t="inlineStr">
        <is>
          <t>As defined by issuing authority</t>
        </is>
      </c>
      <c r="AB335" s="70" t="inlineStr">
        <is>
          <t>To be determined from framework text — see official source</t>
        </is>
      </c>
      <c r="AC335" s="70" t="inlineStr">
        <is>
          <t>See framework preamble for international standard references</t>
        </is>
      </c>
      <c r="AD335" s="49" t="inlineStr">
        <is>
          <t>Arabic (primary in KSA); English may be available</t>
        </is>
      </c>
      <c r="AE335" s="58" t="inlineStr">
        <is>
          <t>Mapped to relevant GH-ICGA layer — requires manual assessment</t>
        </is>
      </c>
      <c r="AF335" s="56" t="inlineStr">
        <is>
          <t>See official framework for maturity model details</t>
        </is>
      </c>
      <c r="AG335" s="70" t="inlineStr">
        <is>
          <t>Aligned with relevant Vision 2030 programme — see framework context</t>
        </is>
      </c>
      <c r="AH335" s="70" t="inlineStr">
        <is>
          <t>As specified in framework compliance requirements</t>
        </is>
      </c>
      <c r="AI335" s="73" t="inlineStr">
        <is>
          <t>Institutional theory and regulatory governance theory underpin all KSA regulatory frameworks. Specific theoretical basis varies by framework — consult academic literature via Google Scholar using framework name as search term.</t>
        </is>
      </c>
      <c r="AJ335" s="70" t="inlineStr">
        <is>
          <t>Academic debate varies by framework maturity and international adoption. For KSA-specific debate, consult: Almohammad &amp; Wills (2021) J Cybersecurity; Al-Khater et al. (2020) IEEE Access; Baker McKenzie KSA regulatory updates.</t>
        </is>
      </c>
      <c r="AK335" s="74" t="inlineStr">
        <is>
          <t>Known criticisms include: implementation gap between standards and practice; resource constraints for smaller healthcare entities; rapid technology evolution outpacing regulation. Consult framework evaluation literature for specifics.</t>
        </is>
      </c>
      <c r="AL335" s="75" t="inlineStr">
        <is>
          <t>Framework comparison requires contextual analysis. Key comparators: NIST CSF 2.0 (international benchmark), ISO 27001 (certifiable standard), ECC-2 (KSA mandatory baseline). See main database for cross-framework mapping.</t>
        </is>
      </c>
      <c r="AM335"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35" s="50" t="inlineStr">
        <is>
          <t>Official: Consult the official source URL in the database for the primary document. Training: ISACA, ISC2, RAPS, IAPP, and HIMSS offer professional development covering most regulatory domains. Estimated hours vary by framework complexity.</t>
        </is>
      </c>
      <c r="AO335" s="77" t="inlineStr">
        <is>
          <t>Relevance to GH-ICGA framework varies by layer — see GH-ICGA Layer Mapping column. All KSA mandatory frameworks are compliance inputs to GH-ICGA Layer 4. Frameworks with IoMT-specific provisions directly inform Layers 2 and 3.</t>
        </is>
      </c>
      <c r="AP335" s="51" t="inlineStr">
        <is>
          <t>G + C (Governance + Compliance — standard regulatory framework positioning)</t>
        </is>
      </c>
      <c r="AQ335" s="78" t="inlineStr">
        <is>
          <t>Senior management: accountability for framework compliance. Designated compliance officer: monitor requirements. All staff: awareness of applicable obligations</t>
        </is>
      </c>
      <c r="AR335" s="74" t="inlineStr">
        <is>
          <t>Regulatory Risk; Operational Risk; Reputational Risk — specific domains determined by framework scope</t>
        </is>
      </c>
      <c r="AS335" s="22" t="inlineStr">
        <is>
          <t>See official source — legal obligation, regulatory requirement, or voluntary standard as applicable</t>
        </is>
      </c>
      <c r="AT335" s="75" t="inlineStr">
        <is>
          <t>Administrative; Technical; Operational — specific distribution determined by framework content</t>
        </is>
      </c>
      <c r="AU335" s="79" t="inlineStr">
        <is>
          <t>1. Compliance status (compliant/non-compliant). 2. # open findings from last assessment. 3. % controls implemented. 4. Time to remediate findings. 5. Incident rate in framework scope area</t>
        </is>
      </c>
      <c r="AV335" s="80" t="inlineStr">
        <is>
          <t>Self-assessment; internal audit; external assessment as specified by issuing authority</t>
        </is>
      </c>
      <c r="AW335" s="81" t="inlineStr">
        <is>
          <t>ServiceNow GRC; IBM OpenPages; RSA Archer; MetricStream — all major GRC platforms support custom framework import. Contact vendor for framework-specific module</t>
        </is>
      </c>
      <c r="AX335" s="82" t="inlineStr">
        <is>
          <t>Third parties in scope must demonstrate equivalent compliance. Contractual compliance obligations; right-to-audit clauses; annual third-party assessment</t>
        </is>
      </c>
      <c r="AY335" s="83" t="inlineStr">
        <is>
          <t>Non-compliance: regulatory action by issuing authority; fines and penalties as specified; operational and reputational consequences</t>
        </is>
      </c>
      <c r="AZ335" s="80" t="inlineStr">
        <is>
          <t>ALL 17 SECTORS</t>
        </is>
      </c>
      <c r="BA335" s="34" t="inlineStr">
        <is>
          <t>YES — ALL SECTORS</t>
        </is>
      </c>
      <c r="BB335" s="591">
        <f>IF(E335="","",IF(ISNUMBER(SEARCH("Institutional theory and regulatory governance theory underpin",AI335)),"TEMPLATE",IF(LEN(AI335)&gt;100,"DEEP",IF(AI335="","SPARSE","SHALLOW"))))</f>
        <v/>
      </c>
      <c r="BC335" s="591">
        <f>IF(E335="","",D335&amp;"-"&amp;B335&amp;"-"&amp;E335)</f>
        <v/>
      </c>
      <c r="BD335" s="591">
        <f>IF(E335="","",SUBSTITUTE(SUBSTITUTE(B335&amp;"-"&amp;E335," ",""),":","-"))</f>
        <v/>
      </c>
      <c r="BE335" s="591">
        <f>IF(E335="","",IF(ISNUMBER(SEARCH("ECC",E335)),"NCA-ECC-2-2024",IF(ISNUMBER(SEARCH("OTCC",E335)),"NCA-ECC-2-2024",IF(ISNUMBER(SEARCH("CCC",E335)),"NCA-ECC-2-2024",IF(ISNUMBER(SEARCH("DCC",E335)),"NCA-ECC-2-2024",IF(ISNUMBER(SEARCH("CSCC",E335)),"NCA-ECC-2-2024",IF(ISNUMBER(SEARCH("PDPL-IR",E335)),"PDPL-2021",IF(ISNUMBER(SEARCH("PDPL-DTR",E335)),"PDPL-2021","NONE"))))))))</f>
        <v/>
      </c>
      <c r="BF335" s="594">
        <f>IF(E335="","",IF(BB335="DEEP",10,IF(BB335="SHALLOW",5,IF(BB335="TEMPLATE",3,1)))+IF(N335="HIGHEST",5,IF(N335="HIGH",3,IF(N335="MODERATE",1,0)))+IF(ISNUMBER(SEARCH("Mandatory",L335)),3,0))</f>
        <v/>
      </c>
    </row>
    <row r="336" ht="42" customHeight="1">
      <c r="A336" s="84" t="n">
        <v>291</v>
      </c>
      <c r="B336" s="85" t="inlineStr">
        <is>
          <t>NGHA</t>
        </is>
      </c>
      <c r="C336" s="70" t="inlineStr">
        <is>
          <t>National Guard Health Affairs</t>
        </is>
      </c>
      <c r="D336" s="70" t="inlineStr">
        <is>
          <t>2. Healthcare &amp; Life Sciences</t>
        </is>
      </c>
      <c r="E336" s="85" t="inlineStr">
        <is>
          <t>NGHA-FW</t>
        </is>
      </c>
      <c r="F336" s="72" t="inlineStr">
        <is>
          <t>NGHA Hospital Network Operations Standards</t>
        </is>
      </c>
      <c r="G336" s="70" t="inlineStr">
        <is>
          <t>الإطار التنظيمي الرئيسي</t>
        </is>
      </c>
      <c r="H336" s="70" t="inlineStr">
        <is>
          <t>Active/Updated</t>
        </is>
      </c>
      <c r="I336" s="71" t="inlineStr">
        <is>
          <t>1983</t>
        </is>
      </c>
      <c r="J336" s="71" t="inlineStr">
        <is>
          <t>N/A</t>
        </is>
      </c>
      <c r="K336" s="70" t="inlineStr">
        <is>
          <t>ISSUES/ENFORCES</t>
        </is>
      </c>
      <c r="L336" s="22" t="inlineStr">
        <is>
          <t>Mandatory Enforcer</t>
        </is>
      </c>
      <c r="M336" s="70" t="inlineStr">
        <is>
          <t>Entities regulated by this authority</t>
        </is>
      </c>
      <c r="N336" s="93" t="inlineStr">
        <is>
          <t>MODERATE</t>
        </is>
      </c>
      <c r="O336" s="87" t="inlineStr">
        <is>
          <t>https://www.gov.sa/</t>
        </is>
      </c>
      <c r="P336" s="70" t="inlineStr">
        <is>
          <t>Ministry/Authority official site</t>
        </is>
      </c>
      <c r="Q336" s="70" t="inlineStr">
        <is>
          <t>See official source for version history</t>
        </is>
      </c>
      <c r="R336" s="70" t="inlineStr">
        <is>
          <t>Framework issued by the relevant authority. Version details available on the official website referenced in the source URL column. The framework has been updated periodically since first issuance.</t>
        </is>
      </c>
      <c r="S336" s="71" t="inlineStr">
        <is>
          <t>See official source</t>
        </is>
      </c>
      <c r="T336" s="70" t="inlineStr">
        <is>
          <t>Updated as needed by the issuing authority</t>
        </is>
      </c>
      <c r="U336" s="25" t="inlineStr">
        <is>
          <t>CURRENT — consult official source for latest version</t>
        </is>
      </c>
      <c r="V336" s="70" t="inlineStr">
        <is>
          <t>Penalties defined by issuing authority; consult official source. NCA ECC-2 penalties apply if relevant</t>
        </is>
      </c>
      <c r="W336" s="72" t="inlineStr">
        <is>
          <t>Issuing authority and/or designated inspection department</t>
        </is>
      </c>
      <c r="X336" s="70" t="inlineStr">
        <is>
          <t>As specified in framework scope — consult official document</t>
        </is>
      </c>
      <c r="Y336" s="49" t="inlineStr">
        <is>
          <t>Both (unless specified otherwise in official document)</t>
        </is>
      </c>
      <c r="Z336" s="70" t="inlineStr">
        <is>
          <t>As defined by issuing authority</t>
        </is>
      </c>
      <c r="AA336" s="71" t="inlineStr">
        <is>
          <t>As defined by issuing authority</t>
        </is>
      </c>
      <c r="AB336" s="70" t="inlineStr">
        <is>
          <t>To be determined from framework text — see official source</t>
        </is>
      </c>
      <c r="AC336" s="70" t="inlineStr">
        <is>
          <t>See framework preamble for international standard references</t>
        </is>
      </c>
      <c r="AD336" s="49" t="inlineStr">
        <is>
          <t>Arabic (primary in KSA); English may be available</t>
        </is>
      </c>
      <c r="AE336" s="58" t="inlineStr">
        <is>
          <t>Mapped to relevant GH-ICGA layer — requires manual assessment</t>
        </is>
      </c>
      <c r="AF336" s="56" t="inlineStr">
        <is>
          <t>See official framework for maturity model details</t>
        </is>
      </c>
      <c r="AG336" s="70" t="inlineStr">
        <is>
          <t>Aligned with relevant Vision 2030 programme — see framework context</t>
        </is>
      </c>
      <c r="AH336" s="70" t="inlineStr">
        <is>
          <t>As specified in framework compliance requirements</t>
        </is>
      </c>
      <c r="AI336" s="73" t="inlineStr">
        <is>
          <t>Institutional theory and regulatory governance theory underpin all KSA regulatory frameworks. Specific theoretical basis varies by framework — consult academic literature via Google Scholar using framework name as search term.</t>
        </is>
      </c>
      <c r="AJ336" s="70" t="inlineStr">
        <is>
          <t>Academic debate varies by framework maturity and international adoption. For KSA-specific debate, consult: Almohammad &amp; Wills (2021) J Cybersecurity; Al-Khater et al. (2020) IEEE Access; Baker McKenzie KSA regulatory updates.</t>
        </is>
      </c>
      <c r="AK336" s="74" t="inlineStr">
        <is>
          <t>Known criticisms include: implementation gap between standards and practice; resource constraints for smaller healthcare entities; rapid technology evolution outpacing regulation. Consult framework evaluation literature for specifics.</t>
        </is>
      </c>
      <c r="AL336" s="75" t="inlineStr">
        <is>
          <t>Framework comparison requires contextual analysis. Key comparators: NIST CSF 2.0 (international benchmark), ISO 27001 (certifiable standard), ECC-2 (KSA mandatory baseline). See main database for cross-framework mapping.</t>
        </is>
      </c>
      <c r="AM336"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36" s="50" t="inlineStr">
        <is>
          <t>Official: Consult the official source URL in the database for the primary document. Training: ISACA, ISC2, RAPS, IAPP, and HIMSS offer professional development covering most regulatory domains. Estimated hours vary by framework complexity.</t>
        </is>
      </c>
      <c r="AO336" s="77" t="inlineStr">
        <is>
          <t>Relevance to GH-ICGA framework varies by layer — see GH-ICGA Layer Mapping column. All KSA mandatory frameworks are compliance inputs to GH-ICGA Layer 4. Frameworks with IoMT-specific provisions directly inform Layers 2 and 3.</t>
        </is>
      </c>
      <c r="AP336" s="51" t="inlineStr">
        <is>
          <t>G + C (Governance + Compliance — standard regulatory framework positioning)</t>
        </is>
      </c>
      <c r="AQ336" s="78" t="inlineStr">
        <is>
          <t>Senior management: accountability for framework compliance. Designated compliance officer: monitor requirements. All staff: awareness of applicable obligations</t>
        </is>
      </c>
      <c r="AR336" s="74" t="inlineStr">
        <is>
          <t>Regulatory Risk; Operational Risk; Reputational Risk — specific domains determined by framework scope</t>
        </is>
      </c>
      <c r="AS336" s="22" t="inlineStr">
        <is>
          <t>See official source — legal obligation, regulatory requirement, or voluntary standard as applicable</t>
        </is>
      </c>
      <c r="AT336" s="75" t="inlineStr">
        <is>
          <t>Administrative; Technical; Operational — specific distribution determined by framework content</t>
        </is>
      </c>
      <c r="AU336" s="79" t="inlineStr">
        <is>
          <t>1. Compliance status (compliant/non-compliant). 2. # open findings from last assessment. 3. % controls implemented. 4. Time to remediate findings. 5. Incident rate in framework scope area</t>
        </is>
      </c>
      <c r="AV336" s="80" t="inlineStr">
        <is>
          <t>Self-assessment; internal audit; external assessment as specified by issuing authority</t>
        </is>
      </c>
      <c r="AW336" s="81" t="inlineStr">
        <is>
          <t>ServiceNow GRC; IBM OpenPages; RSA Archer; MetricStream — all major GRC platforms support custom framework import. Contact vendor for framework-specific module</t>
        </is>
      </c>
      <c r="AX336" s="82" t="inlineStr">
        <is>
          <t>Third parties in scope must demonstrate equivalent compliance. Contractual compliance obligations; right-to-audit clauses; annual third-party assessment</t>
        </is>
      </c>
      <c r="AY336" s="83" t="inlineStr">
        <is>
          <t>Non-compliance: regulatory action by issuing authority; fines and penalties as specified; operational and reputational consequences</t>
        </is>
      </c>
      <c r="AZ336" s="80" t="inlineStr">
        <is>
          <t>Sector-specific — consult official source</t>
        </is>
      </c>
      <c r="BA336" s="41" t="inlineStr">
        <is>
          <t>Sector-Specific</t>
        </is>
      </c>
      <c r="BB336" s="591">
        <f>IF(E336="","",IF(ISNUMBER(SEARCH("Institutional theory and regulatory governance theory underpin",AI336)),"TEMPLATE",IF(LEN(AI336)&gt;100,"DEEP",IF(AI336="","SPARSE","SHALLOW"))))</f>
        <v/>
      </c>
      <c r="BC336" s="591">
        <f>IF(E336="","",D336&amp;"-"&amp;B336&amp;"-"&amp;E336)</f>
        <v/>
      </c>
      <c r="BD336" s="591">
        <f>IF(E336="","",SUBSTITUTE(SUBSTITUTE(B336&amp;"-"&amp;E336," ",""),":","-"))</f>
        <v/>
      </c>
      <c r="BE336" s="591">
        <f>IF(E336="","",IF(ISNUMBER(SEARCH("ECC",E336)),"NCA-ECC-2-2024",IF(ISNUMBER(SEARCH("OTCC",E336)),"NCA-ECC-2-2024",IF(ISNUMBER(SEARCH("CCC",E336)),"NCA-ECC-2-2024",IF(ISNUMBER(SEARCH("DCC",E336)),"NCA-ECC-2-2024",IF(ISNUMBER(SEARCH("CSCC",E336)),"NCA-ECC-2-2024",IF(ISNUMBER(SEARCH("PDPL-IR",E336)),"PDPL-2021",IF(ISNUMBER(SEARCH("PDPL-DTR",E336)),"PDPL-2021","NONE"))))))))</f>
        <v/>
      </c>
      <c r="BF336" s="594">
        <f>IF(E336="","",IF(BB336="DEEP",10,IF(BB336="SHALLOW",5,IF(BB336="TEMPLATE",3,1)))+IF(N336="HIGHEST",5,IF(N336="HIGH",3,IF(N336="MODERATE",1,0)))+IF(ISNUMBER(SEARCH("Mandatory",L336)),3,0))</f>
        <v/>
      </c>
    </row>
    <row r="337" ht="42" customHeight="1">
      <c r="A337" s="42" t="n">
        <v>292</v>
      </c>
      <c r="B337" s="69" t="inlineStr">
        <is>
          <t>NGHA</t>
        </is>
      </c>
      <c r="C337" s="44" t="inlineStr">
        <is>
          <t>National Guard Health Affairs</t>
        </is>
      </c>
      <c r="D337" s="44" t="inlineStr">
        <is>
          <t>2. Healthcare &amp; Life Sciences</t>
        </is>
      </c>
      <c r="E337" s="69" t="inlineStr">
        <is>
          <t>NCA-ECC-2:2024</t>
        </is>
      </c>
      <c r="F337" s="45" t="inlineStr">
        <is>
          <t>Essential Cybersecurity Controls</t>
        </is>
      </c>
      <c r="G337" s="44" t="inlineStr">
        <is>
          <t>ضوابط الأمن السيبراني الأساسية</t>
        </is>
      </c>
      <c r="H337" s="44" t="inlineStr">
        <is>
          <t>ECC-2:2024</t>
        </is>
      </c>
      <c r="I337" s="46" t="inlineStr">
        <is>
          <t>2018</t>
        </is>
      </c>
      <c r="J337" s="46" t="inlineStr">
        <is>
          <t>108</t>
        </is>
      </c>
      <c r="K337" s="44" t="inlineStr">
        <is>
          <t>MUST COMPLY WITH</t>
        </is>
      </c>
      <c r="L337" s="66" t="inlineStr">
        <is>
          <t>Mandatory Complier</t>
        </is>
      </c>
      <c r="M337" s="44" t="inlineStr">
        <is>
          <t>National Guard Health Affairs as government entity</t>
        </is>
      </c>
      <c r="N337" s="59" t="inlineStr">
        <is>
          <t>LOW</t>
        </is>
      </c>
      <c r="O337" s="48" t="inlineStr">
        <is>
          <t>https://nca.gov.sa/</t>
        </is>
      </c>
      <c r="P337" s="44" t="inlineStr">
        <is>
          <t>NCA ECC scope</t>
        </is>
      </c>
      <c r="Q337" s="70" t="inlineStr">
        <is>
          <t>See official source for version history</t>
        </is>
      </c>
      <c r="R337" s="70" t="inlineStr">
        <is>
          <t>Framework issued by the relevant authority. Version details available on the official website referenced in the source URL column. The framework has been updated periodically since first issuance.</t>
        </is>
      </c>
      <c r="S337" s="71" t="inlineStr">
        <is>
          <t>See official source</t>
        </is>
      </c>
      <c r="T337" s="70" t="inlineStr">
        <is>
          <t>Updated as needed by the issuing authority</t>
        </is>
      </c>
      <c r="U337" s="25" t="inlineStr">
        <is>
          <t>CURRENT — consult official source for latest version</t>
        </is>
      </c>
      <c r="V337" s="70" t="inlineStr">
        <is>
          <t>Penalties defined by issuing authority; consult official source. NCA ECC-2 penalties apply if relevant</t>
        </is>
      </c>
      <c r="W337" s="72" t="inlineStr">
        <is>
          <t>Issuing authority and/or designated inspection department</t>
        </is>
      </c>
      <c r="X337" s="70" t="inlineStr">
        <is>
          <t>As specified in framework scope — consult official document</t>
        </is>
      </c>
      <c r="Y337" s="49" t="inlineStr">
        <is>
          <t>Both (unless specified otherwise in official document)</t>
        </is>
      </c>
      <c r="Z337" s="70" t="inlineStr">
        <is>
          <t>As defined by issuing authority</t>
        </is>
      </c>
      <c r="AA337" s="71" t="inlineStr">
        <is>
          <t>As defined by issuing authority</t>
        </is>
      </c>
      <c r="AB337" s="70" t="inlineStr">
        <is>
          <t>To be determined from framework text — see official source</t>
        </is>
      </c>
      <c r="AC337" s="70" t="inlineStr">
        <is>
          <t>See framework preamble for international standard references</t>
        </is>
      </c>
      <c r="AD337" s="49" t="inlineStr">
        <is>
          <t>Arabic (primary in KSA); English may be available</t>
        </is>
      </c>
      <c r="AE337" s="58" t="inlineStr">
        <is>
          <t>Mapped to relevant GH-ICGA layer — requires manual assessment</t>
        </is>
      </c>
      <c r="AF337" s="56" t="inlineStr">
        <is>
          <t>See official framework for maturity model details</t>
        </is>
      </c>
      <c r="AG337" s="70" t="inlineStr">
        <is>
          <t>Aligned with relevant Vision 2030 programme — see framework context</t>
        </is>
      </c>
      <c r="AH337" s="70" t="inlineStr">
        <is>
          <t>As specified in framework compliance requirements</t>
        </is>
      </c>
      <c r="AI337" s="73" t="inlineStr">
        <is>
          <t>Institutional theory and regulatory governance theory underpin all KSA regulatory frameworks. Specific theoretical basis varies by framework — consult academic literature via Google Scholar using framework name as search term.</t>
        </is>
      </c>
      <c r="AJ337" s="70" t="inlineStr">
        <is>
          <t>Academic debate varies by framework maturity and international adoption. For KSA-specific debate, consult: Almohammad &amp; Wills (2021) J Cybersecurity; Al-Khater et al. (2020) IEEE Access; Baker McKenzie KSA regulatory updates.</t>
        </is>
      </c>
      <c r="AK337" s="74" t="inlineStr">
        <is>
          <t>Known criticisms include: implementation gap between standards and practice; resource constraints for smaller healthcare entities; rapid technology evolution outpacing regulation. Consult framework evaluation literature for specifics.</t>
        </is>
      </c>
      <c r="AL337" s="75" t="inlineStr">
        <is>
          <t>Framework comparison requires contextual analysis. Key comparators: NIST CSF 2.0 (international benchmark), ISO 27001 (certifiable standard), ECC-2 (KSA mandatory baseline). See main database for cross-framework mapping.</t>
        </is>
      </c>
      <c r="AM337"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37" s="50" t="inlineStr">
        <is>
          <t>Official: Consult the official source URL in the database for the primary document. Training: ISACA, ISC2, RAPS, IAPP, and HIMSS offer professional development covering most regulatory domains. Estimated hours vary by framework complexity.</t>
        </is>
      </c>
      <c r="AO337" s="77" t="inlineStr">
        <is>
          <t>Relevance to GH-ICGA framework varies by layer — see GH-ICGA Layer Mapping column. All KSA mandatory frameworks are compliance inputs to GH-ICGA Layer 4. Frameworks with IoMT-specific provisions directly inform Layers 2 and 3.</t>
        </is>
      </c>
      <c r="AP337" s="51" t="inlineStr">
        <is>
          <t>G + C (Governance + Compliance — standard regulatory framework positioning)</t>
        </is>
      </c>
      <c r="AQ337" s="78" t="inlineStr">
        <is>
          <t>Senior management: accountability for framework compliance. Designated compliance officer: monitor requirements. All staff: awareness of applicable obligations</t>
        </is>
      </c>
      <c r="AR337" s="74" t="inlineStr">
        <is>
          <t>Regulatory Risk; Operational Risk; Reputational Risk — specific domains determined by framework scope</t>
        </is>
      </c>
      <c r="AS337" s="22" t="inlineStr">
        <is>
          <t>See official source — legal obligation, regulatory requirement, or voluntary standard as applicable</t>
        </is>
      </c>
      <c r="AT337" s="75" t="inlineStr">
        <is>
          <t>Administrative; Technical; Operational — specific distribution determined by framework content</t>
        </is>
      </c>
      <c r="AU337" s="79" t="inlineStr">
        <is>
          <t>1. Compliance status (compliant/non-compliant). 2. # open findings from last assessment. 3. % controls implemented. 4. Time to remediate findings. 5. Incident rate in framework scope area</t>
        </is>
      </c>
      <c r="AV337" s="80" t="inlineStr">
        <is>
          <t>Self-assessment; internal audit; external assessment as specified by issuing authority</t>
        </is>
      </c>
      <c r="AW337" s="81" t="inlineStr">
        <is>
          <t>ServiceNow GRC; IBM OpenPages; RSA Archer; MetricStream — all major GRC platforms support custom framework import. Contact vendor for framework-specific module</t>
        </is>
      </c>
      <c r="AX337" s="82" t="inlineStr">
        <is>
          <t>Third parties in scope must demonstrate equivalent compliance. Contractual compliance obligations; right-to-audit clauses; annual third-party assessment</t>
        </is>
      </c>
      <c r="AY337" s="83" t="inlineStr">
        <is>
          <t>Non-compliance: regulatory action by issuing authority; fines and penalties as specified; operational and reputational consequences</t>
        </is>
      </c>
      <c r="AZ337" s="80" t="inlineStr">
        <is>
          <t>ALL 17 SECTORS</t>
        </is>
      </c>
      <c r="BA337" s="34" t="inlineStr">
        <is>
          <t>YES — ALL SECTORS</t>
        </is>
      </c>
      <c r="BB337" s="591">
        <f>IF(E337="","",IF(ISNUMBER(SEARCH("Institutional theory and regulatory governance theory underpin",AI337)),"TEMPLATE",IF(LEN(AI337)&gt;100,"DEEP",IF(AI337="","SPARSE","SHALLOW"))))</f>
        <v/>
      </c>
      <c r="BC337" s="591">
        <f>IF(E337="","",D337&amp;"-"&amp;B337&amp;"-"&amp;E337)</f>
        <v/>
      </c>
      <c r="BD337" s="591">
        <f>IF(E337="","",SUBSTITUTE(SUBSTITUTE(B337&amp;"-"&amp;E337," ",""),":","-"))</f>
        <v/>
      </c>
      <c r="BE337" s="591">
        <f>IF(E337="","",IF(ISNUMBER(SEARCH("ECC",E337)),"NCA-ECC-2-2024",IF(ISNUMBER(SEARCH("OTCC",E337)),"NCA-ECC-2-2024",IF(ISNUMBER(SEARCH("CCC",E337)),"NCA-ECC-2-2024",IF(ISNUMBER(SEARCH("DCC",E337)),"NCA-ECC-2-2024",IF(ISNUMBER(SEARCH("CSCC",E337)),"NCA-ECC-2-2024",IF(ISNUMBER(SEARCH("PDPL-IR",E337)),"PDPL-2021",IF(ISNUMBER(SEARCH("PDPL-DTR",E337)),"PDPL-2021","NONE"))))))))</f>
        <v/>
      </c>
      <c r="BF337" s="594">
        <f>IF(E337="","",IF(BB337="DEEP",10,IF(BB337="SHALLOW",5,IF(BB337="TEMPLATE",3,1)))+IF(N337="HIGHEST",5,IF(N337="HIGH",3,IF(N337="MODERATE",1,0)))+IF(ISNUMBER(SEARCH("Mandatory",L337)),3,0))</f>
        <v/>
      </c>
    </row>
    <row r="338" ht="42" customHeight="1">
      <c r="A338" s="84" t="n">
        <v>293</v>
      </c>
      <c r="B338" s="85" t="inlineStr">
        <is>
          <t>KACST-H</t>
        </is>
      </c>
      <c r="C338" s="70" t="inlineStr">
        <is>
          <t>KACST Health Research Programme</t>
        </is>
      </c>
      <c r="D338" s="70" t="inlineStr">
        <is>
          <t>2. Healthcare &amp; Life Sciences</t>
        </is>
      </c>
      <c r="E338" s="85" t="inlineStr">
        <is>
          <t>KACST-H-FW</t>
        </is>
      </c>
      <c r="F338" s="72" t="inlineStr">
        <is>
          <t>Research Ethics &amp; Governance</t>
        </is>
      </c>
      <c r="G338" s="70" t="inlineStr">
        <is>
          <t>الإطار التنظيمي الرئيسي</t>
        </is>
      </c>
      <c r="H338" s="70" t="inlineStr">
        <is>
          <t>Active/Updated</t>
        </is>
      </c>
      <c r="I338" s="71" t="inlineStr">
        <is>
          <t>1977</t>
        </is>
      </c>
      <c r="J338" s="71" t="inlineStr">
        <is>
          <t>N/A</t>
        </is>
      </c>
      <c r="K338" s="70" t="inlineStr">
        <is>
          <t>ISSUES/ENFORCES</t>
        </is>
      </c>
      <c r="L338" s="22" t="inlineStr">
        <is>
          <t>Mandatory Enforcer</t>
        </is>
      </c>
      <c r="M338" s="70" t="inlineStr">
        <is>
          <t>Entities regulated by this authority</t>
        </is>
      </c>
      <c r="N338" s="93" t="inlineStr">
        <is>
          <t>MODERATE</t>
        </is>
      </c>
      <c r="O338" s="87" t="inlineStr">
        <is>
          <t>https://www.gov.sa/</t>
        </is>
      </c>
      <c r="P338" s="70" t="inlineStr">
        <is>
          <t>Ministry/Authority official site</t>
        </is>
      </c>
      <c r="Q338" s="70" t="inlineStr">
        <is>
          <t>See official source for version history</t>
        </is>
      </c>
      <c r="R338" s="70" t="inlineStr">
        <is>
          <t>Framework issued by the relevant authority. Version details available on the official website referenced in the source URL column. The framework has been updated periodically since first issuance.</t>
        </is>
      </c>
      <c r="S338" s="71" t="inlineStr">
        <is>
          <t>See official source</t>
        </is>
      </c>
      <c r="T338" s="70" t="inlineStr">
        <is>
          <t>Updated as needed by the issuing authority</t>
        </is>
      </c>
      <c r="U338" s="25" t="inlineStr">
        <is>
          <t>CURRENT — consult official source for latest version</t>
        </is>
      </c>
      <c r="V338" s="70" t="inlineStr">
        <is>
          <t>Penalties defined by issuing authority; consult official source. NCA ECC-2 penalties apply if relevant</t>
        </is>
      </c>
      <c r="W338" s="72" t="inlineStr">
        <is>
          <t>Issuing authority and/or designated inspection department</t>
        </is>
      </c>
      <c r="X338" s="70" t="inlineStr">
        <is>
          <t>As specified in framework scope — consult official document</t>
        </is>
      </c>
      <c r="Y338" s="49" t="inlineStr">
        <is>
          <t>Both (unless specified otherwise in official document)</t>
        </is>
      </c>
      <c r="Z338" s="70" t="inlineStr">
        <is>
          <t>As defined by issuing authority</t>
        </is>
      </c>
      <c r="AA338" s="71" t="inlineStr">
        <is>
          <t>As defined by issuing authority</t>
        </is>
      </c>
      <c r="AB338" s="70" t="inlineStr">
        <is>
          <t>To be determined from framework text — see official source</t>
        </is>
      </c>
      <c r="AC338" s="70" t="inlineStr">
        <is>
          <t>See framework preamble for international standard references</t>
        </is>
      </c>
      <c r="AD338" s="49" t="inlineStr">
        <is>
          <t>Arabic (primary in KSA); English may be available</t>
        </is>
      </c>
      <c r="AE338" s="58" t="inlineStr">
        <is>
          <t>Mapped to relevant GH-ICGA layer — requires manual assessment</t>
        </is>
      </c>
      <c r="AF338" s="56" t="inlineStr">
        <is>
          <t>See official framework for maturity model details</t>
        </is>
      </c>
      <c r="AG338" s="70" t="inlineStr">
        <is>
          <t>Aligned with relevant Vision 2030 programme — see framework context</t>
        </is>
      </c>
      <c r="AH338" s="70" t="inlineStr">
        <is>
          <t>As specified in framework compliance requirements</t>
        </is>
      </c>
      <c r="AI338" s="73" t="inlineStr">
        <is>
          <t>Institutional theory and regulatory governance theory underpin all KSA regulatory frameworks. Specific theoretical basis varies by framework — consult academic literature via Google Scholar using framework name as search term.</t>
        </is>
      </c>
      <c r="AJ338" s="70" t="inlineStr">
        <is>
          <t>Academic debate varies by framework maturity and international adoption. For KSA-specific debate, consult: Almohammad &amp; Wills (2021) J Cybersecurity; Al-Khater et al. (2020) IEEE Access; Baker McKenzie KSA regulatory updates.</t>
        </is>
      </c>
      <c r="AK338" s="74" t="inlineStr">
        <is>
          <t>Known criticisms include: implementation gap between standards and practice; resource constraints for smaller healthcare entities; rapid technology evolution outpacing regulation. Consult framework evaluation literature for specifics.</t>
        </is>
      </c>
      <c r="AL338" s="75" t="inlineStr">
        <is>
          <t>Framework comparison requires contextual analysis. Key comparators: NIST CSF 2.0 (international benchmark), ISO 27001 (certifiable standard), ECC-2 (KSA mandatory baseline). See main database for cross-framework mapping.</t>
        </is>
      </c>
      <c r="AM338"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38" s="50" t="inlineStr">
        <is>
          <t>Official: Consult the official source URL in the database for the primary document. Training: ISACA, ISC2, RAPS, IAPP, and HIMSS offer professional development covering most regulatory domains. Estimated hours vary by framework complexity.</t>
        </is>
      </c>
      <c r="AO338" s="77" t="inlineStr">
        <is>
          <t>Relevance to GH-ICGA framework varies by layer — see GH-ICGA Layer Mapping column. All KSA mandatory frameworks are compliance inputs to GH-ICGA Layer 4. Frameworks with IoMT-specific provisions directly inform Layers 2 and 3.</t>
        </is>
      </c>
      <c r="AP338" s="51" t="inlineStr">
        <is>
          <t>G + C (Governance + Compliance — standard regulatory framework positioning)</t>
        </is>
      </c>
      <c r="AQ338" s="78" t="inlineStr">
        <is>
          <t>Senior management: accountability for framework compliance. Designated compliance officer: monitor requirements. All staff: awareness of applicable obligations</t>
        </is>
      </c>
      <c r="AR338" s="74" t="inlineStr">
        <is>
          <t>Regulatory Risk; Operational Risk; Reputational Risk — specific domains determined by framework scope</t>
        </is>
      </c>
      <c r="AS338" s="22" t="inlineStr">
        <is>
          <t>See official source — legal obligation, regulatory requirement, or voluntary standard as applicable</t>
        </is>
      </c>
      <c r="AT338" s="75" t="inlineStr">
        <is>
          <t>Administrative; Technical; Operational — specific distribution determined by framework content</t>
        </is>
      </c>
      <c r="AU338" s="79" t="inlineStr">
        <is>
          <t>1. Compliance status (compliant/non-compliant). 2. # open findings from last assessment. 3. % controls implemented. 4. Time to remediate findings. 5. Incident rate in framework scope area</t>
        </is>
      </c>
      <c r="AV338" s="80" t="inlineStr">
        <is>
          <t>Self-assessment; internal audit; external assessment as specified by issuing authority</t>
        </is>
      </c>
      <c r="AW338" s="81" t="inlineStr">
        <is>
          <t>ServiceNow GRC; IBM OpenPages; RSA Archer; MetricStream — all major GRC platforms support custom framework import. Contact vendor for framework-specific module</t>
        </is>
      </c>
      <c r="AX338" s="82" t="inlineStr">
        <is>
          <t>Third parties in scope must demonstrate equivalent compliance. Contractual compliance obligations; right-to-audit clauses; annual third-party assessment</t>
        </is>
      </c>
      <c r="AY338" s="83" t="inlineStr">
        <is>
          <t>Non-compliance: regulatory action by issuing authority; fines and penalties as specified; operational and reputational consequences</t>
        </is>
      </c>
      <c r="AZ338" s="80" t="inlineStr">
        <is>
          <t>Sector-specific — consult official source</t>
        </is>
      </c>
      <c r="BA338" s="41" t="inlineStr">
        <is>
          <t>Sector-Specific</t>
        </is>
      </c>
      <c r="BB338" s="591">
        <f>IF(E338="","",IF(ISNUMBER(SEARCH("Institutional theory and regulatory governance theory underpin",AI338)),"TEMPLATE",IF(LEN(AI338)&gt;100,"DEEP",IF(AI338="","SPARSE","SHALLOW"))))</f>
        <v/>
      </c>
      <c r="BC338" s="591">
        <f>IF(E338="","",D338&amp;"-"&amp;B338&amp;"-"&amp;E338)</f>
        <v/>
      </c>
      <c r="BD338" s="591">
        <f>IF(E338="","",SUBSTITUTE(SUBSTITUTE(B338&amp;"-"&amp;E338," ",""),":","-"))</f>
        <v/>
      </c>
      <c r="BE338" s="591">
        <f>IF(E338="","",IF(ISNUMBER(SEARCH("ECC",E338)),"NCA-ECC-2-2024",IF(ISNUMBER(SEARCH("OTCC",E338)),"NCA-ECC-2-2024",IF(ISNUMBER(SEARCH("CCC",E338)),"NCA-ECC-2-2024",IF(ISNUMBER(SEARCH("DCC",E338)),"NCA-ECC-2-2024",IF(ISNUMBER(SEARCH("CSCC",E338)),"NCA-ECC-2-2024",IF(ISNUMBER(SEARCH("PDPL-IR",E338)),"PDPL-2021",IF(ISNUMBER(SEARCH("PDPL-DTR",E338)),"PDPL-2021","NONE"))))))))</f>
        <v/>
      </c>
      <c r="BF338" s="594">
        <f>IF(E338="","",IF(BB338="DEEP",10,IF(BB338="SHALLOW",5,IF(BB338="TEMPLATE",3,1)))+IF(N338="HIGHEST",5,IF(N338="HIGH",3,IF(N338="MODERATE",1,0)))+IF(ISNUMBER(SEARCH("Mandatory",L338)),3,0))</f>
        <v/>
      </c>
    </row>
    <row r="339" ht="42" customHeight="1">
      <c r="A339" s="42" t="n">
        <v>294</v>
      </c>
      <c r="B339" s="69" t="inlineStr">
        <is>
          <t>KACST-H</t>
        </is>
      </c>
      <c r="C339" s="44" t="inlineStr">
        <is>
          <t>KACST Health Research Programme</t>
        </is>
      </c>
      <c r="D339" s="44" t="inlineStr">
        <is>
          <t>2. Healthcare &amp; Life Sciences</t>
        </is>
      </c>
      <c r="E339" s="69" t="inlineStr">
        <is>
          <t>NCA-ECC-2:2024</t>
        </is>
      </c>
      <c r="F339" s="45" t="inlineStr">
        <is>
          <t>Essential Cybersecurity Controls</t>
        </is>
      </c>
      <c r="G339" s="44" t="inlineStr">
        <is>
          <t>ضوابط الأمن السيبراني الأساسية</t>
        </is>
      </c>
      <c r="H339" s="44" t="inlineStr">
        <is>
          <t>ECC-2:2024</t>
        </is>
      </c>
      <c r="I339" s="46" t="inlineStr">
        <is>
          <t>2018</t>
        </is>
      </c>
      <c r="J339" s="46" t="inlineStr">
        <is>
          <t>108</t>
        </is>
      </c>
      <c r="K339" s="44" t="inlineStr">
        <is>
          <t>MUST COMPLY WITH</t>
        </is>
      </c>
      <c r="L339" s="66" t="inlineStr">
        <is>
          <t>Mandatory Complier</t>
        </is>
      </c>
      <c r="M339" s="44" t="inlineStr">
        <is>
          <t>KACST Health Research Programme as government entity</t>
        </is>
      </c>
      <c r="N339" s="59" t="inlineStr">
        <is>
          <t>LOW</t>
        </is>
      </c>
      <c r="O339" s="48" t="inlineStr">
        <is>
          <t>https://nca.gov.sa/</t>
        </is>
      </c>
      <c r="P339" s="44" t="inlineStr">
        <is>
          <t>NCA ECC scope</t>
        </is>
      </c>
      <c r="Q339" s="70" t="inlineStr">
        <is>
          <t>See official source for version history</t>
        </is>
      </c>
      <c r="R339" s="70" t="inlineStr">
        <is>
          <t>Framework issued by the relevant authority. Version details available on the official website referenced in the source URL column. The framework has been updated periodically since first issuance.</t>
        </is>
      </c>
      <c r="S339" s="71" t="inlineStr">
        <is>
          <t>See official source</t>
        </is>
      </c>
      <c r="T339" s="70" t="inlineStr">
        <is>
          <t>Updated as needed by the issuing authority</t>
        </is>
      </c>
      <c r="U339" s="25" t="inlineStr">
        <is>
          <t>CURRENT — consult official source for latest version</t>
        </is>
      </c>
      <c r="V339" s="70" t="inlineStr">
        <is>
          <t>Penalties defined by issuing authority; consult official source. NCA ECC-2 penalties apply if relevant</t>
        </is>
      </c>
      <c r="W339" s="72" t="inlineStr">
        <is>
          <t>Issuing authority and/or designated inspection department</t>
        </is>
      </c>
      <c r="X339" s="70" t="inlineStr">
        <is>
          <t>As specified in framework scope — consult official document</t>
        </is>
      </c>
      <c r="Y339" s="49" t="inlineStr">
        <is>
          <t>Both (unless specified otherwise in official document)</t>
        </is>
      </c>
      <c r="Z339" s="70" t="inlineStr">
        <is>
          <t>As defined by issuing authority</t>
        </is>
      </c>
      <c r="AA339" s="71" t="inlineStr">
        <is>
          <t>As defined by issuing authority</t>
        </is>
      </c>
      <c r="AB339" s="70" t="inlineStr">
        <is>
          <t>To be determined from framework text — see official source</t>
        </is>
      </c>
      <c r="AC339" s="70" t="inlineStr">
        <is>
          <t>See framework preamble for international standard references</t>
        </is>
      </c>
      <c r="AD339" s="49" t="inlineStr">
        <is>
          <t>Arabic (primary in KSA); English may be available</t>
        </is>
      </c>
      <c r="AE339" s="58" t="inlineStr">
        <is>
          <t>Mapped to relevant GH-ICGA layer — requires manual assessment</t>
        </is>
      </c>
      <c r="AF339" s="56" t="inlineStr">
        <is>
          <t>See official framework for maturity model details</t>
        </is>
      </c>
      <c r="AG339" s="70" t="inlineStr">
        <is>
          <t>Aligned with relevant Vision 2030 programme — see framework context</t>
        </is>
      </c>
      <c r="AH339" s="70" t="inlineStr">
        <is>
          <t>As specified in framework compliance requirements</t>
        </is>
      </c>
      <c r="AI339" s="73" t="inlineStr">
        <is>
          <t>Institutional theory and regulatory governance theory underpin all KSA regulatory frameworks. Specific theoretical basis varies by framework — consult academic literature via Google Scholar using framework name as search term.</t>
        </is>
      </c>
      <c r="AJ339" s="70" t="inlineStr">
        <is>
          <t>Academic debate varies by framework maturity and international adoption. For KSA-specific debate, consult: Almohammad &amp; Wills (2021) J Cybersecurity; Al-Khater et al. (2020) IEEE Access; Baker McKenzie KSA regulatory updates.</t>
        </is>
      </c>
      <c r="AK339" s="74" t="inlineStr">
        <is>
          <t>Known criticisms include: implementation gap between standards and practice; resource constraints for smaller healthcare entities; rapid technology evolution outpacing regulation. Consult framework evaluation literature for specifics.</t>
        </is>
      </c>
      <c r="AL339" s="75" t="inlineStr">
        <is>
          <t>Framework comparison requires contextual analysis. Key comparators: NIST CSF 2.0 (international benchmark), ISO 27001 (certifiable standard), ECC-2 (KSA mandatory baseline). See main database for cross-framework mapping.</t>
        </is>
      </c>
      <c r="AM339"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39" s="50" t="inlineStr">
        <is>
          <t>Official: Consult the official source URL in the database for the primary document. Training: ISACA, ISC2, RAPS, IAPP, and HIMSS offer professional development covering most regulatory domains. Estimated hours vary by framework complexity.</t>
        </is>
      </c>
      <c r="AO339" s="77" t="inlineStr">
        <is>
          <t>Relevance to GH-ICGA framework varies by layer — see GH-ICGA Layer Mapping column. All KSA mandatory frameworks are compliance inputs to GH-ICGA Layer 4. Frameworks with IoMT-specific provisions directly inform Layers 2 and 3.</t>
        </is>
      </c>
      <c r="AP339" s="51" t="inlineStr">
        <is>
          <t>G + C (Governance + Compliance — standard regulatory framework positioning)</t>
        </is>
      </c>
      <c r="AQ339" s="78" t="inlineStr">
        <is>
          <t>Senior management: accountability for framework compliance. Designated compliance officer: monitor requirements. All staff: awareness of applicable obligations</t>
        </is>
      </c>
      <c r="AR339" s="74" t="inlineStr">
        <is>
          <t>Regulatory Risk; Operational Risk; Reputational Risk — specific domains determined by framework scope</t>
        </is>
      </c>
      <c r="AS339" s="22" t="inlineStr">
        <is>
          <t>See official source — legal obligation, regulatory requirement, or voluntary standard as applicable</t>
        </is>
      </c>
      <c r="AT339" s="75" t="inlineStr">
        <is>
          <t>Administrative; Technical; Operational — specific distribution determined by framework content</t>
        </is>
      </c>
      <c r="AU339" s="79" t="inlineStr">
        <is>
          <t>1. Compliance status (compliant/non-compliant). 2. # open findings from last assessment. 3. % controls implemented. 4. Time to remediate findings. 5. Incident rate in framework scope area</t>
        </is>
      </c>
      <c r="AV339" s="80" t="inlineStr">
        <is>
          <t>Self-assessment; internal audit; external assessment as specified by issuing authority</t>
        </is>
      </c>
      <c r="AW339" s="81" t="inlineStr">
        <is>
          <t>ServiceNow GRC; IBM OpenPages; RSA Archer; MetricStream — all major GRC platforms support custom framework import. Contact vendor for framework-specific module</t>
        </is>
      </c>
      <c r="AX339" s="82" t="inlineStr">
        <is>
          <t>Third parties in scope must demonstrate equivalent compliance. Contractual compliance obligations; right-to-audit clauses; annual third-party assessment</t>
        </is>
      </c>
      <c r="AY339" s="83" t="inlineStr">
        <is>
          <t>Non-compliance: regulatory action by issuing authority; fines and penalties as specified; operational and reputational consequences</t>
        </is>
      </c>
      <c r="AZ339" s="80" t="inlineStr">
        <is>
          <t>ALL 17 SECTORS</t>
        </is>
      </c>
      <c r="BA339" s="34" t="inlineStr">
        <is>
          <t>YES — ALL SECTORS</t>
        </is>
      </c>
      <c r="BB339" s="591">
        <f>IF(E339="","",IF(ISNUMBER(SEARCH("Institutional theory and regulatory governance theory underpin",AI339)),"TEMPLATE",IF(LEN(AI339)&gt;100,"DEEP",IF(AI339="","SPARSE","SHALLOW"))))</f>
        <v/>
      </c>
      <c r="BC339" s="591">
        <f>IF(E339="","",D339&amp;"-"&amp;B339&amp;"-"&amp;E339)</f>
        <v/>
      </c>
      <c r="BD339" s="591">
        <f>IF(E339="","",SUBSTITUTE(SUBSTITUTE(B339&amp;"-"&amp;E339," ",""),":","-"))</f>
        <v/>
      </c>
      <c r="BE339" s="591">
        <f>IF(E339="","",IF(ISNUMBER(SEARCH("ECC",E339)),"NCA-ECC-2-2024",IF(ISNUMBER(SEARCH("OTCC",E339)),"NCA-ECC-2-2024",IF(ISNUMBER(SEARCH("CCC",E339)),"NCA-ECC-2-2024",IF(ISNUMBER(SEARCH("DCC",E339)),"NCA-ECC-2-2024",IF(ISNUMBER(SEARCH("CSCC",E339)),"NCA-ECC-2-2024",IF(ISNUMBER(SEARCH("PDPL-IR",E339)),"PDPL-2021",IF(ISNUMBER(SEARCH("PDPL-DTR",E339)),"PDPL-2021","NONE"))))))))</f>
        <v/>
      </c>
      <c r="BF339" s="594">
        <f>IF(E339="","",IF(BB339="DEEP",10,IF(BB339="SHALLOW",5,IF(BB339="TEMPLATE",3,1)))+IF(N339="HIGHEST",5,IF(N339="HIGH",3,IF(N339="MODERATE",1,0)))+IF(ISNUMBER(SEARCH("Mandatory",L339)),3,0))</f>
        <v/>
      </c>
    </row>
    <row r="340" ht="42" customHeight="1">
      <c r="A340" s="84" t="n">
        <v>295</v>
      </c>
      <c r="B340" s="85" t="inlineStr">
        <is>
          <t>KFSHRC</t>
        </is>
      </c>
      <c r="C340" s="70" t="inlineStr">
        <is>
          <t>King Faisal Specialist Hospital &amp; Research</t>
        </is>
      </c>
      <c r="D340" s="70" t="inlineStr">
        <is>
          <t>2. Healthcare &amp; Life Sciences</t>
        </is>
      </c>
      <c r="E340" s="85" t="inlineStr">
        <is>
          <t>KFSHRC-FW</t>
        </is>
      </c>
      <c r="F340" s="72" t="inlineStr">
        <is>
          <t>Clinical Policy &amp; JCI/CBAHI Quality Management</t>
        </is>
      </c>
      <c r="G340" s="70" t="inlineStr">
        <is>
          <t>الإطار التنظيمي الرئيسي</t>
        </is>
      </c>
      <c r="H340" s="70" t="inlineStr">
        <is>
          <t>Active/Updated</t>
        </is>
      </c>
      <c r="I340" s="71" t="inlineStr">
        <is>
          <t>1975</t>
        </is>
      </c>
      <c r="J340" s="71" t="inlineStr">
        <is>
          <t>N/A</t>
        </is>
      </c>
      <c r="K340" s="70" t="inlineStr">
        <is>
          <t>ISSUES/ENFORCES</t>
        </is>
      </c>
      <c r="L340" s="22" t="inlineStr">
        <is>
          <t>Mandatory Enforcer</t>
        </is>
      </c>
      <c r="M340" s="70" t="inlineStr">
        <is>
          <t>Entities regulated by this authority</t>
        </is>
      </c>
      <c r="N340" s="93" t="inlineStr">
        <is>
          <t>MODERATE</t>
        </is>
      </c>
      <c r="O340" s="87" t="inlineStr">
        <is>
          <t>https://www.gov.sa/</t>
        </is>
      </c>
      <c r="P340" s="70" t="inlineStr">
        <is>
          <t>Ministry/Authority official site</t>
        </is>
      </c>
      <c r="Q340" s="70" t="inlineStr">
        <is>
          <t>See official source for version history</t>
        </is>
      </c>
      <c r="R340" s="70" t="inlineStr">
        <is>
          <t>Framework issued by the relevant authority. Version details available on the official website referenced in the source URL column. The framework has been updated periodically since first issuance.</t>
        </is>
      </c>
      <c r="S340" s="71" t="inlineStr">
        <is>
          <t>See official source</t>
        </is>
      </c>
      <c r="T340" s="70" t="inlineStr">
        <is>
          <t>Updated as needed by the issuing authority</t>
        </is>
      </c>
      <c r="U340" s="25" t="inlineStr">
        <is>
          <t>CURRENT — consult official source for latest version</t>
        </is>
      </c>
      <c r="V340" s="70" t="inlineStr">
        <is>
          <t>Penalties defined by issuing authority; consult official source. NCA ECC-2 penalties apply if relevant</t>
        </is>
      </c>
      <c r="W340" s="72" t="inlineStr">
        <is>
          <t>Issuing authority and/or designated inspection department</t>
        </is>
      </c>
      <c r="X340" s="70" t="inlineStr">
        <is>
          <t>As specified in framework scope — consult official document</t>
        </is>
      </c>
      <c r="Y340" s="49" t="inlineStr">
        <is>
          <t>Both (unless specified otherwise in official document)</t>
        </is>
      </c>
      <c r="Z340" s="70" t="inlineStr">
        <is>
          <t>As defined by issuing authority</t>
        </is>
      </c>
      <c r="AA340" s="71" t="inlineStr">
        <is>
          <t>As defined by issuing authority</t>
        </is>
      </c>
      <c r="AB340" s="70" t="inlineStr">
        <is>
          <t>To be determined from framework text — see official source</t>
        </is>
      </c>
      <c r="AC340" s="70" t="inlineStr">
        <is>
          <t>See framework preamble for international standard references</t>
        </is>
      </c>
      <c r="AD340" s="49" t="inlineStr">
        <is>
          <t>Arabic (primary in KSA); English may be available</t>
        </is>
      </c>
      <c r="AE340" s="58" t="inlineStr">
        <is>
          <t>Mapped to relevant GH-ICGA layer — requires manual assessment</t>
        </is>
      </c>
      <c r="AF340" s="56" t="inlineStr">
        <is>
          <t>See official framework for maturity model details</t>
        </is>
      </c>
      <c r="AG340" s="70" t="inlineStr">
        <is>
          <t>Aligned with relevant Vision 2030 programme — see framework context</t>
        </is>
      </c>
      <c r="AH340" s="70" t="inlineStr">
        <is>
          <t>As specified in framework compliance requirements</t>
        </is>
      </c>
      <c r="AI340" s="73" t="inlineStr">
        <is>
          <t>Institutional theory and regulatory governance theory underpin all KSA regulatory frameworks. Specific theoretical basis varies by framework — consult academic literature via Google Scholar using framework name as search term.</t>
        </is>
      </c>
      <c r="AJ340" s="70" t="inlineStr">
        <is>
          <t>Academic debate varies by framework maturity and international adoption. For KSA-specific debate, consult: Almohammad &amp; Wills (2021) J Cybersecurity; Al-Khater et al. (2020) IEEE Access; Baker McKenzie KSA regulatory updates.</t>
        </is>
      </c>
      <c r="AK340" s="74" t="inlineStr">
        <is>
          <t>Known criticisms include: implementation gap between standards and practice; resource constraints for smaller healthcare entities; rapid technology evolution outpacing regulation. Consult framework evaluation literature for specifics.</t>
        </is>
      </c>
      <c r="AL340" s="75" t="inlineStr">
        <is>
          <t>Framework comparison requires contextual analysis. Key comparators: NIST CSF 2.0 (international benchmark), ISO 27001 (certifiable standard), ECC-2 (KSA mandatory baseline). See main database for cross-framework mapping.</t>
        </is>
      </c>
      <c r="AM340"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40" s="50" t="inlineStr">
        <is>
          <t>Official: Consult the official source URL in the database for the primary document. Training: ISACA, ISC2, RAPS, IAPP, and HIMSS offer professional development covering most regulatory domains. Estimated hours vary by framework complexity.</t>
        </is>
      </c>
      <c r="AO340" s="77" t="inlineStr">
        <is>
          <t>Relevance to GH-ICGA framework varies by layer — see GH-ICGA Layer Mapping column. All KSA mandatory frameworks are compliance inputs to GH-ICGA Layer 4. Frameworks with IoMT-specific provisions directly inform Layers 2 and 3.</t>
        </is>
      </c>
      <c r="AP340" s="51" t="inlineStr">
        <is>
          <t>G + C (Governance + Compliance — standard regulatory framework positioning)</t>
        </is>
      </c>
      <c r="AQ340" s="78" t="inlineStr">
        <is>
          <t>Senior management: accountability for framework compliance. Designated compliance officer: monitor requirements. All staff: awareness of applicable obligations</t>
        </is>
      </c>
      <c r="AR340" s="74" t="inlineStr">
        <is>
          <t>Regulatory Risk; Operational Risk; Reputational Risk — specific domains determined by framework scope</t>
        </is>
      </c>
      <c r="AS340" s="22" t="inlineStr">
        <is>
          <t>See official source — legal obligation, regulatory requirement, or voluntary standard as applicable</t>
        </is>
      </c>
      <c r="AT340" s="75" t="inlineStr">
        <is>
          <t>Administrative; Technical; Operational — specific distribution determined by framework content</t>
        </is>
      </c>
      <c r="AU340" s="79" t="inlineStr">
        <is>
          <t>1. Compliance status (compliant/non-compliant). 2. # open findings from last assessment. 3. % controls implemented. 4. Time to remediate findings. 5. Incident rate in framework scope area</t>
        </is>
      </c>
      <c r="AV340" s="80" t="inlineStr">
        <is>
          <t>Self-assessment; internal audit; external assessment as specified by issuing authority</t>
        </is>
      </c>
      <c r="AW340" s="81" t="inlineStr">
        <is>
          <t>ServiceNow GRC; IBM OpenPages; RSA Archer; MetricStream — all major GRC platforms support custom framework import. Contact vendor for framework-specific module</t>
        </is>
      </c>
      <c r="AX340" s="82" t="inlineStr">
        <is>
          <t>Third parties in scope must demonstrate equivalent compliance. Contractual compliance obligations; right-to-audit clauses; annual third-party assessment</t>
        </is>
      </c>
      <c r="AY340" s="83" t="inlineStr">
        <is>
          <t>Non-compliance: regulatory action by issuing authority; fines and penalties as specified; operational and reputational consequences</t>
        </is>
      </c>
      <c r="AZ340" s="80" t="inlineStr">
        <is>
          <t>Sector-specific — consult official source</t>
        </is>
      </c>
      <c r="BA340" s="41" t="inlineStr">
        <is>
          <t>Sector-Specific</t>
        </is>
      </c>
      <c r="BB340" s="591">
        <f>IF(E340="","",IF(ISNUMBER(SEARCH("Institutional theory and regulatory governance theory underpin",AI340)),"TEMPLATE",IF(LEN(AI340)&gt;100,"DEEP",IF(AI340="","SPARSE","SHALLOW"))))</f>
        <v/>
      </c>
      <c r="BC340" s="591">
        <f>IF(E340="","",D340&amp;"-"&amp;B340&amp;"-"&amp;E340)</f>
        <v/>
      </c>
      <c r="BD340" s="591">
        <f>IF(E340="","",SUBSTITUTE(SUBSTITUTE(B340&amp;"-"&amp;E340," ",""),":","-"))</f>
        <v/>
      </c>
      <c r="BE340" s="591">
        <f>IF(E340="","",IF(ISNUMBER(SEARCH("ECC",E340)),"NCA-ECC-2-2024",IF(ISNUMBER(SEARCH("OTCC",E340)),"NCA-ECC-2-2024",IF(ISNUMBER(SEARCH("CCC",E340)),"NCA-ECC-2-2024",IF(ISNUMBER(SEARCH("DCC",E340)),"NCA-ECC-2-2024",IF(ISNUMBER(SEARCH("CSCC",E340)),"NCA-ECC-2-2024",IF(ISNUMBER(SEARCH("PDPL-IR",E340)),"PDPL-2021",IF(ISNUMBER(SEARCH("PDPL-DTR",E340)),"PDPL-2021","NONE"))))))))</f>
        <v/>
      </c>
      <c r="BF340" s="594">
        <f>IF(E340="","",IF(BB340="DEEP",10,IF(BB340="SHALLOW",5,IF(BB340="TEMPLATE",3,1)))+IF(N340="HIGHEST",5,IF(N340="HIGH",3,IF(N340="MODERATE",1,0)))+IF(ISNUMBER(SEARCH("Mandatory",L340)),3,0))</f>
        <v/>
      </c>
    </row>
    <row r="341" ht="42" customHeight="1">
      <c r="A341" s="42" t="n">
        <v>296</v>
      </c>
      <c r="B341" s="69" t="inlineStr">
        <is>
          <t>KFSHRC</t>
        </is>
      </c>
      <c r="C341" s="44" t="inlineStr">
        <is>
          <t>King Faisal Specialist Hospital &amp; Research</t>
        </is>
      </c>
      <c r="D341" s="44" t="inlineStr">
        <is>
          <t>2. Healthcare &amp; Life Sciences</t>
        </is>
      </c>
      <c r="E341" s="69" t="inlineStr">
        <is>
          <t>NCA-ECC-2:2024</t>
        </is>
      </c>
      <c r="F341" s="45" t="inlineStr">
        <is>
          <t>Essential Cybersecurity Controls</t>
        </is>
      </c>
      <c r="G341" s="44" t="inlineStr">
        <is>
          <t>ضوابط الأمن السيبراني الأساسية</t>
        </is>
      </c>
      <c r="H341" s="44" t="inlineStr">
        <is>
          <t>ECC-2:2024</t>
        </is>
      </c>
      <c r="I341" s="46" t="inlineStr">
        <is>
          <t>2018</t>
        </is>
      </c>
      <c r="J341" s="46" t="inlineStr">
        <is>
          <t>108</t>
        </is>
      </c>
      <c r="K341" s="44" t="inlineStr">
        <is>
          <t>MUST COMPLY WITH</t>
        </is>
      </c>
      <c r="L341" s="66" t="inlineStr">
        <is>
          <t>Mandatory Complier</t>
        </is>
      </c>
      <c r="M341" s="44" t="inlineStr">
        <is>
          <t>King Faisal Specialist Hospital &amp; Research as government entity</t>
        </is>
      </c>
      <c r="N341" s="59" t="inlineStr">
        <is>
          <t>LOW</t>
        </is>
      </c>
      <c r="O341" s="48" t="inlineStr">
        <is>
          <t>https://nca.gov.sa/</t>
        </is>
      </c>
      <c r="P341" s="44" t="inlineStr">
        <is>
          <t>NCA ECC scope</t>
        </is>
      </c>
      <c r="Q341" s="70" t="inlineStr">
        <is>
          <t>See official source for version history</t>
        </is>
      </c>
      <c r="R341" s="70" t="inlineStr">
        <is>
          <t>Framework issued by the relevant authority. Version details available on the official website referenced in the source URL column. The framework has been updated periodically since first issuance.</t>
        </is>
      </c>
      <c r="S341" s="71" t="inlineStr">
        <is>
          <t>See official source</t>
        </is>
      </c>
      <c r="T341" s="70" t="inlineStr">
        <is>
          <t>Updated as needed by the issuing authority</t>
        </is>
      </c>
      <c r="U341" s="25" t="inlineStr">
        <is>
          <t>CURRENT — consult official source for latest version</t>
        </is>
      </c>
      <c r="V341" s="70" t="inlineStr">
        <is>
          <t>Penalties defined by issuing authority; consult official source. NCA ECC-2 penalties apply if relevant</t>
        </is>
      </c>
      <c r="W341" s="72" t="inlineStr">
        <is>
          <t>Issuing authority and/or designated inspection department</t>
        </is>
      </c>
      <c r="X341" s="70" t="inlineStr">
        <is>
          <t>As specified in framework scope — consult official document</t>
        </is>
      </c>
      <c r="Y341" s="49" t="inlineStr">
        <is>
          <t>Both (unless specified otherwise in official document)</t>
        </is>
      </c>
      <c r="Z341" s="70" t="inlineStr">
        <is>
          <t>As defined by issuing authority</t>
        </is>
      </c>
      <c r="AA341" s="71" t="inlineStr">
        <is>
          <t>As defined by issuing authority</t>
        </is>
      </c>
      <c r="AB341" s="70" t="inlineStr">
        <is>
          <t>To be determined from framework text — see official source</t>
        </is>
      </c>
      <c r="AC341" s="70" t="inlineStr">
        <is>
          <t>See framework preamble for international standard references</t>
        </is>
      </c>
      <c r="AD341" s="49" t="inlineStr">
        <is>
          <t>Arabic (primary in KSA); English may be available</t>
        </is>
      </c>
      <c r="AE341" s="58" t="inlineStr">
        <is>
          <t>Mapped to relevant GH-ICGA layer — requires manual assessment</t>
        </is>
      </c>
      <c r="AF341" s="56" t="inlineStr">
        <is>
          <t>See official framework for maturity model details</t>
        </is>
      </c>
      <c r="AG341" s="70" t="inlineStr">
        <is>
          <t>Aligned with relevant Vision 2030 programme — see framework context</t>
        </is>
      </c>
      <c r="AH341" s="70" t="inlineStr">
        <is>
          <t>As specified in framework compliance requirements</t>
        </is>
      </c>
      <c r="AI341" s="73" t="inlineStr">
        <is>
          <t>Institutional theory and regulatory governance theory underpin all KSA regulatory frameworks. Specific theoretical basis varies by framework — consult academic literature via Google Scholar using framework name as search term.</t>
        </is>
      </c>
      <c r="AJ341" s="70" t="inlineStr">
        <is>
          <t>Academic debate varies by framework maturity and international adoption. For KSA-specific debate, consult: Almohammad &amp; Wills (2021) J Cybersecurity; Al-Khater et al. (2020) IEEE Access; Baker McKenzie KSA regulatory updates.</t>
        </is>
      </c>
      <c r="AK341" s="74" t="inlineStr">
        <is>
          <t>Known criticisms include: implementation gap between standards and practice; resource constraints for smaller healthcare entities; rapid technology evolution outpacing regulation. Consult framework evaluation literature for specifics.</t>
        </is>
      </c>
      <c r="AL341" s="75" t="inlineStr">
        <is>
          <t>Framework comparison requires contextual analysis. Key comparators: NIST CSF 2.0 (international benchmark), ISO 27001 (certifiable standard), ECC-2 (KSA mandatory baseline). See main database for cross-framework mapping.</t>
        </is>
      </c>
      <c r="AM341"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41" s="50" t="inlineStr">
        <is>
          <t>Official: Consult the official source URL in the database for the primary document. Training: ISACA, ISC2, RAPS, IAPP, and HIMSS offer professional development covering most regulatory domains. Estimated hours vary by framework complexity.</t>
        </is>
      </c>
      <c r="AO341" s="77" t="inlineStr">
        <is>
          <t>Relevance to GH-ICGA framework varies by layer — see GH-ICGA Layer Mapping column. All KSA mandatory frameworks are compliance inputs to GH-ICGA Layer 4. Frameworks with IoMT-specific provisions directly inform Layers 2 and 3.</t>
        </is>
      </c>
      <c r="AP341" s="51" t="inlineStr">
        <is>
          <t>G + C (Governance + Compliance — standard regulatory framework positioning)</t>
        </is>
      </c>
      <c r="AQ341" s="78" t="inlineStr">
        <is>
          <t>Senior management: accountability for framework compliance. Designated compliance officer: monitor requirements. All staff: awareness of applicable obligations</t>
        </is>
      </c>
      <c r="AR341" s="74" t="inlineStr">
        <is>
          <t>Regulatory Risk; Operational Risk; Reputational Risk — specific domains determined by framework scope</t>
        </is>
      </c>
      <c r="AS341" s="22" t="inlineStr">
        <is>
          <t>See official source — legal obligation, regulatory requirement, or voluntary standard as applicable</t>
        </is>
      </c>
      <c r="AT341" s="75" t="inlineStr">
        <is>
          <t>Administrative; Technical; Operational — specific distribution determined by framework content</t>
        </is>
      </c>
      <c r="AU341" s="79" t="inlineStr">
        <is>
          <t>1. Compliance status (compliant/non-compliant). 2. # open findings from last assessment. 3. % controls implemented. 4. Time to remediate findings. 5. Incident rate in framework scope area</t>
        </is>
      </c>
      <c r="AV341" s="80" t="inlineStr">
        <is>
          <t>Self-assessment; internal audit; external assessment as specified by issuing authority</t>
        </is>
      </c>
      <c r="AW341" s="81" t="inlineStr">
        <is>
          <t>ServiceNow GRC; IBM OpenPages; RSA Archer; MetricStream — all major GRC platforms support custom framework import. Contact vendor for framework-specific module</t>
        </is>
      </c>
      <c r="AX341" s="82" t="inlineStr">
        <is>
          <t>Third parties in scope must demonstrate equivalent compliance. Contractual compliance obligations; right-to-audit clauses; annual third-party assessment</t>
        </is>
      </c>
      <c r="AY341" s="83" t="inlineStr">
        <is>
          <t>Non-compliance: regulatory action by issuing authority; fines and penalties as specified; operational and reputational consequences</t>
        </is>
      </c>
      <c r="AZ341" s="80" t="inlineStr">
        <is>
          <t>ALL 17 SECTORS</t>
        </is>
      </c>
      <c r="BA341" s="34" t="inlineStr">
        <is>
          <t>YES — ALL SECTORS</t>
        </is>
      </c>
      <c r="BB341" s="591">
        <f>IF(E341="","",IF(ISNUMBER(SEARCH("Institutional theory and regulatory governance theory underpin",AI341)),"TEMPLATE",IF(LEN(AI341)&gt;100,"DEEP",IF(AI341="","SPARSE","SHALLOW"))))</f>
        <v/>
      </c>
      <c r="BC341" s="591">
        <f>IF(E341="","",D341&amp;"-"&amp;B341&amp;"-"&amp;E341)</f>
        <v/>
      </c>
      <c r="BD341" s="591">
        <f>IF(E341="","",SUBSTITUTE(SUBSTITUTE(B341&amp;"-"&amp;E341," ",""),":","-"))</f>
        <v/>
      </c>
      <c r="BE341" s="591">
        <f>IF(E341="","",IF(ISNUMBER(SEARCH("ECC",E341)),"NCA-ECC-2-2024",IF(ISNUMBER(SEARCH("OTCC",E341)),"NCA-ECC-2-2024",IF(ISNUMBER(SEARCH("CCC",E341)),"NCA-ECC-2-2024",IF(ISNUMBER(SEARCH("DCC",E341)),"NCA-ECC-2-2024",IF(ISNUMBER(SEARCH("CSCC",E341)),"NCA-ECC-2-2024",IF(ISNUMBER(SEARCH("PDPL-IR",E341)),"PDPL-2021",IF(ISNUMBER(SEARCH("PDPL-DTR",E341)),"PDPL-2021","NONE"))))))))</f>
        <v/>
      </c>
      <c r="BF341" s="594">
        <f>IF(E341="","",IF(BB341="DEEP",10,IF(BB341="SHALLOW",5,IF(BB341="TEMPLATE",3,1)))+IF(N341="HIGHEST",5,IF(N341="HIGH",3,IF(N341="MODERATE",1,0)))+IF(ISNUMBER(SEARCH("Mandatory",L341)),3,0))</f>
        <v/>
      </c>
    </row>
    <row r="342" ht="42" customHeight="1">
      <c r="A342" s="84" t="n">
        <v>297</v>
      </c>
      <c r="B342" s="85" t="inlineStr">
        <is>
          <t>SEHA</t>
        </is>
      </c>
      <c r="C342" s="70" t="inlineStr">
        <is>
          <t>Seha Virtual Hospital</t>
        </is>
      </c>
      <c r="D342" s="70" t="inlineStr">
        <is>
          <t>2. Healthcare &amp; Life Sciences</t>
        </is>
      </c>
      <c r="E342" s="85" t="inlineStr">
        <is>
          <t>SEHA-FW</t>
        </is>
      </c>
      <c r="F342" s="72" t="inlineStr">
        <is>
          <t>Seha Telemedicine &amp; Remote IoMT Standards</t>
        </is>
      </c>
      <c r="G342" s="70" t="inlineStr">
        <is>
          <t>الإطار التنظيمي الرئيسي</t>
        </is>
      </c>
      <c r="H342" s="70" t="inlineStr">
        <is>
          <t>Active/Updated</t>
        </is>
      </c>
      <c r="I342" s="71" t="inlineStr">
        <is>
          <t>2021</t>
        </is>
      </c>
      <c r="J342" s="71" t="inlineStr">
        <is>
          <t>N/A</t>
        </is>
      </c>
      <c r="K342" s="70" t="inlineStr">
        <is>
          <t>ISSUES/ENFORCES</t>
        </is>
      </c>
      <c r="L342" s="22" t="inlineStr">
        <is>
          <t>Mandatory Enforcer</t>
        </is>
      </c>
      <c r="M342" s="70" t="inlineStr">
        <is>
          <t>Entities regulated by this authority</t>
        </is>
      </c>
      <c r="N342" s="93" t="inlineStr">
        <is>
          <t>MODERATE</t>
        </is>
      </c>
      <c r="O342" s="87" t="inlineStr">
        <is>
          <t>https://www.gov.sa/</t>
        </is>
      </c>
      <c r="P342" s="70" t="inlineStr">
        <is>
          <t>Ministry/Authority official site</t>
        </is>
      </c>
      <c r="Q342" s="70" t="inlineStr">
        <is>
          <t>See official source for version history</t>
        </is>
      </c>
      <c r="R342" s="70" t="inlineStr">
        <is>
          <t>Framework issued by the relevant authority. Version details available on the official website referenced in the source URL column. The framework has been updated periodically since first issuance.</t>
        </is>
      </c>
      <c r="S342" s="71" t="inlineStr">
        <is>
          <t>See official source</t>
        </is>
      </c>
      <c r="T342" s="70" t="inlineStr">
        <is>
          <t>Updated as needed by the issuing authority</t>
        </is>
      </c>
      <c r="U342" s="25" t="inlineStr">
        <is>
          <t>CURRENT — consult official source for latest version</t>
        </is>
      </c>
      <c r="V342" s="70" t="inlineStr">
        <is>
          <t>Penalties defined by issuing authority; consult official source. NCA ECC-2 penalties apply if relevant</t>
        </is>
      </c>
      <c r="W342" s="72" t="inlineStr">
        <is>
          <t>Issuing authority and/or designated inspection department</t>
        </is>
      </c>
      <c r="X342" s="70" t="inlineStr">
        <is>
          <t>As specified in framework scope — consult official document</t>
        </is>
      </c>
      <c r="Y342" s="49" t="inlineStr">
        <is>
          <t>Both (unless specified otherwise in official document)</t>
        </is>
      </c>
      <c r="Z342" s="70" t="inlineStr">
        <is>
          <t>As defined by issuing authority</t>
        </is>
      </c>
      <c r="AA342" s="71" t="inlineStr">
        <is>
          <t>As defined by issuing authority</t>
        </is>
      </c>
      <c r="AB342" s="70" t="inlineStr">
        <is>
          <t>To be determined from framework text — see official source</t>
        </is>
      </c>
      <c r="AC342" s="70" t="inlineStr">
        <is>
          <t>See framework preamble for international standard references</t>
        </is>
      </c>
      <c r="AD342" s="49" t="inlineStr">
        <is>
          <t>Arabic (primary in KSA); English may be available</t>
        </is>
      </c>
      <c r="AE342" s="58" t="inlineStr">
        <is>
          <t>Mapped to relevant GH-ICGA layer — requires manual assessment</t>
        </is>
      </c>
      <c r="AF342" s="56" t="inlineStr">
        <is>
          <t>See official framework for maturity model details</t>
        </is>
      </c>
      <c r="AG342" s="70" t="inlineStr">
        <is>
          <t>Aligned with relevant Vision 2030 programme — see framework context</t>
        </is>
      </c>
      <c r="AH342" s="70" t="inlineStr">
        <is>
          <t>As specified in framework compliance requirements</t>
        </is>
      </c>
      <c r="AI342" s="73" t="inlineStr">
        <is>
          <t>Institutional theory and regulatory governance theory underpin all KSA regulatory frameworks. Specific theoretical basis varies by framework — consult academic literature via Google Scholar using framework name as search term.</t>
        </is>
      </c>
      <c r="AJ342" s="70" t="inlineStr">
        <is>
          <t>Academic debate varies by framework maturity and international adoption. For KSA-specific debate, consult: Almohammad &amp; Wills (2021) J Cybersecurity; Al-Khater et al. (2020) IEEE Access; Baker McKenzie KSA regulatory updates.</t>
        </is>
      </c>
      <c r="AK342" s="74" t="inlineStr">
        <is>
          <t>Known criticisms include: implementation gap between standards and practice; resource constraints for smaller healthcare entities; rapid technology evolution outpacing regulation. Consult framework evaluation literature for specifics.</t>
        </is>
      </c>
      <c r="AL342" s="75" t="inlineStr">
        <is>
          <t>Framework comparison requires contextual analysis. Key comparators: NIST CSF 2.0 (international benchmark), ISO 27001 (certifiable standard), ECC-2 (KSA mandatory baseline). See main database for cross-framework mapping.</t>
        </is>
      </c>
      <c r="AM342"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42" s="50" t="inlineStr">
        <is>
          <t>Official: Consult the official source URL in the database for the primary document. Training: ISACA, ISC2, RAPS, IAPP, and HIMSS offer professional development covering most regulatory domains. Estimated hours vary by framework complexity.</t>
        </is>
      </c>
      <c r="AO342" s="77" t="inlineStr">
        <is>
          <t>Relevance to GH-ICGA framework varies by layer — see GH-ICGA Layer Mapping column. All KSA mandatory frameworks are compliance inputs to GH-ICGA Layer 4. Frameworks with IoMT-specific provisions directly inform Layers 2 and 3.</t>
        </is>
      </c>
      <c r="AP342" s="51" t="inlineStr">
        <is>
          <t>G + C (Governance + Compliance — standard regulatory framework positioning)</t>
        </is>
      </c>
      <c r="AQ342" s="78" t="inlineStr">
        <is>
          <t>Senior management: accountability for framework compliance. Designated compliance officer: monitor requirements. All staff: awareness of applicable obligations</t>
        </is>
      </c>
      <c r="AR342" s="74" t="inlineStr">
        <is>
          <t>Regulatory Risk; Operational Risk; Reputational Risk — specific domains determined by framework scope</t>
        </is>
      </c>
      <c r="AS342" s="22" t="inlineStr">
        <is>
          <t>See official source — legal obligation, regulatory requirement, or voluntary standard as applicable</t>
        </is>
      </c>
      <c r="AT342" s="75" t="inlineStr">
        <is>
          <t>Administrative; Technical; Operational — specific distribution determined by framework content</t>
        </is>
      </c>
      <c r="AU342" s="79" t="inlineStr">
        <is>
          <t>1. Compliance status (compliant/non-compliant). 2. # open findings from last assessment. 3. % controls implemented. 4. Time to remediate findings. 5. Incident rate in framework scope area</t>
        </is>
      </c>
      <c r="AV342" s="80" t="inlineStr">
        <is>
          <t>Self-assessment; internal audit; external assessment as specified by issuing authority</t>
        </is>
      </c>
      <c r="AW342" s="81" t="inlineStr">
        <is>
          <t>ServiceNow GRC; IBM OpenPages; RSA Archer; MetricStream — all major GRC platforms support custom framework import. Contact vendor for framework-specific module</t>
        </is>
      </c>
      <c r="AX342" s="82" t="inlineStr">
        <is>
          <t>Third parties in scope must demonstrate equivalent compliance. Contractual compliance obligations; right-to-audit clauses; annual third-party assessment</t>
        </is>
      </c>
      <c r="AY342" s="83" t="inlineStr">
        <is>
          <t>Non-compliance: regulatory action by issuing authority; fines and penalties as specified; operational and reputational consequences</t>
        </is>
      </c>
      <c r="AZ342" s="80" t="inlineStr">
        <is>
          <t>Sector-specific — consult official source</t>
        </is>
      </c>
      <c r="BA342" s="41" t="inlineStr">
        <is>
          <t>Sector-Specific</t>
        </is>
      </c>
      <c r="BB342" s="591">
        <f>IF(E342="","",IF(ISNUMBER(SEARCH("Institutional theory and regulatory governance theory underpin",AI342)),"TEMPLATE",IF(LEN(AI342)&gt;100,"DEEP",IF(AI342="","SPARSE","SHALLOW"))))</f>
        <v/>
      </c>
      <c r="BC342" s="591">
        <f>IF(E342="","",D342&amp;"-"&amp;B342&amp;"-"&amp;E342)</f>
        <v/>
      </c>
      <c r="BD342" s="591">
        <f>IF(E342="","",SUBSTITUTE(SUBSTITUTE(B342&amp;"-"&amp;E342," ",""),":","-"))</f>
        <v/>
      </c>
      <c r="BE342" s="591">
        <f>IF(E342="","",IF(ISNUMBER(SEARCH("ECC",E342)),"NCA-ECC-2-2024",IF(ISNUMBER(SEARCH("OTCC",E342)),"NCA-ECC-2-2024",IF(ISNUMBER(SEARCH("CCC",E342)),"NCA-ECC-2-2024",IF(ISNUMBER(SEARCH("DCC",E342)),"NCA-ECC-2-2024",IF(ISNUMBER(SEARCH("CSCC",E342)),"NCA-ECC-2-2024",IF(ISNUMBER(SEARCH("PDPL-IR",E342)),"PDPL-2021",IF(ISNUMBER(SEARCH("PDPL-DTR",E342)),"PDPL-2021","NONE"))))))))</f>
        <v/>
      </c>
      <c r="BF342" s="594">
        <f>IF(E342="","",IF(BB342="DEEP",10,IF(BB342="SHALLOW",5,IF(BB342="TEMPLATE",3,1)))+IF(N342="HIGHEST",5,IF(N342="HIGH",3,IF(N342="MODERATE",1,0)))+IF(ISNUMBER(SEARCH("Mandatory",L342)),3,0))</f>
        <v/>
      </c>
    </row>
    <row r="343" ht="42" customHeight="1">
      <c r="A343" s="42" t="n">
        <v>298</v>
      </c>
      <c r="B343" s="69" t="inlineStr">
        <is>
          <t>SEHA</t>
        </is>
      </c>
      <c r="C343" s="44" t="inlineStr">
        <is>
          <t>Seha Virtual Hospital</t>
        </is>
      </c>
      <c r="D343" s="44" t="inlineStr">
        <is>
          <t>2. Healthcare &amp; Life Sciences</t>
        </is>
      </c>
      <c r="E343" s="69" t="inlineStr">
        <is>
          <t>NCA-ECC-2:2024</t>
        </is>
      </c>
      <c r="F343" s="45" t="inlineStr">
        <is>
          <t>Essential Cybersecurity Controls</t>
        </is>
      </c>
      <c r="G343" s="44" t="inlineStr">
        <is>
          <t>ضوابط الأمن السيبراني الأساسية</t>
        </is>
      </c>
      <c r="H343" s="44" t="inlineStr">
        <is>
          <t>ECC-2:2024</t>
        </is>
      </c>
      <c r="I343" s="46" t="inlineStr">
        <is>
          <t>2018</t>
        </is>
      </c>
      <c r="J343" s="46" t="inlineStr">
        <is>
          <t>108</t>
        </is>
      </c>
      <c r="K343" s="44" t="inlineStr">
        <is>
          <t>MUST COMPLY WITH</t>
        </is>
      </c>
      <c r="L343" s="66" t="inlineStr">
        <is>
          <t>Mandatory Complier</t>
        </is>
      </c>
      <c r="M343" s="44" t="inlineStr">
        <is>
          <t>Seha Virtual Hospital as government entity</t>
        </is>
      </c>
      <c r="N343" s="59" t="inlineStr">
        <is>
          <t>LOW</t>
        </is>
      </c>
      <c r="O343" s="48" t="inlineStr">
        <is>
          <t>https://nca.gov.sa/</t>
        </is>
      </c>
      <c r="P343" s="44" t="inlineStr">
        <is>
          <t>NCA ECC scope</t>
        </is>
      </c>
      <c r="Q343" s="70" t="inlineStr">
        <is>
          <t>See official source for version history</t>
        </is>
      </c>
      <c r="R343" s="70" t="inlineStr">
        <is>
          <t>Framework issued by the relevant authority. Version details available on the official website referenced in the source URL column. The framework has been updated periodically since first issuance.</t>
        </is>
      </c>
      <c r="S343" s="71" t="inlineStr">
        <is>
          <t>See official source</t>
        </is>
      </c>
      <c r="T343" s="70" t="inlineStr">
        <is>
          <t>Updated as needed by the issuing authority</t>
        </is>
      </c>
      <c r="U343" s="25" t="inlineStr">
        <is>
          <t>CURRENT — consult official source for latest version</t>
        </is>
      </c>
      <c r="V343" s="70" t="inlineStr">
        <is>
          <t>Penalties defined by issuing authority; consult official source. NCA ECC-2 penalties apply if relevant</t>
        </is>
      </c>
      <c r="W343" s="72" t="inlineStr">
        <is>
          <t>Issuing authority and/or designated inspection department</t>
        </is>
      </c>
      <c r="X343" s="70" t="inlineStr">
        <is>
          <t>As specified in framework scope — consult official document</t>
        </is>
      </c>
      <c r="Y343" s="49" t="inlineStr">
        <is>
          <t>Both (unless specified otherwise in official document)</t>
        </is>
      </c>
      <c r="Z343" s="70" t="inlineStr">
        <is>
          <t>As defined by issuing authority</t>
        </is>
      </c>
      <c r="AA343" s="71" t="inlineStr">
        <is>
          <t>As defined by issuing authority</t>
        </is>
      </c>
      <c r="AB343" s="70" t="inlineStr">
        <is>
          <t>To be determined from framework text — see official source</t>
        </is>
      </c>
      <c r="AC343" s="70" t="inlineStr">
        <is>
          <t>See framework preamble for international standard references</t>
        </is>
      </c>
      <c r="AD343" s="49" t="inlineStr">
        <is>
          <t>Arabic (primary in KSA); English may be available</t>
        </is>
      </c>
      <c r="AE343" s="58" t="inlineStr">
        <is>
          <t>Mapped to relevant GH-ICGA layer — requires manual assessment</t>
        </is>
      </c>
      <c r="AF343" s="56" t="inlineStr">
        <is>
          <t>See official framework for maturity model details</t>
        </is>
      </c>
      <c r="AG343" s="70" t="inlineStr">
        <is>
          <t>Aligned with relevant Vision 2030 programme — see framework context</t>
        </is>
      </c>
      <c r="AH343" s="70" t="inlineStr">
        <is>
          <t>As specified in framework compliance requirements</t>
        </is>
      </c>
      <c r="AI343" s="73" t="inlineStr">
        <is>
          <t>Institutional theory and regulatory governance theory underpin all KSA regulatory frameworks. Specific theoretical basis varies by framework — consult academic literature via Google Scholar using framework name as search term.</t>
        </is>
      </c>
      <c r="AJ343" s="70" t="inlineStr">
        <is>
          <t>Academic debate varies by framework maturity and international adoption. For KSA-specific debate, consult: Almohammad &amp; Wills (2021) J Cybersecurity; Al-Khater et al. (2020) IEEE Access; Baker McKenzie KSA regulatory updates.</t>
        </is>
      </c>
      <c r="AK343" s="74" t="inlineStr">
        <is>
          <t>Known criticisms include: implementation gap between standards and practice; resource constraints for smaller healthcare entities; rapid technology evolution outpacing regulation. Consult framework evaluation literature for specifics.</t>
        </is>
      </c>
      <c r="AL343" s="75" t="inlineStr">
        <is>
          <t>Framework comparison requires contextual analysis. Key comparators: NIST CSF 2.0 (international benchmark), ISO 27001 (certifiable standard), ECC-2 (KSA mandatory baseline). See main database for cross-framework mapping.</t>
        </is>
      </c>
      <c r="AM343"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43" s="50" t="inlineStr">
        <is>
          <t>Official: Consult the official source URL in the database for the primary document. Training: ISACA, ISC2, RAPS, IAPP, and HIMSS offer professional development covering most regulatory domains. Estimated hours vary by framework complexity.</t>
        </is>
      </c>
      <c r="AO343" s="77" t="inlineStr">
        <is>
          <t>Relevance to GH-ICGA framework varies by layer — see GH-ICGA Layer Mapping column. All KSA mandatory frameworks are compliance inputs to GH-ICGA Layer 4. Frameworks with IoMT-specific provisions directly inform Layers 2 and 3.</t>
        </is>
      </c>
      <c r="AP343" s="51" t="inlineStr">
        <is>
          <t>G + C (Governance + Compliance — standard regulatory framework positioning)</t>
        </is>
      </c>
      <c r="AQ343" s="78" t="inlineStr">
        <is>
          <t>Senior management: accountability for framework compliance. Designated compliance officer: monitor requirements. All staff: awareness of applicable obligations</t>
        </is>
      </c>
      <c r="AR343" s="74" t="inlineStr">
        <is>
          <t>Regulatory Risk; Operational Risk; Reputational Risk — specific domains determined by framework scope</t>
        </is>
      </c>
      <c r="AS343" s="22" t="inlineStr">
        <is>
          <t>See official source — legal obligation, regulatory requirement, or voluntary standard as applicable</t>
        </is>
      </c>
      <c r="AT343" s="75" t="inlineStr">
        <is>
          <t>Administrative; Technical; Operational — specific distribution determined by framework content</t>
        </is>
      </c>
      <c r="AU343" s="79" t="inlineStr">
        <is>
          <t>1. Compliance status (compliant/non-compliant). 2. # open findings from last assessment. 3. % controls implemented. 4. Time to remediate findings. 5. Incident rate in framework scope area</t>
        </is>
      </c>
      <c r="AV343" s="80" t="inlineStr">
        <is>
          <t>Self-assessment; internal audit; external assessment as specified by issuing authority</t>
        </is>
      </c>
      <c r="AW343" s="81" t="inlineStr">
        <is>
          <t>ServiceNow GRC; IBM OpenPages; RSA Archer; MetricStream — all major GRC platforms support custom framework import. Contact vendor for framework-specific module</t>
        </is>
      </c>
      <c r="AX343" s="82" t="inlineStr">
        <is>
          <t>Third parties in scope must demonstrate equivalent compliance. Contractual compliance obligations; right-to-audit clauses; annual third-party assessment</t>
        </is>
      </c>
      <c r="AY343" s="83" t="inlineStr">
        <is>
          <t>Non-compliance: regulatory action by issuing authority; fines and penalties as specified; operational and reputational consequences</t>
        </is>
      </c>
      <c r="AZ343" s="80" t="inlineStr">
        <is>
          <t>ALL 17 SECTORS</t>
        </is>
      </c>
      <c r="BA343" s="34" t="inlineStr">
        <is>
          <t>YES — ALL SECTORS</t>
        </is>
      </c>
      <c r="BB343" s="591">
        <f>IF(E343="","",IF(ISNUMBER(SEARCH("Institutional theory and regulatory governance theory underpin",AI343)),"TEMPLATE",IF(LEN(AI343)&gt;100,"DEEP",IF(AI343="","SPARSE","SHALLOW"))))</f>
        <v/>
      </c>
      <c r="BC343" s="591">
        <f>IF(E343="","",D343&amp;"-"&amp;B343&amp;"-"&amp;E343)</f>
        <v/>
      </c>
      <c r="BD343" s="591">
        <f>IF(E343="","",SUBSTITUTE(SUBSTITUTE(B343&amp;"-"&amp;E343," ",""),":","-"))</f>
        <v/>
      </c>
      <c r="BE343" s="591">
        <f>IF(E343="","",IF(ISNUMBER(SEARCH("ECC",E343)),"NCA-ECC-2-2024",IF(ISNUMBER(SEARCH("OTCC",E343)),"NCA-ECC-2-2024",IF(ISNUMBER(SEARCH("CCC",E343)),"NCA-ECC-2-2024",IF(ISNUMBER(SEARCH("DCC",E343)),"NCA-ECC-2-2024",IF(ISNUMBER(SEARCH("CSCC",E343)),"NCA-ECC-2-2024",IF(ISNUMBER(SEARCH("PDPL-IR",E343)),"PDPL-2021",IF(ISNUMBER(SEARCH("PDPL-DTR",E343)),"PDPL-2021","NONE"))))))))</f>
        <v/>
      </c>
      <c r="BF343" s="594">
        <f>IF(E343="","",IF(BB343="DEEP",10,IF(BB343="SHALLOW",5,IF(BB343="TEMPLATE",3,1)))+IF(N343="HIGHEST",5,IF(N343="HIGH",3,IF(N343="MODERATE",1,0)))+IF(ISNUMBER(SEARCH("Mandatory",L343)),3,0))</f>
        <v/>
      </c>
    </row>
    <row r="344" ht="42" customHeight="1">
      <c r="A344" s="84" t="n">
        <v>299</v>
      </c>
      <c r="B344" s="85" t="inlineStr">
        <is>
          <t>SCEBA</t>
        </is>
      </c>
      <c r="C344" s="70" t="inlineStr">
        <is>
          <t>Saudi Centre for Evidence-Based Healthcare</t>
        </is>
      </c>
      <c r="D344" s="70" t="inlineStr">
        <is>
          <t>2. Healthcare &amp; Life Sciences</t>
        </is>
      </c>
      <c r="E344" s="85" t="inlineStr">
        <is>
          <t>SCEBA-FW</t>
        </is>
      </c>
      <c r="F344" s="72" t="inlineStr">
        <is>
          <t>Clinical Practice Guidelines &amp; HTA Regulations</t>
        </is>
      </c>
      <c r="G344" s="70" t="inlineStr">
        <is>
          <t>الإطار التنظيمي الرئيسي</t>
        </is>
      </c>
      <c r="H344" s="70" t="inlineStr">
        <is>
          <t>Active/Updated</t>
        </is>
      </c>
      <c r="I344" s="71" t="inlineStr">
        <is>
          <t>2012</t>
        </is>
      </c>
      <c r="J344" s="71" t="inlineStr">
        <is>
          <t>N/A</t>
        </is>
      </c>
      <c r="K344" s="70" t="inlineStr">
        <is>
          <t>ISSUES/ENFORCES</t>
        </is>
      </c>
      <c r="L344" s="22" t="inlineStr">
        <is>
          <t>Mandatory Enforcer</t>
        </is>
      </c>
      <c r="M344" s="70" t="inlineStr">
        <is>
          <t>Entities regulated by this authority</t>
        </is>
      </c>
      <c r="N344" s="93" t="inlineStr">
        <is>
          <t>MODERATE</t>
        </is>
      </c>
      <c r="O344" s="87" t="inlineStr">
        <is>
          <t>https://www.gov.sa/</t>
        </is>
      </c>
      <c r="P344" s="70" t="inlineStr">
        <is>
          <t>Ministry/Authority official site</t>
        </is>
      </c>
      <c r="Q344" s="70" t="inlineStr">
        <is>
          <t>See official source for version history</t>
        </is>
      </c>
      <c r="R344" s="70" t="inlineStr">
        <is>
          <t>Framework issued by the relevant authority. Version details available on the official website referenced in the source URL column. The framework has been updated periodically since first issuance.</t>
        </is>
      </c>
      <c r="S344" s="71" t="inlineStr">
        <is>
          <t>See official source</t>
        </is>
      </c>
      <c r="T344" s="70" t="inlineStr">
        <is>
          <t>Updated as needed by the issuing authority</t>
        </is>
      </c>
      <c r="U344" s="25" t="inlineStr">
        <is>
          <t>CURRENT — consult official source for latest version</t>
        </is>
      </c>
      <c r="V344" s="70" t="inlineStr">
        <is>
          <t>Penalties defined by issuing authority; consult official source. NCA ECC-2 penalties apply if relevant</t>
        </is>
      </c>
      <c r="W344" s="72" t="inlineStr">
        <is>
          <t>Issuing authority and/or designated inspection department</t>
        </is>
      </c>
      <c r="X344" s="70" t="inlineStr">
        <is>
          <t>As specified in framework scope — consult official document</t>
        </is>
      </c>
      <c r="Y344" s="49" t="inlineStr">
        <is>
          <t>Both (unless specified otherwise in official document)</t>
        </is>
      </c>
      <c r="Z344" s="70" t="inlineStr">
        <is>
          <t>As defined by issuing authority</t>
        </is>
      </c>
      <c r="AA344" s="71" t="inlineStr">
        <is>
          <t>As defined by issuing authority</t>
        </is>
      </c>
      <c r="AB344" s="70" t="inlineStr">
        <is>
          <t>To be determined from framework text — see official source</t>
        </is>
      </c>
      <c r="AC344" s="70" t="inlineStr">
        <is>
          <t>See framework preamble for international standard references</t>
        </is>
      </c>
      <c r="AD344" s="49" t="inlineStr">
        <is>
          <t>Arabic (primary in KSA); English may be available</t>
        </is>
      </c>
      <c r="AE344" s="58" t="inlineStr">
        <is>
          <t>Mapped to relevant GH-ICGA layer — requires manual assessment</t>
        </is>
      </c>
      <c r="AF344" s="56" t="inlineStr">
        <is>
          <t>See official framework for maturity model details</t>
        </is>
      </c>
      <c r="AG344" s="70" t="inlineStr">
        <is>
          <t>Aligned with relevant Vision 2030 programme — see framework context</t>
        </is>
      </c>
      <c r="AH344" s="70" t="inlineStr">
        <is>
          <t>As specified in framework compliance requirements</t>
        </is>
      </c>
      <c r="AI344" s="73" t="inlineStr">
        <is>
          <t>Institutional theory and regulatory governance theory underpin all KSA regulatory frameworks. Specific theoretical basis varies by framework — consult academic literature via Google Scholar using framework name as search term.</t>
        </is>
      </c>
      <c r="AJ344" s="70" t="inlineStr">
        <is>
          <t>Academic debate varies by framework maturity and international adoption. For KSA-specific debate, consult: Almohammad &amp; Wills (2021) J Cybersecurity; Al-Khater et al. (2020) IEEE Access; Baker McKenzie KSA regulatory updates.</t>
        </is>
      </c>
      <c r="AK344" s="74" t="inlineStr">
        <is>
          <t>Known criticisms include: implementation gap between standards and practice; resource constraints for smaller healthcare entities; rapid technology evolution outpacing regulation. Consult framework evaluation literature for specifics.</t>
        </is>
      </c>
      <c r="AL344" s="75" t="inlineStr">
        <is>
          <t>Framework comparison requires contextual analysis. Key comparators: NIST CSF 2.0 (international benchmark), ISO 27001 (certifiable standard), ECC-2 (KSA mandatory baseline). See main database for cross-framework mapping.</t>
        </is>
      </c>
      <c r="AM344"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44" s="50" t="inlineStr">
        <is>
          <t>Official: Consult the official source URL in the database for the primary document. Training: ISACA, ISC2, RAPS, IAPP, and HIMSS offer professional development covering most regulatory domains. Estimated hours vary by framework complexity.</t>
        </is>
      </c>
      <c r="AO344" s="77" t="inlineStr">
        <is>
          <t>Relevance to GH-ICGA framework varies by layer — see GH-ICGA Layer Mapping column. All KSA mandatory frameworks are compliance inputs to GH-ICGA Layer 4. Frameworks with IoMT-specific provisions directly inform Layers 2 and 3.</t>
        </is>
      </c>
      <c r="AP344" s="51" t="inlineStr">
        <is>
          <t>G + C (Governance + Compliance — standard regulatory framework positioning)</t>
        </is>
      </c>
      <c r="AQ344" s="78" t="inlineStr">
        <is>
          <t>Senior management: accountability for framework compliance. Designated compliance officer: monitor requirements. All staff: awareness of applicable obligations</t>
        </is>
      </c>
      <c r="AR344" s="74" t="inlineStr">
        <is>
          <t>Regulatory Risk; Operational Risk; Reputational Risk — specific domains determined by framework scope</t>
        </is>
      </c>
      <c r="AS344" s="22" t="inlineStr">
        <is>
          <t>See official source — legal obligation, regulatory requirement, or voluntary standard as applicable</t>
        </is>
      </c>
      <c r="AT344" s="75" t="inlineStr">
        <is>
          <t>Administrative; Technical; Operational — specific distribution determined by framework content</t>
        </is>
      </c>
      <c r="AU344" s="79" t="inlineStr">
        <is>
          <t>1. Compliance status (compliant/non-compliant). 2. # open findings from last assessment. 3. % controls implemented. 4. Time to remediate findings. 5. Incident rate in framework scope area</t>
        </is>
      </c>
      <c r="AV344" s="80" t="inlineStr">
        <is>
          <t>Self-assessment; internal audit; external assessment as specified by issuing authority</t>
        </is>
      </c>
      <c r="AW344" s="81" t="inlineStr">
        <is>
          <t>ServiceNow GRC; IBM OpenPages; RSA Archer; MetricStream — all major GRC platforms support custom framework import. Contact vendor for framework-specific module</t>
        </is>
      </c>
      <c r="AX344" s="82" t="inlineStr">
        <is>
          <t>Third parties in scope must demonstrate equivalent compliance. Contractual compliance obligations; right-to-audit clauses; annual third-party assessment</t>
        </is>
      </c>
      <c r="AY344" s="83" t="inlineStr">
        <is>
          <t>Non-compliance: regulatory action by issuing authority; fines and penalties as specified; operational and reputational consequences</t>
        </is>
      </c>
      <c r="AZ344" s="80" t="inlineStr">
        <is>
          <t>Sector-specific — consult official source</t>
        </is>
      </c>
      <c r="BA344" s="41" t="inlineStr">
        <is>
          <t>Sector-Specific</t>
        </is>
      </c>
      <c r="BB344" s="591">
        <f>IF(E344="","",IF(ISNUMBER(SEARCH("Institutional theory and regulatory governance theory underpin",AI344)),"TEMPLATE",IF(LEN(AI344)&gt;100,"DEEP",IF(AI344="","SPARSE","SHALLOW"))))</f>
        <v/>
      </c>
      <c r="BC344" s="591">
        <f>IF(E344="","",D344&amp;"-"&amp;B344&amp;"-"&amp;E344)</f>
        <v/>
      </c>
      <c r="BD344" s="591">
        <f>IF(E344="","",SUBSTITUTE(SUBSTITUTE(B344&amp;"-"&amp;E344," ",""),":","-"))</f>
        <v/>
      </c>
      <c r="BE344" s="591">
        <f>IF(E344="","",IF(ISNUMBER(SEARCH("ECC",E344)),"NCA-ECC-2-2024",IF(ISNUMBER(SEARCH("OTCC",E344)),"NCA-ECC-2-2024",IF(ISNUMBER(SEARCH("CCC",E344)),"NCA-ECC-2-2024",IF(ISNUMBER(SEARCH("DCC",E344)),"NCA-ECC-2-2024",IF(ISNUMBER(SEARCH("CSCC",E344)),"NCA-ECC-2-2024",IF(ISNUMBER(SEARCH("PDPL-IR",E344)),"PDPL-2021",IF(ISNUMBER(SEARCH("PDPL-DTR",E344)),"PDPL-2021","NONE"))))))))</f>
        <v/>
      </c>
      <c r="BF344" s="594">
        <f>IF(E344="","",IF(BB344="DEEP",10,IF(BB344="SHALLOW",5,IF(BB344="TEMPLATE",3,1)))+IF(N344="HIGHEST",5,IF(N344="HIGH",3,IF(N344="MODERATE",1,0)))+IF(ISNUMBER(SEARCH("Mandatory",L344)),3,0))</f>
        <v/>
      </c>
    </row>
    <row r="345" ht="42" customHeight="1">
      <c r="A345" s="42" t="n">
        <v>300</v>
      </c>
      <c r="B345" s="69" t="inlineStr">
        <is>
          <t>SCEBA</t>
        </is>
      </c>
      <c r="C345" s="44" t="inlineStr">
        <is>
          <t>Saudi Centre for Evidence-Based Healthcare</t>
        </is>
      </c>
      <c r="D345" s="44" t="inlineStr">
        <is>
          <t>2. Healthcare &amp; Life Sciences</t>
        </is>
      </c>
      <c r="E345" s="69" t="inlineStr">
        <is>
          <t>NCA-ECC-2:2024</t>
        </is>
      </c>
      <c r="F345" s="45" t="inlineStr">
        <is>
          <t>Essential Cybersecurity Controls</t>
        </is>
      </c>
      <c r="G345" s="44" t="inlineStr">
        <is>
          <t>ضوابط الأمن السيبراني الأساسية</t>
        </is>
      </c>
      <c r="H345" s="44" t="inlineStr">
        <is>
          <t>ECC-2:2024</t>
        </is>
      </c>
      <c r="I345" s="46" t="inlineStr">
        <is>
          <t>2018</t>
        </is>
      </c>
      <c r="J345" s="46" t="inlineStr">
        <is>
          <t>108</t>
        </is>
      </c>
      <c r="K345" s="44" t="inlineStr">
        <is>
          <t>MUST COMPLY WITH</t>
        </is>
      </c>
      <c r="L345" s="66" t="inlineStr">
        <is>
          <t>Mandatory Complier</t>
        </is>
      </c>
      <c r="M345" s="44" t="inlineStr">
        <is>
          <t>Saudi Centre for Evidence-Based Healthcare as government entity</t>
        </is>
      </c>
      <c r="N345" s="59" t="inlineStr">
        <is>
          <t>LOW</t>
        </is>
      </c>
      <c r="O345" s="48" t="inlineStr">
        <is>
          <t>https://nca.gov.sa/</t>
        </is>
      </c>
      <c r="P345" s="44" t="inlineStr">
        <is>
          <t>NCA ECC scope</t>
        </is>
      </c>
      <c r="Q345" s="70" t="inlineStr">
        <is>
          <t>See official source for version history</t>
        </is>
      </c>
      <c r="R345" s="70" t="inlineStr">
        <is>
          <t>Framework issued by the relevant authority. Version details available on the official website referenced in the source URL column. The framework has been updated periodically since first issuance.</t>
        </is>
      </c>
      <c r="S345" s="71" t="inlineStr">
        <is>
          <t>See official source</t>
        </is>
      </c>
      <c r="T345" s="70" t="inlineStr">
        <is>
          <t>Updated as needed by the issuing authority</t>
        </is>
      </c>
      <c r="U345" s="25" t="inlineStr">
        <is>
          <t>CURRENT — consult official source for latest version</t>
        </is>
      </c>
      <c r="V345" s="70" t="inlineStr">
        <is>
          <t>Penalties defined by issuing authority; consult official source. NCA ECC-2 penalties apply if relevant</t>
        </is>
      </c>
      <c r="W345" s="72" t="inlineStr">
        <is>
          <t>Issuing authority and/or designated inspection department</t>
        </is>
      </c>
      <c r="X345" s="70" t="inlineStr">
        <is>
          <t>As specified in framework scope — consult official document</t>
        </is>
      </c>
      <c r="Y345" s="49" t="inlineStr">
        <is>
          <t>Both (unless specified otherwise in official document)</t>
        </is>
      </c>
      <c r="Z345" s="70" t="inlineStr">
        <is>
          <t>As defined by issuing authority</t>
        </is>
      </c>
      <c r="AA345" s="71" t="inlineStr">
        <is>
          <t>As defined by issuing authority</t>
        </is>
      </c>
      <c r="AB345" s="70" t="inlineStr">
        <is>
          <t>To be determined from framework text — see official source</t>
        </is>
      </c>
      <c r="AC345" s="70" t="inlineStr">
        <is>
          <t>See framework preamble for international standard references</t>
        </is>
      </c>
      <c r="AD345" s="49" t="inlineStr">
        <is>
          <t>Arabic (primary in KSA); English may be available</t>
        </is>
      </c>
      <c r="AE345" s="58" t="inlineStr">
        <is>
          <t>Mapped to relevant GH-ICGA layer — requires manual assessment</t>
        </is>
      </c>
      <c r="AF345" s="56" t="inlineStr">
        <is>
          <t>See official framework for maturity model details</t>
        </is>
      </c>
      <c r="AG345" s="70" t="inlineStr">
        <is>
          <t>Aligned with relevant Vision 2030 programme — see framework context</t>
        </is>
      </c>
      <c r="AH345" s="70" t="inlineStr">
        <is>
          <t>As specified in framework compliance requirements</t>
        </is>
      </c>
      <c r="AI345" s="73" t="inlineStr">
        <is>
          <t>Institutional theory and regulatory governance theory underpin all KSA regulatory frameworks. Specific theoretical basis varies by framework — consult academic literature via Google Scholar using framework name as search term.</t>
        </is>
      </c>
      <c r="AJ345" s="70" t="inlineStr">
        <is>
          <t>Academic debate varies by framework maturity and international adoption. For KSA-specific debate, consult: Almohammad &amp; Wills (2021) J Cybersecurity; Al-Khater et al. (2020) IEEE Access; Baker McKenzie KSA regulatory updates.</t>
        </is>
      </c>
      <c r="AK345" s="74" t="inlineStr">
        <is>
          <t>Known criticisms include: implementation gap between standards and practice; resource constraints for smaller healthcare entities; rapid technology evolution outpacing regulation. Consult framework evaluation literature for specifics.</t>
        </is>
      </c>
      <c r="AL345" s="75" t="inlineStr">
        <is>
          <t>Framework comparison requires contextual analysis. Key comparators: NIST CSF 2.0 (international benchmark), ISO 27001 (certifiable standard), ECC-2 (KSA mandatory baseline). See main database for cross-framework mapping.</t>
        </is>
      </c>
      <c r="AM345"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45" s="50" t="inlineStr">
        <is>
          <t>Official: Consult the official source URL in the database for the primary document. Training: ISACA, ISC2, RAPS, IAPP, and HIMSS offer professional development covering most regulatory domains. Estimated hours vary by framework complexity.</t>
        </is>
      </c>
      <c r="AO345" s="77" t="inlineStr">
        <is>
          <t>Relevance to GH-ICGA framework varies by layer — see GH-ICGA Layer Mapping column. All KSA mandatory frameworks are compliance inputs to GH-ICGA Layer 4. Frameworks with IoMT-specific provisions directly inform Layers 2 and 3.</t>
        </is>
      </c>
      <c r="AP345" s="51" t="inlineStr">
        <is>
          <t>G + C (Governance + Compliance — standard regulatory framework positioning)</t>
        </is>
      </c>
      <c r="AQ345" s="78" t="inlineStr">
        <is>
          <t>Senior management: accountability for framework compliance. Designated compliance officer: monitor requirements. All staff: awareness of applicable obligations</t>
        </is>
      </c>
      <c r="AR345" s="74" t="inlineStr">
        <is>
          <t>Regulatory Risk; Operational Risk; Reputational Risk — specific domains determined by framework scope</t>
        </is>
      </c>
      <c r="AS345" s="22" t="inlineStr">
        <is>
          <t>See official source — legal obligation, regulatory requirement, or voluntary standard as applicable</t>
        </is>
      </c>
      <c r="AT345" s="75" t="inlineStr">
        <is>
          <t>Administrative; Technical; Operational — specific distribution determined by framework content</t>
        </is>
      </c>
      <c r="AU345" s="79" t="inlineStr">
        <is>
          <t>1. Compliance status (compliant/non-compliant). 2. # open findings from last assessment. 3. % controls implemented. 4. Time to remediate findings. 5. Incident rate in framework scope area</t>
        </is>
      </c>
      <c r="AV345" s="80" t="inlineStr">
        <is>
          <t>Self-assessment; internal audit; external assessment as specified by issuing authority</t>
        </is>
      </c>
      <c r="AW345" s="81" t="inlineStr">
        <is>
          <t>ServiceNow GRC; IBM OpenPages; RSA Archer; MetricStream — all major GRC platforms support custom framework import. Contact vendor for framework-specific module</t>
        </is>
      </c>
      <c r="AX345" s="82" t="inlineStr">
        <is>
          <t>Third parties in scope must demonstrate equivalent compliance. Contractual compliance obligations; right-to-audit clauses; annual third-party assessment</t>
        </is>
      </c>
      <c r="AY345" s="83" t="inlineStr">
        <is>
          <t>Non-compliance: regulatory action by issuing authority; fines and penalties as specified; operational and reputational consequences</t>
        </is>
      </c>
      <c r="AZ345" s="80" t="inlineStr">
        <is>
          <t>ALL 17 SECTORS</t>
        </is>
      </c>
      <c r="BA345" s="34" t="inlineStr">
        <is>
          <t>YES — ALL SECTORS</t>
        </is>
      </c>
      <c r="BB345" s="591">
        <f>IF(E345="","",IF(ISNUMBER(SEARCH("Institutional theory and regulatory governance theory underpin",AI345)),"TEMPLATE",IF(LEN(AI345)&gt;100,"DEEP",IF(AI345="","SPARSE","SHALLOW"))))</f>
        <v/>
      </c>
      <c r="BC345" s="591">
        <f>IF(E345="","",D345&amp;"-"&amp;B345&amp;"-"&amp;E345)</f>
        <v/>
      </c>
      <c r="BD345" s="591">
        <f>IF(E345="","",SUBSTITUTE(SUBSTITUTE(B345&amp;"-"&amp;E345," ",""),":","-"))</f>
        <v/>
      </c>
      <c r="BE345" s="591">
        <f>IF(E345="","",IF(ISNUMBER(SEARCH("ECC",E345)),"NCA-ECC-2-2024",IF(ISNUMBER(SEARCH("OTCC",E345)),"NCA-ECC-2-2024",IF(ISNUMBER(SEARCH("CCC",E345)),"NCA-ECC-2-2024",IF(ISNUMBER(SEARCH("DCC",E345)),"NCA-ECC-2-2024",IF(ISNUMBER(SEARCH("CSCC",E345)),"NCA-ECC-2-2024",IF(ISNUMBER(SEARCH("PDPL-IR",E345)),"PDPL-2021",IF(ISNUMBER(SEARCH("PDPL-DTR",E345)),"PDPL-2021","NONE"))))))))</f>
        <v/>
      </c>
      <c r="BF345" s="594">
        <f>IF(E345="","",IF(BB345="DEEP",10,IF(BB345="SHALLOW",5,IF(BB345="TEMPLATE",3,1)))+IF(N345="HIGHEST",5,IF(N345="HIGH",3,IF(N345="MODERATE",1,0)))+IF(ISNUMBER(SEARCH("Mandatory",L345)),3,0))</f>
        <v/>
      </c>
    </row>
    <row r="346" ht="42" customHeight="1">
      <c r="A346" s="84" t="n">
        <v>301</v>
      </c>
      <c r="B346" s="85" t="inlineStr">
        <is>
          <t>KSMC</t>
        </is>
      </c>
      <c r="C346" s="70" t="inlineStr">
        <is>
          <t>King Salman Medical City</t>
        </is>
      </c>
      <c r="D346" s="70" t="inlineStr">
        <is>
          <t>2. Healthcare &amp; Life Sciences</t>
        </is>
      </c>
      <c r="E346" s="85" t="inlineStr">
        <is>
          <t>KSMC-FW</t>
        </is>
      </c>
      <c r="F346" s="72" t="inlineStr">
        <is>
          <t>Clinical Operations Policy</t>
        </is>
      </c>
      <c r="G346" s="70" t="inlineStr">
        <is>
          <t>الإطار التنظيمي الرئيسي</t>
        </is>
      </c>
      <c r="H346" s="70" t="inlineStr">
        <is>
          <t>Active/Updated</t>
        </is>
      </c>
      <c r="I346" s="71" t="inlineStr">
        <is>
          <t>2018</t>
        </is>
      </c>
      <c r="J346" s="71" t="inlineStr">
        <is>
          <t>N/A</t>
        </is>
      </c>
      <c r="K346" s="70" t="inlineStr">
        <is>
          <t>ISSUES/ENFORCES</t>
        </is>
      </c>
      <c r="L346" s="22" t="inlineStr">
        <is>
          <t>Mandatory Enforcer</t>
        </is>
      </c>
      <c r="M346" s="70" t="inlineStr">
        <is>
          <t>Entities regulated by this authority</t>
        </is>
      </c>
      <c r="N346" s="93" t="inlineStr">
        <is>
          <t>MODERATE</t>
        </is>
      </c>
      <c r="O346" s="87" t="inlineStr">
        <is>
          <t>https://www.gov.sa/</t>
        </is>
      </c>
      <c r="P346" s="70" t="inlineStr">
        <is>
          <t>Ministry/Authority official site</t>
        </is>
      </c>
      <c r="Q346" s="70" t="inlineStr">
        <is>
          <t>See official source for version history</t>
        </is>
      </c>
      <c r="R346" s="70" t="inlineStr">
        <is>
          <t>Framework issued by the relevant authority. Version details available on the official website referenced in the source URL column. The framework has been updated periodically since first issuance.</t>
        </is>
      </c>
      <c r="S346" s="71" t="inlineStr">
        <is>
          <t>See official source</t>
        </is>
      </c>
      <c r="T346" s="70" t="inlineStr">
        <is>
          <t>Updated as needed by the issuing authority</t>
        </is>
      </c>
      <c r="U346" s="25" t="inlineStr">
        <is>
          <t>CURRENT — consult official source for latest version</t>
        </is>
      </c>
      <c r="V346" s="70" t="inlineStr">
        <is>
          <t>Penalties defined by issuing authority; consult official source. NCA ECC-2 penalties apply if relevant</t>
        </is>
      </c>
      <c r="W346" s="72" t="inlineStr">
        <is>
          <t>Issuing authority and/or designated inspection department</t>
        </is>
      </c>
      <c r="X346" s="70" t="inlineStr">
        <is>
          <t>As specified in framework scope — consult official document</t>
        </is>
      </c>
      <c r="Y346" s="49" t="inlineStr">
        <is>
          <t>Both (unless specified otherwise in official document)</t>
        </is>
      </c>
      <c r="Z346" s="70" t="inlineStr">
        <is>
          <t>As defined by issuing authority</t>
        </is>
      </c>
      <c r="AA346" s="71" t="inlineStr">
        <is>
          <t>As defined by issuing authority</t>
        </is>
      </c>
      <c r="AB346" s="70" t="inlineStr">
        <is>
          <t>To be determined from framework text — see official source</t>
        </is>
      </c>
      <c r="AC346" s="70" t="inlineStr">
        <is>
          <t>See framework preamble for international standard references</t>
        </is>
      </c>
      <c r="AD346" s="49" t="inlineStr">
        <is>
          <t>Arabic (primary in KSA); English may be available</t>
        </is>
      </c>
      <c r="AE346" s="58" t="inlineStr">
        <is>
          <t>Mapped to relevant GH-ICGA layer — requires manual assessment</t>
        </is>
      </c>
      <c r="AF346" s="56" t="inlineStr">
        <is>
          <t>See official framework for maturity model details</t>
        </is>
      </c>
      <c r="AG346" s="70" t="inlineStr">
        <is>
          <t>Aligned with relevant Vision 2030 programme — see framework context</t>
        </is>
      </c>
      <c r="AH346" s="70" t="inlineStr">
        <is>
          <t>As specified in framework compliance requirements</t>
        </is>
      </c>
      <c r="AI346" s="73" t="inlineStr">
        <is>
          <t>Institutional theory and regulatory governance theory underpin all KSA regulatory frameworks. Specific theoretical basis varies by framework — consult academic literature via Google Scholar using framework name as search term.</t>
        </is>
      </c>
      <c r="AJ346" s="70" t="inlineStr">
        <is>
          <t>Academic debate varies by framework maturity and international adoption. For KSA-specific debate, consult: Almohammad &amp; Wills (2021) J Cybersecurity; Al-Khater et al. (2020) IEEE Access; Baker McKenzie KSA regulatory updates.</t>
        </is>
      </c>
      <c r="AK346" s="74" t="inlineStr">
        <is>
          <t>Known criticisms include: implementation gap between standards and practice; resource constraints for smaller healthcare entities; rapid technology evolution outpacing regulation. Consult framework evaluation literature for specifics.</t>
        </is>
      </c>
      <c r="AL346" s="75" t="inlineStr">
        <is>
          <t>Framework comparison requires contextual analysis. Key comparators: NIST CSF 2.0 (international benchmark), ISO 27001 (certifiable standard), ECC-2 (KSA mandatory baseline). See main database for cross-framework mapping.</t>
        </is>
      </c>
      <c r="AM346"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46" s="50" t="inlineStr">
        <is>
          <t>Official: Consult the official source URL in the database for the primary document. Training: ISACA, ISC2, RAPS, IAPP, and HIMSS offer professional development covering most regulatory domains. Estimated hours vary by framework complexity.</t>
        </is>
      </c>
      <c r="AO346" s="77" t="inlineStr">
        <is>
          <t>Relevance to GH-ICGA framework varies by layer — see GH-ICGA Layer Mapping column. All KSA mandatory frameworks are compliance inputs to GH-ICGA Layer 4. Frameworks with IoMT-specific provisions directly inform Layers 2 and 3.</t>
        </is>
      </c>
      <c r="AP346" s="51" t="inlineStr">
        <is>
          <t>G + C (Governance + Compliance — standard regulatory framework positioning)</t>
        </is>
      </c>
      <c r="AQ346" s="78" t="inlineStr">
        <is>
          <t>Senior management: accountability for framework compliance. Designated compliance officer: monitor requirements. All staff: awareness of applicable obligations</t>
        </is>
      </c>
      <c r="AR346" s="74" t="inlineStr">
        <is>
          <t>Regulatory Risk; Operational Risk; Reputational Risk — specific domains determined by framework scope</t>
        </is>
      </c>
      <c r="AS346" s="22" t="inlineStr">
        <is>
          <t>See official source — legal obligation, regulatory requirement, or voluntary standard as applicable</t>
        </is>
      </c>
      <c r="AT346" s="75" t="inlineStr">
        <is>
          <t>Administrative; Technical; Operational — specific distribution determined by framework content</t>
        </is>
      </c>
      <c r="AU346" s="79" t="inlineStr">
        <is>
          <t>1. Compliance status (compliant/non-compliant). 2. # open findings from last assessment. 3. % controls implemented. 4. Time to remediate findings. 5. Incident rate in framework scope area</t>
        </is>
      </c>
      <c r="AV346" s="80" t="inlineStr">
        <is>
          <t>Self-assessment; internal audit; external assessment as specified by issuing authority</t>
        </is>
      </c>
      <c r="AW346" s="81" t="inlineStr">
        <is>
          <t>ServiceNow GRC; IBM OpenPages; RSA Archer; MetricStream — all major GRC platforms support custom framework import. Contact vendor for framework-specific module</t>
        </is>
      </c>
      <c r="AX346" s="82" t="inlineStr">
        <is>
          <t>Third parties in scope must demonstrate equivalent compliance. Contractual compliance obligations; right-to-audit clauses; annual third-party assessment</t>
        </is>
      </c>
      <c r="AY346" s="83" t="inlineStr">
        <is>
          <t>Non-compliance: regulatory action by issuing authority; fines and penalties as specified; operational and reputational consequences</t>
        </is>
      </c>
      <c r="AZ346" s="80" t="inlineStr">
        <is>
          <t>Sector-specific — consult official source</t>
        </is>
      </c>
      <c r="BA346" s="41" t="inlineStr">
        <is>
          <t>Sector-Specific</t>
        </is>
      </c>
      <c r="BB346" s="591">
        <f>IF(E346="","",IF(ISNUMBER(SEARCH("Institutional theory and regulatory governance theory underpin",AI346)),"TEMPLATE",IF(LEN(AI346)&gt;100,"DEEP",IF(AI346="","SPARSE","SHALLOW"))))</f>
        <v/>
      </c>
      <c r="BC346" s="591">
        <f>IF(E346="","",D346&amp;"-"&amp;B346&amp;"-"&amp;E346)</f>
        <v/>
      </c>
      <c r="BD346" s="591">
        <f>IF(E346="","",SUBSTITUTE(SUBSTITUTE(B346&amp;"-"&amp;E346," ",""),":","-"))</f>
        <v/>
      </c>
      <c r="BE346" s="591">
        <f>IF(E346="","",IF(ISNUMBER(SEARCH("ECC",E346)),"NCA-ECC-2-2024",IF(ISNUMBER(SEARCH("OTCC",E346)),"NCA-ECC-2-2024",IF(ISNUMBER(SEARCH("CCC",E346)),"NCA-ECC-2-2024",IF(ISNUMBER(SEARCH("DCC",E346)),"NCA-ECC-2-2024",IF(ISNUMBER(SEARCH("CSCC",E346)),"NCA-ECC-2-2024",IF(ISNUMBER(SEARCH("PDPL-IR",E346)),"PDPL-2021",IF(ISNUMBER(SEARCH("PDPL-DTR",E346)),"PDPL-2021","NONE"))))))))</f>
        <v/>
      </c>
      <c r="BF346" s="594">
        <f>IF(E346="","",IF(BB346="DEEP",10,IF(BB346="SHALLOW",5,IF(BB346="TEMPLATE",3,1)))+IF(N346="HIGHEST",5,IF(N346="HIGH",3,IF(N346="MODERATE",1,0)))+IF(ISNUMBER(SEARCH("Mandatory",L346)),3,0))</f>
        <v/>
      </c>
    </row>
    <row r="347" ht="42" customHeight="1">
      <c r="A347" s="42" t="n">
        <v>302</v>
      </c>
      <c r="B347" s="69" t="inlineStr">
        <is>
          <t>KSMC</t>
        </is>
      </c>
      <c r="C347" s="44" t="inlineStr">
        <is>
          <t>King Salman Medical City</t>
        </is>
      </c>
      <c r="D347" s="44" t="inlineStr">
        <is>
          <t>2. Healthcare &amp; Life Sciences</t>
        </is>
      </c>
      <c r="E347" s="69" t="inlineStr">
        <is>
          <t>NCA-ECC-2:2024</t>
        </is>
      </c>
      <c r="F347" s="45" t="inlineStr">
        <is>
          <t>Essential Cybersecurity Controls</t>
        </is>
      </c>
      <c r="G347" s="44" t="inlineStr">
        <is>
          <t>ضوابط الأمن السيبراني الأساسية</t>
        </is>
      </c>
      <c r="H347" s="44" t="inlineStr">
        <is>
          <t>ECC-2:2024</t>
        </is>
      </c>
      <c r="I347" s="46" t="inlineStr">
        <is>
          <t>2018</t>
        </is>
      </c>
      <c r="J347" s="46" t="inlineStr">
        <is>
          <t>108</t>
        </is>
      </c>
      <c r="K347" s="44" t="inlineStr">
        <is>
          <t>MUST COMPLY WITH</t>
        </is>
      </c>
      <c r="L347" s="66" t="inlineStr">
        <is>
          <t>Mandatory Complier</t>
        </is>
      </c>
      <c r="M347" s="44" t="inlineStr">
        <is>
          <t>King Salman Medical City as government entity</t>
        </is>
      </c>
      <c r="N347" s="59" t="inlineStr">
        <is>
          <t>LOW</t>
        </is>
      </c>
      <c r="O347" s="48" t="inlineStr">
        <is>
          <t>https://nca.gov.sa/</t>
        </is>
      </c>
      <c r="P347" s="44" t="inlineStr">
        <is>
          <t>NCA ECC scope</t>
        </is>
      </c>
      <c r="Q347" s="70" t="inlineStr">
        <is>
          <t>See official source for version history</t>
        </is>
      </c>
      <c r="R347" s="70" t="inlineStr">
        <is>
          <t>Framework issued by the relevant authority. Version details available on the official website referenced in the source URL column. The framework has been updated periodically since first issuance.</t>
        </is>
      </c>
      <c r="S347" s="71" t="inlineStr">
        <is>
          <t>See official source</t>
        </is>
      </c>
      <c r="T347" s="70" t="inlineStr">
        <is>
          <t>Updated as needed by the issuing authority</t>
        </is>
      </c>
      <c r="U347" s="25" t="inlineStr">
        <is>
          <t>CURRENT — consult official source for latest version</t>
        </is>
      </c>
      <c r="V347" s="70" t="inlineStr">
        <is>
          <t>Penalties defined by issuing authority; consult official source. NCA ECC-2 penalties apply if relevant</t>
        </is>
      </c>
      <c r="W347" s="72" t="inlineStr">
        <is>
          <t>Issuing authority and/or designated inspection department</t>
        </is>
      </c>
      <c r="X347" s="70" t="inlineStr">
        <is>
          <t>As specified in framework scope — consult official document</t>
        </is>
      </c>
      <c r="Y347" s="49" t="inlineStr">
        <is>
          <t>Both (unless specified otherwise in official document)</t>
        </is>
      </c>
      <c r="Z347" s="70" t="inlineStr">
        <is>
          <t>As defined by issuing authority</t>
        </is>
      </c>
      <c r="AA347" s="71" t="inlineStr">
        <is>
          <t>As defined by issuing authority</t>
        </is>
      </c>
      <c r="AB347" s="70" t="inlineStr">
        <is>
          <t>To be determined from framework text — see official source</t>
        </is>
      </c>
      <c r="AC347" s="70" t="inlineStr">
        <is>
          <t>See framework preamble for international standard references</t>
        </is>
      </c>
      <c r="AD347" s="49" t="inlineStr">
        <is>
          <t>Arabic (primary in KSA); English may be available</t>
        </is>
      </c>
      <c r="AE347" s="58" t="inlineStr">
        <is>
          <t>Mapped to relevant GH-ICGA layer — requires manual assessment</t>
        </is>
      </c>
      <c r="AF347" s="56" t="inlineStr">
        <is>
          <t>See official framework for maturity model details</t>
        </is>
      </c>
      <c r="AG347" s="70" t="inlineStr">
        <is>
          <t>Aligned with relevant Vision 2030 programme — see framework context</t>
        </is>
      </c>
      <c r="AH347" s="70" t="inlineStr">
        <is>
          <t>As specified in framework compliance requirements</t>
        </is>
      </c>
      <c r="AI347" s="73" t="inlineStr">
        <is>
          <t>Institutional theory and regulatory governance theory underpin all KSA regulatory frameworks. Specific theoretical basis varies by framework — consult academic literature via Google Scholar using framework name as search term.</t>
        </is>
      </c>
      <c r="AJ347" s="70" t="inlineStr">
        <is>
          <t>Academic debate varies by framework maturity and international adoption. For KSA-specific debate, consult: Almohammad &amp; Wills (2021) J Cybersecurity; Al-Khater et al. (2020) IEEE Access; Baker McKenzie KSA regulatory updates.</t>
        </is>
      </c>
      <c r="AK347" s="74" t="inlineStr">
        <is>
          <t>Known criticisms include: implementation gap between standards and practice; resource constraints for smaller healthcare entities; rapid technology evolution outpacing regulation. Consult framework evaluation literature for specifics.</t>
        </is>
      </c>
      <c r="AL347" s="75" t="inlineStr">
        <is>
          <t>Framework comparison requires contextual analysis. Key comparators: NIST CSF 2.0 (international benchmark), ISO 27001 (certifiable standard), ECC-2 (KSA mandatory baseline). See main database for cross-framework mapping.</t>
        </is>
      </c>
      <c r="AM347"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47" s="50" t="inlineStr">
        <is>
          <t>Official: Consult the official source URL in the database for the primary document. Training: ISACA, ISC2, RAPS, IAPP, and HIMSS offer professional development covering most regulatory domains. Estimated hours vary by framework complexity.</t>
        </is>
      </c>
      <c r="AO347" s="77" t="inlineStr">
        <is>
          <t>Relevance to GH-ICGA framework varies by layer — see GH-ICGA Layer Mapping column. All KSA mandatory frameworks are compliance inputs to GH-ICGA Layer 4. Frameworks with IoMT-specific provisions directly inform Layers 2 and 3.</t>
        </is>
      </c>
      <c r="AP347" s="51" t="inlineStr">
        <is>
          <t>G + C (Governance + Compliance — standard regulatory framework positioning)</t>
        </is>
      </c>
      <c r="AQ347" s="78" t="inlineStr">
        <is>
          <t>Senior management: accountability for framework compliance. Designated compliance officer: monitor requirements. All staff: awareness of applicable obligations</t>
        </is>
      </c>
      <c r="AR347" s="74" t="inlineStr">
        <is>
          <t>Regulatory Risk; Operational Risk; Reputational Risk — specific domains determined by framework scope</t>
        </is>
      </c>
      <c r="AS347" s="22" t="inlineStr">
        <is>
          <t>See official source — legal obligation, regulatory requirement, or voluntary standard as applicable</t>
        </is>
      </c>
      <c r="AT347" s="75" t="inlineStr">
        <is>
          <t>Administrative; Technical; Operational — specific distribution determined by framework content</t>
        </is>
      </c>
      <c r="AU347" s="79" t="inlineStr">
        <is>
          <t>1. Compliance status (compliant/non-compliant). 2. # open findings from last assessment. 3. % controls implemented. 4. Time to remediate findings. 5. Incident rate in framework scope area</t>
        </is>
      </c>
      <c r="AV347" s="80" t="inlineStr">
        <is>
          <t>Self-assessment; internal audit; external assessment as specified by issuing authority</t>
        </is>
      </c>
      <c r="AW347" s="81" t="inlineStr">
        <is>
          <t>ServiceNow GRC; IBM OpenPages; RSA Archer; MetricStream — all major GRC platforms support custom framework import. Contact vendor for framework-specific module</t>
        </is>
      </c>
      <c r="AX347" s="82" t="inlineStr">
        <is>
          <t>Third parties in scope must demonstrate equivalent compliance. Contractual compliance obligations; right-to-audit clauses; annual third-party assessment</t>
        </is>
      </c>
      <c r="AY347" s="83" t="inlineStr">
        <is>
          <t>Non-compliance: regulatory action by issuing authority; fines and penalties as specified; operational and reputational consequences</t>
        </is>
      </c>
      <c r="AZ347" s="80" t="inlineStr">
        <is>
          <t>ALL 17 SECTORS</t>
        </is>
      </c>
      <c r="BA347" s="34" t="inlineStr">
        <is>
          <t>YES — ALL SECTORS</t>
        </is>
      </c>
      <c r="BB347" s="591">
        <f>IF(E347="","",IF(ISNUMBER(SEARCH("Institutional theory and regulatory governance theory underpin",AI347)),"TEMPLATE",IF(LEN(AI347)&gt;100,"DEEP",IF(AI347="","SPARSE","SHALLOW"))))</f>
        <v/>
      </c>
      <c r="BC347" s="591">
        <f>IF(E347="","",D347&amp;"-"&amp;B347&amp;"-"&amp;E347)</f>
        <v/>
      </c>
      <c r="BD347" s="591">
        <f>IF(E347="","",SUBSTITUTE(SUBSTITUTE(B347&amp;"-"&amp;E347," ",""),":","-"))</f>
        <v/>
      </c>
      <c r="BE347" s="591">
        <f>IF(E347="","",IF(ISNUMBER(SEARCH("ECC",E347)),"NCA-ECC-2-2024",IF(ISNUMBER(SEARCH("OTCC",E347)),"NCA-ECC-2-2024",IF(ISNUMBER(SEARCH("CCC",E347)),"NCA-ECC-2-2024",IF(ISNUMBER(SEARCH("DCC",E347)),"NCA-ECC-2-2024",IF(ISNUMBER(SEARCH("CSCC",E347)),"NCA-ECC-2-2024",IF(ISNUMBER(SEARCH("PDPL-IR",E347)),"PDPL-2021",IF(ISNUMBER(SEARCH("PDPL-DTR",E347)),"PDPL-2021","NONE"))))))))</f>
        <v/>
      </c>
      <c r="BF347" s="594">
        <f>IF(E347="","",IF(BB347="DEEP",10,IF(BB347="SHALLOW",5,IF(BB347="TEMPLATE",3,1)))+IF(N347="HIGHEST",5,IF(N347="HIGH",3,IF(N347="MODERATE",1,0)))+IF(ISNUMBER(SEARCH("Mandatory",L347)),3,0))</f>
        <v/>
      </c>
    </row>
    <row r="348" ht="42" customHeight="1">
      <c r="A348" s="84" t="n">
        <v>303</v>
      </c>
      <c r="B348" s="85" t="inlineStr">
        <is>
          <t>MNGHA</t>
        </is>
      </c>
      <c r="C348" s="70" t="inlineStr">
        <is>
          <t>Ministry National Guard HA Hospitals</t>
        </is>
      </c>
      <c r="D348" s="70" t="inlineStr">
        <is>
          <t>2. Healthcare &amp; Life Sciences</t>
        </is>
      </c>
      <c r="E348" s="85" t="inlineStr">
        <is>
          <t>MNGHA-FW</t>
        </is>
      </c>
      <c r="F348" s="72" t="inlineStr">
        <is>
          <t>NGHA Facilities Operations Standards</t>
        </is>
      </c>
      <c r="G348" s="70" t="inlineStr">
        <is>
          <t>الإطار التنظيمي الرئيسي</t>
        </is>
      </c>
      <c r="H348" s="70" t="inlineStr">
        <is>
          <t>Active/Updated</t>
        </is>
      </c>
      <c r="I348" s="71" t="inlineStr">
        <is>
          <t>1983</t>
        </is>
      </c>
      <c r="J348" s="71" t="inlineStr">
        <is>
          <t>N/A</t>
        </is>
      </c>
      <c r="K348" s="70" t="inlineStr">
        <is>
          <t>ISSUES/ENFORCES</t>
        </is>
      </c>
      <c r="L348" s="22" t="inlineStr">
        <is>
          <t>Mandatory Enforcer</t>
        </is>
      </c>
      <c r="M348" s="70" t="inlineStr">
        <is>
          <t>Entities regulated by this authority</t>
        </is>
      </c>
      <c r="N348" s="93" t="inlineStr">
        <is>
          <t>MODERATE</t>
        </is>
      </c>
      <c r="O348" s="87" t="inlineStr">
        <is>
          <t>https://www.gov.sa/</t>
        </is>
      </c>
      <c r="P348" s="70" t="inlineStr">
        <is>
          <t>Ministry/Authority official site</t>
        </is>
      </c>
      <c r="Q348" s="70" t="inlineStr">
        <is>
          <t>See official source for version history</t>
        </is>
      </c>
      <c r="R348" s="70" t="inlineStr">
        <is>
          <t>Framework issued by the relevant authority. Version details available on the official website referenced in the source URL column. The framework has been updated periodically since first issuance.</t>
        </is>
      </c>
      <c r="S348" s="71" t="inlineStr">
        <is>
          <t>See official source</t>
        </is>
      </c>
      <c r="T348" s="70" t="inlineStr">
        <is>
          <t>Updated as needed by the issuing authority</t>
        </is>
      </c>
      <c r="U348" s="25" t="inlineStr">
        <is>
          <t>CURRENT — consult official source for latest version</t>
        </is>
      </c>
      <c r="V348" s="70" t="inlineStr">
        <is>
          <t>Penalties defined by issuing authority; consult official source. NCA ECC-2 penalties apply if relevant</t>
        </is>
      </c>
      <c r="W348" s="72" t="inlineStr">
        <is>
          <t>Issuing authority and/or designated inspection department</t>
        </is>
      </c>
      <c r="X348" s="70" t="inlineStr">
        <is>
          <t>As specified in framework scope — consult official document</t>
        </is>
      </c>
      <c r="Y348" s="49" t="inlineStr">
        <is>
          <t>Both (unless specified otherwise in official document)</t>
        </is>
      </c>
      <c r="Z348" s="70" t="inlineStr">
        <is>
          <t>As defined by issuing authority</t>
        </is>
      </c>
      <c r="AA348" s="71" t="inlineStr">
        <is>
          <t>As defined by issuing authority</t>
        </is>
      </c>
      <c r="AB348" s="70" t="inlineStr">
        <is>
          <t>To be determined from framework text — see official source</t>
        </is>
      </c>
      <c r="AC348" s="70" t="inlineStr">
        <is>
          <t>See framework preamble for international standard references</t>
        </is>
      </c>
      <c r="AD348" s="49" t="inlineStr">
        <is>
          <t>Arabic (primary in KSA); English may be available</t>
        </is>
      </c>
      <c r="AE348" s="58" t="inlineStr">
        <is>
          <t>Mapped to relevant GH-ICGA layer — requires manual assessment</t>
        </is>
      </c>
      <c r="AF348" s="56" t="inlineStr">
        <is>
          <t>See official framework for maturity model details</t>
        </is>
      </c>
      <c r="AG348" s="70" t="inlineStr">
        <is>
          <t>Aligned with relevant Vision 2030 programme — see framework context</t>
        </is>
      </c>
      <c r="AH348" s="70" t="inlineStr">
        <is>
          <t>As specified in framework compliance requirements</t>
        </is>
      </c>
      <c r="AI348" s="73" t="inlineStr">
        <is>
          <t>Institutional theory and regulatory governance theory underpin all KSA regulatory frameworks. Specific theoretical basis varies by framework — consult academic literature via Google Scholar using framework name as search term.</t>
        </is>
      </c>
      <c r="AJ348" s="70" t="inlineStr">
        <is>
          <t>Academic debate varies by framework maturity and international adoption. For KSA-specific debate, consult: Almohammad &amp; Wills (2021) J Cybersecurity; Al-Khater et al. (2020) IEEE Access; Baker McKenzie KSA regulatory updates.</t>
        </is>
      </c>
      <c r="AK348" s="74" t="inlineStr">
        <is>
          <t>Known criticisms include: implementation gap between standards and practice; resource constraints for smaller healthcare entities; rapid technology evolution outpacing regulation. Consult framework evaluation literature for specifics.</t>
        </is>
      </c>
      <c r="AL348" s="75" t="inlineStr">
        <is>
          <t>Framework comparison requires contextual analysis. Key comparators: NIST CSF 2.0 (international benchmark), ISO 27001 (certifiable standard), ECC-2 (KSA mandatory baseline). See main database for cross-framework mapping.</t>
        </is>
      </c>
      <c r="AM348"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48" s="50" t="inlineStr">
        <is>
          <t>Official: Consult the official source URL in the database for the primary document. Training: ISACA, ISC2, RAPS, IAPP, and HIMSS offer professional development covering most regulatory domains. Estimated hours vary by framework complexity.</t>
        </is>
      </c>
      <c r="AO348" s="77" t="inlineStr">
        <is>
          <t>Relevance to GH-ICGA framework varies by layer — see GH-ICGA Layer Mapping column. All KSA mandatory frameworks are compliance inputs to GH-ICGA Layer 4. Frameworks with IoMT-specific provisions directly inform Layers 2 and 3.</t>
        </is>
      </c>
      <c r="AP348" s="51" t="inlineStr">
        <is>
          <t>G + C (Governance + Compliance — standard regulatory framework positioning)</t>
        </is>
      </c>
      <c r="AQ348" s="78" t="inlineStr">
        <is>
          <t>Senior management: accountability for framework compliance. Designated compliance officer: monitor requirements. All staff: awareness of applicable obligations</t>
        </is>
      </c>
      <c r="AR348" s="74" t="inlineStr">
        <is>
          <t>Regulatory Risk; Operational Risk; Reputational Risk — specific domains determined by framework scope</t>
        </is>
      </c>
      <c r="AS348" s="22" t="inlineStr">
        <is>
          <t>See official source — legal obligation, regulatory requirement, or voluntary standard as applicable</t>
        </is>
      </c>
      <c r="AT348" s="75" t="inlineStr">
        <is>
          <t>Administrative; Technical; Operational — specific distribution determined by framework content</t>
        </is>
      </c>
      <c r="AU348" s="79" t="inlineStr">
        <is>
          <t>1. Compliance status (compliant/non-compliant). 2. # open findings from last assessment. 3. % controls implemented. 4. Time to remediate findings. 5. Incident rate in framework scope area</t>
        </is>
      </c>
      <c r="AV348" s="80" t="inlineStr">
        <is>
          <t>Self-assessment; internal audit; external assessment as specified by issuing authority</t>
        </is>
      </c>
      <c r="AW348" s="81" t="inlineStr">
        <is>
          <t>ServiceNow GRC; IBM OpenPages; RSA Archer; MetricStream — all major GRC platforms support custom framework import. Contact vendor for framework-specific module</t>
        </is>
      </c>
      <c r="AX348" s="82" t="inlineStr">
        <is>
          <t>Third parties in scope must demonstrate equivalent compliance. Contractual compliance obligations; right-to-audit clauses; annual third-party assessment</t>
        </is>
      </c>
      <c r="AY348" s="83" t="inlineStr">
        <is>
          <t>Non-compliance: regulatory action by issuing authority; fines and penalties as specified; operational and reputational consequences</t>
        </is>
      </c>
      <c r="AZ348" s="80" t="inlineStr">
        <is>
          <t>Sector-specific — consult official source</t>
        </is>
      </c>
      <c r="BA348" s="41" t="inlineStr">
        <is>
          <t>Sector-Specific</t>
        </is>
      </c>
      <c r="BB348" s="591">
        <f>IF(E348="","",IF(ISNUMBER(SEARCH("Institutional theory and regulatory governance theory underpin",AI348)),"TEMPLATE",IF(LEN(AI348)&gt;100,"DEEP",IF(AI348="","SPARSE","SHALLOW"))))</f>
        <v/>
      </c>
      <c r="BC348" s="591">
        <f>IF(E348="","",D348&amp;"-"&amp;B348&amp;"-"&amp;E348)</f>
        <v/>
      </c>
      <c r="BD348" s="591">
        <f>IF(E348="","",SUBSTITUTE(SUBSTITUTE(B348&amp;"-"&amp;E348," ",""),":","-"))</f>
        <v/>
      </c>
      <c r="BE348" s="591">
        <f>IF(E348="","",IF(ISNUMBER(SEARCH("ECC",E348)),"NCA-ECC-2-2024",IF(ISNUMBER(SEARCH("OTCC",E348)),"NCA-ECC-2-2024",IF(ISNUMBER(SEARCH("CCC",E348)),"NCA-ECC-2-2024",IF(ISNUMBER(SEARCH("DCC",E348)),"NCA-ECC-2-2024",IF(ISNUMBER(SEARCH("CSCC",E348)),"NCA-ECC-2-2024",IF(ISNUMBER(SEARCH("PDPL-IR",E348)),"PDPL-2021",IF(ISNUMBER(SEARCH("PDPL-DTR",E348)),"PDPL-2021","NONE"))))))))</f>
        <v/>
      </c>
      <c r="BF348" s="594">
        <f>IF(E348="","",IF(BB348="DEEP",10,IF(BB348="SHALLOW",5,IF(BB348="TEMPLATE",3,1)))+IF(N348="HIGHEST",5,IF(N348="HIGH",3,IF(N348="MODERATE",1,0)))+IF(ISNUMBER(SEARCH("Mandatory",L348)),3,0))</f>
        <v/>
      </c>
    </row>
    <row r="349" ht="42" customHeight="1">
      <c r="A349" s="42" t="n">
        <v>304</v>
      </c>
      <c r="B349" s="69" t="inlineStr">
        <is>
          <t>MNGHA</t>
        </is>
      </c>
      <c r="C349" s="44" t="inlineStr">
        <is>
          <t>Ministry National Guard HA Hospitals</t>
        </is>
      </c>
      <c r="D349" s="44" t="inlineStr">
        <is>
          <t>2. Healthcare &amp; Life Sciences</t>
        </is>
      </c>
      <c r="E349" s="69" t="inlineStr">
        <is>
          <t>NCA-ECC-2:2024</t>
        </is>
      </c>
      <c r="F349" s="45" t="inlineStr">
        <is>
          <t>Essential Cybersecurity Controls</t>
        </is>
      </c>
      <c r="G349" s="44" t="inlineStr">
        <is>
          <t>ضوابط الأمن السيبراني الأساسية</t>
        </is>
      </c>
      <c r="H349" s="44" t="inlineStr">
        <is>
          <t>ECC-2:2024</t>
        </is>
      </c>
      <c r="I349" s="46" t="inlineStr">
        <is>
          <t>2018</t>
        </is>
      </c>
      <c r="J349" s="46" t="inlineStr">
        <is>
          <t>108</t>
        </is>
      </c>
      <c r="K349" s="44" t="inlineStr">
        <is>
          <t>MUST COMPLY WITH</t>
        </is>
      </c>
      <c r="L349" s="66" t="inlineStr">
        <is>
          <t>Mandatory Complier</t>
        </is>
      </c>
      <c r="M349" s="44" t="inlineStr">
        <is>
          <t>Ministry National Guard HA Hospitals as government entity</t>
        </is>
      </c>
      <c r="N349" s="59" t="inlineStr">
        <is>
          <t>LOW</t>
        </is>
      </c>
      <c r="O349" s="48" t="inlineStr">
        <is>
          <t>https://nca.gov.sa/</t>
        </is>
      </c>
      <c r="P349" s="44" t="inlineStr">
        <is>
          <t>NCA ECC scope</t>
        </is>
      </c>
      <c r="Q349" s="70" t="inlineStr">
        <is>
          <t>See official source for version history</t>
        </is>
      </c>
      <c r="R349" s="70" t="inlineStr">
        <is>
          <t>Framework issued by the relevant authority. Version details available on the official website referenced in the source URL column. The framework has been updated periodically since first issuance.</t>
        </is>
      </c>
      <c r="S349" s="71" t="inlineStr">
        <is>
          <t>See official source</t>
        </is>
      </c>
      <c r="T349" s="70" t="inlineStr">
        <is>
          <t>Updated as needed by the issuing authority</t>
        </is>
      </c>
      <c r="U349" s="25" t="inlineStr">
        <is>
          <t>CURRENT — consult official source for latest version</t>
        </is>
      </c>
      <c r="V349" s="70" t="inlineStr">
        <is>
          <t>Penalties defined by issuing authority; consult official source. NCA ECC-2 penalties apply if relevant</t>
        </is>
      </c>
      <c r="W349" s="72" t="inlineStr">
        <is>
          <t>Issuing authority and/or designated inspection department</t>
        </is>
      </c>
      <c r="X349" s="70" t="inlineStr">
        <is>
          <t>As specified in framework scope — consult official document</t>
        </is>
      </c>
      <c r="Y349" s="49" t="inlineStr">
        <is>
          <t>Both (unless specified otherwise in official document)</t>
        </is>
      </c>
      <c r="Z349" s="70" t="inlineStr">
        <is>
          <t>As defined by issuing authority</t>
        </is>
      </c>
      <c r="AA349" s="71" t="inlineStr">
        <is>
          <t>As defined by issuing authority</t>
        </is>
      </c>
      <c r="AB349" s="70" t="inlineStr">
        <is>
          <t>To be determined from framework text — see official source</t>
        </is>
      </c>
      <c r="AC349" s="70" t="inlineStr">
        <is>
          <t>See framework preamble for international standard references</t>
        </is>
      </c>
      <c r="AD349" s="49" t="inlineStr">
        <is>
          <t>Arabic (primary in KSA); English may be available</t>
        </is>
      </c>
      <c r="AE349" s="58" t="inlineStr">
        <is>
          <t>Mapped to relevant GH-ICGA layer — requires manual assessment</t>
        </is>
      </c>
      <c r="AF349" s="56" t="inlineStr">
        <is>
          <t>See official framework for maturity model details</t>
        </is>
      </c>
      <c r="AG349" s="70" t="inlineStr">
        <is>
          <t>Aligned with relevant Vision 2030 programme — see framework context</t>
        </is>
      </c>
      <c r="AH349" s="70" t="inlineStr">
        <is>
          <t>As specified in framework compliance requirements</t>
        </is>
      </c>
      <c r="AI349" s="73" t="inlineStr">
        <is>
          <t>Institutional theory and regulatory governance theory underpin all KSA regulatory frameworks. Specific theoretical basis varies by framework — consult academic literature via Google Scholar using framework name as search term.</t>
        </is>
      </c>
      <c r="AJ349" s="70" t="inlineStr">
        <is>
          <t>Academic debate varies by framework maturity and international adoption. For KSA-specific debate, consult: Almohammad &amp; Wills (2021) J Cybersecurity; Al-Khater et al. (2020) IEEE Access; Baker McKenzie KSA regulatory updates.</t>
        </is>
      </c>
      <c r="AK349" s="74" t="inlineStr">
        <is>
          <t>Known criticisms include: implementation gap between standards and practice; resource constraints for smaller healthcare entities; rapid technology evolution outpacing regulation. Consult framework evaluation literature for specifics.</t>
        </is>
      </c>
      <c r="AL349" s="75" t="inlineStr">
        <is>
          <t>Framework comparison requires contextual analysis. Key comparators: NIST CSF 2.0 (international benchmark), ISO 27001 (certifiable standard), ECC-2 (KSA mandatory baseline). See main database for cross-framework mapping.</t>
        </is>
      </c>
      <c r="AM349"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49" s="50" t="inlineStr">
        <is>
          <t>Official: Consult the official source URL in the database for the primary document. Training: ISACA, ISC2, RAPS, IAPP, and HIMSS offer professional development covering most regulatory domains. Estimated hours vary by framework complexity.</t>
        </is>
      </c>
      <c r="AO349" s="77" t="inlineStr">
        <is>
          <t>Relevance to GH-ICGA framework varies by layer — see GH-ICGA Layer Mapping column. All KSA mandatory frameworks are compliance inputs to GH-ICGA Layer 4. Frameworks with IoMT-specific provisions directly inform Layers 2 and 3.</t>
        </is>
      </c>
      <c r="AP349" s="51" t="inlineStr">
        <is>
          <t>G + C (Governance + Compliance — standard regulatory framework positioning)</t>
        </is>
      </c>
      <c r="AQ349" s="78" t="inlineStr">
        <is>
          <t>Senior management: accountability for framework compliance. Designated compliance officer: monitor requirements. All staff: awareness of applicable obligations</t>
        </is>
      </c>
      <c r="AR349" s="74" t="inlineStr">
        <is>
          <t>Regulatory Risk; Operational Risk; Reputational Risk — specific domains determined by framework scope</t>
        </is>
      </c>
      <c r="AS349" s="22" t="inlineStr">
        <is>
          <t>See official source — legal obligation, regulatory requirement, or voluntary standard as applicable</t>
        </is>
      </c>
      <c r="AT349" s="75" t="inlineStr">
        <is>
          <t>Administrative; Technical; Operational — specific distribution determined by framework content</t>
        </is>
      </c>
      <c r="AU349" s="79" t="inlineStr">
        <is>
          <t>1. Compliance status (compliant/non-compliant). 2. # open findings from last assessment. 3. % controls implemented. 4. Time to remediate findings. 5. Incident rate in framework scope area</t>
        </is>
      </c>
      <c r="AV349" s="80" t="inlineStr">
        <is>
          <t>Self-assessment; internal audit; external assessment as specified by issuing authority</t>
        </is>
      </c>
      <c r="AW349" s="81" t="inlineStr">
        <is>
          <t>ServiceNow GRC; IBM OpenPages; RSA Archer; MetricStream — all major GRC platforms support custom framework import. Contact vendor for framework-specific module</t>
        </is>
      </c>
      <c r="AX349" s="82" t="inlineStr">
        <is>
          <t>Third parties in scope must demonstrate equivalent compliance. Contractual compliance obligations; right-to-audit clauses; annual third-party assessment</t>
        </is>
      </c>
      <c r="AY349" s="83" t="inlineStr">
        <is>
          <t>Non-compliance: regulatory action by issuing authority; fines and penalties as specified; operational and reputational consequences</t>
        </is>
      </c>
      <c r="AZ349" s="80" t="inlineStr">
        <is>
          <t>ALL 17 SECTORS</t>
        </is>
      </c>
      <c r="BA349" s="34" t="inlineStr">
        <is>
          <t>YES — ALL SECTORS</t>
        </is>
      </c>
      <c r="BB349" s="591">
        <f>IF(E349="","",IF(ISNUMBER(SEARCH("Institutional theory and regulatory governance theory underpin",AI349)),"TEMPLATE",IF(LEN(AI349)&gt;100,"DEEP",IF(AI349="","SPARSE","SHALLOW"))))</f>
        <v/>
      </c>
      <c r="BC349" s="591">
        <f>IF(E349="","",D349&amp;"-"&amp;B349&amp;"-"&amp;E349)</f>
        <v/>
      </c>
      <c r="BD349" s="591">
        <f>IF(E349="","",SUBSTITUTE(SUBSTITUTE(B349&amp;"-"&amp;E349," ",""),":","-"))</f>
        <v/>
      </c>
      <c r="BE349" s="591">
        <f>IF(E349="","",IF(ISNUMBER(SEARCH("ECC",E349)),"NCA-ECC-2-2024",IF(ISNUMBER(SEARCH("OTCC",E349)),"NCA-ECC-2-2024",IF(ISNUMBER(SEARCH("CCC",E349)),"NCA-ECC-2-2024",IF(ISNUMBER(SEARCH("DCC",E349)),"NCA-ECC-2-2024",IF(ISNUMBER(SEARCH("CSCC",E349)),"NCA-ECC-2-2024",IF(ISNUMBER(SEARCH("PDPL-IR",E349)),"PDPL-2021",IF(ISNUMBER(SEARCH("PDPL-DTR",E349)),"PDPL-2021","NONE"))))))))</f>
        <v/>
      </c>
      <c r="BF349" s="594">
        <f>IF(E349="","",IF(BB349="DEEP",10,IF(BB349="SHALLOW",5,IF(BB349="TEMPLATE",3,1)))+IF(N349="HIGHEST",5,IF(N349="HIGH",3,IF(N349="MODERATE",1,0)))+IF(ISNUMBER(SEARCH("Mandatory",L349)),3,0))</f>
        <v/>
      </c>
    </row>
    <row r="350">
      <c r="BB350" s="591">
        <f>IF(E350="","",IF(ISNUMBER(SEARCH("Institutional theory and regulatory governance theory underpin",AI350)),"TEMPLATE",IF(LEN(AI350)&gt;100,"DEEP",IF(AI350="","SPARSE","SHALLOW"))))</f>
        <v/>
      </c>
      <c r="BC350" s="591">
        <f>IF(E350="","",D350&amp;"-"&amp;B350&amp;"-"&amp;E350)</f>
        <v/>
      </c>
      <c r="BD350" s="591">
        <f>IF(E350="","",SUBSTITUTE(SUBSTITUTE(B350&amp;"-"&amp;E350," ",""),":","-"))</f>
        <v/>
      </c>
      <c r="BE350" s="591">
        <f>IF(E350="","",IF(ISNUMBER(SEARCH("ECC",E350)),"NCA-ECC-2-2024",IF(ISNUMBER(SEARCH("OTCC",E350)),"NCA-ECC-2-2024",IF(ISNUMBER(SEARCH("CCC",E350)),"NCA-ECC-2-2024",IF(ISNUMBER(SEARCH("DCC",E350)),"NCA-ECC-2-2024",IF(ISNUMBER(SEARCH("CSCC",E350)),"NCA-ECC-2-2024",IF(ISNUMBER(SEARCH("PDPL-IR",E350)),"PDPL-2021",IF(ISNUMBER(SEARCH("PDPL-DTR",E350)),"PDPL-2021","NONE"))))))))</f>
        <v/>
      </c>
      <c r="BF350" s="594">
        <f>IF(E350="","",IF(BB350="DEEP",10,IF(BB350="SHALLOW",5,IF(BB350="TEMPLATE",3,1)))+IF(N350="HIGHEST",5,IF(N350="HIGH",3,IF(N350="MODERATE",1,0)))+IF(ISNUMBER(SEARCH("Mandatory",L350)),3,0))</f>
        <v/>
      </c>
    </row>
    <row r="351" ht="19.5" customHeight="1">
      <c r="A351" s="387" t="n"/>
      <c r="B351" s="388" t="inlineStr">
        <is>
          <t xml:space="preserve">  ── 16. Councils &amp; Supreme Committees ──</t>
        </is>
      </c>
      <c r="C351" s="387" t="n"/>
      <c r="D351" s="387" t="n"/>
      <c r="E351" s="387" t="n"/>
      <c r="F351" s="387" t="n"/>
      <c r="G351" s="387" t="n"/>
      <c r="H351" s="387" t="n"/>
      <c r="I351" s="387" t="n"/>
      <c r="J351" s="387" t="n"/>
      <c r="K351" s="387" t="n"/>
      <c r="L351" s="387" t="n"/>
      <c r="M351" s="387" t="n"/>
      <c r="N351" s="387" t="n"/>
      <c r="O351" s="387" t="n"/>
      <c r="P351" s="387" t="n"/>
      <c r="BB351" s="591">
        <f>IF(E351="","",IF(ISNUMBER(SEARCH("Institutional theory and regulatory governance theory underpin",AI351)),"TEMPLATE",IF(LEN(AI351)&gt;100,"DEEP",IF(AI351="","SPARSE","SHALLOW"))))</f>
        <v/>
      </c>
      <c r="BC351" s="591">
        <f>IF(E351="","",D351&amp;"-"&amp;B351&amp;"-"&amp;E351)</f>
        <v/>
      </c>
      <c r="BD351" s="591">
        <f>IF(E351="","",SUBSTITUTE(SUBSTITUTE(B351&amp;"-"&amp;E351," ",""),":","-"))</f>
        <v/>
      </c>
      <c r="BE351" s="591">
        <f>IF(E351="","",IF(ISNUMBER(SEARCH("ECC",E351)),"NCA-ECC-2-2024",IF(ISNUMBER(SEARCH("OTCC",E351)),"NCA-ECC-2-2024",IF(ISNUMBER(SEARCH("CCC",E351)),"NCA-ECC-2-2024",IF(ISNUMBER(SEARCH("DCC",E351)),"NCA-ECC-2-2024",IF(ISNUMBER(SEARCH("CSCC",E351)),"NCA-ECC-2-2024",IF(ISNUMBER(SEARCH("PDPL-IR",E351)),"PDPL-2021",IF(ISNUMBER(SEARCH("PDPL-DTR",E351)),"PDPL-2021","NONE"))))))))</f>
        <v/>
      </c>
      <c r="BF351" s="594">
        <f>IF(E351="","",IF(BB351="DEEP",10,IF(BB351="SHALLOW",5,IF(BB351="TEMPLATE",3,1)))+IF(N351="HIGHEST",5,IF(N351="HIGH",3,IF(N351="MODERATE",1,0)))+IF(ISNUMBER(SEARCH("Mandatory",L351)),3,0))</f>
        <v/>
      </c>
    </row>
    <row r="352" ht="42" customHeight="1">
      <c r="A352" s="389" t="n">
        <v>305</v>
      </c>
      <c r="B352" s="390" t="inlineStr">
        <is>
          <t>COM</t>
        </is>
      </c>
      <c r="C352" s="391" t="inlineStr">
        <is>
          <t>Council of Ministers</t>
        </is>
      </c>
      <c r="D352" s="391" t="inlineStr">
        <is>
          <t>16. Councils &amp; Supreme Committees</t>
        </is>
      </c>
      <c r="E352" s="390" t="inlineStr">
        <is>
          <t>COM-FW</t>
        </is>
      </c>
      <c r="F352" s="392" t="inlineStr">
        <is>
          <t>Royal Decrees &amp; CoM Resolutions</t>
        </is>
      </c>
      <c r="G352" s="391" t="inlineStr">
        <is>
          <t>الإطار التنظيمي الرئيسي</t>
        </is>
      </c>
      <c r="H352" s="391" t="inlineStr">
        <is>
          <t>Active/Updated</t>
        </is>
      </c>
      <c r="I352" s="393" t="inlineStr">
        <is>
          <t>1953</t>
        </is>
      </c>
      <c r="J352" s="393" t="inlineStr">
        <is>
          <t>N/A</t>
        </is>
      </c>
      <c r="K352" s="391" t="inlineStr">
        <is>
          <t>ISSUES/ENFORCES</t>
        </is>
      </c>
      <c r="L352" s="22" t="inlineStr">
        <is>
          <t>Mandatory Enforcer</t>
        </is>
      </c>
      <c r="M352" s="391" t="inlineStr">
        <is>
          <t>Entities regulated by this authority</t>
        </is>
      </c>
      <c r="N352" s="394" t="inlineStr">
        <is>
          <t>MODERATE</t>
        </is>
      </c>
      <c r="O352" s="395" t="inlineStr">
        <is>
          <t>https://www.gov.sa/</t>
        </is>
      </c>
      <c r="P352" s="391" t="inlineStr">
        <is>
          <t>Ministry/Authority official site</t>
        </is>
      </c>
      <c r="Q352" s="391" t="inlineStr">
        <is>
          <t>See official source for version history</t>
        </is>
      </c>
      <c r="R352" s="391" t="inlineStr">
        <is>
          <t>Framework issued by the relevant authority. Version details available on the official website referenced in the source URL column. The framework has been updated periodically since first issuance.</t>
        </is>
      </c>
      <c r="S352" s="393" t="inlineStr">
        <is>
          <t>See official source</t>
        </is>
      </c>
      <c r="T352" s="391" t="inlineStr">
        <is>
          <t>Updated as needed by the issuing authority</t>
        </is>
      </c>
      <c r="U352" s="25" t="inlineStr">
        <is>
          <t>CURRENT — consult official source for latest version</t>
        </is>
      </c>
      <c r="V352" s="391" t="inlineStr">
        <is>
          <t>Penalties defined by issuing authority; consult official source. NCA ECC-2 penalties apply if relevant</t>
        </is>
      </c>
      <c r="W352" s="392" t="inlineStr">
        <is>
          <t>Issuing authority and/or designated inspection department</t>
        </is>
      </c>
      <c r="X352" s="391" t="inlineStr">
        <is>
          <t>As specified in framework scope — consult official document</t>
        </is>
      </c>
      <c r="Y352" s="49" t="inlineStr">
        <is>
          <t>Both (unless specified otherwise in official document)</t>
        </is>
      </c>
      <c r="Z352" s="391" t="inlineStr">
        <is>
          <t>As defined by issuing authority</t>
        </is>
      </c>
      <c r="AA352" s="393" t="inlineStr">
        <is>
          <t>As defined by issuing authority</t>
        </is>
      </c>
      <c r="AB352" s="391" t="inlineStr">
        <is>
          <t>To be determined from framework text — see official source</t>
        </is>
      </c>
      <c r="AC352" s="391" t="inlineStr">
        <is>
          <t>See framework preamble for international standard references</t>
        </is>
      </c>
      <c r="AD352" s="49" t="inlineStr">
        <is>
          <t>Arabic (primary in KSA); English may be available</t>
        </is>
      </c>
      <c r="AE352" s="58" t="inlineStr">
        <is>
          <t>Mapped to relevant GH-ICGA layer — requires manual assessment</t>
        </is>
      </c>
      <c r="AF352" s="56" t="inlineStr">
        <is>
          <t>See official framework for maturity model details</t>
        </is>
      </c>
      <c r="AG352" s="391" t="inlineStr">
        <is>
          <t>Aligned with relevant Vision 2030 programme — see framework context</t>
        </is>
      </c>
      <c r="AH352" s="391" t="inlineStr">
        <is>
          <t>As specified in framework compliance requirements</t>
        </is>
      </c>
      <c r="AI352" s="396" t="inlineStr">
        <is>
          <t>Institutional theory and regulatory governance theory underpin all KSA regulatory frameworks. Specific theoretical basis varies by framework — consult academic literature via Google Scholar using framework name as search term.</t>
        </is>
      </c>
      <c r="AJ352" s="391" t="inlineStr">
        <is>
          <t>Academic debate varies by framework maturity and international adoption. For KSA-specific debate, consult: Almohammad &amp; Wills (2021) J Cybersecurity; Al-Khater et al. (2020) IEEE Access; Baker McKenzie KSA regulatory updates.</t>
        </is>
      </c>
      <c r="AK352" s="397" t="inlineStr">
        <is>
          <t>Known criticisms include: implementation gap between standards and practice; resource constraints for smaller healthcare entities; rapid technology evolution outpacing regulation. Consult framework evaluation literature for specifics.</t>
        </is>
      </c>
      <c r="AL352" s="398" t="inlineStr">
        <is>
          <t>Framework comparison requires contextual analysis. Key comparators: NIST CSF 2.0 (international benchmark), ISO 27001 (certifiable standard), ECC-2 (KSA mandatory baseline). See main database for cross-framework mapping.</t>
        </is>
      </c>
      <c r="AM352" s="399"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52" s="400" t="inlineStr">
        <is>
          <t>Official: Consult the official source URL in the database for the primary document. Training: ISACA, ISC2, RAPS, IAPP, and HIMSS offer professional development covering most regulatory domains. Estimated hours vary by framework complexity.</t>
        </is>
      </c>
      <c r="AO352" s="401" t="inlineStr">
        <is>
          <t>Relevance to GH-ICGA framework varies by layer — see GH-ICGA Layer Mapping column. All KSA mandatory frameworks are compliance inputs to GH-ICGA Layer 4. Frameworks with IoMT-specific provisions directly inform Layers 2 and 3.</t>
        </is>
      </c>
      <c r="AP352" s="51" t="inlineStr">
        <is>
          <t>G + C (Governance + Compliance — standard regulatory framework positioning)</t>
        </is>
      </c>
      <c r="AQ352" s="402" t="inlineStr">
        <is>
          <t>Senior management: accountability for framework compliance. Designated compliance officer: monitor requirements. All staff: awareness of applicable obligations</t>
        </is>
      </c>
      <c r="AR352" s="397" t="inlineStr">
        <is>
          <t>Regulatory Risk; Operational Risk; Reputational Risk — specific domains determined by framework scope</t>
        </is>
      </c>
      <c r="AS352" s="22" t="inlineStr">
        <is>
          <t>See official source — legal obligation, regulatory requirement, or voluntary standard as applicable</t>
        </is>
      </c>
      <c r="AT352" s="398" t="inlineStr">
        <is>
          <t>Administrative; Technical; Operational — specific distribution determined by framework content</t>
        </is>
      </c>
      <c r="AU352" s="403" t="inlineStr">
        <is>
          <t>1. Compliance status (compliant/non-compliant). 2. # open findings from last assessment. 3. % controls implemented. 4. Time to remediate findings. 5. Incident rate in framework scope area</t>
        </is>
      </c>
      <c r="AV352" s="404" t="inlineStr">
        <is>
          <t>Self-assessment; internal audit; external assessment as specified by issuing authority</t>
        </is>
      </c>
      <c r="AW352" s="405" t="inlineStr">
        <is>
          <t>ServiceNow GRC; IBM OpenPages; RSA Archer; MetricStream — all major GRC platforms support custom framework import. Contact vendor for framework-specific module</t>
        </is>
      </c>
      <c r="AX352" s="406" t="inlineStr">
        <is>
          <t>Third parties in scope must demonstrate equivalent compliance. Contractual compliance obligations; right-to-audit clauses; annual third-party assessment</t>
        </is>
      </c>
      <c r="AY352" s="407" t="inlineStr">
        <is>
          <t>Non-compliance: regulatory action by issuing authority; fines and penalties as specified; operational and reputational consequences</t>
        </is>
      </c>
      <c r="AZ352" s="404" t="inlineStr">
        <is>
          <t>Sector-specific — consult official source</t>
        </is>
      </c>
      <c r="BA352" s="41" t="inlineStr">
        <is>
          <t>Sector-Specific</t>
        </is>
      </c>
      <c r="BB352" s="591">
        <f>IF(E352="","",IF(ISNUMBER(SEARCH("Institutional theory and regulatory governance theory underpin",AI352)),"TEMPLATE",IF(LEN(AI352)&gt;100,"DEEP",IF(AI352="","SPARSE","SHALLOW"))))</f>
        <v/>
      </c>
      <c r="BC352" s="591">
        <f>IF(E352="","",D352&amp;"-"&amp;B352&amp;"-"&amp;E352)</f>
        <v/>
      </c>
      <c r="BD352" s="591">
        <f>IF(E352="","",SUBSTITUTE(SUBSTITUTE(B352&amp;"-"&amp;E352," ",""),":","-"))</f>
        <v/>
      </c>
      <c r="BE352" s="591">
        <f>IF(E352="","",IF(ISNUMBER(SEARCH("ECC",E352)),"NCA-ECC-2-2024",IF(ISNUMBER(SEARCH("OTCC",E352)),"NCA-ECC-2-2024",IF(ISNUMBER(SEARCH("CCC",E352)),"NCA-ECC-2-2024",IF(ISNUMBER(SEARCH("DCC",E352)),"NCA-ECC-2-2024",IF(ISNUMBER(SEARCH("CSCC",E352)),"NCA-ECC-2-2024",IF(ISNUMBER(SEARCH("PDPL-IR",E352)),"PDPL-2021",IF(ISNUMBER(SEARCH("PDPL-DTR",E352)),"PDPL-2021","NONE"))))))))</f>
        <v/>
      </c>
      <c r="BF352" s="594">
        <f>IF(E352="","",IF(BB352="DEEP",10,IF(BB352="SHALLOW",5,IF(BB352="TEMPLATE",3,1)))+IF(N352="HIGHEST",5,IF(N352="HIGH",3,IF(N352="MODERATE",1,0)))+IF(ISNUMBER(SEARCH("Mandatory",L352)),3,0))</f>
        <v/>
      </c>
    </row>
    <row r="353" ht="42" customHeight="1">
      <c r="A353" s="42" t="n">
        <v>306</v>
      </c>
      <c r="B353" s="408" t="inlineStr">
        <is>
          <t>COM</t>
        </is>
      </c>
      <c r="C353" s="44" t="inlineStr">
        <is>
          <t>Council of Ministers</t>
        </is>
      </c>
      <c r="D353" s="44" t="inlineStr">
        <is>
          <t>16. Councils &amp; Supreme Committees</t>
        </is>
      </c>
      <c r="E353" s="408" t="inlineStr">
        <is>
          <t>NCA-ECC-2:2024</t>
        </is>
      </c>
      <c r="F353" s="45" t="inlineStr">
        <is>
          <t>Essential Cybersecurity Controls</t>
        </is>
      </c>
      <c r="G353" s="44" t="inlineStr">
        <is>
          <t>ضوابط الأمن السيبراني الأساسية</t>
        </is>
      </c>
      <c r="H353" s="44" t="inlineStr">
        <is>
          <t>ECC-2:2024</t>
        </is>
      </c>
      <c r="I353" s="46" t="inlineStr">
        <is>
          <t>2018</t>
        </is>
      </c>
      <c r="J353" s="46" t="inlineStr">
        <is>
          <t>108</t>
        </is>
      </c>
      <c r="K353" s="44" t="inlineStr">
        <is>
          <t>MUST COMPLY WITH</t>
        </is>
      </c>
      <c r="L353" s="66" t="inlineStr">
        <is>
          <t>Mandatory Complier</t>
        </is>
      </c>
      <c r="M353" s="44" t="inlineStr">
        <is>
          <t>Council of Ministers as government entity</t>
        </is>
      </c>
      <c r="N353" s="59" t="inlineStr">
        <is>
          <t>LOW</t>
        </is>
      </c>
      <c r="O353" s="48" t="inlineStr">
        <is>
          <t>https://nca.gov.sa/</t>
        </is>
      </c>
      <c r="P353" s="44" t="inlineStr">
        <is>
          <t>NCA ECC scope</t>
        </is>
      </c>
      <c r="Q353" s="391" t="inlineStr">
        <is>
          <t>See official source for version history</t>
        </is>
      </c>
      <c r="R353" s="391" t="inlineStr">
        <is>
          <t>Framework issued by the relevant authority. Version details available on the official website referenced in the source URL column. The framework has been updated periodically since first issuance.</t>
        </is>
      </c>
      <c r="S353" s="393" t="inlineStr">
        <is>
          <t>See official source</t>
        </is>
      </c>
      <c r="T353" s="391" t="inlineStr">
        <is>
          <t>Updated as needed by the issuing authority</t>
        </is>
      </c>
      <c r="U353" s="25" t="inlineStr">
        <is>
          <t>CURRENT — consult official source for latest version</t>
        </is>
      </c>
      <c r="V353" s="391" t="inlineStr">
        <is>
          <t>Penalties defined by issuing authority; consult official source. NCA ECC-2 penalties apply if relevant</t>
        </is>
      </c>
      <c r="W353" s="392" t="inlineStr">
        <is>
          <t>Issuing authority and/or designated inspection department</t>
        </is>
      </c>
      <c r="X353" s="391" t="inlineStr">
        <is>
          <t>As specified in framework scope — consult official document</t>
        </is>
      </c>
      <c r="Y353" s="49" t="inlineStr">
        <is>
          <t>Both (unless specified otherwise in official document)</t>
        </is>
      </c>
      <c r="Z353" s="391" t="inlineStr">
        <is>
          <t>As defined by issuing authority</t>
        </is>
      </c>
      <c r="AA353" s="393" t="inlineStr">
        <is>
          <t>As defined by issuing authority</t>
        </is>
      </c>
      <c r="AB353" s="391" t="inlineStr">
        <is>
          <t>To be determined from framework text — see official source</t>
        </is>
      </c>
      <c r="AC353" s="391" t="inlineStr">
        <is>
          <t>See framework preamble for international standard references</t>
        </is>
      </c>
      <c r="AD353" s="49" t="inlineStr">
        <is>
          <t>Arabic (primary in KSA); English may be available</t>
        </is>
      </c>
      <c r="AE353" s="58" t="inlineStr">
        <is>
          <t>Mapped to relevant GH-ICGA layer — requires manual assessment</t>
        </is>
      </c>
      <c r="AF353" s="56" t="inlineStr">
        <is>
          <t>See official framework for maturity model details</t>
        </is>
      </c>
      <c r="AG353" s="391" t="inlineStr">
        <is>
          <t>Aligned with relevant Vision 2030 programme — see framework context</t>
        </is>
      </c>
      <c r="AH353" s="391" t="inlineStr">
        <is>
          <t>As specified in framework compliance requirements</t>
        </is>
      </c>
      <c r="AI353" s="396" t="inlineStr">
        <is>
          <t>Institutional theory and regulatory governance theory underpin all KSA regulatory frameworks. Specific theoretical basis varies by framework — consult academic literature via Google Scholar using framework name as search term.</t>
        </is>
      </c>
      <c r="AJ353" s="391" t="inlineStr">
        <is>
          <t>Academic debate varies by framework maturity and international adoption. For KSA-specific debate, consult: Almohammad &amp; Wills (2021) J Cybersecurity; Al-Khater et al. (2020) IEEE Access; Baker McKenzie KSA regulatory updates.</t>
        </is>
      </c>
      <c r="AK353" s="397" t="inlineStr">
        <is>
          <t>Known criticisms include: implementation gap between standards and practice; resource constraints for smaller healthcare entities; rapid technology evolution outpacing regulation. Consult framework evaluation literature for specifics.</t>
        </is>
      </c>
      <c r="AL353" s="398" t="inlineStr">
        <is>
          <t>Framework comparison requires contextual analysis. Key comparators: NIST CSF 2.0 (international benchmark), ISO 27001 (certifiable standard), ECC-2 (KSA mandatory baseline). See main database for cross-framework mapping.</t>
        </is>
      </c>
      <c r="AM353" s="399"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53" s="400" t="inlineStr">
        <is>
          <t>Official: Consult the official source URL in the database for the primary document. Training: ISACA, ISC2, RAPS, IAPP, and HIMSS offer professional development covering most regulatory domains. Estimated hours vary by framework complexity.</t>
        </is>
      </c>
      <c r="AO353" s="401" t="inlineStr">
        <is>
          <t>Relevance to GH-ICGA framework varies by layer — see GH-ICGA Layer Mapping column. All KSA mandatory frameworks are compliance inputs to GH-ICGA Layer 4. Frameworks with IoMT-specific provisions directly inform Layers 2 and 3.</t>
        </is>
      </c>
      <c r="AP353" s="51" t="inlineStr">
        <is>
          <t>G + C (Governance + Compliance — standard regulatory framework positioning)</t>
        </is>
      </c>
      <c r="AQ353" s="402" t="inlineStr">
        <is>
          <t>Senior management: accountability for framework compliance. Designated compliance officer: monitor requirements. All staff: awareness of applicable obligations</t>
        </is>
      </c>
      <c r="AR353" s="397" t="inlineStr">
        <is>
          <t>Regulatory Risk; Operational Risk; Reputational Risk — specific domains determined by framework scope</t>
        </is>
      </c>
      <c r="AS353" s="22" t="inlineStr">
        <is>
          <t>See official source — legal obligation, regulatory requirement, or voluntary standard as applicable</t>
        </is>
      </c>
      <c r="AT353" s="398" t="inlineStr">
        <is>
          <t>Administrative; Technical; Operational — specific distribution determined by framework content</t>
        </is>
      </c>
      <c r="AU353" s="403" t="inlineStr">
        <is>
          <t>1. Compliance status (compliant/non-compliant). 2. # open findings from last assessment. 3. % controls implemented. 4. Time to remediate findings. 5. Incident rate in framework scope area</t>
        </is>
      </c>
      <c r="AV353" s="404" t="inlineStr">
        <is>
          <t>Self-assessment; internal audit; external assessment as specified by issuing authority</t>
        </is>
      </c>
      <c r="AW353" s="405" t="inlineStr">
        <is>
          <t>ServiceNow GRC; IBM OpenPages; RSA Archer; MetricStream — all major GRC platforms support custom framework import. Contact vendor for framework-specific module</t>
        </is>
      </c>
      <c r="AX353" s="406" t="inlineStr">
        <is>
          <t>Third parties in scope must demonstrate equivalent compliance. Contractual compliance obligations; right-to-audit clauses; annual third-party assessment</t>
        </is>
      </c>
      <c r="AY353" s="407" t="inlineStr">
        <is>
          <t>Non-compliance: regulatory action by issuing authority; fines and penalties as specified; operational and reputational consequences</t>
        </is>
      </c>
      <c r="AZ353" s="404" t="inlineStr">
        <is>
          <t>ALL 17 SECTORS</t>
        </is>
      </c>
      <c r="BA353" s="34" t="inlineStr">
        <is>
          <t>YES — ALL SECTORS</t>
        </is>
      </c>
      <c r="BB353" s="591">
        <f>IF(E353="","",IF(ISNUMBER(SEARCH("Institutional theory and regulatory governance theory underpin",AI353)),"TEMPLATE",IF(LEN(AI353)&gt;100,"DEEP",IF(AI353="","SPARSE","SHALLOW"))))</f>
        <v/>
      </c>
      <c r="BC353" s="591">
        <f>IF(E353="","",D353&amp;"-"&amp;B353&amp;"-"&amp;E353)</f>
        <v/>
      </c>
      <c r="BD353" s="591">
        <f>IF(E353="","",SUBSTITUTE(SUBSTITUTE(B353&amp;"-"&amp;E353," ",""),":","-"))</f>
        <v/>
      </c>
      <c r="BE353" s="591">
        <f>IF(E353="","",IF(ISNUMBER(SEARCH("ECC",E353)),"NCA-ECC-2-2024",IF(ISNUMBER(SEARCH("OTCC",E353)),"NCA-ECC-2-2024",IF(ISNUMBER(SEARCH("CCC",E353)),"NCA-ECC-2-2024",IF(ISNUMBER(SEARCH("DCC",E353)),"NCA-ECC-2-2024",IF(ISNUMBER(SEARCH("CSCC",E353)),"NCA-ECC-2-2024",IF(ISNUMBER(SEARCH("PDPL-IR",E353)),"PDPL-2021",IF(ISNUMBER(SEARCH("PDPL-DTR",E353)),"PDPL-2021","NONE"))))))))</f>
        <v/>
      </c>
      <c r="BF353" s="594">
        <f>IF(E353="","",IF(BB353="DEEP",10,IF(BB353="SHALLOW",5,IF(BB353="TEMPLATE",3,1)))+IF(N353="HIGHEST",5,IF(N353="HIGH",3,IF(N353="MODERATE",1,0)))+IF(ISNUMBER(SEARCH("Mandatory",L353)),3,0))</f>
        <v/>
      </c>
    </row>
    <row r="354" ht="42" customHeight="1">
      <c r="A354" s="389" t="n">
        <v>307</v>
      </c>
      <c r="B354" s="390" t="inlineStr">
        <is>
          <t>SHURA</t>
        </is>
      </c>
      <c r="C354" s="391" t="inlineStr">
        <is>
          <t>Majlis Al-Shura (Consultative Assembly)</t>
        </is>
      </c>
      <c r="D354" s="391" t="inlineStr">
        <is>
          <t>16. Councils &amp; Supreme Committees</t>
        </is>
      </c>
      <c r="E354" s="390" t="inlineStr">
        <is>
          <t>SHURA-FW</t>
        </is>
      </c>
      <c r="F354" s="392" t="inlineStr">
        <is>
          <t>Legislative Review Process</t>
        </is>
      </c>
      <c r="G354" s="391" t="inlineStr">
        <is>
          <t>الإطار التنظيمي الرئيسي</t>
        </is>
      </c>
      <c r="H354" s="391" t="inlineStr">
        <is>
          <t>Active/Updated</t>
        </is>
      </c>
      <c r="I354" s="393" t="inlineStr">
        <is>
          <t>1992</t>
        </is>
      </c>
      <c r="J354" s="393" t="inlineStr">
        <is>
          <t>N/A</t>
        </is>
      </c>
      <c r="K354" s="391" t="inlineStr">
        <is>
          <t>ISSUES/ENFORCES</t>
        </is>
      </c>
      <c r="L354" s="22" t="inlineStr">
        <is>
          <t>Mandatory Enforcer</t>
        </is>
      </c>
      <c r="M354" s="391" t="inlineStr">
        <is>
          <t>Entities regulated by this authority</t>
        </is>
      </c>
      <c r="N354" s="394" t="inlineStr">
        <is>
          <t>MODERATE</t>
        </is>
      </c>
      <c r="O354" s="395" t="inlineStr">
        <is>
          <t>https://www.gov.sa/</t>
        </is>
      </c>
      <c r="P354" s="391" t="inlineStr">
        <is>
          <t>Ministry/Authority official site</t>
        </is>
      </c>
      <c r="Q354" s="391" t="inlineStr">
        <is>
          <t>See official source for version history</t>
        </is>
      </c>
      <c r="R354" s="391" t="inlineStr">
        <is>
          <t>Framework issued by the relevant authority. Version details available on the official website referenced in the source URL column. The framework has been updated periodically since first issuance.</t>
        </is>
      </c>
      <c r="S354" s="393" t="inlineStr">
        <is>
          <t>See official source</t>
        </is>
      </c>
      <c r="T354" s="391" t="inlineStr">
        <is>
          <t>Updated as needed by the issuing authority</t>
        </is>
      </c>
      <c r="U354" s="25" t="inlineStr">
        <is>
          <t>CURRENT — consult official source for latest version</t>
        </is>
      </c>
      <c r="V354" s="391" t="inlineStr">
        <is>
          <t>Penalties defined by issuing authority; consult official source. NCA ECC-2 penalties apply if relevant</t>
        </is>
      </c>
      <c r="W354" s="392" t="inlineStr">
        <is>
          <t>Issuing authority and/or designated inspection department</t>
        </is>
      </c>
      <c r="X354" s="391" t="inlineStr">
        <is>
          <t>As specified in framework scope — consult official document</t>
        </is>
      </c>
      <c r="Y354" s="49" t="inlineStr">
        <is>
          <t>Both (unless specified otherwise in official document)</t>
        </is>
      </c>
      <c r="Z354" s="391" t="inlineStr">
        <is>
          <t>As defined by issuing authority</t>
        </is>
      </c>
      <c r="AA354" s="393" t="inlineStr">
        <is>
          <t>As defined by issuing authority</t>
        </is>
      </c>
      <c r="AB354" s="391" t="inlineStr">
        <is>
          <t>To be determined from framework text — see official source</t>
        </is>
      </c>
      <c r="AC354" s="391" t="inlineStr">
        <is>
          <t>See framework preamble for international standard references</t>
        </is>
      </c>
      <c r="AD354" s="49" t="inlineStr">
        <is>
          <t>Arabic (primary in KSA); English may be available</t>
        </is>
      </c>
      <c r="AE354" s="58" t="inlineStr">
        <is>
          <t>Mapped to relevant GH-ICGA layer — requires manual assessment</t>
        </is>
      </c>
      <c r="AF354" s="56" t="inlineStr">
        <is>
          <t>See official framework for maturity model details</t>
        </is>
      </c>
      <c r="AG354" s="391" t="inlineStr">
        <is>
          <t>Aligned with relevant Vision 2030 programme — see framework context</t>
        </is>
      </c>
      <c r="AH354" s="391" t="inlineStr">
        <is>
          <t>As specified in framework compliance requirements</t>
        </is>
      </c>
      <c r="AI354" s="396" t="inlineStr">
        <is>
          <t>Institutional theory and regulatory governance theory underpin all KSA regulatory frameworks. Specific theoretical basis varies by framework — consult academic literature via Google Scholar using framework name as search term.</t>
        </is>
      </c>
      <c r="AJ354" s="391" t="inlineStr">
        <is>
          <t>Academic debate varies by framework maturity and international adoption. For KSA-specific debate, consult: Almohammad &amp; Wills (2021) J Cybersecurity; Al-Khater et al. (2020) IEEE Access; Baker McKenzie KSA regulatory updates.</t>
        </is>
      </c>
      <c r="AK354" s="397" t="inlineStr">
        <is>
          <t>Known criticisms include: implementation gap between standards and practice; resource constraints for smaller healthcare entities; rapid technology evolution outpacing regulation. Consult framework evaluation literature for specifics.</t>
        </is>
      </c>
      <c r="AL354" s="398" t="inlineStr">
        <is>
          <t>Framework comparison requires contextual analysis. Key comparators: NIST CSF 2.0 (international benchmark), ISO 27001 (certifiable standard), ECC-2 (KSA mandatory baseline). See main database for cross-framework mapping.</t>
        </is>
      </c>
      <c r="AM354" s="399"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54" s="400" t="inlineStr">
        <is>
          <t>Official: Consult the official source URL in the database for the primary document. Training: ISACA, ISC2, RAPS, IAPP, and HIMSS offer professional development covering most regulatory domains. Estimated hours vary by framework complexity.</t>
        </is>
      </c>
      <c r="AO354" s="401" t="inlineStr">
        <is>
          <t>Relevance to GH-ICGA framework varies by layer — see GH-ICGA Layer Mapping column. All KSA mandatory frameworks are compliance inputs to GH-ICGA Layer 4. Frameworks with IoMT-specific provisions directly inform Layers 2 and 3.</t>
        </is>
      </c>
      <c r="AP354" s="51" t="inlineStr">
        <is>
          <t>G + C (Governance + Compliance — standard regulatory framework positioning)</t>
        </is>
      </c>
      <c r="AQ354" s="402" t="inlineStr">
        <is>
          <t>Senior management: accountability for framework compliance. Designated compliance officer: monitor requirements. All staff: awareness of applicable obligations</t>
        </is>
      </c>
      <c r="AR354" s="397" t="inlineStr">
        <is>
          <t>Regulatory Risk; Operational Risk; Reputational Risk — specific domains determined by framework scope</t>
        </is>
      </c>
      <c r="AS354" s="22" t="inlineStr">
        <is>
          <t>See official source — legal obligation, regulatory requirement, or voluntary standard as applicable</t>
        </is>
      </c>
      <c r="AT354" s="398" t="inlineStr">
        <is>
          <t>Administrative; Technical; Operational — specific distribution determined by framework content</t>
        </is>
      </c>
      <c r="AU354" s="403" t="inlineStr">
        <is>
          <t>1. Compliance status (compliant/non-compliant). 2. # open findings from last assessment. 3. % controls implemented. 4. Time to remediate findings. 5. Incident rate in framework scope area</t>
        </is>
      </c>
      <c r="AV354" s="404" t="inlineStr">
        <is>
          <t>Self-assessment; internal audit; external assessment as specified by issuing authority</t>
        </is>
      </c>
      <c r="AW354" s="405" t="inlineStr">
        <is>
          <t>ServiceNow GRC; IBM OpenPages; RSA Archer; MetricStream — all major GRC platforms support custom framework import. Contact vendor for framework-specific module</t>
        </is>
      </c>
      <c r="AX354" s="406" t="inlineStr">
        <is>
          <t>Third parties in scope must demonstrate equivalent compliance. Contractual compliance obligations; right-to-audit clauses; annual third-party assessment</t>
        </is>
      </c>
      <c r="AY354" s="407" t="inlineStr">
        <is>
          <t>Non-compliance: regulatory action by issuing authority; fines and penalties as specified; operational and reputational consequences</t>
        </is>
      </c>
      <c r="AZ354" s="404" t="inlineStr">
        <is>
          <t>Sector-specific — consult official source</t>
        </is>
      </c>
      <c r="BA354" s="41" t="inlineStr">
        <is>
          <t>Sector-Specific</t>
        </is>
      </c>
      <c r="BB354" s="591">
        <f>IF(E354="","",IF(ISNUMBER(SEARCH("Institutional theory and regulatory governance theory underpin",AI354)),"TEMPLATE",IF(LEN(AI354)&gt;100,"DEEP",IF(AI354="","SPARSE","SHALLOW"))))</f>
        <v/>
      </c>
      <c r="BC354" s="591">
        <f>IF(E354="","",D354&amp;"-"&amp;B354&amp;"-"&amp;E354)</f>
        <v/>
      </c>
      <c r="BD354" s="591">
        <f>IF(E354="","",SUBSTITUTE(SUBSTITUTE(B354&amp;"-"&amp;E354," ",""),":","-"))</f>
        <v/>
      </c>
      <c r="BE354" s="591">
        <f>IF(E354="","",IF(ISNUMBER(SEARCH("ECC",E354)),"NCA-ECC-2-2024",IF(ISNUMBER(SEARCH("OTCC",E354)),"NCA-ECC-2-2024",IF(ISNUMBER(SEARCH("CCC",E354)),"NCA-ECC-2-2024",IF(ISNUMBER(SEARCH("DCC",E354)),"NCA-ECC-2-2024",IF(ISNUMBER(SEARCH("CSCC",E354)),"NCA-ECC-2-2024",IF(ISNUMBER(SEARCH("PDPL-IR",E354)),"PDPL-2021",IF(ISNUMBER(SEARCH("PDPL-DTR",E354)),"PDPL-2021","NONE"))))))))</f>
        <v/>
      </c>
      <c r="BF354" s="594">
        <f>IF(E354="","",IF(BB354="DEEP",10,IF(BB354="SHALLOW",5,IF(BB354="TEMPLATE",3,1)))+IF(N354="HIGHEST",5,IF(N354="HIGH",3,IF(N354="MODERATE",1,0)))+IF(ISNUMBER(SEARCH("Mandatory",L354)),3,0))</f>
        <v/>
      </c>
    </row>
    <row r="355" ht="42" customHeight="1">
      <c r="A355" s="42" t="n">
        <v>308</v>
      </c>
      <c r="B355" s="408" t="inlineStr">
        <is>
          <t>SHURA</t>
        </is>
      </c>
      <c r="C355" s="44" t="inlineStr">
        <is>
          <t>Majlis Al-Shura (Consultative Assembly)</t>
        </is>
      </c>
      <c r="D355" s="44" t="inlineStr">
        <is>
          <t>16. Councils &amp; Supreme Committees</t>
        </is>
      </c>
      <c r="E355" s="408" t="inlineStr">
        <is>
          <t>NCA-ECC-2:2024</t>
        </is>
      </c>
      <c r="F355" s="45" t="inlineStr">
        <is>
          <t>Essential Cybersecurity Controls</t>
        </is>
      </c>
      <c r="G355" s="44" t="inlineStr">
        <is>
          <t>ضوابط الأمن السيبراني الأساسية</t>
        </is>
      </c>
      <c r="H355" s="44" t="inlineStr">
        <is>
          <t>ECC-2:2024</t>
        </is>
      </c>
      <c r="I355" s="46" t="inlineStr">
        <is>
          <t>2018</t>
        </is>
      </c>
      <c r="J355" s="46" t="inlineStr">
        <is>
          <t>108</t>
        </is>
      </c>
      <c r="K355" s="44" t="inlineStr">
        <is>
          <t>MUST COMPLY WITH</t>
        </is>
      </c>
      <c r="L355" s="66" t="inlineStr">
        <is>
          <t>Mandatory Complier</t>
        </is>
      </c>
      <c r="M355" s="44" t="inlineStr">
        <is>
          <t>Majlis Al-Shura (Consultative Assembly) as government entity</t>
        </is>
      </c>
      <c r="N355" s="59" t="inlineStr">
        <is>
          <t>LOW</t>
        </is>
      </c>
      <c r="O355" s="48" t="inlineStr">
        <is>
          <t>https://nca.gov.sa/</t>
        </is>
      </c>
      <c r="P355" s="44" t="inlineStr">
        <is>
          <t>NCA ECC scope</t>
        </is>
      </c>
      <c r="Q355" s="391" t="inlineStr">
        <is>
          <t>See official source for version history</t>
        </is>
      </c>
      <c r="R355" s="391" t="inlineStr">
        <is>
          <t>Framework issued by the relevant authority. Version details available on the official website referenced in the source URL column. The framework has been updated periodically since first issuance.</t>
        </is>
      </c>
      <c r="S355" s="393" t="inlineStr">
        <is>
          <t>See official source</t>
        </is>
      </c>
      <c r="T355" s="391" t="inlineStr">
        <is>
          <t>Updated as needed by the issuing authority</t>
        </is>
      </c>
      <c r="U355" s="25" t="inlineStr">
        <is>
          <t>CURRENT — consult official source for latest version</t>
        </is>
      </c>
      <c r="V355" s="391" t="inlineStr">
        <is>
          <t>Penalties defined by issuing authority; consult official source. NCA ECC-2 penalties apply if relevant</t>
        </is>
      </c>
      <c r="W355" s="392" t="inlineStr">
        <is>
          <t>Issuing authority and/or designated inspection department</t>
        </is>
      </c>
      <c r="X355" s="391" t="inlineStr">
        <is>
          <t>As specified in framework scope — consult official document</t>
        </is>
      </c>
      <c r="Y355" s="49" t="inlineStr">
        <is>
          <t>Both (unless specified otherwise in official document)</t>
        </is>
      </c>
      <c r="Z355" s="391" t="inlineStr">
        <is>
          <t>As defined by issuing authority</t>
        </is>
      </c>
      <c r="AA355" s="393" t="inlineStr">
        <is>
          <t>As defined by issuing authority</t>
        </is>
      </c>
      <c r="AB355" s="391" t="inlineStr">
        <is>
          <t>To be determined from framework text — see official source</t>
        </is>
      </c>
      <c r="AC355" s="391" t="inlineStr">
        <is>
          <t>See framework preamble for international standard references</t>
        </is>
      </c>
      <c r="AD355" s="49" t="inlineStr">
        <is>
          <t>Arabic (primary in KSA); English may be available</t>
        </is>
      </c>
      <c r="AE355" s="58" t="inlineStr">
        <is>
          <t>Mapped to relevant GH-ICGA layer — requires manual assessment</t>
        </is>
      </c>
      <c r="AF355" s="56" t="inlineStr">
        <is>
          <t>See official framework for maturity model details</t>
        </is>
      </c>
      <c r="AG355" s="391" t="inlineStr">
        <is>
          <t>Aligned with relevant Vision 2030 programme — see framework context</t>
        </is>
      </c>
      <c r="AH355" s="391" t="inlineStr">
        <is>
          <t>As specified in framework compliance requirements</t>
        </is>
      </c>
      <c r="AI355" s="396" t="inlineStr">
        <is>
          <t>Institutional theory and regulatory governance theory underpin all KSA regulatory frameworks. Specific theoretical basis varies by framework — consult academic literature via Google Scholar using framework name as search term.</t>
        </is>
      </c>
      <c r="AJ355" s="391" t="inlineStr">
        <is>
          <t>Academic debate varies by framework maturity and international adoption. For KSA-specific debate, consult: Almohammad &amp; Wills (2021) J Cybersecurity; Al-Khater et al. (2020) IEEE Access; Baker McKenzie KSA regulatory updates.</t>
        </is>
      </c>
      <c r="AK355" s="397" t="inlineStr">
        <is>
          <t>Known criticisms include: implementation gap between standards and practice; resource constraints for smaller healthcare entities; rapid technology evolution outpacing regulation. Consult framework evaluation literature for specifics.</t>
        </is>
      </c>
      <c r="AL355" s="398" t="inlineStr">
        <is>
          <t>Framework comparison requires contextual analysis. Key comparators: NIST CSF 2.0 (international benchmark), ISO 27001 (certifiable standard), ECC-2 (KSA mandatory baseline). See main database for cross-framework mapping.</t>
        </is>
      </c>
      <c r="AM355" s="399"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55" s="400" t="inlineStr">
        <is>
          <t>Official: Consult the official source URL in the database for the primary document. Training: ISACA, ISC2, RAPS, IAPP, and HIMSS offer professional development covering most regulatory domains. Estimated hours vary by framework complexity.</t>
        </is>
      </c>
      <c r="AO355" s="401" t="inlineStr">
        <is>
          <t>Relevance to GH-ICGA framework varies by layer — see GH-ICGA Layer Mapping column. All KSA mandatory frameworks are compliance inputs to GH-ICGA Layer 4. Frameworks with IoMT-specific provisions directly inform Layers 2 and 3.</t>
        </is>
      </c>
      <c r="AP355" s="51" t="inlineStr">
        <is>
          <t>G + C (Governance + Compliance — standard regulatory framework positioning)</t>
        </is>
      </c>
      <c r="AQ355" s="402" t="inlineStr">
        <is>
          <t>Senior management: accountability for framework compliance. Designated compliance officer: monitor requirements. All staff: awareness of applicable obligations</t>
        </is>
      </c>
      <c r="AR355" s="397" t="inlineStr">
        <is>
          <t>Regulatory Risk; Operational Risk; Reputational Risk — specific domains determined by framework scope</t>
        </is>
      </c>
      <c r="AS355" s="22" t="inlineStr">
        <is>
          <t>See official source — legal obligation, regulatory requirement, or voluntary standard as applicable</t>
        </is>
      </c>
      <c r="AT355" s="398" t="inlineStr">
        <is>
          <t>Administrative; Technical; Operational — specific distribution determined by framework content</t>
        </is>
      </c>
      <c r="AU355" s="403" t="inlineStr">
        <is>
          <t>1. Compliance status (compliant/non-compliant). 2. # open findings from last assessment. 3. % controls implemented. 4. Time to remediate findings. 5. Incident rate in framework scope area</t>
        </is>
      </c>
      <c r="AV355" s="404" t="inlineStr">
        <is>
          <t>Self-assessment; internal audit; external assessment as specified by issuing authority</t>
        </is>
      </c>
      <c r="AW355" s="405" t="inlineStr">
        <is>
          <t>ServiceNow GRC; IBM OpenPages; RSA Archer; MetricStream — all major GRC platforms support custom framework import. Contact vendor for framework-specific module</t>
        </is>
      </c>
      <c r="AX355" s="406" t="inlineStr">
        <is>
          <t>Third parties in scope must demonstrate equivalent compliance. Contractual compliance obligations; right-to-audit clauses; annual third-party assessment</t>
        </is>
      </c>
      <c r="AY355" s="407" t="inlineStr">
        <is>
          <t>Non-compliance: regulatory action by issuing authority; fines and penalties as specified; operational and reputational consequences</t>
        </is>
      </c>
      <c r="AZ355" s="404" t="inlineStr">
        <is>
          <t>ALL 17 SECTORS</t>
        </is>
      </c>
      <c r="BA355" s="34" t="inlineStr">
        <is>
          <t>YES — ALL SECTORS</t>
        </is>
      </c>
      <c r="BB355" s="591">
        <f>IF(E355="","",IF(ISNUMBER(SEARCH("Institutional theory and regulatory governance theory underpin",AI355)),"TEMPLATE",IF(LEN(AI355)&gt;100,"DEEP",IF(AI355="","SPARSE","SHALLOW"))))</f>
        <v/>
      </c>
      <c r="BC355" s="591">
        <f>IF(E355="","",D355&amp;"-"&amp;B355&amp;"-"&amp;E355)</f>
        <v/>
      </c>
      <c r="BD355" s="591">
        <f>IF(E355="","",SUBSTITUTE(SUBSTITUTE(B355&amp;"-"&amp;E355," ",""),":","-"))</f>
        <v/>
      </c>
      <c r="BE355" s="591">
        <f>IF(E355="","",IF(ISNUMBER(SEARCH("ECC",E355)),"NCA-ECC-2-2024",IF(ISNUMBER(SEARCH("OTCC",E355)),"NCA-ECC-2-2024",IF(ISNUMBER(SEARCH("CCC",E355)),"NCA-ECC-2-2024",IF(ISNUMBER(SEARCH("DCC",E355)),"NCA-ECC-2-2024",IF(ISNUMBER(SEARCH("CSCC",E355)),"NCA-ECC-2-2024",IF(ISNUMBER(SEARCH("PDPL-IR",E355)),"PDPL-2021",IF(ISNUMBER(SEARCH("PDPL-DTR",E355)),"PDPL-2021","NONE"))))))))</f>
        <v/>
      </c>
      <c r="BF355" s="594">
        <f>IF(E355="","",IF(BB355="DEEP",10,IF(BB355="SHALLOW",5,IF(BB355="TEMPLATE",3,1)))+IF(N355="HIGHEST",5,IF(N355="HIGH",3,IF(N355="MODERATE",1,0)))+IF(ISNUMBER(SEARCH("Mandatory",L355)),3,0))</f>
        <v/>
      </c>
    </row>
    <row r="356" ht="42" customHeight="1">
      <c r="A356" s="389" t="n">
        <v>309</v>
      </c>
      <c r="B356" s="390" t="inlineStr">
        <is>
          <t>V2030</t>
        </is>
      </c>
      <c r="C356" s="391" t="inlineStr">
        <is>
          <t>Vision 2030 Programme Office</t>
        </is>
      </c>
      <c r="D356" s="391" t="inlineStr">
        <is>
          <t>16. Councils &amp; Supreme Committees</t>
        </is>
      </c>
      <c r="E356" s="390" t="inlineStr">
        <is>
          <t>V2030-FW</t>
        </is>
      </c>
      <c r="F356" s="392" t="inlineStr">
        <is>
          <t>Vision 2030 Framework &amp; Programmes</t>
        </is>
      </c>
      <c r="G356" s="391" t="inlineStr">
        <is>
          <t>الإطار التنظيمي الرئيسي</t>
        </is>
      </c>
      <c r="H356" s="391" t="inlineStr">
        <is>
          <t>Active/Updated</t>
        </is>
      </c>
      <c r="I356" s="393" t="inlineStr">
        <is>
          <t>2016</t>
        </is>
      </c>
      <c r="J356" s="393" t="inlineStr">
        <is>
          <t>N/A</t>
        </is>
      </c>
      <c r="K356" s="391" t="inlineStr">
        <is>
          <t>ISSUES/ENFORCES</t>
        </is>
      </c>
      <c r="L356" s="22" t="inlineStr">
        <is>
          <t>Mandatory Enforcer</t>
        </is>
      </c>
      <c r="M356" s="391" t="inlineStr">
        <is>
          <t>Entities regulated by this authority</t>
        </is>
      </c>
      <c r="N356" s="394" t="inlineStr">
        <is>
          <t>MODERATE</t>
        </is>
      </c>
      <c r="O356" s="395" t="inlineStr">
        <is>
          <t>https://www.gov.sa/</t>
        </is>
      </c>
      <c r="P356" s="391" t="inlineStr">
        <is>
          <t>Ministry/Authority official site</t>
        </is>
      </c>
      <c r="Q356" s="391" t="inlineStr">
        <is>
          <t>See official source for version history</t>
        </is>
      </c>
      <c r="R356" s="391" t="inlineStr">
        <is>
          <t>Framework issued by the relevant authority. Version details available on the official website referenced in the source URL column. The framework has been updated periodically since first issuance.</t>
        </is>
      </c>
      <c r="S356" s="393" t="inlineStr">
        <is>
          <t>See official source</t>
        </is>
      </c>
      <c r="T356" s="391" t="inlineStr">
        <is>
          <t>Updated as needed by the issuing authority</t>
        </is>
      </c>
      <c r="U356" s="25" t="inlineStr">
        <is>
          <t>CURRENT — consult official source for latest version</t>
        </is>
      </c>
      <c r="V356" s="391" t="inlineStr">
        <is>
          <t>Penalties defined by issuing authority; consult official source. NCA ECC-2 penalties apply if relevant</t>
        </is>
      </c>
      <c r="W356" s="392" t="inlineStr">
        <is>
          <t>Issuing authority and/or designated inspection department</t>
        </is>
      </c>
      <c r="X356" s="391" t="inlineStr">
        <is>
          <t>As specified in framework scope — consult official document</t>
        </is>
      </c>
      <c r="Y356" s="49" t="inlineStr">
        <is>
          <t>Both (unless specified otherwise in official document)</t>
        </is>
      </c>
      <c r="Z356" s="391" t="inlineStr">
        <is>
          <t>As defined by issuing authority</t>
        </is>
      </c>
      <c r="AA356" s="393" t="inlineStr">
        <is>
          <t>As defined by issuing authority</t>
        </is>
      </c>
      <c r="AB356" s="391" t="inlineStr">
        <is>
          <t>To be determined from framework text — see official source</t>
        </is>
      </c>
      <c r="AC356" s="391" t="inlineStr">
        <is>
          <t>See framework preamble for international standard references</t>
        </is>
      </c>
      <c r="AD356" s="49" t="inlineStr">
        <is>
          <t>Arabic (primary in KSA); English may be available</t>
        </is>
      </c>
      <c r="AE356" s="58" t="inlineStr">
        <is>
          <t>Mapped to relevant GH-ICGA layer — requires manual assessment</t>
        </is>
      </c>
      <c r="AF356" s="56" t="inlineStr">
        <is>
          <t>See official framework for maturity model details</t>
        </is>
      </c>
      <c r="AG356" s="391" t="inlineStr">
        <is>
          <t>Aligned with relevant Vision 2030 programme — see framework context</t>
        </is>
      </c>
      <c r="AH356" s="391" t="inlineStr">
        <is>
          <t>As specified in framework compliance requirements</t>
        </is>
      </c>
      <c r="AI356" s="396" t="inlineStr">
        <is>
          <t>Institutional theory and regulatory governance theory underpin all KSA regulatory frameworks. Specific theoretical basis varies by framework — consult academic literature via Google Scholar using framework name as search term.</t>
        </is>
      </c>
      <c r="AJ356" s="391" t="inlineStr">
        <is>
          <t>Academic debate varies by framework maturity and international adoption. For KSA-specific debate, consult: Almohammad &amp; Wills (2021) J Cybersecurity; Al-Khater et al. (2020) IEEE Access; Baker McKenzie KSA regulatory updates.</t>
        </is>
      </c>
      <c r="AK356" s="397" t="inlineStr">
        <is>
          <t>Known criticisms include: implementation gap between standards and practice; resource constraints for smaller healthcare entities; rapid technology evolution outpacing regulation. Consult framework evaluation literature for specifics.</t>
        </is>
      </c>
      <c r="AL356" s="398" t="inlineStr">
        <is>
          <t>Framework comparison requires contextual analysis. Key comparators: NIST CSF 2.0 (international benchmark), ISO 27001 (certifiable standard), ECC-2 (KSA mandatory baseline). See main database for cross-framework mapping.</t>
        </is>
      </c>
      <c r="AM356" s="399"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56" s="400" t="inlineStr">
        <is>
          <t>Official: Consult the official source URL in the database for the primary document. Training: ISACA, ISC2, RAPS, IAPP, and HIMSS offer professional development covering most regulatory domains. Estimated hours vary by framework complexity.</t>
        </is>
      </c>
      <c r="AO356" s="401" t="inlineStr">
        <is>
          <t>Relevance to GH-ICGA framework varies by layer — see GH-ICGA Layer Mapping column. All KSA mandatory frameworks are compliance inputs to GH-ICGA Layer 4. Frameworks with IoMT-specific provisions directly inform Layers 2 and 3.</t>
        </is>
      </c>
      <c r="AP356" s="51" t="inlineStr">
        <is>
          <t>G + C (Governance + Compliance — standard regulatory framework positioning)</t>
        </is>
      </c>
      <c r="AQ356" s="402" t="inlineStr">
        <is>
          <t>Senior management: accountability for framework compliance. Designated compliance officer: monitor requirements. All staff: awareness of applicable obligations</t>
        </is>
      </c>
      <c r="AR356" s="397" t="inlineStr">
        <is>
          <t>Regulatory Risk; Operational Risk; Reputational Risk — specific domains determined by framework scope</t>
        </is>
      </c>
      <c r="AS356" s="22" t="inlineStr">
        <is>
          <t>See official source — legal obligation, regulatory requirement, or voluntary standard as applicable</t>
        </is>
      </c>
      <c r="AT356" s="398" t="inlineStr">
        <is>
          <t>Administrative; Technical; Operational — specific distribution determined by framework content</t>
        </is>
      </c>
      <c r="AU356" s="403" t="inlineStr">
        <is>
          <t>1. Compliance status (compliant/non-compliant). 2. # open findings from last assessment. 3. % controls implemented. 4. Time to remediate findings. 5. Incident rate in framework scope area</t>
        </is>
      </c>
      <c r="AV356" s="404" t="inlineStr">
        <is>
          <t>Self-assessment; internal audit; external assessment as specified by issuing authority</t>
        </is>
      </c>
      <c r="AW356" s="405" t="inlineStr">
        <is>
          <t>ServiceNow GRC; IBM OpenPages; RSA Archer; MetricStream — all major GRC platforms support custom framework import. Contact vendor for framework-specific module</t>
        </is>
      </c>
      <c r="AX356" s="406" t="inlineStr">
        <is>
          <t>Third parties in scope must demonstrate equivalent compliance. Contractual compliance obligations; right-to-audit clauses; annual third-party assessment</t>
        </is>
      </c>
      <c r="AY356" s="407" t="inlineStr">
        <is>
          <t>Non-compliance: regulatory action by issuing authority; fines and penalties as specified; operational and reputational consequences</t>
        </is>
      </c>
      <c r="AZ356" s="404" t="inlineStr">
        <is>
          <t>Sector-specific — consult official source</t>
        </is>
      </c>
      <c r="BA356" s="41" t="inlineStr">
        <is>
          <t>Sector-Specific</t>
        </is>
      </c>
      <c r="BB356" s="591">
        <f>IF(E356="","",IF(ISNUMBER(SEARCH("Institutional theory and regulatory governance theory underpin",AI356)),"TEMPLATE",IF(LEN(AI356)&gt;100,"DEEP",IF(AI356="","SPARSE","SHALLOW"))))</f>
        <v/>
      </c>
      <c r="BC356" s="591">
        <f>IF(E356="","",D356&amp;"-"&amp;B356&amp;"-"&amp;E356)</f>
        <v/>
      </c>
      <c r="BD356" s="591">
        <f>IF(E356="","",SUBSTITUTE(SUBSTITUTE(B356&amp;"-"&amp;E356," ",""),":","-"))</f>
        <v/>
      </c>
      <c r="BE356" s="591">
        <f>IF(E356="","",IF(ISNUMBER(SEARCH("ECC",E356)),"NCA-ECC-2-2024",IF(ISNUMBER(SEARCH("OTCC",E356)),"NCA-ECC-2-2024",IF(ISNUMBER(SEARCH("CCC",E356)),"NCA-ECC-2-2024",IF(ISNUMBER(SEARCH("DCC",E356)),"NCA-ECC-2-2024",IF(ISNUMBER(SEARCH("CSCC",E356)),"NCA-ECC-2-2024",IF(ISNUMBER(SEARCH("PDPL-IR",E356)),"PDPL-2021",IF(ISNUMBER(SEARCH("PDPL-DTR",E356)),"PDPL-2021","NONE"))))))))</f>
        <v/>
      </c>
      <c r="BF356" s="594">
        <f>IF(E356="","",IF(BB356="DEEP",10,IF(BB356="SHALLOW",5,IF(BB356="TEMPLATE",3,1)))+IF(N356="HIGHEST",5,IF(N356="HIGH",3,IF(N356="MODERATE",1,0)))+IF(ISNUMBER(SEARCH("Mandatory",L356)),3,0))</f>
        <v/>
      </c>
    </row>
    <row r="357" ht="42" customHeight="1">
      <c r="A357" s="42" t="n">
        <v>310</v>
      </c>
      <c r="B357" s="408" t="inlineStr">
        <is>
          <t>V2030</t>
        </is>
      </c>
      <c r="C357" s="44" t="inlineStr">
        <is>
          <t>Vision 2030 Programme Office</t>
        </is>
      </c>
      <c r="D357" s="44" t="inlineStr">
        <is>
          <t>16. Councils &amp; Supreme Committees</t>
        </is>
      </c>
      <c r="E357" s="408" t="inlineStr">
        <is>
          <t>NCA-ECC-2:2024</t>
        </is>
      </c>
      <c r="F357" s="45" t="inlineStr">
        <is>
          <t>Essential Cybersecurity Controls</t>
        </is>
      </c>
      <c r="G357" s="44" t="inlineStr">
        <is>
          <t>ضوابط الأمن السيبراني الأساسية</t>
        </is>
      </c>
      <c r="H357" s="44" t="inlineStr">
        <is>
          <t>ECC-2:2024</t>
        </is>
      </c>
      <c r="I357" s="46" t="inlineStr">
        <is>
          <t>2018</t>
        </is>
      </c>
      <c r="J357" s="46" t="inlineStr">
        <is>
          <t>108</t>
        </is>
      </c>
      <c r="K357" s="44" t="inlineStr">
        <is>
          <t>MUST COMPLY WITH</t>
        </is>
      </c>
      <c r="L357" s="66" t="inlineStr">
        <is>
          <t>Mandatory Complier</t>
        </is>
      </c>
      <c r="M357" s="44" t="inlineStr">
        <is>
          <t>Vision 2030 Programme Office as government entity</t>
        </is>
      </c>
      <c r="N357" s="59" t="inlineStr">
        <is>
          <t>LOW</t>
        </is>
      </c>
      <c r="O357" s="48" t="inlineStr">
        <is>
          <t>https://nca.gov.sa/</t>
        </is>
      </c>
      <c r="P357" s="44" t="inlineStr">
        <is>
          <t>NCA ECC scope</t>
        </is>
      </c>
      <c r="Q357" s="391" t="inlineStr">
        <is>
          <t>See official source for version history</t>
        </is>
      </c>
      <c r="R357" s="391" t="inlineStr">
        <is>
          <t>Framework issued by the relevant authority. Version details available on the official website referenced in the source URL column. The framework has been updated periodically since first issuance.</t>
        </is>
      </c>
      <c r="S357" s="393" t="inlineStr">
        <is>
          <t>See official source</t>
        </is>
      </c>
      <c r="T357" s="391" t="inlineStr">
        <is>
          <t>Updated as needed by the issuing authority</t>
        </is>
      </c>
      <c r="U357" s="25" t="inlineStr">
        <is>
          <t>CURRENT — consult official source for latest version</t>
        </is>
      </c>
      <c r="V357" s="391" t="inlineStr">
        <is>
          <t>Penalties defined by issuing authority; consult official source. NCA ECC-2 penalties apply if relevant</t>
        </is>
      </c>
      <c r="W357" s="392" t="inlineStr">
        <is>
          <t>Issuing authority and/or designated inspection department</t>
        </is>
      </c>
      <c r="X357" s="391" t="inlineStr">
        <is>
          <t>As specified in framework scope — consult official document</t>
        </is>
      </c>
      <c r="Y357" s="49" t="inlineStr">
        <is>
          <t>Both (unless specified otherwise in official document)</t>
        </is>
      </c>
      <c r="Z357" s="391" t="inlineStr">
        <is>
          <t>As defined by issuing authority</t>
        </is>
      </c>
      <c r="AA357" s="393" t="inlineStr">
        <is>
          <t>As defined by issuing authority</t>
        </is>
      </c>
      <c r="AB357" s="391" t="inlineStr">
        <is>
          <t>To be determined from framework text — see official source</t>
        </is>
      </c>
      <c r="AC357" s="391" t="inlineStr">
        <is>
          <t>See framework preamble for international standard references</t>
        </is>
      </c>
      <c r="AD357" s="49" t="inlineStr">
        <is>
          <t>Arabic (primary in KSA); English may be available</t>
        </is>
      </c>
      <c r="AE357" s="58" t="inlineStr">
        <is>
          <t>Mapped to relevant GH-ICGA layer — requires manual assessment</t>
        </is>
      </c>
      <c r="AF357" s="56" t="inlineStr">
        <is>
          <t>See official framework for maturity model details</t>
        </is>
      </c>
      <c r="AG357" s="391" t="inlineStr">
        <is>
          <t>Aligned with relevant Vision 2030 programme — see framework context</t>
        </is>
      </c>
      <c r="AH357" s="391" t="inlineStr">
        <is>
          <t>As specified in framework compliance requirements</t>
        </is>
      </c>
      <c r="AI357" s="396" t="inlineStr">
        <is>
          <t>Institutional theory and regulatory governance theory underpin all KSA regulatory frameworks. Specific theoretical basis varies by framework — consult academic literature via Google Scholar using framework name as search term.</t>
        </is>
      </c>
      <c r="AJ357" s="391" t="inlineStr">
        <is>
          <t>Academic debate varies by framework maturity and international adoption. For KSA-specific debate, consult: Almohammad &amp; Wills (2021) J Cybersecurity; Al-Khater et al. (2020) IEEE Access; Baker McKenzie KSA regulatory updates.</t>
        </is>
      </c>
      <c r="AK357" s="397" t="inlineStr">
        <is>
          <t>Known criticisms include: implementation gap between standards and practice; resource constraints for smaller healthcare entities; rapid technology evolution outpacing regulation. Consult framework evaluation literature for specifics.</t>
        </is>
      </c>
      <c r="AL357" s="398" t="inlineStr">
        <is>
          <t>Framework comparison requires contextual analysis. Key comparators: NIST CSF 2.0 (international benchmark), ISO 27001 (certifiable standard), ECC-2 (KSA mandatory baseline). See main database for cross-framework mapping.</t>
        </is>
      </c>
      <c r="AM357" s="399"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57" s="400" t="inlineStr">
        <is>
          <t>Official: Consult the official source URL in the database for the primary document. Training: ISACA, ISC2, RAPS, IAPP, and HIMSS offer professional development covering most regulatory domains. Estimated hours vary by framework complexity.</t>
        </is>
      </c>
      <c r="AO357" s="401" t="inlineStr">
        <is>
          <t>Relevance to GH-ICGA framework varies by layer — see GH-ICGA Layer Mapping column. All KSA mandatory frameworks are compliance inputs to GH-ICGA Layer 4. Frameworks with IoMT-specific provisions directly inform Layers 2 and 3.</t>
        </is>
      </c>
      <c r="AP357" s="51" t="inlineStr">
        <is>
          <t>G + C (Governance + Compliance — standard regulatory framework positioning)</t>
        </is>
      </c>
      <c r="AQ357" s="402" t="inlineStr">
        <is>
          <t>Senior management: accountability for framework compliance. Designated compliance officer: monitor requirements. All staff: awareness of applicable obligations</t>
        </is>
      </c>
      <c r="AR357" s="397" t="inlineStr">
        <is>
          <t>Regulatory Risk; Operational Risk; Reputational Risk — specific domains determined by framework scope</t>
        </is>
      </c>
      <c r="AS357" s="22" t="inlineStr">
        <is>
          <t>See official source — legal obligation, regulatory requirement, or voluntary standard as applicable</t>
        </is>
      </c>
      <c r="AT357" s="398" t="inlineStr">
        <is>
          <t>Administrative; Technical; Operational — specific distribution determined by framework content</t>
        </is>
      </c>
      <c r="AU357" s="403" t="inlineStr">
        <is>
          <t>1. Compliance status (compliant/non-compliant). 2. # open findings from last assessment. 3. % controls implemented. 4. Time to remediate findings. 5. Incident rate in framework scope area</t>
        </is>
      </c>
      <c r="AV357" s="404" t="inlineStr">
        <is>
          <t>Self-assessment; internal audit; external assessment as specified by issuing authority</t>
        </is>
      </c>
      <c r="AW357" s="405" t="inlineStr">
        <is>
          <t>ServiceNow GRC; IBM OpenPages; RSA Archer; MetricStream — all major GRC platforms support custom framework import. Contact vendor for framework-specific module</t>
        </is>
      </c>
      <c r="AX357" s="406" t="inlineStr">
        <is>
          <t>Third parties in scope must demonstrate equivalent compliance. Contractual compliance obligations; right-to-audit clauses; annual third-party assessment</t>
        </is>
      </c>
      <c r="AY357" s="407" t="inlineStr">
        <is>
          <t>Non-compliance: regulatory action by issuing authority; fines and penalties as specified; operational and reputational consequences</t>
        </is>
      </c>
      <c r="AZ357" s="404" t="inlineStr">
        <is>
          <t>ALL 17 SECTORS</t>
        </is>
      </c>
      <c r="BA357" s="34" t="inlineStr">
        <is>
          <t>YES — ALL SECTORS</t>
        </is>
      </c>
      <c r="BB357" s="591">
        <f>IF(E357="","",IF(ISNUMBER(SEARCH("Institutional theory and regulatory governance theory underpin",AI357)),"TEMPLATE",IF(LEN(AI357)&gt;100,"DEEP",IF(AI357="","SPARSE","SHALLOW"))))</f>
        <v/>
      </c>
      <c r="BC357" s="591">
        <f>IF(E357="","",D357&amp;"-"&amp;B357&amp;"-"&amp;E357)</f>
        <v/>
      </c>
      <c r="BD357" s="591">
        <f>IF(E357="","",SUBSTITUTE(SUBSTITUTE(B357&amp;"-"&amp;E357," ",""),":","-"))</f>
        <v/>
      </c>
      <c r="BE357" s="591">
        <f>IF(E357="","",IF(ISNUMBER(SEARCH("ECC",E357)),"NCA-ECC-2-2024",IF(ISNUMBER(SEARCH("OTCC",E357)),"NCA-ECC-2-2024",IF(ISNUMBER(SEARCH("CCC",E357)),"NCA-ECC-2-2024",IF(ISNUMBER(SEARCH("DCC",E357)),"NCA-ECC-2-2024",IF(ISNUMBER(SEARCH("CSCC",E357)),"NCA-ECC-2-2024",IF(ISNUMBER(SEARCH("PDPL-IR",E357)),"PDPL-2021",IF(ISNUMBER(SEARCH("PDPL-DTR",E357)),"PDPL-2021","NONE"))))))))</f>
        <v/>
      </c>
      <c r="BF357" s="594">
        <f>IF(E357="","",IF(BB357="DEEP",10,IF(BB357="SHALLOW",5,IF(BB357="TEMPLATE",3,1)))+IF(N357="HIGHEST",5,IF(N357="HIGH",3,IF(N357="MODERATE",1,0)))+IF(ISNUMBER(SEARCH("Mandatory",L357)),3,0))</f>
        <v/>
      </c>
    </row>
    <row r="358" ht="42" customHeight="1">
      <c r="A358" s="389" t="n">
        <v>311</v>
      </c>
      <c r="B358" s="390" t="inlineStr">
        <is>
          <t>SBC</t>
        </is>
      </c>
      <c r="C358" s="391" t="inlineStr">
        <is>
          <t>Saudi Business Centre</t>
        </is>
      </c>
      <c r="D358" s="391" t="inlineStr">
        <is>
          <t>16. Councils &amp; Supreme Committees</t>
        </is>
      </c>
      <c r="E358" s="390" t="inlineStr">
        <is>
          <t>SBC-FW</t>
        </is>
      </c>
      <c r="F358" s="392" t="inlineStr">
        <is>
          <t>Business Registration &amp; Licensing Standards</t>
        </is>
      </c>
      <c r="G358" s="391" t="inlineStr">
        <is>
          <t>الإطار التنظيمي الرئيسي</t>
        </is>
      </c>
      <c r="H358" s="391" t="inlineStr">
        <is>
          <t>Active/Updated</t>
        </is>
      </c>
      <c r="I358" s="393" t="inlineStr">
        <is>
          <t>2018</t>
        </is>
      </c>
      <c r="J358" s="393" t="inlineStr">
        <is>
          <t>N/A</t>
        </is>
      </c>
      <c r="K358" s="391" t="inlineStr">
        <is>
          <t>ISSUES/ENFORCES</t>
        </is>
      </c>
      <c r="L358" s="22" t="inlineStr">
        <is>
          <t>Mandatory Enforcer</t>
        </is>
      </c>
      <c r="M358" s="391" t="inlineStr">
        <is>
          <t>Entities regulated by this authority</t>
        </is>
      </c>
      <c r="N358" s="394" t="inlineStr">
        <is>
          <t>MODERATE</t>
        </is>
      </c>
      <c r="O358" s="395" t="inlineStr">
        <is>
          <t>https://www.gov.sa/</t>
        </is>
      </c>
      <c r="P358" s="391" t="inlineStr">
        <is>
          <t>Ministry/Authority official site</t>
        </is>
      </c>
      <c r="Q358" s="391" t="inlineStr">
        <is>
          <t>See official source for version history</t>
        </is>
      </c>
      <c r="R358" s="391" t="inlineStr">
        <is>
          <t>Framework issued by the relevant authority. Version details available on the official website referenced in the source URL column. The framework has been updated periodically since first issuance.</t>
        </is>
      </c>
      <c r="S358" s="393" t="inlineStr">
        <is>
          <t>See official source</t>
        </is>
      </c>
      <c r="T358" s="391" t="inlineStr">
        <is>
          <t>Updated as needed by the issuing authority</t>
        </is>
      </c>
      <c r="U358" s="25" t="inlineStr">
        <is>
          <t>CURRENT — consult official source for latest version</t>
        </is>
      </c>
      <c r="V358" s="391" t="inlineStr">
        <is>
          <t>Penalties defined by issuing authority; consult official source. NCA ECC-2 penalties apply if relevant</t>
        </is>
      </c>
      <c r="W358" s="392" t="inlineStr">
        <is>
          <t>Issuing authority and/or designated inspection department</t>
        </is>
      </c>
      <c r="X358" s="391" t="inlineStr">
        <is>
          <t>As specified in framework scope — consult official document</t>
        </is>
      </c>
      <c r="Y358" s="49" t="inlineStr">
        <is>
          <t>Both (unless specified otherwise in official document)</t>
        </is>
      </c>
      <c r="Z358" s="391" t="inlineStr">
        <is>
          <t>As defined by issuing authority</t>
        </is>
      </c>
      <c r="AA358" s="393" t="inlineStr">
        <is>
          <t>As defined by issuing authority</t>
        </is>
      </c>
      <c r="AB358" s="391" t="inlineStr">
        <is>
          <t>To be determined from framework text — see official source</t>
        </is>
      </c>
      <c r="AC358" s="391" t="inlineStr">
        <is>
          <t>See framework preamble for international standard references</t>
        </is>
      </c>
      <c r="AD358" s="49" t="inlineStr">
        <is>
          <t>Arabic (primary in KSA); English may be available</t>
        </is>
      </c>
      <c r="AE358" s="58" t="inlineStr">
        <is>
          <t>Mapped to relevant GH-ICGA layer — requires manual assessment</t>
        </is>
      </c>
      <c r="AF358" s="56" t="inlineStr">
        <is>
          <t>See official framework for maturity model details</t>
        </is>
      </c>
      <c r="AG358" s="391" t="inlineStr">
        <is>
          <t>Aligned with relevant Vision 2030 programme — see framework context</t>
        </is>
      </c>
      <c r="AH358" s="391" t="inlineStr">
        <is>
          <t>As specified in framework compliance requirements</t>
        </is>
      </c>
      <c r="AI358" s="396" t="inlineStr">
        <is>
          <t>Institutional theory and regulatory governance theory underpin all KSA regulatory frameworks. Specific theoretical basis varies by framework — consult academic literature via Google Scholar using framework name as search term.</t>
        </is>
      </c>
      <c r="AJ358" s="391" t="inlineStr">
        <is>
          <t>Academic debate varies by framework maturity and international adoption. For KSA-specific debate, consult: Almohammad &amp; Wills (2021) J Cybersecurity; Al-Khater et al. (2020) IEEE Access; Baker McKenzie KSA regulatory updates.</t>
        </is>
      </c>
      <c r="AK358" s="397" t="inlineStr">
        <is>
          <t>Known criticisms include: implementation gap between standards and practice; resource constraints for smaller healthcare entities; rapid technology evolution outpacing regulation. Consult framework evaluation literature for specifics.</t>
        </is>
      </c>
      <c r="AL358" s="398" t="inlineStr">
        <is>
          <t>Framework comparison requires contextual analysis. Key comparators: NIST CSF 2.0 (international benchmark), ISO 27001 (certifiable standard), ECC-2 (KSA mandatory baseline). See main database for cross-framework mapping.</t>
        </is>
      </c>
      <c r="AM358" s="399"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58" s="400" t="inlineStr">
        <is>
          <t>Official: Consult the official source URL in the database for the primary document. Training: ISACA, ISC2, RAPS, IAPP, and HIMSS offer professional development covering most regulatory domains. Estimated hours vary by framework complexity.</t>
        </is>
      </c>
      <c r="AO358" s="401" t="inlineStr">
        <is>
          <t>Relevance to GH-ICGA framework varies by layer — see GH-ICGA Layer Mapping column. All KSA mandatory frameworks are compliance inputs to GH-ICGA Layer 4. Frameworks with IoMT-specific provisions directly inform Layers 2 and 3.</t>
        </is>
      </c>
      <c r="AP358" s="51" t="inlineStr">
        <is>
          <t>G + C (Governance + Compliance — standard regulatory framework positioning)</t>
        </is>
      </c>
      <c r="AQ358" s="402" t="inlineStr">
        <is>
          <t>Senior management: accountability for framework compliance. Designated compliance officer: monitor requirements. All staff: awareness of applicable obligations</t>
        </is>
      </c>
      <c r="AR358" s="397" t="inlineStr">
        <is>
          <t>Regulatory Risk; Operational Risk; Reputational Risk — specific domains determined by framework scope</t>
        </is>
      </c>
      <c r="AS358" s="22" t="inlineStr">
        <is>
          <t>See official source — legal obligation, regulatory requirement, or voluntary standard as applicable</t>
        </is>
      </c>
      <c r="AT358" s="398" t="inlineStr">
        <is>
          <t>Administrative; Technical; Operational — specific distribution determined by framework content</t>
        </is>
      </c>
      <c r="AU358" s="403" t="inlineStr">
        <is>
          <t>1. Compliance status (compliant/non-compliant). 2. # open findings from last assessment. 3. % controls implemented. 4. Time to remediate findings. 5. Incident rate in framework scope area</t>
        </is>
      </c>
      <c r="AV358" s="404" t="inlineStr">
        <is>
          <t>Self-assessment; internal audit; external assessment as specified by issuing authority</t>
        </is>
      </c>
      <c r="AW358" s="405" t="inlineStr">
        <is>
          <t>ServiceNow GRC; IBM OpenPages; RSA Archer; MetricStream — all major GRC platforms support custom framework import. Contact vendor for framework-specific module</t>
        </is>
      </c>
      <c r="AX358" s="406" t="inlineStr">
        <is>
          <t>Third parties in scope must demonstrate equivalent compliance. Contractual compliance obligations; right-to-audit clauses; annual third-party assessment</t>
        </is>
      </c>
      <c r="AY358" s="407" t="inlineStr">
        <is>
          <t>Non-compliance: regulatory action by issuing authority; fines and penalties as specified; operational and reputational consequences</t>
        </is>
      </c>
      <c r="AZ358" s="404" t="inlineStr">
        <is>
          <t>Sector-specific — consult official source</t>
        </is>
      </c>
      <c r="BA358" s="41" t="inlineStr">
        <is>
          <t>Sector-Specific</t>
        </is>
      </c>
      <c r="BB358" s="591">
        <f>IF(E358="","",IF(ISNUMBER(SEARCH("Institutional theory and regulatory governance theory underpin",AI358)),"TEMPLATE",IF(LEN(AI358)&gt;100,"DEEP",IF(AI358="","SPARSE","SHALLOW"))))</f>
        <v/>
      </c>
      <c r="BC358" s="591">
        <f>IF(E358="","",D358&amp;"-"&amp;B358&amp;"-"&amp;E358)</f>
        <v/>
      </c>
      <c r="BD358" s="591">
        <f>IF(E358="","",SUBSTITUTE(SUBSTITUTE(B358&amp;"-"&amp;E358," ",""),":","-"))</f>
        <v/>
      </c>
      <c r="BE358" s="591">
        <f>IF(E358="","",IF(ISNUMBER(SEARCH("ECC",E358)),"NCA-ECC-2-2024",IF(ISNUMBER(SEARCH("OTCC",E358)),"NCA-ECC-2-2024",IF(ISNUMBER(SEARCH("CCC",E358)),"NCA-ECC-2-2024",IF(ISNUMBER(SEARCH("DCC",E358)),"NCA-ECC-2-2024",IF(ISNUMBER(SEARCH("CSCC",E358)),"NCA-ECC-2-2024",IF(ISNUMBER(SEARCH("PDPL-IR",E358)),"PDPL-2021",IF(ISNUMBER(SEARCH("PDPL-DTR",E358)),"PDPL-2021","NONE"))))))))</f>
        <v/>
      </c>
      <c r="BF358" s="594">
        <f>IF(E358="","",IF(BB358="DEEP",10,IF(BB358="SHALLOW",5,IF(BB358="TEMPLATE",3,1)))+IF(N358="HIGHEST",5,IF(N358="HIGH",3,IF(N358="MODERATE",1,0)))+IF(ISNUMBER(SEARCH("Mandatory",L358)),3,0))</f>
        <v/>
      </c>
    </row>
    <row r="359" ht="42" customHeight="1">
      <c r="A359" s="42" t="n">
        <v>312</v>
      </c>
      <c r="B359" s="408" t="inlineStr">
        <is>
          <t>SBC</t>
        </is>
      </c>
      <c r="C359" s="44" t="inlineStr">
        <is>
          <t>Saudi Business Centre</t>
        </is>
      </c>
      <c r="D359" s="44" t="inlineStr">
        <is>
          <t>16. Councils &amp; Supreme Committees</t>
        </is>
      </c>
      <c r="E359" s="408" t="inlineStr">
        <is>
          <t>NCA-ECC-2:2024</t>
        </is>
      </c>
      <c r="F359" s="45" t="inlineStr">
        <is>
          <t>Essential Cybersecurity Controls</t>
        </is>
      </c>
      <c r="G359" s="44" t="inlineStr">
        <is>
          <t>ضوابط الأمن السيبراني الأساسية</t>
        </is>
      </c>
      <c r="H359" s="44" t="inlineStr">
        <is>
          <t>ECC-2:2024</t>
        </is>
      </c>
      <c r="I359" s="46" t="inlineStr">
        <is>
          <t>2018</t>
        </is>
      </c>
      <c r="J359" s="46" t="inlineStr">
        <is>
          <t>108</t>
        </is>
      </c>
      <c r="K359" s="44" t="inlineStr">
        <is>
          <t>MUST COMPLY WITH</t>
        </is>
      </c>
      <c r="L359" s="66" t="inlineStr">
        <is>
          <t>Mandatory Complier</t>
        </is>
      </c>
      <c r="M359" s="44" t="inlineStr">
        <is>
          <t>Saudi Business Centre as government entity</t>
        </is>
      </c>
      <c r="N359" s="59" t="inlineStr">
        <is>
          <t>LOW</t>
        </is>
      </c>
      <c r="O359" s="48" t="inlineStr">
        <is>
          <t>https://nca.gov.sa/</t>
        </is>
      </c>
      <c r="P359" s="44" t="inlineStr">
        <is>
          <t>NCA ECC scope</t>
        </is>
      </c>
      <c r="Q359" s="391" t="inlineStr">
        <is>
          <t>See official source for version history</t>
        </is>
      </c>
      <c r="R359" s="391" t="inlineStr">
        <is>
          <t>Framework issued by the relevant authority. Version details available on the official website referenced in the source URL column. The framework has been updated periodically since first issuance.</t>
        </is>
      </c>
      <c r="S359" s="393" t="inlineStr">
        <is>
          <t>See official source</t>
        </is>
      </c>
      <c r="T359" s="391" t="inlineStr">
        <is>
          <t>Updated as needed by the issuing authority</t>
        </is>
      </c>
      <c r="U359" s="25" t="inlineStr">
        <is>
          <t>CURRENT — consult official source for latest version</t>
        </is>
      </c>
      <c r="V359" s="391" t="inlineStr">
        <is>
          <t>Penalties defined by issuing authority; consult official source. NCA ECC-2 penalties apply if relevant</t>
        </is>
      </c>
      <c r="W359" s="392" t="inlineStr">
        <is>
          <t>Issuing authority and/or designated inspection department</t>
        </is>
      </c>
      <c r="X359" s="391" t="inlineStr">
        <is>
          <t>As specified in framework scope — consult official document</t>
        </is>
      </c>
      <c r="Y359" s="49" t="inlineStr">
        <is>
          <t>Both (unless specified otherwise in official document)</t>
        </is>
      </c>
      <c r="Z359" s="391" t="inlineStr">
        <is>
          <t>As defined by issuing authority</t>
        </is>
      </c>
      <c r="AA359" s="393" t="inlineStr">
        <is>
          <t>As defined by issuing authority</t>
        </is>
      </c>
      <c r="AB359" s="391" t="inlineStr">
        <is>
          <t>To be determined from framework text — see official source</t>
        </is>
      </c>
      <c r="AC359" s="391" t="inlineStr">
        <is>
          <t>See framework preamble for international standard references</t>
        </is>
      </c>
      <c r="AD359" s="49" t="inlineStr">
        <is>
          <t>Arabic (primary in KSA); English may be available</t>
        </is>
      </c>
      <c r="AE359" s="58" t="inlineStr">
        <is>
          <t>Mapped to relevant GH-ICGA layer — requires manual assessment</t>
        </is>
      </c>
      <c r="AF359" s="56" t="inlineStr">
        <is>
          <t>See official framework for maturity model details</t>
        </is>
      </c>
      <c r="AG359" s="391" t="inlineStr">
        <is>
          <t>Aligned with relevant Vision 2030 programme — see framework context</t>
        </is>
      </c>
      <c r="AH359" s="391" t="inlineStr">
        <is>
          <t>As specified in framework compliance requirements</t>
        </is>
      </c>
      <c r="AI359" s="396" t="inlineStr">
        <is>
          <t>Institutional theory and regulatory governance theory underpin all KSA regulatory frameworks. Specific theoretical basis varies by framework — consult academic literature via Google Scholar using framework name as search term.</t>
        </is>
      </c>
      <c r="AJ359" s="391" t="inlineStr">
        <is>
          <t>Academic debate varies by framework maturity and international adoption. For KSA-specific debate, consult: Almohammad &amp; Wills (2021) J Cybersecurity; Al-Khater et al. (2020) IEEE Access; Baker McKenzie KSA regulatory updates.</t>
        </is>
      </c>
      <c r="AK359" s="397" t="inlineStr">
        <is>
          <t>Known criticisms include: implementation gap between standards and practice; resource constraints for smaller healthcare entities; rapid technology evolution outpacing regulation. Consult framework evaluation literature for specifics.</t>
        </is>
      </c>
      <c r="AL359" s="398" t="inlineStr">
        <is>
          <t>Framework comparison requires contextual analysis. Key comparators: NIST CSF 2.0 (international benchmark), ISO 27001 (certifiable standard), ECC-2 (KSA mandatory baseline). See main database for cross-framework mapping.</t>
        </is>
      </c>
      <c r="AM359" s="399"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59" s="400" t="inlineStr">
        <is>
          <t>Official: Consult the official source URL in the database for the primary document. Training: ISACA, ISC2, RAPS, IAPP, and HIMSS offer professional development covering most regulatory domains. Estimated hours vary by framework complexity.</t>
        </is>
      </c>
      <c r="AO359" s="401" t="inlineStr">
        <is>
          <t>Relevance to GH-ICGA framework varies by layer — see GH-ICGA Layer Mapping column. All KSA mandatory frameworks are compliance inputs to GH-ICGA Layer 4. Frameworks with IoMT-specific provisions directly inform Layers 2 and 3.</t>
        </is>
      </c>
      <c r="AP359" s="51" t="inlineStr">
        <is>
          <t>G + C (Governance + Compliance — standard regulatory framework positioning)</t>
        </is>
      </c>
      <c r="AQ359" s="402" t="inlineStr">
        <is>
          <t>Senior management: accountability for framework compliance. Designated compliance officer: monitor requirements. All staff: awareness of applicable obligations</t>
        </is>
      </c>
      <c r="AR359" s="397" t="inlineStr">
        <is>
          <t>Regulatory Risk; Operational Risk; Reputational Risk — specific domains determined by framework scope</t>
        </is>
      </c>
      <c r="AS359" s="22" t="inlineStr">
        <is>
          <t>See official source — legal obligation, regulatory requirement, or voluntary standard as applicable</t>
        </is>
      </c>
      <c r="AT359" s="398" t="inlineStr">
        <is>
          <t>Administrative; Technical; Operational — specific distribution determined by framework content</t>
        </is>
      </c>
      <c r="AU359" s="403" t="inlineStr">
        <is>
          <t>1. Compliance status (compliant/non-compliant). 2. # open findings from last assessment. 3. % controls implemented. 4. Time to remediate findings. 5. Incident rate in framework scope area</t>
        </is>
      </c>
      <c r="AV359" s="404" t="inlineStr">
        <is>
          <t>Self-assessment; internal audit; external assessment as specified by issuing authority</t>
        </is>
      </c>
      <c r="AW359" s="405" t="inlineStr">
        <is>
          <t>ServiceNow GRC; IBM OpenPages; RSA Archer; MetricStream — all major GRC platforms support custom framework import. Contact vendor for framework-specific module</t>
        </is>
      </c>
      <c r="AX359" s="406" t="inlineStr">
        <is>
          <t>Third parties in scope must demonstrate equivalent compliance. Contractual compliance obligations; right-to-audit clauses; annual third-party assessment</t>
        </is>
      </c>
      <c r="AY359" s="407" t="inlineStr">
        <is>
          <t>Non-compliance: regulatory action by issuing authority; fines and penalties as specified; operational and reputational consequences</t>
        </is>
      </c>
      <c r="AZ359" s="404" t="inlineStr">
        <is>
          <t>ALL 17 SECTORS</t>
        </is>
      </c>
      <c r="BA359" s="34" t="inlineStr">
        <is>
          <t>YES — ALL SECTORS</t>
        </is>
      </c>
      <c r="BB359" s="591">
        <f>IF(E359="","",IF(ISNUMBER(SEARCH("Institutional theory and regulatory governance theory underpin",AI359)),"TEMPLATE",IF(LEN(AI359)&gt;100,"DEEP",IF(AI359="","SPARSE","SHALLOW"))))</f>
        <v/>
      </c>
      <c r="BC359" s="591">
        <f>IF(E359="","",D359&amp;"-"&amp;B359&amp;"-"&amp;E359)</f>
        <v/>
      </c>
      <c r="BD359" s="591">
        <f>IF(E359="","",SUBSTITUTE(SUBSTITUTE(B359&amp;"-"&amp;E359," ",""),":","-"))</f>
        <v/>
      </c>
      <c r="BE359" s="591">
        <f>IF(E359="","",IF(ISNUMBER(SEARCH("ECC",E359)),"NCA-ECC-2-2024",IF(ISNUMBER(SEARCH("OTCC",E359)),"NCA-ECC-2-2024",IF(ISNUMBER(SEARCH("CCC",E359)),"NCA-ECC-2-2024",IF(ISNUMBER(SEARCH("DCC",E359)),"NCA-ECC-2-2024",IF(ISNUMBER(SEARCH("CSCC",E359)),"NCA-ECC-2-2024",IF(ISNUMBER(SEARCH("PDPL-IR",E359)),"PDPL-2021",IF(ISNUMBER(SEARCH("PDPL-DTR",E359)),"PDPL-2021","NONE"))))))))</f>
        <v/>
      </c>
      <c r="BF359" s="594">
        <f>IF(E359="","",IF(BB359="DEEP",10,IF(BB359="SHALLOW",5,IF(BB359="TEMPLATE",3,1)))+IF(N359="HIGHEST",5,IF(N359="HIGH",3,IF(N359="MODERATE",1,0)))+IF(ISNUMBER(SEARCH("Mandatory",L359)),3,0))</f>
        <v/>
      </c>
    </row>
    <row r="360">
      <c r="BB360" s="591">
        <f>IF(E360="","",IF(ISNUMBER(SEARCH("Institutional theory and regulatory governance theory underpin",AI360)),"TEMPLATE",IF(LEN(AI360)&gt;100,"DEEP",IF(AI360="","SPARSE","SHALLOW"))))</f>
        <v/>
      </c>
      <c r="BC360" s="591">
        <f>IF(E360="","",D360&amp;"-"&amp;B360&amp;"-"&amp;E360)</f>
        <v/>
      </c>
      <c r="BD360" s="591">
        <f>IF(E360="","",SUBSTITUTE(SUBSTITUTE(B360&amp;"-"&amp;E360," ",""),":","-"))</f>
        <v/>
      </c>
      <c r="BE360" s="591">
        <f>IF(E360="","",IF(ISNUMBER(SEARCH("ECC",E360)),"NCA-ECC-2-2024",IF(ISNUMBER(SEARCH("OTCC",E360)),"NCA-ECC-2-2024",IF(ISNUMBER(SEARCH("CCC",E360)),"NCA-ECC-2-2024",IF(ISNUMBER(SEARCH("DCC",E360)),"NCA-ECC-2-2024",IF(ISNUMBER(SEARCH("CSCC",E360)),"NCA-ECC-2-2024",IF(ISNUMBER(SEARCH("PDPL-IR",E360)),"PDPL-2021",IF(ISNUMBER(SEARCH("PDPL-DTR",E360)),"PDPL-2021","NONE"))))))))</f>
        <v/>
      </c>
      <c r="BF360" s="594">
        <f>IF(E360="","",IF(BB360="DEEP",10,IF(BB360="SHALLOW",5,IF(BB360="TEMPLATE",3,1)))+IF(N360="HIGHEST",5,IF(N360="HIGH",3,IF(N360="MODERATE",1,0)))+IF(ISNUMBER(SEARCH("Mandatory",L360)),3,0))</f>
        <v/>
      </c>
    </row>
    <row r="361" ht="19.5" customHeight="1">
      <c r="A361" s="409" t="n"/>
      <c r="B361" s="410" t="inlineStr">
        <is>
          <t xml:space="preserve">  ── 17. Regional Health Clusters ──</t>
        </is>
      </c>
      <c r="C361" s="409" t="n"/>
      <c r="D361" s="409" t="n"/>
      <c r="E361" s="409" t="n"/>
      <c r="F361" s="409" t="n"/>
      <c r="G361" s="409" t="n"/>
      <c r="H361" s="409" t="n"/>
      <c r="I361" s="409" t="n"/>
      <c r="J361" s="409" t="n"/>
      <c r="K361" s="409" t="n"/>
      <c r="L361" s="409" t="n"/>
      <c r="M361" s="409" t="n"/>
      <c r="N361" s="409" t="n"/>
      <c r="O361" s="409" t="n"/>
      <c r="P361" s="409" t="n"/>
      <c r="BB361" s="591">
        <f>IF(E361="","",IF(ISNUMBER(SEARCH("Institutional theory and regulatory governance theory underpin",AI361)),"TEMPLATE",IF(LEN(AI361)&gt;100,"DEEP",IF(AI361="","SPARSE","SHALLOW"))))</f>
        <v/>
      </c>
      <c r="BC361" s="591">
        <f>IF(E361="","",D361&amp;"-"&amp;B361&amp;"-"&amp;E361)</f>
        <v/>
      </c>
      <c r="BD361" s="591">
        <f>IF(E361="","",SUBSTITUTE(SUBSTITUTE(B361&amp;"-"&amp;E361," ",""),":","-"))</f>
        <v/>
      </c>
      <c r="BE361" s="591">
        <f>IF(E361="","",IF(ISNUMBER(SEARCH("ECC",E361)),"NCA-ECC-2-2024",IF(ISNUMBER(SEARCH("OTCC",E361)),"NCA-ECC-2-2024",IF(ISNUMBER(SEARCH("CCC",E361)),"NCA-ECC-2-2024",IF(ISNUMBER(SEARCH("DCC",E361)),"NCA-ECC-2-2024",IF(ISNUMBER(SEARCH("CSCC",E361)),"NCA-ECC-2-2024",IF(ISNUMBER(SEARCH("PDPL-IR",E361)),"PDPL-2021",IF(ISNUMBER(SEARCH("PDPL-DTR",E361)),"PDPL-2021","NONE"))))))))</f>
        <v/>
      </c>
      <c r="BF361" s="594">
        <f>IF(E361="","",IF(BB361="DEEP",10,IF(BB361="SHALLOW",5,IF(BB361="TEMPLATE",3,1)))+IF(N361="HIGHEST",5,IF(N361="HIGH",3,IF(N361="MODERATE",1,0)))+IF(ISNUMBER(SEARCH("Mandatory",L361)),3,0))</f>
        <v/>
      </c>
    </row>
    <row r="362" ht="42" customHeight="1">
      <c r="A362" s="84" t="n">
        <v>313</v>
      </c>
      <c r="B362" s="411" t="inlineStr">
        <is>
          <t>RHC1</t>
        </is>
      </c>
      <c r="C362" s="70" t="inlineStr">
        <is>
          <t>Riyadh Health Cluster 1</t>
        </is>
      </c>
      <c r="D362" s="70" t="inlineStr">
        <is>
          <t>17. Regional Health Clusters</t>
        </is>
      </c>
      <c r="E362" s="411" t="inlineStr">
        <is>
          <t>MOH-HIS</t>
        </is>
      </c>
      <c r="F362" s="72" t="inlineStr">
        <is>
          <t>Health Information System Standards</t>
        </is>
      </c>
      <c r="G362" s="70" t="inlineStr">
        <is>
          <t>معايير نظم المعلومات الصحية</t>
        </is>
      </c>
      <c r="H362" s="70" t="inlineStr">
        <is>
          <t>2024 update</t>
        </is>
      </c>
      <c r="I362" s="71" t="inlineStr">
        <is>
          <t>2010</t>
        </is>
      </c>
      <c r="J362" s="71" t="inlineStr">
        <is>
          <t>112</t>
        </is>
      </c>
      <c r="K362" s="70" t="inlineStr">
        <is>
          <t>MUST COMPLY WITH</t>
        </is>
      </c>
      <c r="L362" s="66" t="inlineStr">
        <is>
          <t>Mandatory Complier</t>
        </is>
      </c>
      <c r="M362" s="70" t="inlineStr">
        <is>
          <t>Riyadh Health Cluster 1 hospitals — mandatory HIS compliance</t>
        </is>
      </c>
      <c r="N362" s="86" t="inlineStr">
        <is>
          <t>HIGHEST</t>
        </is>
      </c>
      <c r="O362" s="87" t="inlineStr">
        <is>
          <t>https://www.moh.gov.sa/en/</t>
        </is>
      </c>
      <c r="P362" s="70" t="inlineStr">
        <is>
          <t>MOH official</t>
        </is>
      </c>
      <c r="Q362" s="70" t="inlineStr">
        <is>
          <t>First issued ~2010 → comprehensive update 2022 → mandatory EMR update 2024</t>
        </is>
      </c>
      <c r="R362" s="70" t="inlineStr">
        <is>
          <t>Progressive standards covering: 2010 (basic EHR requirements); 2015 (interoperability standards added); 2018 (NABIDH integration); 2020 (mobile health and telemedicine modules); 2022 (comprehensive 112-control update covering clinical systems, imaging, medication management, emergency, genomics, training); 2024 (mandatory EMR adoption for all MOH and private facilities aligned with NABIDH)</t>
        </is>
      </c>
      <c r="S362" s="71" t="inlineStr">
        <is>
          <t>First: 2010. Major update: 2022. EMR mandate: 2024</t>
        </is>
      </c>
      <c r="T362" s="70" t="inlineStr">
        <is>
          <t>Updated with NABIDH platform releases; typically annual minor updates</t>
        </is>
      </c>
      <c r="U362" s="25" t="inlineStr">
        <is>
          <t>CURRENT — 2024 version mandatory</t>
        </is>
      </c>
      <c r="V362" s="70" t="inlineStr">
        <is>
          <t>MOH facility licensing at risk; mandatory corrective action plan; financial penalties under Private Health Institutions Law; non-compliant systems barred from NABIDH connectivity</t>
        </is>
      </c>
      <c r="W362" s="72" t="inlineStr">
        <is>
          <t>MOH — Directorate of Health Information (DHI); regional health cluster inspection teams; NHIC for interoperability compliance</t>
        </is>
      </c>
      <c r="X362" s="70" t="inlineStr">
        <is>
          <t>Hospital; Clinic; Lab; Pharmacy (hospital); Government Health Entity</t>
        </is>
      </c>
      <c r="Y362" s="49" t="inlineStr">
        <is>
          <t>Both (mandatory for MOH facilities; mandatory for private facilities since 2024 PHILAW update)</t>
        </is>
      </c>
      <c r="Z362" s="70" t="inlineStr">
        <is>
          <t>MOH annual IT audit; NHIC interoperability assessment; CBAHI HIT standards review during accreditation</t>
        </is>
      </c>
      <c r="AA362" s="71" t="inlineStr">
        <is>
          <t>Annual MOH audit; NABIDH connectivity continuous monitoring</t>
        </is>
      </c>
      <c r="AB362" s="70" t="inlineStr">
        <is>
          <t>28 (medical device integration into HIS; alarm management; device data capture; IoMT workflow integration; remote monitoring data ingestion; device incident reporting to HIS)</t>
        </is>
      </c>
      <c r="AC362" s="70" t="inlineStr">
        <is>
          <t>HL7 FHIR R4 (interoperability); IHE profiles (integration); ISO 27799:2016 (health ISMS); DICOM (imaging)</t>
        </is>
      </c>
      <c r="AD362" s="49" t="inlineStr">
        <is>
          <t>Arabic (primary); English technical annexes</t>
        </is>
      </c>
      <c r="AE362" s="26" t="inlineStr">
        <is>
          <t>Layer 1: Governance; Layer 3: Technical Controls; Layer 4: Compliance</t>
        </is>
      </c>
      <c r="AF362" s="27" t="inlineStr">
        <is>
          <t>Yes — 4 implementation levels (Basic / Intermediate / Advanced / Optimised); MOH tracks facility scores</t>
        </is>
      </c>
      <c r="AG362" s="70" t="inlineStr">
        <is>
          <t>HSTP digital health; NABIDH national EHR; Vision 2030 healthcare quality targets</t>
        </is>
      </c>
      <c r="AH362" s="70" t="inlineStr">
        <is>
          <t>HIS system documentation; NABIDH connectivity certificate; interoperability test results; staff training records; system access audit logs; downtime contingency procedure</t>
        </is>
      </c>
      <c r="AI362" s="73" t="inlineStr">
        <is>
          <t>Health informatics systems theory (Shortliffe &amp; Cimino 2006): HIS as sociotechnical infrastructure. Interoperability theory (Kuperman 2011): semantic/syntactic/organisational interoperability levels. Technology adoption theory (TAM — Davis 1989): clinician adoption barriers to HIS.</t>
        </is>
      </c>
      <c r="AJ362" s="70" t="inlineStr">
        <is>
          <t>FOR: National standardisation essential for patient safety continuity (WHO 2019); NABIDH integration creates longitudinal patient record unavailable previously; IoMT data integration requirements push hospitals toward modern system architectures. AGAINST: Ajami &amp; Bagheri-Tadi (2013) and Aloudah et al. (2021) document implementation-reality gap in Saudi HIS — standards exist but compliance varies widely by facility tier; urban-rural HIS capacity gap poorly addressed; cybersecurity requirements within HIS standards historically weak (pre-NABIDH)</t>
        </is>
      </c>
      <c r="AK362" s="74" t="inlineStr">
        <is>
          <t>112 controls create compliance burden without proportionality guidance; small private clinics face disproportionate compliance cost; no formal HIS certification programme — self-declaration accepted; IoMT data standards not harmonised with international HL7 FHIR profiles; historical emphasis on data capture over data quality</t>
        </is>
      </c>
      <c r="AL362" s="75" t="inlineStr">
        <is>
          <t>MOH-HIS vs NHS Digital standards (UK): NHS has legally binding DCB standards with enforcement; MOH-HIS is ministerial directive with softer enforcement. MOH-HIS vs ONC Health IT Certification (US): US has federal certification; KSA moving toward certification (NABIDH conformance). MOH-HIS + NHIC-NABIDH = closest to ONC approach in KSA</t>
        </is>
      </c>
      <c r="AM362" s="76" t="inlineStr">
        <is>
          <t>Ajami S &amp; Bagheri-Tadi T (2013) 'Barriers for Adopting Electronic Health Records' MateriaSociomed 25(3); Aloudah N et al. (2021) 'Digital Health in Saudi Arabia' Sustainability 13(12); Shortliffe EH &amp; Cimino JJ (2006) Biomedical Informatics Springer; WHO (2019) Classification of Digital Interventions; Alotaibi YK &amp; Federico F (2017) 'Impact of Health IT on Patient Safety' Saudi Medical J 38(12)</t>
        </is>
      </c>
      <c r="AN362" s="50" t="inlineStr">
        <is>
          <t>Official: MOH website (moh.gov.sa). Training: CPHIMS (Certified Professional Health Informatics &amp; Information Management); HL7 FHIR Foundational (HL7.org); NHIC developer portal training (nhic.gov.sa). Language: Arabic primary. Estimated: 45 hours</t>
        </is>
      </c>
      <c r="AO362" s="77" t="inlineStr">
        <is>
          <t>GH-ICGA Layer 1 (Governance) + Layer 3 (Technical Controls) — MOH-HIS is the clinical data governance backbone that the preliminary GH-ICGA IoMT framework must integrate with. Thesis: GH-ICGA IoMT data model must align with HIS data standards to ensure IoMT device data flows into the national health record coherently</t>
        </is>
      </c>
      <c r="AP362" s="34" t="inlineStr">
        <is>
          <t>G + R + C (all three — clinical information governance foundation)</t>
        </is>
      </c>
      <c r="AQ362" s="78" t="inlineStr">
        <is>
          <t>Hospital CEO: accountable for HIS compliance. CIO/CMIO: responsible for HIS implementation and NABIDH connectivity. Clinical Informatics Committee: govern HIS standards adoption. Department Heads: responsible for clinical data quality in their systems</t>
        </is>
      </c>
      <c r="AR362" s="74" t="inlineStr">
        <is>
          <t>Operational Risk (HIS downtime = clinical risk); Patient Safety Risk; Data Quality Risk; Regulatory Risk (MOH non-compliance); Interoperability Risk (NABIDH disconnection)</t>
        </is>
      </c>
      <c r="AS362" s="61" t="inlineStr">
        <is>
          <t>REGULATORY — MOH ministerial directive. Mandatory for all licensed facilities. Non-compliance risks licensing. Enforced through MOH annual audit and NABIDH connectivity monitoring</t>
        </is>
      </c>
      <c r="AT362" s="75" t="inlineStr">
        <is>
          <t>Technical (T): 68 controls — system architecture; integration; security; availability; backup. Administrative (A): 28 controls — data governance; policies; training; documentation. Operational (O): 16 controls — downtime procedures; change management; vendor management</t>
        </is>
      </c>
      <c r="AU362" s="79" t="inlineStr">
        <is>
          <t>1. NABIDH connectivity status (connected/disconnected). 2. HIS downtime incidents per month (target &lt;4h/month). 3. Data quality score (completeness/accuracy) from NABIDH reports. 4. % clinical staff trained on HIS (target 100%). 5. Time-to-restore HIS after failure (target &lt;4h). 6. # HIS security incidents per quarter</t>
        </is>
      </c>
      <c r="AV362" s="80" t="inlineStr">
        <is>
          <t>Annual MOH HIS audit (documentation + system walk-through); NABIDH API conformance test (NHIC automated); data quality audit; HIS security assessment; downtime procedure simulation; user access review</t>
        </is>
      </c>
      <c r="AW362" s="81" t="inlineStr">
        <is>
          <t>Epic; Cerner (Oracle Health); Philips Tasy EMR; Meditech; InterSystems HealthShare — all NABIDH-integrated. For compliance: ServiceNow Healthcare; Qualio (quality management); NHIC developer portal for FHIR conformance testing</t>
        </is>
      </c>
      <c r="AX362" s="82" t="inlineStr">
        <is>
          <t>HIS vendors: must be MOH-approved/NABIDH-certified; contractual data protection obligations; source code escrow for critical systems; SLA for 99.9% uptime; mandatory SFDA notification if HIS failure affects medical devices; annual security assessment of HIS vendors</t>
        </is>
      </c>
      <c r="AY362" s="83" t="inlineStr">
        <is>
          <t>Non-compliance: MOH corrective action; facility licence conditions; NABIDH disconnection (loss of referrals, national patient record access); PHILAW 2024 penalties for private facilities. Clinical impact: patient safety risk from poor data quality or HIS unavailability</t>
        </is>
      </c>
      <c r="AZ362" s="80" t="inlineStr">
        <is>
          <t>Healthcare &amp; Life Sciences</t>
        </is>
      </c>
      <c r="BA362" s="41" t="inlineStr">
        <is>
          <t>Sector-Specific</t>
        </is>
      </c>
      <c r="BB362" s="591">
        <f>IF(E362="","",IF(ISNUMBER(SEARCH("Institutional theory and regulatory governance theory underpin",AI362)),"TEMPLATE",IF(LEN(AI362)&gt;100,"DEEP",IF(AI362="","SPARSE","SHALLOW"))))</f>
        <v/>
      </c>
      <c r="BC362" s="591">
        <f>IF(E362="","",D362&amp;"-"&amp;B362&amp;"-"&amp;E362)</f>
        <v/>
      </c>
      <c r="BD362" s="591">
        <f>IF(E362="","",SUBSTITUTE(SUBSTITUTE(B362&amp;"-"&amp;E362," ",""),":","-"))</f>
        <v/>
      </c>
      <c r="BE362" s="591">
        <f>IF(E362="","",IF(ISNUMBER(SEARCH("ECC",E362)),"NCA-ECC-2-2024",IF(ISNUMBER(SEARCH("OTCC",E362)),"NCA-ECC-2-2024",IF(ISNUMBER(SEARCH("CCC",E362)),"NCA-ECC-2-2024",IF(ISNUMBER(SEARCH("DCC",E362)),"NCA-ECC-2-2024",IF(ISNUMBER(SEARCH("CSCC",E362)),"NCA-ECC-2-2024",IF(ISNUMBER(SEARCH("PDPL-IR",E362)),"PDPL-2021",IF(ISNUMBER(SEARCH("PDPL-DTR",E362)),"PDPL-2021","NONE"))))))))</f>
        <v/>
      </c>
      <c r="BF362" s="594">
        <f>IF(E362="","",IF(BB362="DEEP",10,IF(BB362="SHALLOW",5,IF(BB362="TEMPLATE",3,1)))+IF(N362="HIGHEST",5,IF(N362="HIGH",3,IF(N362="MODERATE",1,0)))+IF(ISNUMBER(SEARCH("Mandatory",L362)),3,0))</f>
        <v/>
      </c>
    </row>
    <row r="363" ht="42" customHeight="1">
      <c r="A363" s="42" t="n">
        <v>314</v>
      </c>
      <c r="B363" s="412" t="inlineStr">
        <is>
          <t>RHC1</t>
        </is>
      </c>
      <c r="C363" s="44" t="inlineStr">
        <is>
          <t>Riyadh Health Cluster 1</t>
        </is>
      </c>
      <c r="D363" s="44" t="inlineStr">
        <is>
          <t>17. Regional Health Clusters</t>
        </is>
      </c>
      <c r="E363" s="412" t="inlineStr">
        <is>
          <t>MOH-EMR-NABIDH</t>
        </is>
      </c>
      <c r="F363" s="45" t="inlineStr">
        <is>
          <t>EMR Standards / NABIDH</t>
        </is>
      </c>
      <c r="G363" s="44" t="inlineStr">
        <is>
          <t>معايير السجل الصحي الإلكتروني / نبض</t>
        </is>
      </c>
      <c r="H363" s="44" t="inlineStr">
        <is>
          <t>Mandatory 2024</t>
        </is>
      </c>
      <c r="I363" s="46" t="inlineStr">
        <is>
          <t>2010</t>
        </is>
      </c>
      <c r="J363" s="46" t="inlineStr">
        <is>
          <t>52</t>
        </is>
      </c>
      <c r="K363" s="44" t="inlineStr">
        <is>
          <t>MUST COMPLY WITH</t>
        </is>
      </c>
      <c r="L363" s="66" t="inlineStr">
        <is>
          <t>Mandatory Complier</t>
        </is>
      </c>
      <c r="M363" s="44" t="inlineStr">
        <is>
          <t>Riyadh Health Cluster 1 — mandatory NABIDH connectivity 2024</t>
        </is>
      </c>
      <c r="N363" s="47" t="inlineStr">
        <is>
          <t>HIGHEST</t>
        </is>
      </c>
      <c r="O363" s="48" t="inlineStr">
        <is>
          <t>https://www.moh.gov.sa/en/</t>
        </is>
      </c>
      <c r="P363" s="44" t="inlineStr">
        <is>
          <t>MOH/NHIC</t>
        </is>
      </c>
      <c r="Q363" s="70" t="inlineStr">
        <is>
          <t>NABIDH platform launched ~2018 → mandatory EMR adoption for all facilities 2024</t>
        </is>
      </c>
      <c r="R363" s="70" t="inlineStr">
        <is>
          <t>NABIDH (National Unified EHR Platform): v1 2018 (pilot MOH hospitals); 2019-2021 (rollout to health clusters); 2022 (private hospital voluntary integration); 2023 (API standards published based on FHIR R4); 2024 (mandatory for ALL healthcare facilities per Private Health Institutions Law update — complete patient longitudinal record across facilities). EMR standard covers 52 functional requirements including: CPOE, medication reconciliation, imaging integration, patient portal, audit logs</t>
        </is>
      </c>
      <c r="S363" s="71" t="inlineStr">
        <is>
          <t>NABIDH launched: 2018. Mandatory for all: 2024</t>
        </is>
      </c>
      <c r="T363" s="70" t="inlineStr">
        <is>
          <t>Continuously updated with NABIDH platform releases</t>
        </is>
      </c>
      <c r="U363" s="25" t="inlineStr">
        <is>
          <t>CURRENT — mandatory since 2024</t>
        </is>
      </c>
      <c r="V363" s="70" t="inlineStr">
        <is>
          <t>Facility licensing revocation; MOH enforcement action; barred from government referrals; penalties under PHILAW 2024</t>
        </is>
      </c>
      <c r="W363" s="72" t="inlineStr">
        <is>
          <t>MOH — NABIDH Programme Office; NHIC; regional health clusters monitor connectivity</t>
        </is>
      </c>
      <c r="X363" s="70" t="inlineStr">
        <is>
          <t>Hospital; Clinic; Lab; Pharmacy; Government Health Entity — ALL healthcare facilities mandatory</t>
        </is>
      </c>
      <c r="Y363" s="49" t="inlineStr">
        <is>
          <t>Both (mandatory since 2024 PHILAW update for all facilities)</t>
        </is>
      </c>
      <c r="Z363" s="70" t="inlineStr">
        <is>
          <t>NHIC connectivity assessment; NABIDH API conformance testing; MOH annual audit</t>
        </is>
      </c>
      <c r="AA363" s="71" t="inlineStr">
        <is>
          <t>Continuous (NABIDH connectivity monitored in real time); annual formal audit</t>
        </is>
      </c>
      <c r="AB363" s="70" t="inlineStr">
        <is>
          <t>22 (IoMT data integration to NABIDH: wearable data ingestion API; remote monitoring feeds; device-generated vital signs; medical device alerts to patient record; IoMT consent management in EHR)</t>
        </is>
      </c>
      <c r="AC363" s="70" t="inlineStr">
        <is>
          <t>HL7 FHIR R4; IHE (Integrating the Healthcare Enterprise); SNOMED CT; ICD-10; LOINC</t>
        </is>
      </c>
      <c r="AD363" s="49" t="inlineStr">
        <is>
          <t>Arabic + English (NABIDH technical specifications bilingual)</t>
        </is>
      </c>
      <c r="AE363" s="26" t="inlineStr">
        <is>
          <t>Layer 1: Governance; Layer 3: Technical Controls; Layer 4: Compliance; Layer 5: Assurance</t>
        </is>
      </c>
      <c r="AF363" s="27" t="inlineStr">
        <is>
          <t>Yes — NABIDH connectivity levels (1: Basic data exchange; 2: Full longitudinal record; 3: Advanced interoperability with IoMT); MOH tracks facility level</t>
        </is>
      </c>
      <c r="AG363" s="70" t="inlineStr">
        <is>
          <t>HSTP digital health transformation; NABIDH national EHR; NHIS claims integration</t>
        </is>
      </c>
      <c r="AH363" s="70" t="inlineStr">
        <is>
          <t>NABIDH connectivity certificate; API integration test reports; patient consent records for data sharing; EHR system validation; data quality reports</t>
        </is>
      </c>
      <c r="AI363" s="73" t="inlineStr">
        <is>
          <t>Institutional theory and regulatory governance theory underpin all KSA regulatory frameworks. Specific theoretical basis varies by framework — consult academic literature via Google Scholar using framework name as search term.</t>
        </is>
      </c>
      <c r="AJ363" s="70" t="inlineStr">
        <is>
          <t>Academic debate varies by framework maturity and international adoption. For KSA-specific debate, consult: Almohammad &amp; Wills (2021) J Cybersecurity; Al-Khater et al. (2020) IEEE Access; Baker McKenzie KSA regulatory updates.</t>
        </is>
      </c>
      <c r="AK363" s="74" t="inlineStr">
        <is>
          <t>Known criticisms include: implementation gap between standards and practice; resource constraints for smaller healthcare entities; rapid technology evolution outpacing regulation. Consult framework evaluation literature for specifics.</t>
        </is>
      </c>
      <c r="AL363" s="75" t="inlineStr">
        <is>
          <t>Framework comparison requires contextual analysis. Key comparators: NIST CSF 2.0 (international benchmark), ISO 27001 (certifiable standard), ECC-2 (KSA mandatory baseline). See main database for cross-framework mapping.</t>
        </is>
      </c>
      <c r="AM363"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63" s="50" t="inlineStr">
        <is>
          <t>Official: Consult the official source URL in the database for the primary document. Training: ISACA, ISC2, RAPS, IAPP, and HIMSS offer professional development covering most regulatory domains. Estimated hours vary by framework complexity.</t>
        </is>
      </c>
      <c r="AO363" s="77" t="inlineStr">
        <is>
          <t>Relevance to GH-ICGA framework varies by layer — see GH-ICGA Layer Mapping column. All KSA mandatory frameworks are compliance inputs to GH-ICGA Layer 4. Frameworks with IoMT-specific provisions directly inform Layers 2 and 3.</t>
        </is>
      </c>
      <c r="AP363" s="51" t="inlineStr">
        <is>
          <t>G + C (Governance + Compliance — standard regulatory framework positioning)</t>
        </is>
      </c>
      <c r="AQ363" s="78" t="inlineStr">
        <is>
          <t>Senior management: accountability for framework compliance. Designated compliance officer: monitor requirements. All staff: awareness of applicable obligations</t>
        </is>
      </c>
      <c r="AR363" s="74" t="inlineStr">
        <is>
          <t>Regulatory Risk; Operational Risk; Reputational Risk — specific domains determined by framework scope</t>
        </is>
      </c>
      <c r="AS363" s="22" t="inlineStr">
        <is>
          <t>See official source — legal obligation, regulatory requirement, or voluntary standard as applicable</t>
        </is>
      </c>
      <c r="AT363" s="75" t="inlineStr">
        <is>
          <t>Administrative; Technical; Operational — specific distribution determined by framework content</t>
        </is>
      </c>
      <c r="AU363" s="79" t="inlineStr">
        <is>
          <t>1. Compliance status (compliant/non-compliant). 2. # open findings from last assessment. 3. % controls implemented. 4. Time to remediate findings. 5. Incident rate in framework scope area</t>
        </is>
      </c>
      <c r="AV363" s="80" t="inlineStr">
        <is>
          <t>Self-assessment; internal audit; external assessment as specified by issuing authority</t>
        </is>
      </c>
      <c r="AW363" s="81" t="inlineStr">
        <is>
          <t>ServiceNow GRC; IBM OpenPages; RSA Archer; MetricStream — all major GRC platforms support custom framework import. Contact vendor for framework-specific module</t>
        </is>
      </c>
      <c r="AX363" s="82" t="inlineStr">
        <is>
          <t>Third parties in scope must demonstrate equivalent compliance. Contractual compliance obligations; right-to-audit clauses; annual third-party assessment</t>
        </is>
      </c>
      <c r="AY363" s="83" t="inlineStr">
        <is>
          <t>Non-compliance: regulatory action by issuing authority; fines and penalties as specified; operational and reputational consequences</t>
        </is>
      </c>
      <c r="AZ363" s="80" t="inlineStr">
        <is>
          <t>Healthcare &amp; Life Sciences</t>
        </is>
      </c>
      <c r="BA363" s="41" t="inlineStr">
        <is>
          <t>Sector-Specific</t>
        </is>
      </c>
      <c r="BB363" s="591">
        <f>IF(E363="","",IF(ISNUMBER(SEARCH("Institutional theory and regulatory governance theory underpin",AI363)),"TEMPLATE",IF(LEN(AI363)&gt;100,"DEEP",IF(AI363="","SPARSE","SHALLOW"))))</f>
        <v/>
      </c>
      <c r="BC363" s="591">
        <f>IF(E363="","",D363&amp;"-"&amp;B363&amp;"-"&amp;E363)</f>
        <v/>
      </c>
      <c r="BD363" s="591">
        <f>IF(E363="","",SUBSTITUTE(SUBSTITUTE(B363&amp;"-"&amp;E363," ",""),":","-"))</f>
        <v/>
      </c>
      <c r="BE363" s="591">
        <f>IF(E363="","",IF(ISNUMBER(SEARCH("ECC",E363)),"NCA-ECC-2-2024",IF(ISNUMBER(SEARCH("OTCC",E363)),"NCA-ECC-2-2024",IF(ISNUMBER(SEARCH("CCC",E363)),"NCA-ECC-2-2024",IF(ISNUMBER(SEARCH("DCC",E363)),"NCA-ECC-2-2024",IF(ISNUMBER(SEARCH("CSCC",E363)),"NCA-ECC-2-2024",IF(ISNUMBER(SEARCH("PDPL-IR",E363)),"PDPL-2021",IF(ISNUMBER(SEARCH("PDPL-DTR",E363)),"PDPL-2021","NONE"))))))))</f>
        <v/>
      </c>
      <c r="BF363" s="594">
        <f>IF(E363="","",IF(BB363="DEEP",10,IF(BB363="SHALLOW",5,IF(BB363="TEMPLATE",3,1)))+IF(N363="HIGHEST",5,IF(N363="HIGH",3,IF(N363="MODERATE",1,0)))+IF(ISNUMBER(SEARCH("Mandatory",L363)),3,0))</f>
        <v/>
      </c>
    </row>
    <row r="364" ht="42" customHeight="1">
      <c r="A364" s="84" t="n">
        <v>315</v>
      </c>
      <c r="B364" s="411" t="inlineStr">
        <is>
          <t>RHC1</t>
        </is>
      </c>
      <c r="C364" s="70" t="inlineStr">
        <is>
          <t>Riyadh Health Cluster 1</t>
        </is>
      </c>
      <c r="D364" s="70" t="inlineStr">
        <is>
          <t>17. Regional Health Clusters</t>
        </is>
      </c>
      <c r="E364" s="411" t="inlineStr">
        <is>
          <t>MOH-PS</t>
        </is>
      </c>
      <c r="F364" s="72" t="inlineStr">
        <is>
          <t>Patient Safety Standards</t>
        </is>
      </c>
      <c r="G364" s="70" t="inlineStr">
        <is>
          <t>معايير سلامة المريض</t>
        </is>
      </c>
      <c r="H364" s="70" t="inlineStr">
        <is>
          <t>2024 update</t>
        </is>
      </c>
      <c r="I364" s="71" t="inlineStr">
        <is>
          <t>2015</t>
        </is>
      </c>
      <c r="J364" s="71" t="inlineStr">
        <is>
          <t>72</t>
        </is>
      </c>
      <c r="K364" s="70" t="inlineStr">
        <is>
          <t>MUST COMPLY WITH</t>
        </is>
      </c>
      <c r="L364" s="66" t="inlineStr">
        <is>
          <t>Mandatory Complier</t>
        </is>
      </c>
      <c r="M364" s="70" t="inlineStr">
        <is>
          <t>Riyadh Health Cluster 1 — patient safety compliance</t>
        </is>
      </c>
      <c r="N364" s="86" t="inlineStr">
        <is>
          <t>HIGHEST</t>
        </is>
      </c>
      <c r="O364" s="87" t="inlineStr">
        <is>
          <t>https://www.moh.gov.sa/en/</t>
        </is>
      </c>
      <c r="P364" s="70" t="inlineStr">
        <is>
          <t>MOH official</t>
        </is>
      </c>
      <c r="Q364" s="70" t="inlineStr">
        <is>
          <t>First issued ~2015 → updates 2020 → 2024 update</t>
        </is>
      </c>
      <c r="R364" s="70" t="inlineStr">
        <is>
          <t>Based on WHO and JCI patient safety frameworks. Covers: patient identification (minimum 2 identifiers), medication safety (high-alert medications protocol), surgical safety checklist, falls prevention, infection control, critical value reporting, handover communications (SBAR). 2020 update added COVID-19 IPC protocols. 2024 update adds IoMT device safety (alarm fatigue management, device connectivity requirements)</t>
        </is>
      </c>
      <c r="S364" s="71" t="inlineStr">
        <is>
          <t>First: ~2015. Updated: 2020, 2024</t>
        </is>
      </c>
      <c r="T364" s="70" t="inlineStr">
        <is>
          <t>Annual review with MOH patient safety incidents data</t>
        </is>
      </c>
      <c r="U364" s="25" t="inlineStr">
        <is>
          <t>CURRENT — 2024 version</t>
        </is>
      </c>
      <c r="V364" s="70" t="inlineStr">
        <is>
          <t>MOH corrective action order; facility licence conditions; public safety alert; criminal liability for gross negligence</t>
        </is>
      </c>
      <c r="W364" s="72" t="inlineStr">
        <is>
          <t>MOH — Patient Safety Centre; regional health cluster inspection; CBAHI (patient safety standards embedded in accreditation)</t>
        </is>
      </c>
      <c r="X364" s="70" t="inlineStr">
        <is>
          <t>Hospital; Clinic; Government Health Entity</t>
        </is>
      </c>
      <c r="Y364" s="22" t="inlineStr">
        <is>
          <t>Both</t>
        </is>
      </c>
      <c r="Z364" s="70" t="inlineStr">
        <is>
          <t>Annual MOH patient safety inspection; CBAHI survey (integrated); incident investigation</t>
        </is>
      </c>
      <c r="AA364" s="71" t="inlineStr">
        <is>
          <t>Annual; triggered by serious adverse event</t>
        </is>
      </c>
      <c r="AB364" s="70" t="inlineStr">
        <is>
          <t>14 (alarm fatigue management for IoMT devices; connected infusion pump safety; IV smart pump drug library governance; patient ID for IoMT devices; device failure response procedures; remote monitoring alert management)</t>
        </is>
      </c>
      <c r="AC364" s="70" t="inlineStr">
        <is>
          <t>WHO Patient Safety Challenges (Global Patient Safety Action Plan 2021-2030); JCI Patient Safety Goals; The Joint Commission NPSG</t>
        </is>
      </c>
      <c r="AD364" s="49" t="inlineStr">
        <is>
          <t>Arabic (primary); English reference</t>
        </is>
      </c>
      <c r="AE364" s="26" t="inlineStr">
        <is>
          <t>Layer 1: Governance; Layer 4: Compliance</t>
        </is>
      </c>
      <c r="AF364" s="27" t="inlineStr">
        <is>
          <t>Yes — patient safety maturity levels (Safety-I to Safety-III); MOH tracks facility scores</t>
        </is>
      </c>
      <c r="AG364" s="70" t="inlineStr">
        <is>
          <t>HSTP patient safety; Vision 2030 quality targets; National Patient Safety Centre</t>
        </is>
      </c>
      <c r="AH364" s="70" t="inlineStr">
        <is>
          <t>Incident reporting system data; patient safety walkround records; fall prevention audit; medication safety audit; CBAHI patient safety standards compliance</t>
        </is>
      </c>
      <c r="AI364" s="73" t="inlineStr">
        <is>
          <t>Institutional theory and regulatory governance theory underpin all KSA regulatory frameworks. Specific theoretical basis varies by framework — consult academic literature via Google Scholar using framework name as search term.</t>
        </is>
      </c>
      <c r="AJ364" s="70" t="inlineStr">
        <is>
          <t>Academic debate varies by framework maturity and international adoption. For KSA-specific debate, consult: Almohammad &amp; Wills (2021) J Cybersecurity; Al-Khater et al. (2020) IEEE Access; Baker McKenzie KSA regulatory updates.</t>
        </is>
      </c>
      <c r="AK364" s="74" t="inlineStr">
        <is>
          <t>Known criticisms include: implementation gap between standards and practice; resource constraints for smaller healthcare entities; rapid technology evolution outpacing regulation. Consult framework evaluation literature for specifics.</t>
        </is>
      </c>
      <c r="AL364" s="75" t="inlineStr">
        <is>
          <t>Framework comparison requires contextual analysis. Key comparators: NIST CSF 2.0 (international benchmark), ISO 27001 (certifiable standard), ECC-2 (KSA mandatory baseline). See main database for cross-framework mapping.</t>
        </is>
      </c>
      <c r="AM364"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64" s="50" t="inlineStr">
        <is>
          <t>Official: Consult the official source URL in the database for the primary document. Training: ISACA, ISC2, RAPS, IAPP, and HIMSS offer professional development covering most regulatory domains. Estimated hours vary by framework complexity.</t>
        </is>
      </c>
      <c r="AO364" s="77" t="inlineStr">
        <is>
          <t>Relevance to GH-ICGA framework varies by layer — see GH-ICGA Layer Mapping column. All KSA mandatory frameworks are compliance inputs to GH-ICGA Layer 4. Frameworks with IoMT-specific provisions directly inform Layers 2 and 3.</t>
        </is>
      </c>
      <c r="AP364" s="51" t="inlineStr">
        <is>
          <t>G + C (Governance + Compliance — standard regulatory framework positioning)</t>
        </is>
      </c>
      <c r="AQ364" s="78" t="inlineStr">
        <is>
          <t>Senior management: accountability for framework compliance. Designated compliance officer: monitor requirements. All staff: awareness of applicable obligations</t>
        </is>
      </c>
      <c r="AR364" s="74" t="inlineStr">
        <is>
          <t>Regulatory Risk; Operational Risk; Reputational Risk — specific domains determined by framework scope</t>
        </is>
      </c>
      <c r="AS364" s="22" t="inlineStr">
        <is>
          <t>See official source — legal obligation, regulatory requirement, or voluntary standard as applicable</t>
        </is>
      </c>
      <c r="AT364" s="75" t="inlineStr">
        <is>
          <t>Administrative; Technical; Operational — specific distribution determined by framework content</t>
        </is>
      </c>
      <c r="AU364" s="79" t="inlineStr">
        <is>
          <t>1. Compliance status (compliant/non-compliant). 2. # open findings from last assessment. 3. % controls implemented. 4. Time to remediate findings. 5. Incident rate in framework scope area</t>
        </is>
      </c>
      <c r="AV364" s="80" t="inlineStr">
        <is>
          <t>Self-assessment; internal audit; external assessment as specified by issuing authority</t>
        </is>
      </c>
      <c r="AW364" s="81" t="inlineStr">
        <is>
          <t>ServiceNow GRC; IBM OpenPages; RSA Archer; MetricStream — all major GRC platforms support custom framework import. Contact vendor for framework-specific module</t>
        </is>
      </c>
      <c r="AX364" s="82" t="inlineStr">
        <is>
          <t>Third parties in scope must demonstrate equivalent compliance. Contractual compliance obligations; right-to-audit clauses; annual third-party assessment</t>
        </is>
      </c>
      <c r="AY364" s="83" t="inlineStr">
        <is>
          <t>Non-compliance: regulatory action by issuing authority; fines and penalties as specified; operational and reputational consequences</t>
        </is>
      </c>
      <c r="AZ364" s="80" t="inlineStr">
        <is>
          <t>Healthcare &amp; Life Sciences</t>
        </is>
      </c>
      <c r="BA364" s="41" t="inlineStr">
        <is>
          <t>Sector-Specific</t>
        </is>
      </c>
      <c r="BB364" s="591">
        <f>IF(E364="","",IF(ISNUMBER(SEARCH("Institutional theory and regulatory governance theory underpin",AI364)),"TEMPLATE",IF(LEN(AI364)&gt;100,"DEEP",IF(AI364="","SPARSE","SHALLOW"))))</f>
        <v/>
      </c>
      <c r="BC364" s="591">
        <f>IF(E364="","",D364&amp;"-"&amp;B364&amp;"-"&amp;E364)</f>
        <v/>
      </c>
      <c r="BD364" s="591">
        <f>IF(E364="","",SUBSTITUTE(SUBSTITUTE(B364&amp;"-"&amp;E364," ",""),":","-"))</f>
        <v/>
      </c>
      <c r="BE364" s="591">
        <f>IF(E364="","",IF(ISNUMBER(SEARCH("ECC",E364)),"NCA-ECC-2-2024",IF(ISNUMBER(SEARCH("OTCC",E364)),"NCA-ECC-2-2024",IF(ISNUMBER(SEARCH("CCC",E364)),"NCA-ECC-2-2024",IF(ISNUMBER(SEARCH("DCC",E364)),"NCA-ECC-2-2024",IF(ISNUMBER(SEARCH("CSCC",E364)),"NCA-ECC-2-2024",IF(ISNUMBER(SEARCH("PDPL-IR",E364)),"PDPL-2021",IF(ISNUMBER(SEARCH("PDPL-DTR",E364)),"PDPL-2021","NONE"))))))))</f>
        <v/>
      </c>
      <c r="BF364" s="594">
        <f>IF(E364="","",IF(BB364="DEEP",10,IF(BB364="SHALLOW",5,IF(BB364="TEMPLATE",3,1)))+IF(N364="HIGHEST",5,IF(N364="HIGH",3,IF(N364="MODERATE",1,0)))+IF(ISNUMBER(SEARCH("Mandatory",L364)),3,0))</f>
        <v/>
      </c>
    </row>
    <row r="365" ht="42" customHeight="1">
      <c r="A365" s="42" t="n">
        <v>316</v>
      </c>
      <c r="B365" s="412" t="inlineStr">
        <is>
          <t>RHC1</t>
        </is>
      </c>
      <c r="C365" s="44" t="inlineStr">
        <is>
          <t>Riyadh Health Cluster 1</t>
        </is>
      </c>
      <c r="D365" s="44" t="inlineStr">
        <is>
          <t>17. Regional Health Clusters</t>
        </is>
      </c>
      <c r="E365" s="412" t="inlineStr">
        <is>
          <t>MOH-PR</t>
        </is>
      </c>
      <c r="F365" s="45" t="inlineStr">
        <is>
          <t>Patient Rights Charter</t>
        </is>
      </c>
      <c r="G365" s="44" t="inlineStr">
        <is>
          <t>ميثاق حقوق المريض</t>
        </is>
      </c>
      <c r="H365" s="44" t="inlineStr">
        <is>
          <t>2019</t>
        </is>
      </c>
      <c r="I365" s="46" t="inlineStr">
        <is>
          <t>2012</t>
        </is>
      </c>
      <c r="J365" s="46" t="inlineStr">
        <is>
          <t>45</t>
        </is>
      </c>
      <c r="K365" s="44" t="inlineStr">
        <is>
          <t>MUST COMPLY WITH</t>
        </is>
      </c>
      <c r="L365" s="66" t="inlineStr">
        <is>
          <t>Mandatory Complier</t>
        </is>
      </c>
      <c r="M365" s="44" t="inlineStr">
        <is>
          <t>Riyadh Health Cluster 1 facilities</t>
        </is>
      </c>
      <c r="N365" s="54" t="inlineStr">
        <is>
          <t>HIGH</t>
        </is>
      </c>
      <c r="O365" s="48" t="inlineStr">
        <is>
          <t>https://www.moh.gov.sa/en/</t>
        </is>
      </c>
      <c r="P365" s="44" t="inlineStr">
        <is>
          <t>MOH official</t>
        </is>
      </c>
      <c r="Q365" s="70" t="inlineStr">
        <is>
          <t>First Charter ~2012 → updated 2019</t>
        </is>
      </c>
      <c r="R365" s="70" t="inlineStr">
        <is>
          <t>45 rights and obligations. Key provisions: informed consent (including electronic consent for telemedicine), right to access medical records (digital access through NABIDH patient portal), right to privacy of health information, right to refuse treatment, right to second opinion. 2019 update added digital health rights (right to data portability from health apps)</t>
        </is>
      </c>
      <c r="S365" s="71" t="inlineStr">
        <is>
          <t>First: ~2012. Updated: 2019</t>
        </is>
      </c>
      <c r="T365" s="70" t="inlineStr">
        <is>
          <t>Review 2024-2025 expected to add AI/algorithmic transparency rights</t>
        </is>
      </c>
      <c r="U365" s="25" t="inlineStr">
        <is>
          <t>CURRENT — 2019 version</t>
        </is>
      </c>
      <c r="V365" s="70" t="inlineStr">
        <is>
          <t>Penalties defined by issuing authority; consult official source. NCA ECC-2 penalties apply if relevant</t>
        </is>
      </c>
      <c r="W365" s="72" t="inlineStr">
        <is>
          <t>Issuing authority and/or designated inspection department</t>
        </is>
      </c>
      <c r="X365" s="70" t="inlineStr">
        <is>
          <t>As specified in framework scope — consult official document</t>
        </is>
      </c>
      <c r="Y365" s="49" t="inlineStr">
        <is>
          <t>Both (unless specified otherwise in official document)</t>
        </is>
      </c>
      <c r="Z365" s="70" t="inlineStr">
        <is>
          <t>As defined by issuing authority</t>
        </is>
      </c>
      <c r="AA365" s="71" t="inlineStr">
        <is>
          <t>As defined by issuing authority</t>
        </is>
      </c>
      <c r="AB365" s="70" t="inlineStr">
        <is>
          <t>To be determined from framework text — see official source</t>
        </is>
      </c>
      <c r="AC365" s="70" t="inlineStr">
        <is>
          <t>See framework preamble for international standard references</t>
        </is>
      </c>
      <c r="AD365" s="49" t="inlineStr">
        <is>
          <t>Arabic (primary in KSA); English may be available</t>
        </is>
      </c>
      <c r="AE365" s="58" t="inlineStr">
        <is>
          <t>Mapped to relevant GH-ICGA layer — requires manual assessment</t>
        </is>
      </c>
      <c r="AF365" s="56" t="inlineStr">
        <is>
          <t>See official framework for maturity model details</t>
        </is>
      </c>
      <c r="AG365" s="70" t="inlineStr">
        <is>
          <t>Aligned with relevant Vision 2030 programme — see framework context</t>
        </is>
      </c>
      <c r="AH365" s="70" t="inlineStr">
        <is>
          <t>As specified in framework compliance requirements</t>
        </is>
      </c>
      <c r="AI365" s="73" t="inlineStr">
        <is>
          <t>Institutional theory and regulatory governance theory underpin all KSA regulatory frameworks. Specific theoretical basis varies by framework — consult academic literature via Google Scholar using framework name as search term.</t>
        </is>
      </c>
      <c r="AJ365" s="70" t="inlineStr">
        <is>
          <t>Academic debate varies by framework maturity and international adoption. For KSA-specific debate, consult: Almohammad &amp; Wills (2021) J Cybersecurity; Al-Khater et al. (2020) IEEE Access; Baker McKenzie KSA regulatory updates.</t>
        </is>
      </c>
      <c r="AK365" s="74" t="inlineStr">
        <is>
          <t>Known criticisms include: implementation gap between standards and practice; resource constraints for smaller healthcare entities; rapid technology evolution outpacing regulation. Consult framework evaluation literature for specifics.</t>
        </is>
      </c>
      <c r="AL365" s="75" t="inlineStr">
        <is>
          <t>Framework comparison requires contextual analysis. Key comparators: NIST CSF 2.0 (international benchmark), ISO 27001 (certifiable standard), ECC-2 (KSA mandatory baseline). See main database for cross-framework mapping.</t>
        </is>
      </c>
      <c r="AM365"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65" s="50" t="inlineStr">
        <is>
          <t>Official: Consult the official source URL in the database for the primary document. Training: ISACA, ISC2, RAPS, IAPP, and HIMSS offer professional development covering most regulatory domains. Estimated hours vary by framework complexity.</t>
        </is>
      </c>
      <c r="AO365" s="77" t="inlineStr">
        <is>
          <t>Relevance to GH-ICGA framework varies by layer — see GH-ICGA Layer Mapping column. All KSA mandatory frameworks are compliance inputs to GH-ICGA Layer 4. Frameworks with IoMT-specific provisions directly inform Layers 2 and 3.</t>
        </is>
      </c>
      <c r="AP365" s="51" t="inlineStr">
        <is>
          <t>G + C (Governance + Compliance — standard regulatory framework positioning)</t>
        </is>
      </c>
      <c r="AQ365" s="78" t="inlineStr">
        <is>
          <t>Senior management: accountability for framework compliance. Designated compliance officer: monitor requirements. All staff: awareness of applicable obligations</t>
        </is>
      </c>
      <c r="AR365" s="74" t="inlineStr">
        <is>
          <t>Regulatory Risk; Operational Risk; Reputational Risk — specific domains determined by framework scope</t>
        </is>
      </c>
      <c r="AS365" s="22" t="inlineStr">
        <is>
          <t>See official source — legal obligation, regulatory requirement, or voluntary standard as applicable</t>
        </is>
      </c>
      <c r="AT365" s="75" t="inlineStr">
        <is>
          <t>Administrative; Technical; Operational — specific distribution determined by framework content</t>
        </is>
      </c>
      <c r="AU365" s="79" t="inlineStr">
        <is>
          <t>1. Compliance status (compliant/non-compliant). 2. # open findings from last assessment. 3. % controls implemented. 4. Time to remediate findings. 5. Incident rate in framework scope area</t>
        </is>
      </c>
      <c r="AV365" s="80" t="inlineStr">
        <is>
          <t>Self-assessment; internal audit; external assessment as specified by issuing authority</t>
        </is>
      </c>
      <c r="AW365" s="81" t="inlineStr">
        <is>
          <t>ServiceNow GRC; IBM OpenPages; RSA Archer; MetricStream — all major GRC platforms support custom framework import. Contact vendor for framework-specific module</t>
        </is>
      </c>
      <c r="AX365" s="82" t="inlineStr">
        <is>
          <t>Third parties in scope must demonstrate equivalent compliance. Contractual compliance obligations; right-to-audit clauses; annual third-party assessment</t>
        </is>
      </c>
      <c r="AY365" s="83" t="inlineStr">
        <is>
          <t>Non-compliance: regulatory action by issuing authority; fines and penalties as specified; operational and reputational consequences</t>
        </is>
      </c>
      <c r="AZ365" s="80" t="inlineStr">
        <is>
          <t>Healthcare &amp; Life Sciences</t>
        </is>
      </c>
      <c r="BA365" s="41" t="inlineStr">
        <is>
          <t>Sector-Specific</t>
        </is>
      </c>
      <c r="BB365" s="591">
        <f>IF(E365="","",IF(ISNUMBER(SEARCH("Institutional theory and regulatory governance theory underpin",AI365)),"TEMPLATE",IF(LEN(AI365)&gt;100,"DEEP",IF(AI365="","SPARSE","SHALLOW"))))</f>
        <v/>
      </c>
      <c r="BC365" s="591">
        <f>IF(E365="","",D365&amp;"-"&amp;B365&amp;"-"&amp;E365)</f>
        <v/>
      </c>
      <c r="BD365" s="591">
        <f>IF(E365="","",SUBSTITUTE(SUBSTITUTE(B365&amp;"-"&amp;E365," ",""),":","-"))</f>
        <v/>
      </c>
      <c r="BE365" s="591">
        <f>IF(E365="","",IF(ISNUMBER(SEARCH("ECC",E365)),"NCA-ECC-2-2024",IF(ISNUMBER(SEARCH("OTCC",E365)),"NCA-ECC-2-2024",IF(ISNUMBER(SEARCH("CCC",E365)),"NCA-ECC-2-2024",IF(ISNUMBER(SEARCH("DCC",E365)),"NCA-ECC-2-2024",IF(ISNUMBER(SEARCH("CSCC",E365)),"NCA-ECC-2-2024",IF(ISNUMBER(SEARCH("PDPL-IR",E365)),"PDPL-2021",IF(ISNUMBER(SEARCH("PDPL-DTR",E365)),"PDPL-2021","NONE"))))))))</f>
        <v/>
      </c>
      <c r="BF365" s="594">
        <f>IF(E365="","",IF(BB365="DEEP",10,IF(BB365="SHALLOW",5,IF(BB365="TEMPLATE",3,1)))+IF(N365="HIGHEST",5,IF(N365="HIGH",3,IF(N365="MODERATE",1,0)))+IF(ISNUMBER(SEARCH("Mandatory",L365)),3,0))</f>
        <v/>
      </c>
    </row>
    <row r="366" ht="42" customHeight="1">
      <c r="A366" s="84" t="n">
        <v>317</v>
      </c>
      <c r="B366" s="411" t="inlineStr">
        <is>
          <t>RHC1</t>
        </is>
      </c>
      <c r="C366" s="70" t="inlineStr">
        <is>
          <t>Riyadh Health Cluster 1</t>
        </is>
      </c>
      <c r="D366" s="70" t="inlineStr">
        <is>
          <t>17. Regional Health Clusters</t>
        </is>
      </c>
      <c r="E366" s="411" t="inlineStr">
        <is>
          <t>CBAHI-HAS-H</t>
        </is>
      </c>
      <c r="F366" s="72" t="inlineStr">
        <is>
          <t>Hospital Accreditation Standards</t>
        </is>
      </c>
      <c r="G366" s="70" t="inlineStr">
        <is>
          <t>معايير اعتماد المستشفيات</t>
        </is>
      </c>
      <c r="H366" s="70" t="inlineStr">
        <is>
          <t>5th Ed. 2021</t>
        </is>
      </c>
      <c r="I366" s="71" t="inlineStr">
        <is>
          <t>2008</t>
        </is>
      </c>
      <c r="J366" s="71" t="inlineStr">
        <is>
          <t>298</t>
        </is>
      </c>
      <c r="K366" s="70" t="inlineStr">
        <is>
          <t>MUST COMPLY WITH</t>
        </is>
      </c>
      <c r="L366" s="92" t="inlineStr">
        <is>
          <t>Voluntary</t>
        </is>
      </c>
      <c r="M366" s="70" t="inlineStr">
        <is>
          <t>Riyadh Health Cluster 1 hospitals pursuing CBAHI accreditation</t>
        </is>
      </c>
      <c r="N366" s="86" t="inlineStr">
        <is>
          <t>HIGHEST</t>
        </is>
      </c>
      <c r="O366" s="87" t="inlineStr">
        <is>
          <t>https://www.cbahi.gov.sa/</t>
        </is>
      </c>
      <c r="P366" s="70" t="inlineStr">
        <is>
          <t>CBAHI official</t>
        </is>
      </c>
      <c r="Q366" s="70" t="inlineStr">
        <is>
          <t>1st Ed 2008 → 2nd Ed 2011 → 3rd Ed 2014 → 4th Ed 2017 → 5th Ed 2021</t>
        </is>
      </c>
      <c r="R366" s="70" t="inlineStr">
        <is>
          <t>5th Edition (2021, current): 298 standards across domains including Patient and Family Rights, Patient Assessment, Care of Patients, Patient Safety, Medication Management, Infection Prevention, Facility Management, Staff Qualifications, Quality Improvement, Governance, HIT (Health Information Technology). HIT standards require EMR, NABIDH connectivity, access control, audit trails, downtime procedures. IoMT requirements added in 5th Ed: medical device integration standards, alarm management policy. Benchmarked against JCI standards</t>
        </is>
      </c>
      <c r="S366" s="71" t="inlineStr">
        <is>
          <t>1st Ed: 2008. 2nd: 2011. 3rd: 2014. 4th: 2017. 5th: 2021</t>
        </is>
      </c>
      <c r="T366" s="70" t="inlineStr">
        <is>
          <t>6th Edition expected 2025-2026</t>
        </is>
      </c>
      <c r="U366" s="25" t="inlineStr">
        <is>
          <t>CURRENT — 5th Edition 2021</t>
        </is>
      </c>
      <c r="V366" s="70" t="inlineStr">
        <is>
          <t>Accreditation denial; accreditation suspension; accreditation withdrawal; MOH facility licensing risk (accreditation linked to licensing in practice)</t>
        </is>
      </c>
      <c r="W366" s="72" t="inlineStr">
        <is>
          <t>CBAHI — Accreditation Survey Teams (peer surveyors); MOH recognises CBAHI as national accreditor</t>
        </is>
      </c>
      <c r="X366" s="70" t="inlineStr">
        <is>
          <t>Hospital (primary scope); Teaching Hospital; Specialist Centre</t>
        </is>
      </c>
      <c r="Y366" s="49" t="inlineStr">
        <is>
          <t>Both (voluntary but operationally required)</t>
        </is>
      </c>
      <c r="Z366" s="70" t="inlineStr">
        <is>
          <t>Full survey every 3 years; midterm (focused) survey at 18 months; unannounced visits; corrective action follow-up</t>
        </is>
      </c>
      <c r="AA366" s="71" t="inlineStr">
        <is>
          <t>Full survey: 3-year cycle. Midterm: 18 months. Unannounced: possible at any time</t>
        </is>
      </c>
      <c r="AB366" s="70" t="inlineStr">
        <is>
          <t>22 (HIT standards: medical device integration; alarm management policy mandatory; device maintenance logs; remote monitoring governance; downtime procedures; device inventory; cybersecurity of clinical systems as patient safety issue)</t>
        </is>
      </c>
      <c r="AC366" s="70" t="inlineStr">
        <is>
          <t>JCI (Joint Commission International) — benchmarked; ISQua (accreditation body accreditor); WHO Safe Hospitals Framework</t>
        </is>
      </c>
      <c r="AD366" s="22" t="inlineStr">
        <is>
          <t>Arabic + English (official bilingual)</t>
        </is>
      </c>
      <c r="AE366" s="26" t="inlineStr">
        <is>
          <t>Layer 1: Governance; Layer 4: Compliance; Layer 5: Assurance</t>
        </is>
      </c>
      <c r="AF366" s="27" t="inlineStr">
        <is>
          <t>Yes — Met / Partially Met / Not Met / Not Applicable per standard; overall accreditation decision = scored threshold</t>
        </is>
      </c>
      <c r="AG366" s="70" t="inlineStr">
        <is>
          <t>HSTP quality transformation; Vision 2030 healthcare quality targets (JCI/CBAHI accreditation for all tertiary hospitals)</t>
        </is>
      </c>
      <c r="AH366" s="70" t="inlineStr">
        <is>
          <t>Survey self-assessment; policy documentation; staff credential files; patient safety incident log; HIT system audit; quality improvement data; patient satisfaction scores</t>
        </is>
      </c>
      <c r="AI366" s="73" t="inlineStr">
        <is>
          <t>Healthcare quality theory (Donabedian 1988): structure-process-outcome triad. Accreditation theory: third-party external validation as quality assurance mechanism. Institutional isomorphism: accreditation spreads best practices through mimetic pressure. Patient safety culture theory (Reason 2000): systems-based safety vs blame culture.</t>
        </is>
      </c>
      <c r="AJ366" s="70" t="inlineStr">
        <is>
          <t>FOR: Almutairi et al. (2015) and Alkhenizan &amp; Shaw (2011) find CBAHI-accredited hospitals show measurable quality improvements; national benchmark grounded in Saudi context unlike JCI (US-centric); patient safety improvements documented post-accreditation. AGAINST: Voluntariness undermines universal coverage — only ~40% of KSA hospitals accredited (WHO PHSSR 2025); Greenfield &amp; Braithwaite (2008) meta-analysis questions causal link between accreditation and patient outcomes; survey preparation creates compliance-oriented behaviours rather than genuine quality improvement (gaming risk)</t>
        </is>
      </c>
      <c r="AK366" s="74" t="inlineStr">
        <is>
          <t>3-year survey cycle too long for rapid IoMT deployment environment; HIT standards in 5th Ed still less specific than HIMSS EMRAM Stage 6/7 requirements; cybersecurity standards within CBAHI remain minimal compared to NCA ECC-2 requirements; no dedicated IoMT governance chapter despite medical device proliferation; rural and small facility accreditation rates critically low</t>
        </is>
      </c>
      <c r="AL366" s="75" t="inlineStr">
        <is>
          <t>CBAHI vs JCI: JCI globally recognised; CBAHI nationally recognised — JCI preferred for medical tourism attracting hospitals. CBAHI vs HIMSS EMRAM: CBAHI is broad clinical; HIMSS EMRAM is digital health maturity-specific. CBAHI vs DNV: CBAHI similar survey model. CBAHI + HIMSS EMRAM combined = most comprehensive digital health quality picture for KSA hospitals</t>
        </is>
      </c>
      <c r="AM366" s="76" t="inlineStr">
        <is>
          <t>Alkhenizan A &amp; Shaw C (2011) 'Impact of Accreditation' Ann Saudi Med 31(4); Almutairi AF et al. (2015) 'Perceptions of CBAHI Accreditation' BMC Health Services Research; Donabedian A (1988) 'Quality of Care' JAMA 260(12); Greenfield D &amp; Braithwaite J (2008) 'Health Sector Accreditation Research' Int J Quality Health Care 20(3); WHO (2025) PHSSR Saudi Arabia</t>
        </is>
      </c>
      <c r="AN366" s="50" t="inlineStr">
        <is>
          <t>Official: CBAHI website (cbahi.gov.sa) — standards available to purchase. Training: CBAHI education programmes; surveyor training; CPHQ (Certified Professional in Healthcare Quality). Estimated: 60 hours for surveyors; 20 hours for department leads</t>
        </is>
      </c>
      <c r="AO366" s="77" t="inlineStr">
        <is>
          <t>GH-ICGA Layer 5 (Assurance) — CBAHI accreditation is the primary assurance mechanism for hospital IoMT governance. Thesis argument: CBAHI-HAS-H 5th Ed HIT standards need a cybersecurity annex for IoMT — GH-ICGA Layer 5 Assurance proposes an IoMT-specific evaluation framework that could be adopted within CBAHI survey process</t>
        </is>
      </c>
      <c r="AP366" s="51" t="inlineStr">
        <is>
          <t>G + C (Governance through quality standards + voluntary compliance assurance)</t>
        </is>
      </c>
      <c r="AQ366" s="78" t="inlineStr">
        <is>
          <t>CEO: accountable for accreditation status. CMO: responsible for clinical quality chapter compliance. CNO: responsible for nursing quality. Quality/Patient Safety Director: coordinates accreditation programme. Department heads: responsible for chapter compliance in their domain. Accreditation Committee: cross-functional governance body</t>
        </is>
      </c>
      <c r="AR366" s="74" t="inlineStr">
        <is>
          <t>Quality Risk; Patient Safety Risk; Operational Risk (accreditation loss = licensing risk); Reputational Risk; Regulatory Risk (MOH links accreditation to licensing in practice)</t>
        </is>
      </c>
      <c r="AS366" s="92" t="inlineStr">
        <is>
          <t>VOLUNTARY — but operationally MANDATORY (MOH licensing increasingly linked to CBAHI in practice; required for JCI-referencing hospitals and private insurance network participation)</t>
        </is>
      </c>
      <c r="AT366" s="75" t="inlineStr">
        <is>
          <t>Administrative (A): 150 controls — policies; procedures; governance; quality committees. Technical (T): 48 controls — HIT; equipment maintenance; diagnostic systems. Operational (O): 100 controls — clinical procedures; patient safety practices; staff competencies</t>
        </is>
      </c>
      <c r="AU366" s="79" t="inlineStr">
        <is>
          <t>1. CBAHI survey score per chapter (target ≥90% Met). 2. # sentinel events per 1,000 admissions. 3. Falls rate per 1,000 patient days. 4. Hospital-acquired infection rate. 5. Patient satisfaction score (target &gt;90%). 6. Medication error rate. 7. HIT compliance score (CBAHI HIT chapter)</t>
        </is>
      </c>
      <c r="AV366" s="80" t="inlineStr">
        <is>
          <t>CBAHI full survey (3-year cycle — 2-3 day on-site assessment); midterm survey (18 months — focused chapters); unannounced visit (possible any time); tracer methodology; document review; staff interviews; facility inspection</t>
        </is>
      </c>
      <c r="AW366" s="81" t="inlineStr">
        <is>
          <t>Accreditation Manager (CBAHI online platform); EQUIP (quality management platform); PowerDMS; Quantros; Press Ganey (patient satisfaction); Meditech/Epic quality modules; RL6 (incident reporting)</t>
        </is>
      </c>
      <c r="AX366" s="82" t="inlineStr">
        <is>
          <t>Contractors and service providers in clinical areas must meet CBAHI competency requirements; credentialing of contracted physicians required; outsourced services (laundry, catering, security) must meet CBAHI environment chapter standards; medical device vendors: CBAHI biomedical equipment requirements</t>
        </is>
      </c>
      <c r="AY366" s="83" t="inlineStr">
        <is>
          <t>Accreditation denial: cannot be MOH referral centre; excluded from major insurance networks; reputational damage. Accreditation suspension: immediate revenue impact from insurance exclusion. MOH can condition facility licence on CBAHI compliance</t>
        </is>
      </c>
      <c r="AZ366" s="80" t="inlineStr">
        <is>
          <t>Healthcare &amp; Life Sciences</t>
        </is>
      </c>
      <c r="BA366" s="41" t="inlineStr">
        <is>
          <t>Sector-Specific</t>
        </is>
      </c>
      <c r="BB366" s="591">
        <f>IF(E366="","",IF(ISNUMBER(SEARCH("Institutional theory and regulatory governance theory underpin",AI366)),"TEMPLATE",IF(LEN(AI366)&gt;100,"DEEP",IF(AI366="","SPARSE","SHALLOW"))))</f>
        <v/>
      </c>
      <c r="BC366" s="591">
        <f>IF(E366="","",D366&amp;"-"&amp;B366&amp;"-"&amp;E366)</f>
        <v/>
      </c>
      <c r="BD366" s="591">
        <f>IF(E366="","",SUBSTITUTE(SUBSTITUTE(B366&amp;"-"&amp;E366," ",""),":","-"))</f>
        <v/>
      </c>
      <c r="BE366" s="591">
        <f>IF(E366="","",IF(ISNUMBER(SEARCH("ECC",E366)),"NCA-ECC-2-2024",IF(ISNUMBER(SEARCH("OTCC",E366)),"NCA-ECC-2-2024",IF(ISNUMBER(SEARCH("CCC",E366)),"NCA-ECC-2-2024",IF(ISNUMBER(SEARCH("DCC",E366)),"NCA-ECC-2-2024",IF(ISNUMBER(SEARCH("CSCC",E366)),"NCA-ECC-2-2024",IF(ISNUMBER(SEARCH("PDPL-IR",E366)),"PDPL-2021",IF(ISNUMBER(SEARCH("PDPL-DTR",E366)),"PDPL-2021","NONE"))))))))</f>
        <v/>
      </c>
      <c r="BF366" s="594">
        <f>IF(E366="","",IF(BB366="DEEP",10,IF(BB366="SHALLOW",5,IF(BB366="TEMPLATE",3,1)))+IF(N366="HIGHEST",5,IF(N366="HIGH",3,IF(N366="MODERATE",1,0)))+IF(ISNUMBER(SEARCH("Mandatory",L366)),3,0))</f>
        <v/>
      </c>
    </row>
    <row r="367" ht="42" customHeight="1">
      <c r="A367" s="42" t="n">
        <v>318</v>
      </c>
      <c r="B367" s="412" t="inlineStr">
        <is>
          <t>RHC1</t>
        </is>
      </c>
      <c r="C367" s="44" t="inlineStr">
        <is>
          <t>Riyadh Health Cluster 1</t>
        </is>
      </c>
      <c r="D367" s="44" t="inlineStr">
        <is>
          <t>17. Regional Health Clusters</t>
        </is>
      </c>
      <c r="E367" s="412" t="inlineStr">
        <is>
          <t>NCA-ECC-2:2024</t>
        </is>
      </c>
      <c r="F367" s="45" t="inlineStr">
        <is>
          <t>Essential Cybersecurity Controls</t>
        </is>
      </c>
      <c r="G367" s="44" t="inlineStr">
        <is>
          <t>ضوابط الأمن السيبراني الأساسية</t>
        </is>
      </c>
      <c r="H367" s="44" t="inlineStr">
        <is>
          <t>ECC-2:2024</t>
        </is>
      </c>
      <c r="I367" s="46" t="inlineStr">
        <is>
          <t>2018</t>
        </is>
      </c>
      <c r="J367" s="46" t="inlineStr">
        <is>
          <t>108</t>
        </is>
      </c>
      <c r="K367" s="44" t="inlineStr">
        <is>
          <t>MUST COMPLY WITH</t>
        </is>
      </c>
      <c r="L367" s="66" t="inlineStr">
        <is>
          <t>Mandatory Complier</t>
        </is>
      </c>
      <c r="M367" s="44" t="inlineStr">
        <is>
          <t>Riyadh Health Cluster 1 as government entity — hospital networks</t>
        </is>
      </c>
      <c r="N367" s="47" t="inlineStr">
        <is>
          <t>HIGHEST</t>
        </is>
      </c>
      <c r="O367" s="48" t="inlineStr">
        <is>
          <t>https://nca.gov.sa/</t>
        </is>
      </c>
      <c r="P367" s="44" t="inlineStr">
        <is>
          <t>NCA ECC scope</t>
        </is>
      </c>
      <c r="Q367" s="70" t="inlineStr">
        <is>
          <t>See official source for version history</t>
        </is>
      </c>
      <c r="R367" s="70" t="inlineStr">
        <is>
          <t>Framework issued by the relevant authority. Version details available on the official website referenced in the source URL column. The framework has been updated periodically since first issuance.</t>
        </is>
      </c>
      <c r="S367" s="71" t="inlineStr">
        <is>
          <t>See official source</t>
        </is>
      </c>
      <c r="T367" s="70" t="inlineStr">
        <is>
          <t>Updated as needed by the issuing authority</t>
        </is>
      </c>
      <c r="U367" s="25" t="inlineStr">
        <is>
          <t>CURRENT — consult official source for latest version</t>
        </is>
      </c>
      <c r="V367" s="70" t="inlineStr">
        <is>
          <t>Penalties defined by issuing authority; consult official source. NCA ECC-2 penalties apply if relevant</t>
        </is>
      </c>
      <c r="W367" s="72" t="inlineStr">
        <is>
          <t>Issuing authority and/or designated inspection department</t>
        </is>
      </c>
      <c r="X367" s="70" t="inlineStr">
        <is>
          <t>As specified in framework scope — consult official document</t>
        </is>
      </c>
      <c r="Y367" s="49" t="inlineStr">
        <is>
          <t>Both (unless specified otherwise in official document)</t>
        </is>
      </c>
      <c r="Z367" s="70" t="inlineStr">
        <is>
          <t>As defined by issuing authority</t>
        </is>
      </c>
      <c r="AA367" s="71" t="inlineStr">
        <is>
          <t>As defined by issuing authority</t>
        </is>
      </c>
      <c r="AB367" s="70" t="inlineStr">
        <is>
          <t>To be determined from framework text — see official source</t>
        </is>
      </c>
      <c r="AC367" s="70" t="inlineStr">
        <is>
          <t>See framework preamble for international standard references</t>
        </is>
      </c>
      <c r="AD367" s="49" t="inlineStr">
        <is>
          <t>Arabic (primary in KSA); English may be available</t>
        </is>
      </c>
      <c r="AE367" s="58" t="inlineStr">
        <is>
          <t>Mapped to relevant GH-ICGA layer — requires manual assessment</t>
        </is>
      </c>
      <c r="AF367" s="56" t="inlineStr">
        <is>
          <t>See official framework for maturity model details</t>
        </is>
      </c>
      <c r="AG367" s="70" t="inlineStr">
        <is>
          <t>Aligned with relevant Vision 2030 programme — see framework context</t>
        </is>
      </c>
      <c r="AH367" s="70" t="inlineStr">
        <is>
          <t>As specified in framework compliance requirements</t>
        </is>
      </c>
      <c r="AI367" s="73" t="inlineStr">
        <is>
          <t>Institutional theory and regulatory governance theory underpin all KSA regulatory frameworks. Specific theoretical basis varies by framework — consult academic literature via Google Scholar using framework name as search term.</t>
        </is>
      </c>
      <c r="AJ367" s="70" t="inlineStr">
        <is>
          <t>Academic debate varies by framework maturity and international adoption. For KSA-specific debate, consult: Almohammad &amp; Wills (2021) J Cybersecurity; Al-Khater et al. (2020) IEEE Access; Baker McKenzie KSA regulatory updates.</t>
        </is>
      </c>
      <c r="AK367" s="74" t="inlineStr">
        <is>
          <t>Known criticisms include: implementation gap between standards and practice; resource constraints for smaller healthcare entities; rapid technology evolution outpacing regulation. Consult framework evaluation literature for specifics.</t>
        </is>
      </c>
      <c r="AL367" s="75" t="inlineStr">
        <is>
          <t>Framework comparison requires contextual analysis. Key comparators: NIST CSF 2.0 (international benchmark), ISO 27001 (certifiable standard), ECC-2 (KSA mandatory baseline). See main database for cross-framework mapping.</t>
        </is>
      </c>
      <c r="AM367"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67" s="50" t="inlineStr">
        <is>
          <t>Official: Consult the official source URL in the database for the primary document. Training: ISACA, ISC2, RAPS, IAPP, and HIMSS offer professional development covering most regulatory domains. Estimated hours vary by framework complexity.</t>
        </is>
      </c>
      <c r="AO367" s="77" t="inlineStr">
        <is>
          <t>Relevance to GH-ICGA framework varies by layer — see GH-ICGA Layer Mapping column. All KSA mandatory frameworks are compliance inputs to GH-ICGA Layer 4. Frameworks with IoMT-specific provisions directly inform Layers 2 and 3.</t>
        </is>
      </c>
      <c r="AP367" s="51" t="inlineStr">
        <is>
          <t>G + C (Governance + Compliance — standard regulatory framework positioning)</t>
        </is>
      </c>
      <c r="AQ367" s="78" t="inlineStr">
        <is>
          <t>Senior management: accountability for framework compliance. Designated compliance officer: monitor requirements. All staff: awareness of applicable obligations</t>
        </is>
      </c>
      <c r="AR367" s="74" t="inlineStr">
        <is>
          <t>Regulatory Risk; Operational Risk; Reputational Risk — specific domains determined by framework scope</t>
        </is>
      </c>
      <c r="AS367" s="22" t="inlineStr">
        <is>
          <t>See official source — legal obligation, regulatory requirement, or voluntary standard as applicable</t>
        </is>
      </c>
      <c r="AT367" s="75" t="inlineStr">
        <is>
          <t>Administrative; Technical; Operational — specific distribution determined by framework content</t>
        </is>
      </c>
      <c r="AU367" s="79" t="inlineStr">
        <is>
          <t>1. Compliance status (compliant/non-compliant). 2. # open findings from last assessment. 3. % controls implemented. 4. Time to remediate findings. 5. Incident rate in framework scope area</t>
        </is>
      </c>
      <c r="AV367" s="80" t="inlineStr">
        <is>
          <t>Self-assessment; internal audit; external assessment as specified by issuing authority</t>
        </is>
      </c>
      <c r="AW367" s="81" t="inlineStr">
        <is>
          <t>ServiceNow GRC; IBM OpenPages; RSA Archer; MetricStream — all major GRC platforms support custom framework import. Contact vendor for framework-specific module</t>
        </is>
      </c>
      <c r="AX367" s="82" t="inlineStr">
        <is>
          <t>Third parties in scope must demonstrate equivalent compliance. Contractual compliance obligations; right-to-audit clauses; annual third-party assessment</t>
        </is>
      </c>
      <c r="AY367" s="83" t="inlineStr">
        <is>
          <t>Non-compliance: regulatory action by issuing authority; fines and penalties as specified; operational and reputational consequences</t>
        </is>
      </c>
      <c r="AZ367" s="80" t="inlineStr">
        <is>
          <t>ALL 17 SECTORS</t>
        </is>
      </c>
      <c r="BA367" s="34" t="inlineStr">
        <is>
          <t>YES — ALL SECTORS</t>
        </is>
      </c>
      <c r="BB367" s="591">
        <f>IF(E367="","",IF(ISNUMBER(SEARCH("Institutional theory and regulatory governance theory underpin",AI367)),"TEMPLATE",IF(LEN(AI367)&gt;100,"DEEP",IF(AI367="","SPARSE","SHALLOW"))))</f>
        <v/>
      </c>
      <c r="BC367" s="591">
        <f>IF(E367="","",D367&amp;"-"&amp;B367&amp;"-"&amp;E367)</f>
        <v/>
      </c>
      <c r="BD367" s="591">
        <f>IF(E367="","",SUBSTITUTE(SUBSTITUTE(B367&amp;"-"&amp;E367," ",""),":","-"))</f>
        <v/>
      </c>
      <c r="BE367" s="591">
        <f>IF(E367="","",IF(ISNUMBER(SEARCH("ECC",E367)),"NCA-ECC-2-2024",IF(ISNUMBER(SEARCH("OTCC",E367)),"NCA-ECC-2-2024",IF(ISNUMBER(SEARCH("CCC",E367)),"NCA-ECC-2-2024",IF(ISNUMBER(SEARCH("DCC",E367)),"NCA-ECC-2-2024",IF(ISNUMBER(SEARCH("CSCC",E367)),"NCA-ECC-2-2024",IF(ISNUMBER(SEARCH("PDPL-IR",E367)),"PDPL-2021",IF(ISNUMBER(SEARCH("PDPL-DTR",E367)),"PDPL-2021","NONE"))))))))</f>
        <v/>
      </c>
      <c r="BF367" s="594">
        <f>IF(E367="","",IF(BB367="DEEP",10,IF(BB367="SHALLOW",5,IF(BB367="TEMPLATE",3,1)))+IF(N367="HIGHEST",5,IF(N367="HIGH",3,IF(N367="MODERATE",1,0)))+IF(ISNUMBER(SEARCH("Mandatory",L367)),3,0))</f>
        <v/>
      </c>
    </row>
    <row r="368" ht="42" customHeight="1">
      <c r="A368" s="84" t="n">
        <v>319</v>
      </c>
      <c r="B368" s="411" t="inlineStr">
        <is>
          <t>RHC1</t>
        </is>
      </c>
      <c r="C368" s="70" t="inlineStr">
        <is>
          <t>Riyadh Health Cluster 1</t>
        </is>
      </c>
      <c r="D368" s="70" t="inlineStr">
        <is>
          <t>17. Regional Health Clusters</t>
        </is>
      </c>
      <c r="E368" s="411" t="inlineStr">
        <is>
          <t>PDPL-2021</t>
        </is>
      </c>
      <c r="F368" s="72" t="inlineStr">
        <is>
          <t>Personal Data Protection Law</t>
        </is>
      </c>
      <c r="G368" s="70" t="inlineStr">
        <is>
          <t>نظام حماية البيانات الشخصية</t>
        </is>
      </c>
      <c r="H368" s="70" t="inlineStr">
        <is>
          <t>2021+IR 2023</t>
        </is>
      </c>
      <c r="I368" s="71" t="inlineStr">
        <is>
          <t>2021</t>
        </is>
      </c>
      <c r="J368" s="71" t="inlineStr">
        <is>
          <t>45</t>
        </is>
      </c>
      <c r="K368" s="70" t="inlineStr">
        <is>
          <t>MUST COMPLY WITH</t>
        </is>
      </c>
      <c r="L368" s="66" t="inlineStr">
        <is>
          <t>Mandatory Complier</t>
        </is>
      </c>
      <c r="M368" s="70" t="inlineStr">
        <is>
          <t>Riyadh Health Cluster 1 processes patient personal data</t>
        </is>
      </c>
      <c r="N368" s="86" t="inlineStr">
        <is>
          <t>HIGHEST</t>
        </is>
      </c>
      <c r="O368" s="87" t="inlineStr">
        <is>
          <t>https://sdaia.gov.sa/</t>
        </is>
      </c>
      <c r="P368" s="70" t="inlineStr">
        <is>
          <t>SDAIA</t>
        </is>
      </c>
      <c r="Q368" s="70" t="inlineStr">
        <is>
          <t>Royal Decree M/19 (16 Sep 2021) → amended Apr 2023</t>
        </is>
      </c>
      <c r="R368" s="70" t="inlineStr">
        <is>
          <t>Original (2021): 19 articles covering consent, data subject rights, controller obligations, sensitive data (health = sensitive), cross-border transfer. Apr 2023 amendment: strengthened enforcement, clarified health data provisions, aligned with PDPL-IR-2023. Grace period for compliance ended Sep 14, 2024. Penalties: up to SAR 5 million fine + 2 years imprisonment for sensitive data breach</t>
        </is>
      </c>
      <c r="S368" s="71" t="inlineStr">
        <is>
          <t>Issued: Sep 2021. Amended: Apr 2023. Fully enforceable: Sep 14, 2024</t>
        </is>
      </c>
      <c r="T368" s="70" t="inlineStr">
        <is>
          <t>SDAIA reviews annually; amendments expected 2025-2026</t>
        </is>
      </c>
      <c r="U368" s="25" t="inlineStr">
        <is>
          <t>CURRENT — fully enforceable since Sep 2024</t>
        </is>
      </c>
      <c r="V368" s="70" t="inlineStr">
        <is>
          <t>Criminal offence: up to 2 years imprisonment + SAR 3M fine for disclosing sensitive data (health data = sensitive); administrative fine up to SAR 5M; mandatory breach notification to SDAIA within 72 hours; data subject compensation claims</t>
        </is>
      </c>
      <c r="W368" s="72" t="inlineStr">
        <is>
          <t>SDAIA — Data Protection Authority (DPA functions); NDMO for government entities; courts for criminal penalties</t>
        </is>
      </c>
      <c r="X368" s="70" t="inlineStr">
        <is>
          <t>Hospital; Clinic; Lab; Pharmacy; Health IT Vendor; Health Insurer; Government Health Entity; Medical Device Manufacturer (all processing patient data)</t>
        </is>
      </c>
      <c r="Y368" s="49" t="inlineStr">
        <is>
          <t>Both + foreign entities processing data of KSA residents</t>
        </is>
      </c>
      <c r="Z368" s="70" t="inlineStr">
        <is>
          <t>SDAIA audit; controller self-assessment; DPO oversight; data subject complaints trigger investigation</t>
        </is>
      </c>
      <c r="AA368" s="71" t="inlineStr">
        <is>
          <t>Continuous (breach notification: 72 hours); annual DPO report; SDAIA random audits</t>
        </is>
      </c>
      <c r="AB368" s="70" t="inlineStr">
        <is>
          <t>12 (IoMT data minimisation; purpose limitation; consent management for wearable data; automated decision-making; data subject rights for IoMT-generated health data; cross-border transfer of IoMT data)</t>
        </is>
      </c>
      <c r="AC368" s="70" t="inlineStr">
        <is>
          <t>GDPR (substantial alignment — adequate protection basis); APEC Privacy Framework; ISO 29100; ISO 27701</t>
        </is>
      </c>
      <c r="AD368" s="49" t="inlineStr">
        <is>
          <t>Arabic (official); English translation (unofficial)</t>
        </is>
      </c>
      <c r="AE368" s="50" t="inlineStr">
        <is>
          <t>Layer 4: Compliance; Layer 2: Risk Management</t>
        </is>
      </c>
      <c r="AF368" s="60" t="inlineStr">
        <is>
          <t>No formal maturity model; SDAIA publishes compliance guidance</t>
        </is>
      </c>
      <c r="AG368" s="70" t="inlineStr">
        <is>
          <t>National Data Strategy; Vision 2030 Digital Economy; Digital Government transformation</t>
        </is>
      </c>
      <c r="AH368" s="70" t="inlineStr">
        <is>
          <t>Privacy notices; consent records; DPO appointment letter; data mapping/flow diagrams; breach notification records; DPIA for health data processing; controller registration</t>
        </is>
      </c>
      <c r="AI368" s="73" t="inlineStr">
        <is>
          <t>Privacy as fundamental right (Warren &amp; Brandeis 1890; Westin 1967). Contextual integrity theory (Nissenbaum 2004): health data flows must match medical context norms. Regulatory theory: data protection authority independence and enforcement. Information asymmetry theory: patients cannot protect their own data without regulation.</t>
        </is>
      </c>
      <c r="AJ368" s="70" t="inlineStr">
        <is>
          <t>FOR: Long-overdue — KSA had no comprehensive data protection law until 2021; health data explicitly protected as sensitive category; aligns KSA with global adequacy standards. AGAINST: Alrawabdeh (2014) and Aldawood &amp; Skinner (2019) documented Saudi privacy culture gap — regulation without public awareness is ineffective; 'GDPR-lite' criticism: exemptions broader than GDPR, enforcement weaker; health data provisions in IR still less specific than UK GDPR Schedule 1 conditions</t>
        </is>
      </c>
      <c r="AK368" s="74" t="inlineStr">
        <is>
          <t>No independent supervisory authority (SDAIA is both promoter and regulator — conflict of interest noted by Baker McKenzie 2025); patient data portability rights weaker than GDPR Article 20; no explicit right to explanation for AI-automated health decisions; cross-border transfer rules changed twice in 12 months (regulatory instability); small healthcare providers lack capacity for DPO requirements</t>
        </is>
      </c>
      <c r="AL368" s="75" t="inlineStr">
        <is>
          <t>PDPL vs GDPR: PDPL penalty lower (SAR 5M vs €20M); PDPL broader government exemptions; GDPR has independent DPA, PDPL does not. PDPL vs HIPAA: PDPL = all personal data (broader); HIPAA = US-specific health data only. PDPL vs UK GDPR: PDPL misses explicit Schedule 1 health data conditions. PDPL ahead of HIPAA on consent granularity; behind GDPR on enforcement independence</t>
        </is>
      </c>
      <c r="AM368" s="76" t="inlineStr">
        <is>
          <t>Baker McKenzie (2025) Saudi Arabia PDPL Global Data &amp; Cyber Handbook; Alrawabdeh W (2014) 'Internet and Social Media Challenges in Arab World' EJSR; Westin AF (1967) Privacy and Freedom NY Atheneum; Nissenbaum H (2004) 'Privacy as Contextual Integrity' Washington Law Review 79(1); CMS Law (2025) Saudi Arabia Data Protection &amp; Cybersecurity Expert Guide Oct 2025</t>
        </is>
      </c>
      <c r="AN368" s="50" t="inlineStr">
        <is>
          <t>Official: SDAIA website (sdaia.gov.sa) — Arabic + English. Training: IAPP CIPM/CIPP/E (privacy certifications applicable); OneTrust PDPL compliance course; Baker McKenzie PDPL compliance guide. Language: Arabic primary — strong Arabic reading recommended. Estimated: 50 hours for health sector DPO competence</t>
        </is>
      </c>
      <c r="AO368" s="77" t="inlineStr">
        <is>
          <t>PRIMARY driver for GH-ICGA Layer 4 (Compliance) — PDPL is the legal foundation for patient data governance in the preliminary GH-ICGA framework. Thesis argument: GH-ICGA Layer 4 operationalises PDPL requirements into IoMT-specific controls (consent management for wearable data; purpose limitation for monitoring streams; breach response for connected device incidents)</t>
        </is>
      </c>
      <c r="AP368" s="51" t="inlineStr">
        <is>
          <t>G + C (Governance + Compliance — strong compliance driver; risk implicit)</t>
        </is>
      </c>
      <c r="AQ368" s="78" t="inlineStr">
        <is>
          <t>Board/CEO: ultimate accountability for PDPL compliance. DPO: mandatory for large-scale health data processors — reports to highest management level. Privacy Committee: cross-functional oversight. All staff processing personal data: mandatory privacy awareness training annually</t>
        </is>
      </c>
      <c r="AR368" s="74" t="inlineStr">
        <is>
          <t>Privacy Risk (PRIMARY); Legal/Regulatory Risk; Reputational Risk; Strategic Risk (data monetisation constraints); Cross-Border Risk (data transfer restrictions)</t>
        </is>
      </c>
      <c r="AS368" s="22" t="inlineStr">
        <is>
          <t>LEGAL — Royal Decree M/19 2021 + Implementing Regulations Sep 2023. Criminal: imprisonment up to 2 years + SAR 3M fine for sensitive data disclosure. Administrative: SAR 5M maximum fine. Civil: data subject compensation claims</t>
        </is>
      </c>
      <c r="AT368" s="75" t="inlineStr">
        <is>
          <t>Administrative (A): consent management; privacy notices; DPO appointment; DPIA process; breach notification procedure. Technical (T): data minimisation; pseudonymisation; access controls for personal data; encryption. Operational (O): data retention enforcement; data subject rights fulfilment process; cross-border transfer review</t>
        </is>
      </c>
      <c r="AU368" s="79" t="inlineStr">
        <is>
          <t>1. # data subject rights requests fulfilled on time (target: 100% within 30 days). 2. # data breaches notified to SDAIA within 72h (target: 100%). 3. % staff completed privacy training (target: 100%). 4. # DPIAs completed for high-risk processing activities. 5. Data retention compliance rate (% records within policy). 6. % third-party processors with DPA agreements</t>
        </is>
      </c>
      <c r="AV368" s="80" t="inlineStr">
        <is>
          <t>Annual DPIA review; data mapping audit (controller record validation); consent record audit; breach response simulation (tabletop); access control review for personal data systems; third-party processor audit; SDAIA compliance self-assessment</t>
        </is>
      </c>
      <c r="AW368" s="81" t="inlineStr">
        <is>
          <t>OneTrust (market leader for PDPL); TrustArc; Nymity; DataGrail; Varonis (data discovery); Microsoft Purview (data classification). SDAIA National Data Governance Platform for registration. Arabic-capable tools preferred</t>
        </is>
      </c>
      <c r="AX368" s="82" t="inlineStr">
        <is>
          <t>All third-party data processors must have Data Processing Agreement (DPA). Processors must demonstrate equivalent PDPL compliance. Cross-border transfers require adequacy assessment or appropriate safeguards. Sub-processor disclosure mandatory. Annual processor risk assessment required</t>
        </is>
      </c>
      <c r="AY368" s="83" t="inlineStr">
        <is>
          <t>Non-compliance: SAR 5M administrative fine; criminal prosecution for sensitive data breach; SDAIA investigation; mandatory breach public disclosure. Business disruption: SDAIA can order processing suspension. Reputational: patient trust damage. Market: EU adequate protection status depends on PDPL enforcement credibility</t>
        </is>
      </c>
      <c r="AZ368" s="80" t="inlineStr">
        <is>
          <t>ALL 17 SECTORS — any entity processing personal data</t>
        </is>
      </c>
      <c r="BA368" s="34" t="inlineStr">
        <is>
          <t>YES — ALL SECTORS</t>
        </is>
      </c>
      <c r="BB368" s="591">
        <f>IF(E368="","",IF(ISNUMBER(SEARCH("Institutional theory and regulatory governance theory underpin",AI368)),"TEMPLATE",IF(LEN(AI368)&gt;100,"DEEP",IF(AI368="","SPARSE","SHALLOW"))))</f>
        <v/>
      </c>
      <c r="BC368" s="591">
        <f>IF(E368="","",D368&amp;"-"&amp;B368&amp;"-"&amp;E368)</f>
        <v/>
      </c>
      <c r="BD368" s="591">
        <f>IF(E368="","",SUBSTITUTE(SUBSTITUTE(B368&amp;"-"&amp;E368," ",""),":","-"))</f>
        <v/>
      </c>
      <c r="BE368" s="591">
        <f>IF(E368="","",IF(ISNUMBER(SEARCH("ECC",E368)),"NCA-ECC-2-2024",IF(ISNUMBER(SEARCH("OTCC",E368)),"NCA-ECC-2-2024",IF(ISNUMBER(SEARCH("CCC",E368)),"NCA-ECC-2-2024",IF(ISNUMBER(SEARCH("DCC",E368)),"NCA-ECC-2-2024",IF(ISNUMBER(SEARCH("CSCC",E368)),"NCA-ECC-2-2024",IF(ISNUMBER(SEARCH("PDPL-IR",E368)),"PDPL-2021",IF(ISNUMBER(SEARCH("PDPL-DTR",E368)),"PDPL-2021","NONE"))))))))</f>
        <v/>
      </c>
      <c r="BF368" s="594">
        <f>IF(E368="","",IF(BB368="DEEP",10,IF(BB368="SHALLOW",5,IF(BB368="TEMPLATE",3,1)))+IF(N368="HIGHEST",5,IF(N368="HIGH",3,IF(N368="MODERATE",1,0)))+IF(ISNUMBER(SEARCH("Mandatory",L368)),3,0))</f>
        <v/>
      </c>
    </row>
    <row r="369" ht="42" customHeight="1">
      <c r="A369" s="42" t="n">
        <v>320</v>
      </c>
      <c r="B369" s="412" t="inlineStr">
        <is>
          <t>RHC1</t>
        </is>
      </c>
      <c r="C369" s="44" t="inlineStr">
        <is>
          <t>Riyadh Health Cluster 1</t>
        </is>
      </c>
      <c r="D369" s="44" t="inlineStr">
        <is>
          <t>17. Regional Health Clusters</t>
        </is>
      </c>
      <c r="E369" s="412" t="inlineStr">
        <is>
          <t>MOH-TELE</t>
        </is>
      </c>
      <c r="F369" s="45" t="inlineStr">
        <is>
          <t>Telemedicine Regulations</t>
        </is>
      </c>
      <c r="G369" s="44" t="inlineStr">
        <is>
          <t>لائحة الرعاية الصحية عن بعد</t>
        </is>
      </c>
      <c r="H369" s="44" t="inlineStr">
        <is>
          <t>Late 2023</t>
        </is>
      </c>
      <c r="I369" s="46" t="inlineStr">
        <is>
          <t>2020</t>
        </is>
      </c>
      <c r="J369" s="46" t="inlineStr">
        <is>
          <t>38</t>
        </is>
      </c>
      <c r="K369" s="44" t="inlineStr">
        <is>
          <t>MUST COMPLY WITH</t>
        </is>
      </c>
      <c r="L369" s="66" t="inlineStr">
        <is>
          <t>Mandatory Complier</t>
        </is>
      </c>
      <c r="M369" s="44" t="inlineStr">
        <is>
          <t>Riyadh Health Cluster 1 offering telemedicine services</t>
        </is>
      </c>
      <c r="N369" s="54" t="inlineStr">
        <is>
          <t>HIGH</t>
        </is>
      </c>
      <c r="O369" s="48" t="inlineStr">
        <is>
          <t>https://www.moh.gov.sa/en/</t>
        </is>
      </c>
      <c r="P369" s="44" t="inlineStr">
        <is>
          <t>MOH; Hammad &amp; Al-Mehdar 2025</t>
        </is>
      </c>
      <c r="Q369" s="70" t="inlineStr">
        <is>
          <t>COVID-19 emergency 2020 → comprehensive regulations late 2023</t>
        </is>
      </c>
      <c r="R369" s="70" t="inlineStr">
        <is>
          <t>2020 (emergency COVID telehealth rules): basic platform licensing, identity verification, audio/video minimum standards. Late 2023 (comprehensive update, 38 controls): platform licensing requirements; patient identity verification; cross-border telemedicine restrictions; controlled substance prescribing rules (limited); data protection (PDPL alignment); patient consent requirements; clinical documentation standards; coverage by health insurance; quality assurance audit requirements</t>
        </is>
      </c>
      <c r="S369" s="71" t="inlineStr">
        <is>
          <t>Emergency 2020. Comprehensive: late 2023</t>
        </is>
      </c>
      <c r="T369" s="70" t="inlineStr">
        <is>
          <t>Annual update; cross-border rules under active development 2025</t>
        </is>
      </c>
      <c r="U369" s="25" t="inlineStr">
        <is>
          <t>CURRENT — late 2023 comprehensive version</t>
        </is>
      </c>
      <c r="V369" s="70" t="inlineStr">
        <is>
          <t>Platform licence revocation; SAR 1M–5M fine (scale by offence); clinical professional disciplinary action by SCFHS</t>
        </is>
      </c>
      <c r="W369" s="72" t="inlineStr">
        <is>
          <t>MOH — eHealth General Directorate; CST (platform technical licensing); CCHI (insurance coverage compliance); SCFHS (clinical standards)</t>
        </is>
      </c>
      <c r="X369" s="70" t="inlineStr">
        <is>
          <t>Hospital (outpatient teleconsultation); Clinic; Health IT Vendor (platform developers); Health Insurer (reimbursement compliance)</t>
        </is>
      </c>
      <c r="Y369" s="22" t="inlineStr">
        <is>
          <t>Both</t>
        </is>
      </c>
      <c r="Z369" s="70" t="inlineStr">
        <is>
          <t>MOH platform licence audit (annual); CCHI insurance compliance check; SCFHS clinical quality audit</t>
        </is>
      </c>
      <c r="AA369" s="71" t="inlineStr">
        <is>
          <t>Annual licence renewal; random clinical quality audit</t>
        </is>
      </c>
      <c r="AB369" s="70" t="inlineStr">
        <is>
          <t>15 (remote patient monitoring integration; wearable device data for teleconsultation; IoMT vital sign display during video consultation; remote device prescription; teleICU monitoring requirements)</t>
        </is>
      </c>
      <c r="AC369" s="70" t="inlineStr">
        <is>
          <t>WHO Telemedicine Guidelines (2010/updated); ISO 13131:2021 (Telehealth); ATA (American Telemedicine Association) standards (reference)</t>
        </is>
      </c>
      <c r="AD369" s="49" t="inlineStr">
        <is>
          <t>Arabic (primary); English technical guidance</t>
        </is>
      </c>
      <c r="AE369" s="26" t="inlineStr">
        <is>
          <t>Layer 1: Governance; Layer 4: Compliance</t>
        </is>
      </c>
      <c r="AF369" s="60" t="inlineStr">
        <is>
          <t>No formal maturity model; licence tiers (basic/advanced platform)</t>
        </is>
      </c>
      <c r="AG369" s="70" t="inlineStr">
        <is>
          <t>HSTP telemedicine targets (30% uptake); SEHA Virtual Hospital; Vision 2030 healthcare access targets</t>
        </is>
      </c>
      <c r="AH369" s="70" t="inlineStr">
        <is>
          <t>Platform licence certificate; patient consent records; clinical documentation standards compliance; identity verification log; prescription records; NABIDH integration evidence</t>
        </is>
      </c>
      <c r="AI369" s="73" t="inlineStr">
        <is>
          <t>Telehealth adoption theory (LeRouge &amp; Garfield 2013): patient acceptance + clinician integration. Access theory: geography-equity argument for remote care. Digital health governance theory: platform regulation vs clinical regulation tension.</t>
        </is>
      </c>
      <c r="AJ369" s="70" t="inlineStr">
        <is>
          <t>FOR: COVID-19 proved telehealth viability at scale in KSA (Al-Ataawi et al. 2022); Sehhaty platform shows government commitment; removes geographic barriers consistent with Vision 2030 equity goals; IoMT remote monitoring reimbursement framework emerging. AGAINST: Clinical quality in telehealth still debated (Hollander &amp; Sites 2020); data sovereignty for cross-border telehealth unresolved; prescription via teleconsultation remains restricted limiting scope; rural connectivity gaps undermine access equity goal</t>
        </is>
      </c>
      <c r="AK369" s="74" t="inlineStr">
        <is>
          <t>Regulations still lag technology — VR/AR clinical applications not addressed; AI-assisted teleconsultation regulatory pathway unclear; cross-border telehealth restrictions create market fragmentation; no minimum quality standards for audio/video equipment; liability for technical failure not yet codified in regulation</t>
        </is>
      </c>
      <c r="AL369" s="75" t="inlineStr">
        <is>
          <t>MOH-TELE vs NHS TECS (UK): NHS TECS has DTAC (Digital Technology Assessment Criteria) for all digital health tools — KSA equivalent absent. MOH-TELE vs FCC/CMS telehealth (US): US has federal reimbursement codes (CPT); KSA CCHI integration still developing. MOH-TELE vs WHO Telemedicine Guidelines: broadly aligned but KSA-specific cross-border rules more restrictive than WHO recommends</t>
        </is>
      </c>
      <c r="AM369" s="76" t="inlineStr">
        <is>
          <t>Al-Ataawi A et al. (2022) 'Telehealth in Saudi Arabia During COVID-19' J Healthcare Informatics Res; Hollander JE &amp; Sites FD (2020) 'Telehealth Beyond COVID-19' NEJM 2020; Hammad &amp; Al-Mehdar (2025) Saudi Healthcare Regulatory Update; WHO (2010) Telemedicine Opportunities and Developments; LeRouge C &amp; Garfield MJ (2013) 'Crossing the Telemedicine Chasm' JAMIA 20(6)</t>
        </is>
      </c>
      <c r="AN369" s="50" t="inlineStr">
        <is>
          <t>Official: MOH website. Training: American Telemedicine Association (ATA) online courses; SEHA Virtual Hospital training programme; WHO telehealth competency framework. Estimated: 25 hours</t>
        </is>
      </c>
      <c r="AO369" s="77" t="inlineStr">
        <is>
          <t>GH-ICGA Layer 1 (Governance) — telehealth regulation defines the governance boundary for remote IoMT monitoring. Thesis relevance: GH-ICGA must address the governance overlap between MOH-TELE (clinical platform regulation) and NCA-ECC (cybersecurity) and PDPL (patient data) for remote monitoring scenarios</t>
        </is>
      </c>
      <c r="AP369" s="51" t="inlineStr">
        <is>
          <t>G + C (platform governance + clinical compliance)</t>
        </is>
      </c>
      <c r="AQ369" s="78" t="inlineStr">
        <is>
          <t>CEO: platform licence accountability. Medical Director: clinical quality governance. DPO: PDPL compliance for patient data on platform. Technical Director: platform security. Pharmacy Director: prescription management compliance</t>
        </is>
      </c>
      <c r="AR369" s="74" t="inlineStr">
        <is>
          <t>Clinical Risk (misdiagnosis via teleconsultation); Regulatory Risk (licence breach); Privacy Risk (patient data); Operational Risk (platform availability); Cross-Border Risk (international teleconsultation restrictions)</t>
        </is>
      </c>
      <c r="AS369" s="61" t="inlineStr">
        <is>
          <t>REGULATORY — MOH licensing requirement. Non-compliance: platform licence revocation; SAR 1M–5M fine; SCFHS action against clinicians</t>
        </is>
      </c>
      <c r="AT369" s="75" t="inlineStr">
        <is>
          <t>Administrative (A): 20 controls — licensing; consent; documentation; clinical protocols. Technical (T): 12 controls — platform security; identity verification; audio/video standards. Operational (O): 6 controls — prescribing workflow; referral protocol; audit trail</t>
        </is>
      </c>
      <c r="AU369" s="79" t="inlineStr">
        <is>
          <t>1. Patient consent collection rate (target 100% before each session). 2. Platform availability SLA compliance (target &gt;99.5%). 3. Identity verification success rate. 4. # clinical complaints per 1,000 teleconsultations. 5. Documentation compliance rate (target 100% consultation notes in NABIDH). 6. Prescription audit pass rate</t>
        </is>
      </c>
      <c r="AV369" s="80" t="inlineStr">
        <is>
          <t>Annual MOH licence renewal audit; CCHI insurance coverage compliance check; patient record documentation audit; platform security assessment; identity verification system test; NABIDH integration test</t>
        </is>
      </c>
      <c r="AW369" s="81" t="inlineStr">
        <is>
          <t>Sehhaty / Mawid (MOH official platforms); Nabdh; Cura Health; Vezeeta; Nubaqraa — all require MOH licensing. Security tools: FortiWeb (WAF); Auth0/Okta (identity); TeleVisit security frameworks</t>
        </is>
      </c>
      <c r="AX369" s="82" t="inlineStr">
        <is>
          <t>Platform vendors: MOH-licensed telemedicine solution mandatory; PDPL DPA required; NABIDH API certification; patient data not to be shared with third-party analytics without consent; international teleconsultation providers must be MOH-approved</t>
        </is>
      </c>
      <c r="AY369" s="83" t="inlineStr">
        <is>
          <t>Unlicensed platform: immediate shutdown; SAR fine; clinical professional disciplinary action. Licence revocation: complete business cessation. Patient harm via telemedicine: malpractice liability; SCFHS investigation</t>
        </is>
      </c>
      <c r="AZ369" s="80" t="inlineStr">
        <is>
          <t>Healthcare &amp; Life Sciences; ICT/Digital (platform providers)</t>
        </is>
      </c>
      <c r="BA369" s="41" t="inlineStr">
        <is>
          <t>Sector-Specific</t>
        </is>
      </c>
      <c r="BB369" s="591">
        <f>IF(E369="","",IF(ISNUMBER(SEARCH("Institutional theory and regulatory governance theory underpin",AI369)),"TEMPLATE",IF(LEN(AI369)&gt;100,"DEEP",IF(AI369="","SPARSE","SHALLOW"))))</f>
        <v/>
      </c>
      <c r="BC369" s="591">
        <f>IF(E369="","",D369&amp;"-"&amp;B369&amp;"-"&amp;E369)</f>
        <v/>
      </c>
      <c r="BD369" s="591">
        <f>IF(E369="","",SUBSTITUTE(SUBSTITUTE(B369&amp;"-"&amp;E369," ",""),":","-"))</f>
        <v/>
      </c>
      <c r="BE369" s="591">
        <f>IF(E369="","",IF(ISNUMBER(SEARCH("ECC",E369)),"NCA-ECC-2-2024",IF(ISNUMBER(SEARCH("OTCC",E369)),"NCA-ECC-2-2024",IF(ISNUMBER(SEARCH("CCC",E369)),"NCA-ECC-2-2024",IF(ISNUMBER(SEARCH("DCC",E369)),"NCA-ECC-2-2024",IF(ISNUMBER(SEARCH("CSCC",E369)),"NCA-ECC-2-2024",IF(ISNUMBER(SEARCH("PDPL-IR",E369)),"PDPL-2021",IF(ISNUMBER(SEARCH("PDPL-DTR",E369)),"PDPL-2021","NONE"))))))))</f>
        <v/>
      </c>
      <c r="BF369" s="594">
        <f>IF(E369="","",IF(BB369="DEEP",10,IF(BB369="SHALLOW",5,IF(BB369="TEMPLATE",3,1)))+IF(N369="HIGHEST",5,IF(N369="HIGH",3,IF(N369="MODERATE",1,0)))+IF(ISNUMBER(SEARCH("Mandatory",L369)),3,0))</f>
        <v/>
      </c>
    </row>
    <row r="370" ht="42" customHeight="1">
      <c r="A370" s="84" t="n">
        <v>321</v>
      </c>
      <c r="B370" s="411" t="inlineStr">
        <is>
          <t>RHC1</t>
        </is>
      </c>
      <c r="C370" s="70" t="inlineStr">
        <is>
          <t>Riyadh Health Cluster 1</t>
        </is>
      </c>
      <c r="D370" s="70" t="inlineStr">
        <is>
          <t>17. Regional Health Clusters</t>
        </is>
      </c>
      <c r="E370" s="411" t="inlineStr">
        <is>
          <t>NHIC-NABIDH</t>
        </is>
      </c>
      <c r="F370" s="72" t="inlineStr">
        <is>
          <t>NABIDH EHR Platform Standard</t>
        </is>
      </c>
      <c r="G370" s="70" t="inlineStr">
        <is>
          <t>معيار منصة نبض</t>
        </is>
      </c>
      <c r="H370" s="70" t="inlineStr">
        <is>
          <t>Mandatory 2024</t>
        </is>
      </c>
      <c r="I370" s="71" t="inlineStr">
        <is>
          <t>2018</t>
        </is>
      </c>
      <c r="J370" s="71" t="inlineStr">
        <is>
          <t>40</t>
        </is>
      </c>
      <c r="K370" s="70" t="inlineStr">
        <is>
          <t>MUST COMPLY WITH</t>
        </is>
      </c>
      <c r="L370" s="66" t="inlineStr">
        <is>
          <t>Mandatory Complier</t>
        </is>
      </c>
      <c r="M370" s="70" t="inlineStr">
        <is>
          <t>Riyadh Health Cluster 1 hospitals — NABIDH interoperability</t>
        </is>
      </c>
      <c r="N370" s="86" t="inlineStr">
        <is>
          <t>HIGHEST</t>
        </is>
      </c>
      <c r="O370" s="87" t="inlineStr">
        <is>
          <t>https://nhic.gov.sa/</t>
        </is>
      </c>
      <c r="P370" s="70" t="inlineStr">
        <is>
          <t>NHIC</t>
        </is>
      </c>
      <c r="Q370" s="70" t="inlineStr">
        <is>
          <t>NABIDH launched 2018 (pilot) → FHIR R4 API 2022 → mandatory all facilities 2024</t>
        </is>
      </c>
      <c r="R370" s="70" t="inlineStr">
        <is>
          <t>2018 (pilot): 10 MOH hospitals. 2019-2021: health cluster rollout. 2022: FHIR R4 API standards published; private hospitals voluntary integration. 2023: API developer portal opened; 40 technical requirements published. 2024: MANDATORY — all healthcare facilities must connect; Private Health Institutions Law updated; penalties for non-connection: facility licensing at risk. NABIDH now the central patient data repository — 45M+ patient records as of 2024</t>
        </is>
      </c>
      <c r="S370" s="71" t="inlineStr">
        <is>
          <t>Launched: 2018. FHIR R4 API: 2022. Mandatory: 2024</t>
        </is>
      </c>
      <c r="T370" s="70" t="inlineStr">
        <is>
          <t>Continuous platform updates; API versioning quarterly</t>
        </is>
      </c>
      <c r="U370" s="25" t="inlineStr">
        <is>
          <t>CURRENT — mandatory as of 2024</t>
        </is>
      </c>
      <c r="V370" s="70" t="inlineStr">
        <is>
          <t>Facility unable to receive electronic referrals; excluded from national patient record; MOH licensing risk; procurement penalties</t>
        </is>
      </c>
      <c r="W370" s="72" t="inlineStr">
        <is>
          <t>NHIC — NABIDH Programme Office; MOH General Directorate of Health Informatics; regional health clusters</t>
        </is>
      </c>
      <c r="X370" s="70" t="inlineStr">
        <is>
          <t>Hospital; Clinic; Lab; Pharmacy — ALL healthcare facilities mandatory</t>
        </is>
      </c>
      <c r="Y370" s="22" t="inlineStr">
        <is>
          <t>Both</t>
        </is>
      </c>
      <c r="Z370" s="70" t="inlineStr">
        <is>
          <t>NHIC API conformance test; connectivity monitoring (automated); annual technical review</t>
        </is>
      </c>
      <c r="AA370" s="71" t="inlineStr">
        <is>
          <t>Continuous connectivity monitoring; annual audit</t>
        </is>
      </c>
      <c r="AB370" s="70" t="inlineStr">
        <is>
          <t>16 (NABIDH IoMT data ingestion API; remote monitoring data submission; wearable vital signs standardisation; IoMT device data consent management; IoMT-generated observation resources in FHIR)</t>
        </is>
      </c>
      <c r="AC370" s="70" t="inlineStr">
        <is>
          <t>HL7 FHIR R4 (mandatory); IHE profiles; SNOMED CT; ICD-10-CM; LOINC; HL7 CDA</t>
        </is>
      </c>
      <c r="AD370" s="49" t="inlineStr">
        <is>
          <t>Arabic + English (NABIDH technical specifications bilingual)</t>
        </is>
      </c>
      <c r="AE370" s="37" t="inlineStr">
        <is>
          <t>Layer 3: Technical Controls; Layer 4: Compliance; Layer 5: Assurance</t>
        </is>
      </c>
      <c r="AF370" s="27" t="inlineStr">
        <is>
          <t>Yes — 3 connectivity levels (Basic data exchange / Full longitudinal record / Advanced IoMT integration)</t>
        </is>
      </c>
      <c r="AG370" s="70" t="inlineStr">
        <is>
          <t>HSTP digital health; National EHR programme; NHIS integration; Vision 2030 connected healthcare</t>
        </is>
      </c>
      <c r="AH370" s="70" t="inlineStr">
        <is>
          <t>NABIDH connectivity certificate; API test results; FHIR conformance statement; patient consent records; data quality dashboard reports</t>
        </is>
      </c>
      <c r="AI370" s="73" t="inlineStr">
        <is>
          <t>Institutional theory and regulatory governance theory underpin all KSA regulatory frameworks. Specific theoretical basis varies by framework — consult academic literature via Google Scholar using framework name as search term.</t>
        </is>
      </c>
      <c r="AJ370" s="70" t="inlineStr">
        <is>
          <t>Academic debate varies by framework maturity and international adoption. For KSA-specific debate, consult: Almohammad &amp; Wills (2021) J Cybersecurity; Al-Khater et al. (2020) IEEE Access; Baker McKenzie KSA regulatory updates.</t>
        </is>
      </c>
      <c r="AK370" s="74" t="inlineStr">
        <is>
          <t>Known criticisms include: implementation gap between standards and practice; resource constraints for smaller healthcare entities; rapid technology evolution outpacing regulation. Consult framework evaluation literature for specifics.</t>
        </is>
      </c>
      <c r="AL370" s="75" t="inlineStr">
        <is>
          <t>Framework comparison requires contextual analysis. Key comparators: NIST CSF 2.0 (international benchmark), ISO 27001 (certifiable standard), ECC-2 (KSA mandatory baseline). See main database for cross-framework mapping.</t>
        </is>
      </c>
      <c r="AM370"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70" s="50" t="inlineStr">
        <is>
          <t>Official: Consult the official source URL in the database for the primary document. Training: ISACA, ISC2, RAPS, IAPP, and HIMSS offer professional development covering most regulatory domains. Estimated hours vary by framework complexity.</t>
        </is>
      </c>
      <c r="AO370" s="77" t="inlineStr">
        <is>
          <t>Relevance to GH-ICGA framework varies by layer — see GH-ICGA Layer Mapping column. All KSA mandatory frameworks are compliance inputs to GH-ICGA Layer 4. Frameworks with IoMT-specific provisions directly inform Layers 2 and 3.</t>
        </is>
      </c>
      <c r="AP370" s="51" t="inlineStr">
        <is>
          <t>G + C (Governance + Compliance — standard regulatory framework positioning)</t>
        </is>
      </c>
      <c r="AQ370" s="78" t="inlineStr">
        <is>
          <t>Senior management: accountability for framework compliance. Designated compliance officer: monitor requirements. All staff: awareness of applicable obligations</t>
        </is>
      </c>
      <c r="AR370" s="74" t="inlineStr">
        <is>
          <t>Regulatory Risk; Operational Risk; Reputational Risk — specific domains determined by framework scope</t>
        </is>
      </c>
      <c r="AS370" s="22" t="inlineStr">
        <is>
          <t>See official source — legal obligation, regulatory requirement, or voluntary standard as applicable</t>
        </is>
      </c>
      <c r="AT370" s="75" t="inlineStr">
        <is>
          <t>Administrative; Technical; Operational — specific distribution determined by framework content</t>
        </is>
      </c>
      <c r="AU370" s="79" t="inlineStr">
        <is>
          <t>1. Compliance status (compliant/non-compliant). 2. # open findings from last assessment. 3. % controls implemented. 4. Time to remediate findings. 5. Incident rate in framework scope area</t>
        </is>
      </c>
      <c r="AV370" s="80" t="inlineStr">
        <is>
          <t>Self-assessment; internal audit; external assessment as specified by issuing authority</t>
        </is>
      </c>
      <c r="AW370" s="81" t="inlineStr">
        <is>
          <t>ServiceNow GRC; IBM OpenPages; RSA Archer; MetricStream — all major GRC platforms support custom framework import. Contact vendor for framework-specific module</t>
        </is>
      </c>
      <c r="AX370" s="82" t="inlineStr">
        <is>
          <t>Third parties in scope must demonstrate equivalent compliance. Contractual compliance obligations; right-to-audit clauses; annual third-party assessment</t>
        </is>
      </c>
      <c r="AY370" s="83" t="inlineStr">
        <is>
          <t>Non-compliance: regulatory action by issuing authority; fines and penalties as specified; operational and reputational consequences</t>
        </is>
      </c>
      <c r="AZ370" s="80" t="inlineStr">
        <is>
          <t>Healthcare &amp; Life Sciences</t>
        </is>
      </c>
      <c r="BA370" s="41" t="inlineStr">
        <is>
          <t>Sector-Specific</t>
        </is>
      </c>
      <c r="BB370" s="591">
        <f>IF(E370="","",IF(ISNUMBER(SEARCH("Institutional theory and regulatory governance theory underpin",AI370)),"TEMPLATE",IF(LEN(AI370)&gt;100,"DEEP",IF(AI370="","SPARSE","SHALLOW"))))</f>
        <v/>
      </c>
      <c r="BC370" s="591">
        <f>IF(E370="","",D370&amp;"-"&amp;B370&amp;"-"&amp;E370)</f>
        <v/>
      </c>
      <c r="BD370" s="591">
        <f>IF(E370="","",SUBSTITUTE(SUBSTITUTE(B370&amp;"-"&amp;E370," ",""),":","-"))</f>
        <v/>
      </c>
      <c r="BE370" s="591">
        <f>IF(E370="","",IF(ISNUMBER(SEARCH("ECC",E370)),"NCA-ECC-2-2024",IF(ISNUMBER(SEARCH("OTCC",E370)),"NCA-ECC-2-2024",IF(ISNUMBER(SEARCH("CCC",E370)),"NCA-ECC-2-2024",IF(ISNUMBER(SEARCH("DCC",E370)),"NCA-ECC-2-2024",IF(ISNUMBER(SEARCH("CSCC",E370)),"NCA-ECC-2-2024",IF(ISNUMBER(SEARCH("PDPL-IR",E370)),"PDPL-2021",IF(ISNUMBER(SEARCH("PDPL-DTR",E370)),"PDPL-2021","NONE"))))))))</f>
        <v/>
      </c>
      <c r="BF370" s="594">
        <f>IF(E370="","",IF(BB370="DEEP",10,IF(BB370="SHALLOW",5,IF(BB370="TEMPLATE",3,1)))+IF(N370="HIGHEST",5,IF(N370="HIGH",3,IF(N370="MODERATE",1,0)))+IF(ISNUMBER(SEARCH("Mandatory",L370)),3,0))</f>
        <v/>
      </c>
    </row>
    <row r="371" ht="42" customHeight="1">
      <c r="A371" s="42" t="n">
        <v>322</v>
      </c>
      <c r="B371" s="412" t="inlineStr">
        <is>
          <t>RHC1</t>
        </is>
      </c>
      <c r="C371" s="44" t="inlineStr">
        <is>
          <t>Riyadh Health Cluster 1</t>
        </is>
      </c>
      <c r="D371" s="44" t="inlineStr">
        <is>
          <t>17. Regional Health Clusters</t>
        </is>
      </c>
      <c r="E371" s="412" t="inlineStr">
        <is>
          <t>NCA-OTCC</t>
        </is>
      </c>
      <c r="F371" s="45" t="inlineStr">
        <is>
          <t>OT Cybersecurity Controls</t>
        </is>
      </c>
      <c r="G371" s="44" t="inlineStr">
        <is>
          <t>ضوابط الأمن السيبراني للتقنيات التشغيلية</t>
        </is>
      </c>
      <c r="H371" s="44" t="inlineStr">
        <is>
          <t>OTCC-1:2022</t>
        </is>
      </c>
      <c r="I371" s="46" t="inlineStr">
        <is>
          <t>2022</t>
        </is>
      </c>
      <c r="J371" s="46" t="inlineStr">
        <is>
          <t>53</t>
        </is>
      </c>
      <c r="K371" s="44" t="inlineStr">
        <is>
          <t>MUST COMPLY WITH</t>
        </is>
      </c>
      <c r="L371" s="66" t="inlineStr">
        <is>
          <t>Mandatory Complier</t>
        </is>
      </c>
      <c r="M371" s="44" t="inlineStr">
        <is>
          <t>Riyadh Health Cluster 1 medical device OT networks — CNI designation</t>
        </is>
      </c>
      <c r="N371" s="47" t="inlineStr">
        <is>
          <t>HIGHEST</t>
        </is>
      </c>
      <c r="O371" s="48" t="inlineStr">
        <is>
          <t>https://nca.gov.sa/</t>
        </is>
      </c>
      <c r="P371" s="44" t="inlineStr">
        <is>
          <t>NCA OTCC</t>
        </is>
      </c>
      <c r="Q371" s="70" t="inlineStr">
        <is>
          <t>See official source for version history</t>
        </is>
      </c>
      <c r="R371" s="70" t="inlineStr">
        <is>
          <t>Framework issued by the relevant authority. Version details available on the official website referenced in the source URL column. The framework has been updated periodically since first issuance.</t>
        </is>
      </c>
      <c r="S371" s="71" t="inlineStr">
        <is>
          <t>See official source</t>
        </is>
      </c>
      <c r="T371" s="70" t="inlineStr">
        <is>
          <t>Updated as needed by the issuing authority</t>
        </is>
      </c>
      <c r="U371" s="25" t="inlineStr">
        <is>
          <t>CURRENT — consult official source for latest version</t>
        </is>
      </c>
      <c r="V371" s="70" t="inlineStr">
        <is>
          <t>Penalties defined by issuing authority; consult official source. NCA ECC-2 penalties apply if relevant</t>
        </is>
      </c>
      <c r="W371" s="72" t="inlineStr">
        <is>
          <t>Issuing authority and/or designated inspection department</t>
        </is>
      </c>
      <c r="X371" s="70" t="inlineStr">
        <is>
          <t>As specified in framework scope — consult official document</t>
        </is>
      </c>
      <c r="Y371" s="49" t="inlineStr">
        <is>
          <t>Both (unless specified otherwise in official document)</t>
        </is>
      </c>
      <c r="Z371" s="70" t="inlineStr">
        <is>
          <t>As defined by issuing authority</t>
        </is>
      </c>
      <c r="AA371" s="71" t="inlineStr">
        <is>
          <t>As defined by issuing authority</t>
        </is>
      </c>
      <c r="AB371" s="70" t="inlineStr">
        <is>
          <t>To be determined from framework text — see official source</t>
        </is>
      </c>
      <c r="AC371" s="70" t="inlineStr">
        <is>
          <t>See framework preamble for international standard references</t>
        </is>
      </c>
      <c r="AD371" s="49" t="inlineStr">
        <is>
          <t>Arabic (primary in KSA); English may be available</t>
        </is>
      </c>
      <c r="AE371" s="58" t="inlineStr">
        <is>
          <t>Mapped to relevant GH-ICGA layer — requires manual assessment</t>
        </is>
      </c>
      <c r="AF371" s="56" t="inlineStr">
        <is>
          <t>See official framework for maturity model details</t>
        </is>
      </c>
      <c r="AG371" s="70" t="inlineStr">
        <is>
          <t>Aligned with relevant Vision 2030 programme — see framework context</t>
        </is>
      </c>
      <c r="AH371" s="70" t="inlineStr">
        <is>
          <t>As specified in framework compliance requirements</t>
        </is>
      </c>
      <c r="AI371" s="73" t="inlineStr">
        <is>
          <t>Institutional theory and regulatory governance theory underpin all KSA regulatory frameworks. Specific theoretical basis varies by framework — consult academic literature via Google Scholar using framework name as search term.</t>
        </is>
      </c>
      <c r="AJ371" s="70" t="inlineStr">
        <is>
          <t>Academic debate varies by framework maturity and international adoption. For KSA-specific debate, consult: Almohammad &amp; Wills (2021) J Cybersecurity; Al-Khater et al. (2020) IEEE Access; Baker McKenzie KSA regulatory updates.</t>
        </is>
      </c>
      <c r="AK371" s="74" t="inlineStr">
        <is>
          <t>Known criticisms include: implementation gap between standards and practice; resource constraints for smaller healthcare entities; rapid technology evolution outpacing regulation. Consult framework evaluation literature for specifics.</t>
        </is>
      </c>
      <c r="AL371" s="75" t="inlineStr">
        <is>
          <t>Framework comparison requires contextual analysis. Key comparators: NIST CSF 2.0 (international benchmark), ISO 27001 (certifiable standard), ECC-2 (KSA mandatory baseline). See main database for cross-framework mapping.</t>
        </is>
      </c>
      <c r="AM371"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71" s="50" t="inlineStr">
        <is>
          <t>Official: Consult the official source URL in the database for the primary document. Training: ISACA, ISC2, RAPS, IAPP, and HIMSS offer professional development covering most regulatory domains. Estimated hours vary by framework complexity.</t>
        </is>
      </c>
      <c r="AO371" s="77" t="inlineStr">
        <is>
          <t>Relevance to GH-ICGA framework varies by layer — see GH-ICGA Layer Mapping column. All KSA mandatory frameworks are compliance inputs to GH-ICGA Layer 4. Frameworks with IoMT-specific provisions directly inform Layers 2 and 3.</t>
        </is>
      </c>
      <c r="AP371" s="53" t="inlineStr">
        <is>
          <t>R + C (Risk and Compliance — technically oriented; governance implied)</t>
        </is>
      </c>
      <c r="AQ371" s="78" t="inlineStr">
        <is>
          <t>CISO/OT Security Manager: own OTCC compliance. Clinical Engineering/Biomedical Engineering: co-responsible for medical device OT compliance. CTO: responsible for OT architecture. Board: informed of OT risk posture annually. OT security roles: Saudi nationals required per ECC-2 Saudisation mandate</t>
        </is>
      </c>
      <c r="AR371" s="74" t="inlineStr">
        <is>
          <t>Cyber Risk (OT/ICS); Operational Risk (process disruption); Physical Safety Risk (clinical impact of OT compromise); Supply Chain Risk (OT vendor remote access); Availability Risk (OT always-on requirement)</t>
        </is>
      </c>
      <c r="AS371" s="22" t="inlineStr">
        <is>
          <t>LEGAL — Mandatory for CNI OT operators under NCA-REG-2024. Hospitals as CNI: healthcare OT networks are in scope. Penalties: NCA-REG-2024 (SAR 25M max) + potential operational shutdown of non-compliant OT systems</t>
        </is>
      </c>
      <c r="AT371" s="75" t="inlineStr">
        <is>
          <t>Technical (T): 40 controls — OT network segmentation; secure remote access; OT monitoring; patch management for ICS. Administrative (A): 8 controls — OT governance; vendor management; OT incident response. Operational (O): 5 controls — OT change management; OT BCP</t>
        </is>
      </c>
      <c r="AU371" s="79" t="inlineStr">
        <is>
          <t>1. % OT assets inventoried (target 100%). 2. % OT systems with current patches within defined window. 3. # OT network zone violations detected. 4. % third-party OT vendor accesses logged. 5. OT system availability rate (target &gt;99.9% for life-critical). 6. Time-to-detect OT anomaly (target &lt;15 min for CNI)</t>
        </is>
      </c>
      <c r="AV371" s="80" t="inlineStr">
        <is>
          <t>OT vulnerability scan (passive — non-disruptive tools: Claroty, Nozomi, Dragos); OT network traffic analysis; OT penetration test (annual — must not disrupt clinical operations); vendor remote access audit; zone/conduit diagram validation</t>
        </is>
      </c>
      <c r="AW371" s="81" t="inlineStr">
        <is>
          <t>Claroty (medical IoT OT visibility); Nozomi Networks; Dragos; Tenable.ot; Fortinet OT; Medigate (healthcare-specific OT). For GRC integration: ServiceNow OT module; IBM QRadar SIEM with OT signatures</t>
        </is>
      </c>
      <c r="AX371" s="82" t="inlineStr">
        <is>
          <t>All OT vendors with remote access: mandatory access logging; time-limited access; multi-factor authentication; vendor security assessment before engagement; NDA for OT architecture access; OT vendor incident notification within 4 hours</t>
        </is>
      </c>
      <c r="AY371" s="83" t="inlineStr">
        <is>
          <t>OT breach in hospital: potential life-critical impact (ventilator, infusion pump disruption); NCA shutdown order; SAR 25M fine; criminal referral; SFDA recall if device compromise detected; massive reputational and legal exposure</t>
        </is>
      </c>
      <c r="AZ371" s="80" t="inlineStr">
        <is>
          <t>Sector-specific — consult official source</t>
        </is>
      </c>
      <c r="BA371" s="41" t="inlineStr">
        <is>
          <t>Sector-Specific</t>
        </is>
      </c>
      <c r="BB371" s="591">
        <f>IF(E371="","",IF(ISNUMBER(SEARCH("Institutional theory and regulatory governance theory underpin",AI371)),"TEMPLATE",IF(LEN(AI371)&gt;100,"DEEP",IF(AI371="","SPARSE","SHALLOW"))))</f>
        <v/>
      </c>
      <c r="BC371" s="591">
        <f>IF(E371="","",D371&amp;"-"&amp;B371&amp;"-"&amp;E371)</f>
        <v/>
      </c>
      <c r="BD371" s="591">
        <f>IF(E371="","",SUBSTITUTE(SUBSTITUTE(B371&amp;"-"&amp;E371," ",""),":","-"))</f>
        <v/>
      </c>
      <c r="BE371" s="591">
        <f>IF(E371="","",IF(ISNUMBER(SEARCH("ECC",E371)),"NCA-ECC-2-2024",IF(ISNUMBER(SEARCH("OTCC",E371)),"NCA-ECC-2-2024",IF(ISNUMBER(SEARCH("CCC",E371)),"NCA-ECC-2-2024",IF(ISNUMBER(SEARCH("DCC",E371)),"NCA-ECC-2-2024",IF(ISNUMBER(SEARCH("CSCC",E371)),"NCA-ECC-2-2024",IF(ISNUMBER(SEARCH("PDPL-IR",E371)),"PDPL-2021",IF(ISNUMBER(SEARCH("PDPL-DTR",E371)),"PDPL-2021","NONE"))))))))</f>
        <v/>
      </c>
      <c r="BF371" s="594">
        <f>IF(E371="","",IF(BB371="DEEP",10,IF(BB371="SHALLOW",5,IF(BB371="TEMPLATE",3,1)))+IF(N371="HIGHEST",5,IF(N371="HIGH",3,IF(N371="MODERATE",1,0)))+IF(ISNUMBER(SEARCH("Mandatory",L371)),3,0))</f>
        <v/>
      </c>
    </row>
    <row r="372" ht="42" customHeight="1">
      <c r="A372" s="84" t="n">
        <v>323</v>
      </c>
      <c r="B372" s="411" t="inlineStr">
        <is>
          <t>RHC2</t>
        </is>
      </c>
      <c r="C372" s="70" t="inlineStr">
        <is>
          <t>Riyadh Health Cluster 2</t>
        </is>
      </c>
      <c r="D372" s="70" t="inlineStr">
        <is>
          <t>17. Regional Health Clusters</t>
        </is>
      </c>
      <c r="E372" s="411" t="inlineStr">
        <is>
          <t>MOH-HIS</t>
        </is>
      </c>
      <c r="F372" s="72" t="inlineStr">
        <is>
          <t>Health Information System Standards</t>
        </is>
      </c>
      <c r="G372" s="70" t="inlineStr">
        <is>
          <t>معايير نظم المعلومات الصحية</t>
        </is>
      </c>
      <c r="H372" s="70" t="inlineStr">
        <is>
          <t>2024 update</t>
        </is>
      </c>
      <c r="I372" s="71" t="inlineStr">
        <is>
          <t>2010</t>
        </is>
      </c>
      <c r="J372" s="71" t="inlineStr">
        <is>
          <t>112</t>
        </is>
      </c>
      <c r="K372" s="70" t="inlineStr">
        <is>
          <t>MUST COMPLY WITH</t>
        </is>
      </c>
      <c r="L372" s="66" t="inlineStr">
        <is>
          <t>Mandatory Complier</t>
        </is>
      </c>
      <c r="M372" s="70" t="inlineStr">
        <is>
          <t>Riyadh Health Cluster 2 hospitals — mandatory HIS compliance</t>
        </is>
      </c>
      <c r="N372" s="86" t="inlineStr">
        <is>
          <t>HIGHEST</t>
        </is>
      </c>
      <c r="O372" s="87" t="inlineStr">
        <is>
          <t>https://www.moh.gov.sa/en/</t>
        </is>
      </c>
      <c r="P372" s="70" t="inlineStr">
        <is>
          <t>MOH official</t>
        </is>
      </c>
      <c r="Q372" s="70" t="inlineStr">
        <is>
          <t>First issued ~2010 → comprehensive update 2022 → mandatory EMR update 2024</t>
        </is>
      </c>
      <c r="R372" s="70" t="inlineStr">
        <is>
          <t>Progressive standards covering: 2010 (basic EHR requirements); 2015 (interoperability standards added); 2018 (NABIDH integration); 2020 (mobile health and telemedicine modules); 2022 (comprehensive 112-control update covering clinical systems, imaging, medication management, emergency, genomics, training); 2024 (mandatory EMR adoption for all MOH and private facilities aligned with NABIDH)</t>
        </is>
      </c>
      <c r="S372" s="71" t="inlineStr">
        <is>
          <t>First: 2010. Major update: 2022. EMR mandate: 2024</t>
        </is>
      </c>
      <c r="T372" s="70" t="inlineStr">
        <is>
          <t>Updated with NABIDH platform releases; typically annual minor updates</t>
        </is>
      </c>
      <c r="U372" s="25" t="inlineStr">
        <is>
          <t>CURRENT — 2024 version mandatory</t>
        </is>
      </c>
      <c r="V372" s="70" t="inlineStr">
        <is>
          <t>MOH facility licensing at risk; mandatory corrective action plan; financial penalties under Private Health Institutions Law; non-compliant systems barred from NABIDH connectivity</t>
        </is>
      </c>
      <c r="W372" s="72" t="inlineStr">
        <is>
          <t>MOH — Directorate of Health Information (DHI); regional health cluster inspection teams; NHIC for interoperability compliance</t>
        </is>
      </c>
      <c r="X372" s="70" t="inlineStr">
        <is>
          <t>Hospital; Clinic; Lab; Pharmacy (hospital); Government Health Entity</t>
        </is>
      </c>
      <c r="Y372" s="49" t="inlineStr">
        <is>
          <t>Both (mandatory for MOH facilities; mandatory for private facilities since 2024 PHILAW update)</t>
        </is>
      </c>
      <c r="Z372" s="70" t="inlineStr">
        <is>
          <t>MOH annual IT audit; NHIC interoperability assessment; CBAHI HIT standards review during accreditation</t>
        </is>
      </c>
      <c r="AA372" s="71" t="inlineStr">
        <is>
          <t>Annual MOH audit; NABIDH connectivity continuous monitoring</t>
        </is>
      </c>
      <c r="AB372" s="70" t="inlineStr">
        <is>
          <t>28 (medical device integration into HIS; alarm management; device data capture; IoMT workflow integration; remote monitoring data ingestion; device incident reporting to HIS)</t>
        </is>
      </c>
      <c r="AC372" s="70" t="inlineStr">
        <is>
          <t>HL7 FHIR R4 (interoperability); IHE profiles (integration); ISO 27799:2016 (health ISMS); DICOM (imaging)</t>
        </is>
      </c>
      <c r="AD372" s="49" t="inlineStr">
        <is>
          <t>Arabic (primary); English technical annexes</t>
        </is>
      </c>
      <c r="AE372" s="26" t="inlineStr">
        <is>
          <t>Layer 1: Governance; Layer 3: Technical Controls; Layer 4: Compliance</t>
        </is>
      </c>
      <c r="AF372" s="27" t="inlineStr">
        <is>
          <t>Yes — 4 implementation levels (Basic / Intermediate / Advanced / Optimised); MOH tracks facility scores</t>
        </is>
      </c>
      <c r="AG372" s="70" t="inlineStr">
        <is>
          <t>HSTP digital health; NABIDH national EHR; Vision 2030 healthcare quality targets</t>
        </is>
      </c>
      <c r="AH372" s="70" t="inlineStr">
        <is>
          <t>HIS system documentation; NABIDH connectivity certificate; interoperability test results; staff training records; system access audit logs; downtime contingency procedure</t>
        </is>
      </c>
      <c r="AI372" s="73" t="inlineStr">
        <is>
          <t>Health informatics systems theory (Shortliffe &amp; Cimino 2006): HIS as sociotechnical infrastructure. Interoperability theory (Kuperman 2011): semantic/syntactic/organisational interoperability levels. Technology adoption theory (TAM — Davis 1989): clinician adoption barriers to HIS.</t>
        </is>
      </c>
      <c r="AJ372" s="70" t="inlineStr">
        <is>
          <t>FOR: National standardisation essential for patient safety continuity (WHO 2019); NABIDH integration creates longitudinal patient record unavailable previously; IoMT data integration requirements push hospitals toward modern system architectures. AGAINST: Ajami &amp; Bagheri-Tadi (2013) and Aloudah et al. (2021) document implementation-reality gap in Saudi HIS — standards exist but compliance varies widely by facility tier; urban-rural HIS capacity gap poorly addressed; cybersecurity requirements within HIS standards historically weak (pre-NABIDH)</t>
        </is>
      </c>
      <c r="AK372" s="74" t="inlineStr">
        <is>
          <t>112 controls create compliance burden without proportionality guidance; small private clinics face disproportionate compliance cost; no formal HIS certification programme — self-declaration accepted; IoMT data standards not harmonised with international HL7 FHIR profiles; historical emphasis on data capture over data quality</t>
        </is>
      </c>
      <c r="AL372" s="75" t="inlineStr">
        <is>
          <t>MOH-HIS vs NHS Digital standards (UK): NHS has legally binding DCB standards with enforcement; MOH-HIS is ministerial directive with softer enforcement. MOH-HIS vs ONC Health IT Certification (US): US has federal certification; KSA moving toward certification (NABIDH conformance). MOH-HIS + NHIC-NABIDH = closest to ONC approach in KSA</t>
        </is>
      </c>
      <c r="AM372" s="76" t="inlineStr">
        <is>
          <t>Ajami S &amp; Bagheri-Tadi T (2013) 'Barriers for Adopting Electronic Health Records' MateriaSociomed 25(3); Aloudah N et al. (2021) 'Digital Health in Saudi Arabia' Sustainability 13(12); Shortliffe EH &amp; Cimino JJ (2006) Biomedical Informatics Springer; WHO (2019) Classification of Digital Interventions; Alotaibi YK &amp; Federico F (2017) 'Impact of Health IT on Patient Safety' Saudi Medical J 38(12)</t>
        </is>
      </c>
      <c r="AN372" s="50" t="inlineStr">
        <is>
          <t>Official: MOH website (moh.gov.sa). Training: CPHIMS (Certified Professional Health Informatics &amp; Information Management); HL7 FHIR Foundational (HL7.org); NHIC developer portal training (nhic.gov.sa). Language: Arabic primary. Estimated: 45 hours</t>
        </is>
      </c>
      <c r="AO372" s="77" t="inlineStr">
        <is>
          <t>GH-ICGA Layer 1 (Governance) + Layer 3 (Technical Controls) — MOH-HIS is the clinical data governance backbone that the preliminary GH-ICGA IoMT framework must integrate with. Thesis: GH-ICGA IoMT data model must align with HIS data standards to ensure IoMT device data flows into the national health record coherently</t>
        </is>
      </c>
      <c r="AP372" s="34" t="inlineStr">
        <is>
          <t>G + R + C (all three — clinical information governance foundation)</t>
        </is>
      </c>
      <c r="AQ372" s="78" t="inlineStr">
        <is>
          <t>Hospital CEO: accountable for HIS compliance. CIO/CMIO: responsible for HIS implementation and NABIDH connectivity. Clinical Informatics Committee: govern HIS standards adoption. Department Heads: responsible for clinical data quality in their systems</t>
        </is>
      </c>
      <c r="AR372" s="74" t="inlineStr">
        <is>
          <t>Operational Risk (HIS downtime = clinical risk); Patient Safety Risk; Data Quality Risk; Regulatory Risk (MOH non-compliance); Interoperability Risk (NABIDH disconnection)</t>
        </is>
      </c>
      <c r="AS372" s="61" t="inlineStr">
        <is>
          <t>REGULATORY — MOH ministerial directive. Mandatory for all licensed facilities. Non-compliance risks licensing. Enforced through MOH annual audit and NABIDH connectivity monitoring</t>
        </is>
      </c>
      <c r="AT372" s="75" t="inlineStr">
        <is>
          <t>Technical (T): 68 controls — system architecture; integration; security; availability; backup. Administrative (A): 28 controls — data governance; policies; training; documentation. Operational (O): 16 controls — downtime procedures; change management; vendor management</t>
        </is>
      </c>
      <c r="AU372" s="79" t="inlineStr">
        <is>
          <t>1. NABIDH connectivity status (connected/disconnected). 2. HIS downtime incidents per month (target &lt;4h/month). 3. Data quality score (completeness/accuracy) from NABIDH reports. 4. % clinical staff trained on HIS (target 100%). 5. Time-to-restore HIS after failure (target &lt;4h). 6. # HIS security incidents per quarter</t>
        </is>
      </c>
      <c r="AV372" s="80" t="inlineStr">
        <is>
          <t>Annual MOH HIS audit (documentation + system walk-through); NABIDH API conformance test (NHIC automated); data quality audit; HIS security assessment; downtime procedure simulation; user access review</t>
        </is>
      </c>
      <c r="AW372" s="81" t="inlineStr">
        <is>
          <t>Epic; Cerner (Oracle Health); Philips Tasy EMR; Meditech; InterSystems HealthShare — all NABIDH-integrated. For compliance: ServiceNow Healthcare; Qualio (quality management); NHIC developer portal for FHIR conformance testing</t>
        </is>
      </c>
      <c r="AX372" s="82" t="inlineStr">
        <is>
          <t>HIS vendors: must be MOH-approved/NABIDH-certified; contractual data protection obligations; source code escrow for critical systems; SLA for 99.9% uptime; mandatory SFDA notification if HIS failure affects medical devices; annual security assessment of HIS vendors</t>
        </is>
      </c>
      <c r="AY372" s="83" t="inlineStr">
        <is>
          <t>Non-compliance: MOH corrective action; facility licence conditions; NABIDH disconnection (loss of referrals, national patient record access); PHILAW 2024 penalties for private facilities. Clinical impact: patient safety risk from poor data quality or HIS unavailability</t>
        </is>
      </c>
      <c r="AZ372" s="80" t="inlineStr">
        <is>
          <t>Healthcare &amp; Life Sciences</t>
        </is>
      </c>
      <c r="BA372" s="41" t="inlineStr">
        <is>
          <t>Sector-Specific</t>
        </is>
      </c>
      <c r="BB372" s="591">
        <f>IF(E372="","",IF(ISNUMBER(SEARCH("Institutional theory and regulatory governance theory underpin",AI372)),"TEMPLATE",IF(LEN(AI372)&gt;100,"DEEP",IF(AI372="","SPARSE","SHALLOW"))))</f>
        <v/>
      </c>
      <c r="BC372" s="591">
        <f>IF(E372="","",D372&amp;"-"&amp;B372&amp;"-"&amp;E372)</f>
        <v/>
      </c>
      <c r="BD372" s="591">
        <f>IF(E372="","",SUBSTITUTE(SUBSTITUTE(B372&amp;"-"&amp;E372," ",""),":","-"))</f>
        <v/>
      </c>
      <c r="BE372" s="591">
        <f>IF(E372="","",IF(ISNUMBER(SEARCH("ECC",E372)),"NCA-ECC-2-2024",IF(ISNUMBER(SEARCH("OTCC",E372)),"NCA-ECC-2-2024",IF(ISNUMBER(SEARCH("CCC",E372)),"NCA-ECC-2-2024",IF(ISNUMBER(SEARCH("DCC",E372)),"NCA-ECC-2-2024",IF(ISNUMBER(SEARCH("CSCC",E372)),"NCA-ECC-2-2024",IF(ISNUMBER(SEARCH("PDPL-IR",E372)),"PDPL-2021",IF(ISNUMBER(SEARCH("PDPL-DTR",E372)),"PDPL-2021","NONE"))))))))</f>
        <v/>
      </c>
      <c r="BF372" s="594">
        <f>IF(E372="","",IF(BB372="DEEP",10,IF(BB372="SHALLOW",5,IF(BB372="TEMPLATE",3,1)))+IF(N372="HIGHEST",5,IF(N372="HIGH",3,IF(N372="MODERATE",1,0)))+IF(ISNUMBER(SEARCH("Mandatory",L372)),3,0))</f>
        <v/>
      </c>
    </row>
    <row r="373" ht="42" customHeight="1">
      <c r="A373" s="42" t="n">
        <v>324</v>
      </c>
      <c r="B373" s="412" t="inlineStr">
        <is>
          <t>RHC2</t>
        </is>
      </c>
      <c r="C373" s="44" t="inlineStr">
        <is>
          <t>Riyadh Health Cluster 2</t>
        </is>
      </c>
      <c r="D373" s="44" t="inlineStr">
        <is>
          <t>17. Regional Health Clusters</t>
        </is>
      </c>
      <c r="E373" s="412" t="inlineStr">
        <is>
          <t>MOH-EMR-NABIDH</t>
        </is>
      </c>
      <c r="F373" s="45" t="inlineStr">
        <is>
          <t>EMR Standards / NABIDH</t>
        </is>
      </c>
      <c r="G373" s="44" t="inlineStr">
        <is>
          <t>معايير السجل الصحي الإلكتروني / نبض</t>
        </is>
      </c>
      <c r="H373" s="44" t="inlineStr">
        <is>
          <t>Mandatory 2024</t>
        </is>
      </c>
      <c r="I373" s="46" t="inlineStr">
        <is>
          <t>2010</t>
        </is>
      </c>
      <c r="J373" s="46" t="inlineStr">
        <is>
          <t>52</t>
        </is>
      </c>
      <c r="K373" s="44" t="inlineStr">
        <is>
          <t>MUST COMPLY WITH</t>
        </is>
      </c>
      <c r="L373" s="66" t="inlineStr">
        <is>
          <t>Mandatory Complier</t>
        </is>
      </c>
      <c r="M373" s="44" t="inlineStr">
        <is>
          <t>Riyadh Health Cluster 2 — mandatory NABIDH connectivity 2024</t>
        </is>
      </c>
      <c r="N373" s="47" t="inlineStr">
        <is>
          <t>HIGHEST</t>
        </is>
      </c>
      <c r="O373" s="48" t="inlineStr">
        <is>
          <t>https://www.moh.gov.sa/en/</t>
        </is>
      </c>
      <c r="P373" s="44" t="inlineStr">
        <is>
          <t>MOH/NHIC</t>
        </is>
      </c>
      <c r="Q373" s="70" t="inlineStr">
        <is>
          <t>NABIDH platform launched ~2018 → mandatory EMR adoption for all facilities 2024</t>
        </is>
      </c>
      <c r="R373" s="70" t="inlineStr">
        <is>
          <t>NABIDH (National Unified EHR Platform): v1 2018 (pilot MOH hospitals); 2019-2021 (rollout to health clusters); 2022 (private hospital voluntary integration); 2023 (API standards published based on FHIR R4); 2024 (mandatory for ALL healthcare facilities per Private Health Institutions Law update — complete patient longitudinal record across facilities). EMR standard covers 52 functional requirements including: CPOE, medication reconciliation, imaging integration, patient portal, audit logs</t>
        </is>
      </c>
      <c r="S373" s="71" t="inlineStr">
        <is>
          <t>NABIDH launched: 2018. Mandatory for all: 2024</t>
        </is>
      </c>
      <c r="T373" s="70" t="inlineStr">
        <is>
          <t>Continuously updated with NABIDH platform releases</t>
        </is>
      </c>
      <c r="U373" s="25" t="inlineStr">
        <is>
          <t>CURRENT — mandatory since 2024</t>
        </is>
      </c>
      <c r="V373" s="70" t="inlineStr">
        <is>
          <t>Facility licensing revocation; MOH enforcement action; barred from government referrals; penalties under PHILAW 2024</t>
        </is>
      </c>
      <c r="W373" s="72" t="inlineStr">
        <is>
          <t>MOH — NABIDH Programme Office; NHIC; regional health clusters monitor connectivity</t>
        </is>
      </c>
      <c r="X373" s="70" t="inlineStr">
        <is>
          <t>Hospital; Clinic; Lab; Pharmacy; Government Health Entity — ALL healthcare facilities mandatory</t>
        </is>
      </c>
      <c r="Y373" s="49" t="inlineStr">
        <is>
          <t>Both (mandatory since 2024 PHILAW update for all facilities)</t>
        </is>
      </c>
      <c r="Z373" s="70" t="inlineStr">
        <is>
          <t>NHIC connectivity assessment; NABIDH API conformance testing; MOH annual audit</t>
        </is>
      </c>
      <c r="AA373" s="71" t="inlineStr">
        <is>
          <t>Continuous (NABIDH connectivity monitored in real time); annual formal audit</t>
        </is>
      </c>
      <c r="AB373" s="70" t="inlineStr">
        <is>
          <t>22 (IoMT data integration to NABIDH: wearable data ingestion API; remote monitoring feeds; device-generated vital signs; medical device alerts to patient record; IoMT consent management in EHR)</t>
        </is>
      </c>
      <c r="AC373" s="70" t="inlineStr">
        <is>
          <t>HL7 FHIR R4; IHE (Integrating the Healthcare Enterprise); SNOMED CT; ICD-10; LOINC</t>
        </is>
      </c>
      <c r="AD373" s="49" t="inlineStr">
        <is>
          <t>Arabic + English (NABIDH technical specifications bilingual)</t>
        </is>
      </c>
      <c r="AE373" s="26" t="inlineStr">
        <is>
          <t>Layer 1: Governance; Layer 3: Technical Controls; Layer 4: Compliance; Layer 5: Assurance</t>
        </is>
      </c>
      <c r="AF373" s="27" t="inlineStr">
        <is>
          <t>Yes — NABIDH connectivity levels (1: Basic data exchange; 2: Full longitudinal record; 3: Advanced interoperability with IoMT); MOH tracks facility level</t>
        </is>
      </c>
      <c r="AG373" s="70" t="inlineStr">
        <is>
          <t>HSTP digital health transformation; NABIDH national EHR; NHIS claims integration</t>
        </is>
      </c>
      <c r="AH373" s="70" t="inlineStr">
        <is>
          <t>NABIDH connectivity certificate; API integration test reports; patient consent records for data sharing; EHR system validation; data quality reports</t>
        </is>
      </c>
      <c r="AI373" s="73" t="inlineStr">
        <is>
          <t>Institutional theory and regulatory governance theory underpin all KSA regulatory frameworks. Specific theoretical basis varies by framework — consult academic literature via Google Scholar using framework name as search term.</t>
        </is>
      </c>
      <c r="AJ373" s="70" t="inlineStr">
        <is>
          <t>Academic debate varies by framework maturity and international adoption. For KSA-specific debate, consult: Almohammad &amp; Wills (2021) J Cybersecurity; Al-Khater et al. (2020) IEEE Access; Baker McKenzie KSA regulatory updates.</t>
        </is>
      </c>
      <c r="AK373" s="74" t="inlineStr">
        <is>
          <t>Known criticisms include: implementation gap between standards and practice; resource constraints for smaller healthcare entities; rapid technology evolution outpacing regulation. Consult framework evaluation literature for specifics.</t>
        </is>
      </c>
      <c r="AL373" s="75" t="inlineStr">
        <is>
          <t>Framework comparison requires contextual analysis. Key comparators: NIST CSF 2.0 (international benchmark), ISO 27001 (certifiable standard), ECC-2 (KSA mandatory baseline). See main database for cross-framework mapping.</t>
        </is>
      </c>
      <c r="AM373"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73" s="50" t="inlineStr">
        <is>
          <t>Official: Consult the official source URL in the database for the primary document. Training: ISACA, ISC2, RAPS, IAPP, and HIMSS offer professional development covering most regulatory domains. Estimated hours vary by framework complexity.</t>
        </is>
      </c>
      <c r="AO373" s="77" t="inlineStr">
        <is>
          <t>Relevance to GH-ICGA framework varies by layer — see GH-ICGA Layer Mapping column. All KSA mandatory frameworks are compliance inputs to GH-ICGA Layer 4. Frameworks with IoMT-specific provisions directly inform Layers 2 and 3.</t>
        </is>
      </c>
      <c r="AP373" s="51" t="inlineStr">
        <is>
          <t>G + C (Governance + Compliance — standard regulatory framework positioning)</t>
        </is>
      </c>
      <c r="AQ373" s="78" t="inlineStr">
        <is>
          <t>Senior management: accountability for framework compliance. Designated compliance officer: monitor requirements. All staff: awareness of applicable obligations</t>
        </is>
      </c>
      <c r="AR373" s="74" t="inlineStr">
        <is>
          <t>Regulatory Risk; Operational Risk; Reputational Risk — specific domains determined by framework scope</t>
        </is>
      </c>
      <c r="AS373" s="22" t="inlineStr">
        <is>
          <t>See official source — legal obligation, regulatory requirement, or voluntary standard as applicable</t>
        </is>
      </c>
      <c r="AT373" s="75" t="inlineStr">
        <is>
          <t>Administrative; Technical; Operational — specific distribution determined by framework content</t>
        </is>
      </c>
      <c r="AU373" s="79" t="inlineStr">
        <is>
          <t>1. Compliance status (compliant/non-compliant). 2. # open findings from last assessment. 3. % controls implemented. 4. Time to remediate findings. 5. Incident rate in framework scope area</t>
        </is>
      </c>
      <c r="AV373" s="80" t="inlineStr">
        <is>
          <t>Self-assessment; internal audit; external assessment as specified by issuing authority</t>
        </is>
      </c>
      <c r="AW373" s="81" t="inlineStr">
        <is>
          <t>ServiceNow GRC; IBM OpenPages; RSA Archer; MetricStream — all major GRC platforms support custom framework import. Contact vendor for framework-specific module</t>
        </is>
      </c>
      <c r="AX373" s="82" t="inlineStr">
        <is>
          <t>Third parties in scope must demonstrate equivalent compliance. Contractual compliance obligations; right-to-audit clauses; annual third-party assessment</t>
        </is>
      </c>
      <c r="AY373" s="83" t="inlineStr">
        <is>
          <t>Non-compliance: regulatory action by issuing authority; fines and penalties as specified; operational and reputational consequences</t>
        </is>
      </c>
      <c r="AZ373" s="80" t="inlineStr">
        <is>
          <t>Healthcare &amp; Life Sciences</t>
        </is>
      </c>
      <c r="BA373" s="41" t="inlineStr">
        <is>
          <t>Sector-Specific</t>
        </is>
      </c>
      <c r="BB373" s="591">
        <f>IF(E373="","",IF(ISNUMBER(SEARCH("Institutional theory and regulatory governance theory underpin",AI373)),"TEMPLATE",IF(LEN(AI373)&gt;100,"DEEP",IF(AI373="","SPARSE","SHALLOW"))))</f>
        <v/>
      </c>
      <c r="BC373" s="591">
        <f>IF(E373="","",D373&amp;"-"&amp;B373&amp;"-"&amp;E373)</f>
        <v/>
      </c>
      <c r="BD373" s="591">
        <f>IF(E373="","",SUBSTITUTE(SUBSTITUTE(B373&amp;"-"&amp;E373," ",""),":","-"))</f>
        <v/>
      </c>
      <c r="BE373" s="591">
        <f>IF(E373="","",IF(ISNUMBER(SEARCH("ECC",E373)),"NCA-ECC-2-2024",IF(ISNUMBER(SEARCH("OTCC",E373)),"NCA-ECC-2-2024",IF(ISNUMBER(SEARCH("CCC",E373)),"NCA-ECC-2-2024",IF(ISNUMBER(SEARCH("DCC",E373)),"NCA-ECC-2-2024",IF(ISNUMBER(SEARCH("CSCC",E373)),"NCA-ECC-2-2024",IF(ISNUMBER(SEARCH("PDPL-IR",E373)),"PDPL-2021",IF(ISNUMBER(SEARCH("PDPL-DTR",E373)),"PDPL-2021","NONE"))))))))</f>
        <v/>
      </c>
      <c r="BF373" s="594">
        <f>IF(E373="","",IF(BB373="DEEP",10,IF(BB373="SHALLOW",5,IF(BB373="TEMPLATE",3,1)))+IF(N373="HIGHEST",5,IF(N373="HIGH",3,IF(N373="MODERATE",1,0)))+IF(ISNUMBER(SEARCH("Mandatory",L373)),3,0))</f>
        <v/>
      </c>
    </row>
    <row r="374" ht="42" customHeight="1">
      <c r="A374" s="84" t="n">
        <v>325</v>
      </c>
      <c r="B374" s="411" t="inlineStr">
        <is>
          <t>RHC2</t>
        </is>
      </c>
      <c r="C374" s="70" t="inlineStr">
        <is>
          <t>Riyadh Health Cluster 2</t>
        </is>
      </c>
      <c r="D374" s="70" t="inlineStr">
        <is>
          <t>17. Regional Health Clusters</t>
        </is>
      </c>
      <c r="E374" s="411" t="inlineStr">
        <is>
          <t>MOH-PS</t>
        </is>
      </c>
      <c r="F374" s="72" t="inlineStr">
        <is>
          <t>Patient Safety Standards</t>
        </is>
      </c>
      <c r="G374" s="70" t="inlineStr">
        <is>
          <t>معايير سلامة المريض</t>
        </is>
      </c>
      <c r="H374" s="70" t="inlineStr">
        <is>
          <t>2024 update</t>
        </is>
      </c>
      <c r="I374" s="71" t="inlineStr">
        <is>
          <t>2015</t>
        </is>
      </c>
      <c r="J374" s="71" t="inlineStr">
        <is>
          <t>72</t>
        </is>
      </c>
      <c r="K374" s="70" t="inlineStr">
        <is>
          <t>MUST COMPLY WITH</t>
        </is>
      </c>
      <c r="L374" s="66" t="inlineStr">
        <is>
          <t>Mandatory Complier</t>
        </is>
      </c>
      <c r="M374" s="70" t="inlineStr">
        <is>
          <t>Riyadh Health Cluster 2 — patient safety compliance</t>
        </is>
      </c>
      <c r="N374" s="86" t="inlineStr">
        <is>
          <t>HIGHEST</t>
        </is>
      </c>
      <c r="O374" s="87" t="inlineStr">
        <is>
          <t>https://www.moh.gov.sa/en/</t>
        </is>
      </c>
      <c r="P374" s="70" t="inlineStr">
        <is>
          <t>MOH official</t>
        </is>
      </c>
      <c r="Q374" s="70" t="inlineStr">
        <is>
          <t>First issued ~2015 → updates 2020 → 2024 update</t>
        </is>
      </c>
      <c r="R374" s="70" t="inlineStr">
        <is>
          <t>Based on WHO and JCI patient safety frameworks. Covers: patient identification (minimum 2 identifiers), medication safety (high-alert medications protocol), surgical safety checklist, falls prevention, infection control, critical value reporting, handover communications (SBAR). 2020 update added COVID-19 IPC protocols. 2024 update adds IoMT device safety (alarm fatigue management, device connectivity requirements)</t>
        </is>
      </c>
      <c r="S374" s="71" t="inlineStr">
        <is>
          <t>First: ~2015. Updated: 2020, 2024</t>
        </is>
      </c>
      <c r="T374" s="70" t="inlineStr">
        <is>
          <t>Annual review with MOH patient safety incidents data</t>
        </is>
      </c>
      <c r="U374" s="25" t="inlineStr">
        <is>
          <t>CURRENT — 2024 version</t>
        </is>
      </c>
      <c r="V374" s="70" t="inlineStr">
        <is>
          <t>MOH corrective action order; facility licence conditions; public safety alert; criminal liability for gross negligence</t>
        </is>
      </c>
      <c r="W374" s="72" t="inlineStr">
        <is>
          <t>MOH — Patient Safety Centre; regional health cluster inspection; CBAHI (patient safety standards embedded in accreditation)</t>
        </is>
      </c>
      <c r="X374" s="70" t="inlineStr">
        <is>
          <t>Hospital; Clinic; Government Health Entity</t>
        </is>
      </c>
      <c r="Y374" s="22" t="inlineStr">
        <is>
          <t>Both</t>
        </is>
      </c>
      <c r="Z374" s="70" t="inlineStr">
        <is>
          <t>Annual MOH patient safety inspection; CBAHI survey (integrated); incident investigation</t>
        </is>
      </c>
      <c r="AA374" s="71" t="inlineStr">
        <is>
          <t>Annual; triggered by serious adverse event</t>
        </is>
      </c>
      <c r="AB374" s="70" t="inlineStr">
        <is>
          <t>14 (alarm fatigue management for IoMT devices; connected infusion pump safety; IV smart pump drug library governance; patient ID for IoMT devices; device failure response procedures; remote monitoring alert management)</t>
        </is>
      </c>
      <c r="AC374" s="70" t="inlineStr">
        <is>
          <t>WHO Patient Safety Challenges (Global Patient Safety Action Plan 2021-2030); JCI Patient Safety Goals; The Joint Commission NPSG</t>
        </is>
      </c>
      <c r="AD374" s="49" t="inlineStr">
        <is>
          <t>Arabic (primary); English reference</t>
        </is>
      </c>
      <c r="AE374" s="26" t="inlineStr">
        <is>
          <t>Layer 1: Governance; Layer 4: Compliance</t>
        </is>
      </c>
      <c r="AF374" s="27" t="inlineStr">
        <is>
          <t>Yes — patient safety maturity levels (Safety-I to Safety-III); MOH tracks facility scores</t>
        </is>
      </c>
      <c r="AG374" s="70" t="inlineStr">
        <is>
          <t>HSTP patient safety; Vision 2030 quality targets; National Patient Safety Centre</t>
        </is>
      </c>
      <c r="AH374" s="70" t="inlineStr">
        <is>
          <t>Incident reporting system data; patient safety walkround records; fall prevention audit; medication safety audit; CBAHI patient safety standards compliance</t>
        </is>
      </c>
      <c r="AI374" s="73" t="inlineStr">
        <is>
          <t>Institutional theory and regulatory governance theory underpin all KSA regulatory frameworks. Specific theoretical basis varies by framework — consult academic literature via Google Scholar using framework name as search term.</t>
        </is>
      </c>
      <c r="AJ374" s="70" t="inlineStr">
        <is>
          <t>Academic debate varies by framework maturity and international adoption. For KSA-specific debate, consult: Almohammad &amp; Wills (2021) J Cybersecurity; Al-Khater et al. (2020) IEEE Access; Baker McKenzie KSA regulatory updates.</t>
        </is>
      </c>
      <c r="AK374" s="74" t="inlineStr">
        <is>
          <t>Known criticisms include: implementation gap between standards and practice; resource constraints for smaller healthcare entities; rapid technology evolution outpacing regulation. Consult framework evaluation literature for specifics.</t>
        </is>
      </c>
      <c r="AL374" s="75" t="inlineStr">
        <is>
          <t>Framework comparison requires contextual analysis. Key comparators: NIST CSF 2.0 (international benchmark), ISO 27001 (certifiable standard), ECC-2 (KSA mandatory baseline). See main database for cross-framework mapping.</t>
        </is>
      </c>
      <c r="AM374"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74" s="50" t="inlineStr">
        <is>
          <t>Official: Consult the official source URL in the database for the primary document. Training: ISACA, ISC2, RAPS, IAPP, and HIMSS offer professional development covering most regulatory domains. Estimated hours vary by framework complexity.</t>
        </is>
      </c>
      <c r="AO374" s="77" t="inlineStr">
        <is>
          <t>Relevance to GH-ICGA framework varies by layer — see GH-ICGA Layer Mapping column. All KSA mandatory frameworks are compliance inputs to GH-ICGA Layer 4. Frameworks with IoMT-specific provisions directly inform Layers 2 and 3.</t>
        </is>
      </c>
      <c r="AP374" s="51" t="inlineStr">
        <is>
          <t>G + C (Governance + Compliance — standard regulatory framework positioning)</t>
        </is>
      </c>
      <c r="AQ374" s="78" t="inlineStr">
        <is>
          <t>Senior management: accountability for framework compliance. Designated compliance officer: monitor requirements. All staff: awareness of applicable obligations</t>
        </is>
      </c>
      <c r="AR374" s="74" t="inlineStr">
        <is>
          <t>Regulatory Risk; Operational Risk; Reputational Risk — specific domains determined by framework scope</t>
        </is>
      </c>
      <c r="AS374" s="22" t="inlineStr">
        <is>
          <t>See official source — legal obligation, regulatory requirement, or voluntary standard as applicable</t>
        </is>
      </c>
      <c r="AT374" s="75" t="inlineStr">
        <is>
          <t>Administrative; Technical; Operational — specific distribution determined by framework content</t>
        </is>
      </c>
      <c r="AU374" s="79" t="inlineStr">
        <is>
          <t>1. Compliance status (compliant/non-compliant). 2. # open findings from last assessment. 3. % controls implemented. 4. Time to remediate findings. 5. Incident rate in framework scope area</t>
        </is>
      </c>
      <c r="AV374" s="80" t="inlineStr">
        <is>
          <t>Self-assessment; internal audit; external assessment as specified by issuing authority</t>
        </is>
      </c>
      <c r="AW374" s="81" t="inlineStr">
        <is>
          <t>ServiceNow GRC; IBM OpenPages; RSA Archer; MetricStream — all major GRC platforms support custom framework import. Contact vendor for framework-specific module</t>
        </is>
      </c>
      <c r="AX374" s="82" t="inlineStr">
        <is>
          <t>Third parties in scope must demonstrate equivalent compliance. Contractual compliance obligations; right-to-audit clauses; annual third-party assessment</t>
        </is>
      </c>
      <c r="AY374" s="83" t="inlineStr">
        <is>
          <t>Non-compliance: regulatory action by issuing authority; fines and penalties as specified; operational and reputational consequences</t>
        </is>
      </c>
      <c r="AZ374" s="80" t="inlineStr">
        <is>
          <t>Healthcare &amp; Life Sciences</t>
        </is>
      </c>
      <c r="BA374" s="41" t="inlineStr">
        <is>
          <t>Sector-Specific</t>
        </is>
      </c>
      <c r="BB374" s="591">
        <f>IF(E374="","",IF(ISNUMBER(SEARCH("Institutional theory and regulatory governance theory underpin",AI374)),"TEMPLATE",IF(LEN(AI374)&gt;100,"DEEP",IF(AI374="","SPARSE","SHALLOW"))))</f>
        <v/>
      </c>
      <c r="BC374" s="591">
        <f>IF(E374="","",D374&amp;"-"&amp;B374&amp;"-"&amp;E374)</f>
        <v/>
      </c>
      <c r="BD374" s="591">
        <f>IF(E374="","",SUBSTITUTE(SUBSTITUTE(B374&amp;"-"&amp;E374," ",""),":","-"))</f>
        <v/>
      </c>
      <c r="BE374" s="591">
        <f>IF(E374="","",IF(ISNUMBER(SEARCH("ECC",E374)),"NCA-ECC-2-2024",IF(ISNUMBER(SEARCH("OTCC",E374)),"NCA-ECC-2-2024",IF(ISNUMBER(SEARCH("CCC",E374)),"NCA-ECC-2-2024",IF(ISNUMBER(SEARCH("DCC",E374)),"NCA-ECC-2-2024",IF(ISNUMBER(SEARCH("CSCC",E374)),"NCA-ECC-2-2024",IF(ISNUMBER(SEARCH("PDPL-IR",E374)),"PDPL-2021",IF(ISNUMBER(SEARCH("PDPL-DTR",E374)),"PDPL-2021","NONE"))))))))</f>
        <v/>
      </c>
      <c r="BF374" s="594">
        <f>IF(E374="","",IF(BB374="DEEP",10,IF(BB374="SHALLOW",5,IF(BB374="TEMPLATE",3,1)))+IF(N374="HIGHEST",5,IF(N374="HIGH",3,IF(N374="MODERATE",1,0)))+IF(ISNUMBER(SEARCH("Mandatory",L374)),3,0))</f>
        <v/>
      </c>
    </row>
    <row r="375" ht="42" customHeight="1">
      <c r="A375" s="42" t="n">
        <v>326</v>
      </c>
      <c r="B375" s="412" t="inlineStr">
        <is>
          <t>RHC2</t>
        </is>
      </c>
      <c r="C375" s="44" t="inlineStr">
        <is>
          <t>Riyadh Health Cluster 2</t>
        </is>
      </c>
      <c r="D375" s="44" t="inlineStr">
        <is>
          <t>17. Regional Health Clusters</t>
        </is>
      </c>
      <c r="E375" s="412" t="inlineStr">
        <is>
          <t>MOH-PR</t>
        </is>
      </c>
      <c r="F375" s="45" t="inlineStr">
        <is>
          <t>Patient Rights Charter</t>
        </is>
      </c>
      <c r="G375" s="44" t="inlineStr">
        <is>
          <t>ميثاق حقوق المريض</t>
        </is>
      </c>
      <c r="H375" s="44" t="inlineStr">
        <is>
          <t>2019</t>
        </is>
      </c>
      <c r="I375" s="46" t="inlineStr">
        <is>
          <t>2012</t>
        </is>
      </c>
      <c r="J375" s="46" t="inlineStr">
        <is>
          <t>45</t>
        </is>
      </c>
      <c r="K375" s="44" t="inlineStr">
        <is>
          <t>MUST COMPLY WITH</t>
        </is>
      </c>
      <c r="L375" s="66" t="inlineStr">
        <is>
          <t>Mandatory Complier</t>
        </is>
      </c>
      <c r="M375" s="44" t="inlineStr">
        <is>
          <t>Riyadh Health Cluster 2 facilities</t>
        </is>
      </c>
      <c r="N375" s="54" t="inlineStr">
        <is>
          <t>HIGH</t>
        </is>
      </c>
      <c r="O375" s="48" t="inlineStr">
        <is>
          <t>https://www.moh.gov.sa/en/</t>
        </is>
      </c>
      <c r="P375" s="44" t="inlineStr">
        <is>
          <t>MOH official</t>
        </is>
      </c>
      <c r="Q375" s="70" t="inlineStr">
        <is>
          <t>First Charter ~2012 → updated 2019</t>
        </is>
      </c>
      <c r="R375" s="70" t="inlineStr">
        <is>
          <t>45 rights and obligations. Key provisions: informed consent (including electronic consent for telemedicine), right to access medical records (digital access through NABIDH patient portal), right to privacy of health information, right to refuse treatment, right to second opinion. 2019 update added digital health rights (right to data portability from health apps)</t>
        </is>
      </c>
      <c r="S375" s="71" t="inlineStr">
        <is>
          <t>First: ~2012. Updated: 2019</t>
        </is>
      </c>
      <c r="T375" s="70" t="inlineStr">
        <is>
          <t>Review 2024-2025 expected to add AI/algorithmic transparency rights</t>
        </is>
      </c>
      <c r="U375" s="25" t="inlineStr">
        <is>
          <t>CURRENT — 2019 version</t>
        </is>
      </c>
      <c r="V375" s="70" t="inlineStr">
        <is>
          <t>Penalties defined by issuing authority; consult official source. NCA ECC-2 penalties apply if relevant</t>
        </is>
      </c>
      <c r="W375" s="72" t="inlineStr">
        <is>
          <t>Issuing authority and/or designated inspection department</t>
        </is>
      </c>
      <c r="X375" s="70" t="inlineStr">
        <is>
          <t>As specified in framework scope — consult official document</t>
        </is>
      </c>
      <c r="Y375" s="49" t="inlineStr">
        <is>
          <t>Both (unless specified otherwise in official document)</t>
        </is>
      </c>
      <c r="Z375" s="70" t="inlineStr">
        <is>
          <t>As defined by issuing authority</t>
        </is>
      </c>
      <c r="AA375" s="71" t="inlineStr">
        <is>
          <t>As defined by issuing authority</t>
        </is>
      </c>
      <c r="AB375" s="70" t="inlineStr">
        <is>
          <t>To be determined from framework text — see official source</t>
        </is>
      </c>
      <c r="AC375" s="70" t="inlineStr">
        <is>
          <t>See framework preamble for international standard references</t>
        </is>
      </c>
      <c r="AD375" s="49" t="inlineStr">
        <is>
          <t>Arabic (primary in KSA); English may be available</t>
        </is>
      </c>
      <c r="AE375" s="58" t="inlineStr">
        <is>
          <t>Mapped to relevant GH-ICGA layer — requires manual assessment</t>
        </is>
      </c>
      <c r="AF375" s="56" t="inlineStr">
        <is>
          <t>See official framework for maturity model details</t>
        </is>
      </c>
      <c r="AG375" s="70" t="inlineStr">
        <is>
          <t>Aligned with relevant Vision 2030 programme — see framework context</t>
        </is>
      </c>
      <c r="AH375" s="70" t="inlineStr">
        <is>
          <t>As specified in framework compliance requirements</t>
        </is>
      </c>
      <c r="AI375" s="73" t="inlineStr">
        <is>
          <t>Institutional theory and regulatory governance theory underpin all KSA regulatory frameworks. Specific theoretical basis varies by framework — consult academic literature via Google Scholar using framework name as search term.</t>
        </is>
      </c>
      <c r="AJ375" s="70" t="inlineStr">
        <is>
          <t>Academic debate varies by framework maturity and international adoption. For KSA-specific debate, consult: Almohammad &amp; Wills (2021) J Cybersecurity; Al-Khater et al. (2020) IEEE Access; Baker McKenzie KSA regulatory updates.</t>
        </is>
      </c>
      <c r="AK375" s="74" t="inlineStr">
        <is>
          <t>Known criticisms include: implementation gap between standards and practice; resource constraints for smaller healthcare entities; rapid technology evolution outpacing regulation. Consult framework evaluation literature for specifics.</t>
        </is>
      </c>
      <c r="AL375" s="75" t="inlineStr">
        <is>
          <t>Framework comparison requires contextual analysis. Key comparators: NIST CSF 2.0 (international benchmark), ISO 27001 (certifiable standard), ECC-2 (KSA mandatory baseline). See main database for cross-framework mapping.</t>
        </is>
      </c>
      <c r="AM375"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75" s="50" t="inlineStr">
        <is>
          <t>Official: Consult the official source URL in the database for the primary document. Training: ISACA, ISC2, RAPS, IAPP, and HIMSS offer professional development covering most regulatory domains. Estimated hours vary by framework complexity.</t>
        </is>
      </c>
      <c r="AO375" s="77" t="inlineStr">
        <is>
          <t>Relevance to GH-ICGA framework varies by layer — see GH-ICGA Layer Mapping column. All KSA mandatory frameworks are compliance inputs to GH-ICGA Layer 4. Frameworks with IoMT-specific provisions directly inform Layers 2 and 3.</t>
        </is>
      </c>
      <c r="AP375" s="51" t="inlineStr">
        <is>
          <t>G + C (Governance + Compliance — standard regulatory framework positioning)</t>
        </is>
      </c>
      <c r="AQ375" s="78" t="inlineStr">
        <is>
          <t>Senior management: accountability for framework compliance. Designated compliance officer: monitor requirements. All staff: awareness of applicable obligations</t>
        </is>
      </c>
      <c r="AR375" s="74" t="inlineStr">
        <is>
          <t>Regulatory Risk; Operational Risk; Reputational Risk — specific domains determined by framework scope</t>
        </is>
      </c>
      <c r="AS375" s="22" t="inlineStr">
        <is>
          <t>See official source — legal obligation, regulatory requirement, or voluntary standard as applicable</t>
        </is>
      </c>
      <c r="AT375" s="75" t="inlineStr">
        <is>
          <t>Administrative; Technical; Operational — specific distribution determined by framework content</t>
        </is>
      </c>
      <c r="AU375" s="79" t="inlineStr">
        <is>
          <t>1. Compliance status (compliant/non-compliant). 2. # open findings from last assessment. 3. % controls implemented. 4. Time to remediate findings. 5. Incident rate in framework scope area</t>
        </is>
      </c>
      <c r="AV375" s="80" t="inlineStr">
        <is>
          <t>Self-assessment; internal audit; external assessment as specified by issuing authority</t>
        </is>
      </c>
      <c r="AW375" s="81" t="inlineStr">
        <is>
          <t>ServiceNow GRC; IBM OpenPages; RSA Archer; MetricStream — all major GRC platforms support custom framework import. Contact vendor for framework-specific module</t>
        </is>
      </c>
      <c r="AX375" s="82" t="inlineStr">
        <is>
          <t>Third parties in scope must demonstrate equivalent compliance. Contractual compliance obligations; right-to-audit clauses; annual third-party assessment</t>
        </is>
      </c>
      <c r="AY375" s="83" t="inlineStr">
        <is>
          <t>Non-compliance: regulatory action by issuing authority; fines and penalties as specified; operational and reputational consequences</t>
        </is>
      </c>
      <c r="AZ375" s="80" t="inlineStr">
        <is>
          <t>Healthcare &amp; Life Sciences</t>
        </is>
      </c>
      <c r="BA375" s="41" t="inlineStr">
        <is>
          <t>Sector-Specific</t>
        </is>
      </c>
      <c r="BB375" s="591">
        <f>IF(E375="","",IF(ISNUMBER(SEARCH("Institutional theory and regulatory governance theory underpin",AI375)),"TEMPLATE",IF(LEN(AI375)&gt;100,"DEEP",IF(AI375="","SPARSE","SHALLOW"))))</f>
        <v/>
      </c>
      <c r="BC375" s="591">
        <f>IF(E375="","",D375&amp;"-"&amp;B375&amp;"-"&amp;E375)</f>
        <v/>
      </c>
      <c r="BD375" s="591">
        <f>IF(E375="","",SUBSTITUTE(SUBSTITUTE(B375&amp;"-"&amp;E375," ",""),":","-"))</f>
        <v/>
      </c>
      <c r="BE375" s="591">
        <f>IF(E375="","",IF(ISNUMBER(SEARCH("ECC",E375)),"NCA-ECC-2-2024",IF(ISNUMBER(SEARCH("OTCC",E375)),"NCA-ECC-2-2024",IF(ISNUMBER(SEARCH("CCC",E375)),"NCA-ECC-2-2024",IF(ISNUMBER(SEARCH("DCC",E375)),"NCA-ECC-2-2024",IF(ISNUMBER(SEARCH("CSCC",E375)),"NCA-ECC-2-2024",IF(ISNUMBER(SEARCH("PDPL-IR",E375)),"PDPL-2021",IF(ISNUMBER(SEARCH("PDPL-DTR",E375)),"PDPL-2021","NONE"))))))))</f>
        <v/>
      </c>
      <c r="BF375" s="594">
        <f>IF(E375="","",IF(BB375="DEEP",10,IF(BB375="SHALLOW",5,IF(BB375="TEMPLATE",3,1)))+IF(N375="HIGHEST",5,IF(N375="HIGH",3,IF(N375="MODERATE",1,0)))+IF(ISNUMBER(SEARCH("Mandatory",L375)),3,0))</f>
        <v/>
      </c>
    </row>
    <row r="376" ht="42" customHeight="1">
      <c r="A376" s="84" t="n">
        <v>327</v>
      </c>
      <c r="B376" s="411" t="inlineStr">
        <is>
          <t>RHC2</t>
        </is>
      </c>
      <c r="C376" s="70" t="inlineStr">
        <is>
          <t>Riyadh Health Cluster 2</t>
        </is>
      </c>
      <c r="D376" s="70" t="inlineStr">
        <is>
          <t>17. Regional Health Clusters</t>
        </is>
      </c>
      <c r="E376" s="411" t="inlineStr">
        <is>
          <t>CBAHI-HAS-H</t>
        </is>
      </c>
      <c r="F376" s="72" t="inlineStr">
        <is>
          <t>Hospital Accreditation Standards</t>
        </is>
      </c>
      <c r="G376" s="70" t="inlineStr">
        <is>
          <t>معايير اعتماد المستشفيات</t>
        </is>
      </c>
      <c r="H376" s="70" t="inlineStr">
        <is>
          <t>5th Ed. 2021</t>
        </is>
      </c>
      <c r="I376" s="71" t="inlineStr">
        <is>
          <t>2008</t>
        </is>
      </c>
      <c r="J376" s="71" t="inlineStr">
        <is>
          <t>298</t>
        </is>
      </c>
      <c r="K376" s="70" t="inlineStr">
        <is>
          <t>MUST COMPLY WITH</t>
        </is>
      </c>
      <c r="L376" s="92" t="inlineStr">
        <is>
          <t>Voluntary</t>
        </is>
      </c>
      <c r="M376" s="70" t="inlineStr">
        <is>
          <t>Riyadh Health Cluster 2 hospitals pursuing CBAHI accreditation</t>
        </is>
      </c>
      <c r="N376" s="86" t="inlineStr">
        <is>
          <t>HIGHEST</t>
        </is>
      </c>
      <c r="O376" s="87" t="inlineStr">
        <is>
          <t>https://www.cbahi.gov.sa/</t>
        </is>
      </c>
      <c r="P376" s="70" t="inlineStr">
        <is>
          <t>CBAHI official</t>
        </is>
      </c>
      <c r="Q376" s="70" t="inlineStr">
        <is>
          <t>1st Ed 2008 → 2nd Ed 2011 → 3rd Ed 2014 → 4th Ed 2017 → 5th Ed 2021</t>
        </is>
      </c>
      <c r="R376" s="70" t="inlineStr">
        <is>
          <t>5th Edition (2021, current): 298 standards across domains including Patient and Family Rights, Patient Assessment, Care of Patients, Patient Safety, Medication Management, Infection Prevention, Facility Management, Staff Qualifications, Quality Improvement, Governance, HIT (Health Information Technology). HIT standards require EMR, NABIDH connectivity, access control, audit trails, downtime procedures. IoMT requirements added in 5th Ed: medical device integration standards, alarm management policy. Benchmarked against JCI standards</t>
        </is>
      </c>
      <c r="S376" s="71" t="inlineStr">
        <is>
          <t>1st Ed: 2008. 2nd: 2011. 3rd: 2014. 4th: 2017. 5th: 2021</t>
        </is>
      </c>
      <c r="T376" s="70" t="inlineStr">
        <is>
          <t>6th Edition expected 2025-2026</t>
        </is>
      </c>
      <c r="U376" s="25" t="inlineStr">
        <is>
          <t>CURRENT — 5th Edition 2021</t>
        </is>
      </c>
      <c r="V376" s="70" t="inlineStr">
        <is>
          <t>Accreditation denial; accreditation suspension; accreditation withdrawal; MOH facility licensing risk (accreditation linked to licensing in practice)</t>
        </is>
      </c>
      <c r="W376" s="72" t="inlineStr">
        <is>
          <t>CBAHI — Accreditation Survey Teams (peer surveyors); MOH recognises CBAHI as national accreditor</t>
        </is>
      </c>
      <c r="X376" s="70" t="inlineStr">
        <is>
          <t>Hospital (primary scope); Teaching Hospital; Specialist Centre</t>
        </is>
      </c>
      <c r="Y376" s="49" t="inlineStr">
        <is>
          <t>Both (voluntary but operationally required)</t>
        </is>
      </c>
      <c r="Z376" s="70" t="inlineStr">
        <is>
          <t>Full survey every 3 years; midterm (focused) survey at 18 months; unannounced visits; corrective action follow-up</t>
        </is>
      </c>
      <c r="AA376" s="71" t="inlineStr">
        <is>
          <t>Full survey: 3-year cycle. Midterm: 18 months. Unannounced: possible at any time</t>
        </is>
      </c>
      <c r="AB376" s="70" t="inlineStr">
        <is>
          <t>22 (HIT standards: medical device integration; alarm management policy mandatory; device maintenance logs; remote monitoring governance; downtime procedures; device inventory; cybersecurity of clinical systems as patient safety issue)</t>
        </is>
      </c>
      <c r="AC376" s="70" t="inlineStr">
        <is>
          <t>JCI (Joint Commission International) — benchmarked; ISQua (accreditation body accreditor); WHO Safe Hospitals Framework</t>
        </is>
      </c>
      <c r="AD376" s="22" t="inlineStr">
        <is>
          <t>Arabic + English (official bilingual)</t>
        </is>
      </c>
      <c r="AE376" s="26" t="inlineStr">
        <is>
          <t>Layer 1: Governance; Layer 4: Compliance; Layer 5: Assurance</t>
        </is>
      </c>
      <c r="AF376" s="27" t="inlineStr">
        <is>
          <t>Yes — Met / Partially Met / Not Met / Not Applicable per standard; overall accreditation decision = scored threshold</t>
        </is>
      </c>
      <c r="AG376" s="70" t="inlineStr">
        <is>
          <t>HSTP quality transformation; Vision 2030 healthcare quality targets (JCI/CBAHI accreditation for all tertiary hospitals)</t>
        </is>
      </c>
      <c r="AH376" s="70" t="inlineStr">
        <is>
          <t>Survey self-assessment; policy documentation; staff credential files; patient safety incident log; HIT system audit; quality improvement data; patient satisfaction scores</t>
        </is>
      </c>
      <c r="AI376" s="73" t="inlineStr">
        <is>
          <t>Healthcare quality theory (Donabedian 1988): structure-process-outcome triad. Accreditation theory: third-party external validation as quality assurance mechanism. Institutional isomorphism: accreditation spreads best practices through mimetic pressure. Patient safety culture theory (Reason 2000): systems-based safety vs blame culture.</t>
        </is>
      </c>
      <c r="AJ376" s="70" t="inlineStr">
        <is>
          <t>FOR: Almutairi et al. (2015) and Alkhenizan &amp; Shaw (2011) find CBAHI-accredited hospitals show measurable quality improvements; national benchmark grounded in Saudi context unlike JCI (US-centric); patient safety improvements documented post-accreditation. AGAINST: Voluntariness undermines universal coverage — only ~40% of KSA hospitals accredited (WHO PHSSR 2025); Greenfield &amp; Braithwaite (2008) meta-analysis questions causal link between accreditation and patient outcomes; survey preparation creates compliance-oriented behaviours rather than genuine quality improvement (gaming risk)</t>
        </is>
      </c>
      <c r="AK376" s="74" t="inlineStr">
        <is>
          <t>3-year survey cycle too long for rapid IoMT deployment environment; HIT standards in 5th Ed still less specific than HIMSS EMRAM Stage 6/7 requirements; cybersecurity standards within CBAHI remain minimal compared to NCA ECC-2 requirements; no dedicated IoMT governance chapter despite medical device proliferation; rural and small facility accreditation rates critically low</t>
        </is>
      </c>
      <c r="AL376" s="75" t="inlineStr">
        <is>
          <t>CBAHI vs JCI: JCI globally recognised; CBAHI nationally recognised — JCI preferred for medical tourism attracting hospitals. CBAHI vs HIMSS EMRAM: CBAHI is broad clinical; HIMSS EMRAM is digital health maturity-specific. CBAHI vs DNV: CBAHI similar survey model. CBAHI + HIMSS EMRAM combined = most comprehensive digital health quality picture for KSA hospitals</t>
        </is>
      </c>
      <c r="AM376" s="76" t="inlineStr">
        <is>
          <t>Alkhenizan A &amp; Shaw C (2011) 'Impact of Accreditation' Ann Saudi Med 31(4); Almutairi AF et al. (2015) 'Perceptions of CBAHI Accreditation' BMC Health Services Research; Donabedian A (1988) 'Quality of Care' JAMA 260(12); Greenfield D &amp; Braithwaite J (2008) 'Health Sector Accreditation Research' Int J Quality Health Care 20(3); WHO (2025) PHSSR Saudi Arabia</t>
        </is>
      </c>
      <c r="AN376" s="50" t="inlineStr">
        <is>
          <t>Official: CBAHI website (cbahi.gov.sa) — standards available to purchase. Training: CBAHI education programmes; surveyor training; CPHQ (Certified Professional in Healthcare Quality). Estimated: 60 hours for surveyors; 20 hours for department leads</t>
        </is>
      </c>
      <c r="AO376" s="77" t="inlineStr">
        <is>
          <t>GH-ICGA Layer 5 (Assurance) — CBAHI accreditation is the primary assurance mechanism for hospital IoMT governance. Thesis argument: CBAHI-HAS-H 5th Ed HIT standards need a cybersecurity annex for IoMT — GH-ICGA Layer 5 Assurance proposes an IoMT-specific evaluation framework that could be adopted within CBAHI survey process</t>
        </is>
      </c>
      <c r="AP376" s="51" t="inlineStr">
        <is>
          <t>G + C (Governance through quality standards + voluntary compliance assurance)</t>
        </is>
      </c>
      <c r="AQ376" s="78" t="inlineStr">
        <is>
          <t>CEO: accountable for accreditation status. CMO: responsible for clinical quality chapter compliance. CNO: responsible for nursing quality. Quality/Patient Safety Director: coordinates accreditation programme. Department heads: responsible for chapter compliance in their domain. Accreditation Committee: cross-functional governance body</t>
        </is>
      </c>
      <c r="AR376" s="74" t="inlineStr">
        <is>
          <t>Quality Risk; Patient Safety Risk; Operational Risk (accreditation loss = licensing risk); Reputational Risk; Regulatory Risk (MOH links accreditation to licensing in practice)</t>
        </is>
      </c>
      <c r="AS376" s="92" t="inlineStr">
        <is>
          <t>VOLUNTARY — but operationally MANDATORY (MOH licensing increasingly linked to CBAHI in practice; required for JCI-referencing hospitals and private insurance network participation)</t>
        </is>
      </c>
      <c r="AT376" s="75" t="inlineStr">
        <is>
          <t>Administrative (A): 150 controls — policies; procedures; governance; quality committees. Technical (T): 48 controls — HIT; equipment maintenance; diagnostic systems. Operational (O): 100 controls — clinical procedures; patient safety practices; staff competencies</t>
        </is>
      </c>
      <c r="AU376" s="79" t="inlineStr">
        <is>
          <t>1. CBAHI survey score per chapter (target ≥90% Met). 2. # sentinel events per 1,000 admissions. 3. Falls rate per 1,000 patient days. 4. Hospital-acquired infection rate. 5. Patient satisfaction score (target &gt;90%). 6. Medication error rate. 7. HIT compliance score (CBAHI HIT chapter)</t>
        </is>
      </c>
      <c r="AV376" s="80" t="inlineStr">
        <is>
          <t>CBAHI full survey (3-year cycle — 2-3 day on-site assessment); midterm survey (18 months — focused chapters); unannounced visit (possible any time); tracer methodology; document review; staff interviews; facility inspection</t>
        </is>
      </c>
      <c r="AW376" s="81" t="inlineStr">
        <is>
          <t>Accreditation Manager (CBAHI online platform); EQUIP (quality management platform); PowerDMS; Quantros; Press Ganey (patient satisfaction); Meditech/Epic quality modules; RL6 (incident reporting)</t>
        </is>
      </c>
      <c r="AX376" s="82" t="inlineStr">
        <is>
          <t>Contractors and service providers in clinical areas must meet CBAHI competency requirements; credentialing of contracted physicians required; outsourced services (laundry, catering, security) must meet CBAHI environment chapter standards; medical device vendors: CBAHI biomedical equipment requirements</t>
        </is>
      </c>
      <c r="AY376" s="83" t="inlineStr">
        <is>
          <t>Accreditation denial: cannot be MOH referral centre; excluded from major insurance networks; reputational damage. Accreditation suspension: immediate revenue impact from insurance exclusion. MOH can condition facility licence on CBAHI compliance</t>
        </is>
      </c>
      <c r="AZ376" s="80" t="inlineStr">
        <is>
          <t>Healthcare &amp; Life Sciences</t>
        </is>
      </c>
      <c r="BA376" s="41" t="inlineStr">
        <is>
          <t>Sector-Specific</t>
        </is>
      </c>
      <c r="BB376" s="591">
        <f>IF(E376="","",IF(ISNUMBER(SEARCH("Institutional theory and regulatory governance theory underpin",AI376)),"TEMPLATE",IF(LEN(AI376)&gt;100,"DEEP",IF(AI376="","SPARSE","SHALLOW"))))</f>
        <v/>
      </c>
      <c r="BC376" s="591">
        <f>IF(E376="","",D376&amp;"-"&amp;B376&amp;"-"&amp;E376)</f>
        <v/>
      </c>
      <c r="BD376" s="591">
        <f>IF(E376="","",SUBSTITUTE(SUBSTITUTE(B376&amp;"-"&amp;E376," ",""),":","-"))</f>
        <v/>
      </c>
      <c r="BE376" s="591">
        <f>IF(E376="","",IF(ISNUMBER(SEARCH("ECC",E376)),"NCA-ECC-2-2024",IF(ISNUMBER(SEARCH("OTCC",E376)),"NCA-ECC-2-2024",IF(ISNUMBER(SEARCH("CCC",E376)),"NCA-ECC-2-2024",IF(ISNUMBER(SEARCH("DCC",E376)),"NCA-ECC-2-2024",IF(ISNUMBER(SEARCH("CSCC",E376)),"NCA-ECC-2-2024",IF(ISNUMBER(SEARCH("PDPL-IR",E376)),"PDPL-2021",IF(ISNUMBER(SEARCH("PDPL-DTR",E376)),"PDPL-2021","NONE"))))))))</f>
        <v/>
      </c>
      <c r="BF376" s="594">
        <f>IF(E376="","",IF(BB376="DEEP",10,IF(BB376="SHALLOW",5,IF(BB376="TEMPLATE",3,1)))+IF(N376="HIGHEST",5,IF(N376="HIGH",3,IF(N376="MODERATE",1,0)))+IF(ISNUMBER(SEARCH("Mandatory",L376)),3,0))</f>
        <v/>
      </c>
    </row>
    <row r="377" ht="42" customHeight="1">
      <c r="A377" s="42" t="n">
        <v>328</v>
      </c>
      <c r="B377" s="412" t="inlineStr">
        <is>
          <t>RHC2</t>
        </is>
      </c>
      <c r="C377" s="44" t="inlineStr">
        <is>
          <t>Riyadh Health Cluster 2</t>
        </is>
      </c>
      <c r="D377" s="44" t="inlineStr">
        <is>
          <t>17. Regional Health Clusters</t>
        </is>
      </c>
      <c r="E377" s="412" t="inlineStr">
        <is>
          <t>NCA-ECC-2:2024</t>
        </is>
      </c>
      <c r="F377" s="45" t="inlineStr">
        <is>
          <t>Essential Cybersecurity Controls</t>
        </is>
      </c>
      <c r="G377" s="44" t="inlineStr">
        <is>
          <t>ضوابط الأمن السيبراني الأساسية</t>
        </is>
      </c>
      <c r="H377" s="44" t="inlineStr">
        <is>
          <t>ECC-2:2024</t>
        </is>
      </c>
      <c r="I377" s="46" t="inlineStr">
        <is>
          <t>2018</t>
        </is>
      </c>
      <c r="J377" s="46" t="inlineStr">
        <is>
          <t>108</t>
        </is>
      </c>
      <c r="K377" s="44" t="inlineStr">
        <is>
          <t>MUST COMPLY WITH</t>
        </is>
      </c>
      <c r="L377" s="66" t="inlineStr">
        <is>
          <t>Mandatory Complier</t>
        </is>
      </c>
      <c r="M377" s="44" t="inlineStr">
        <is>
          <t>Riyadh Health Cluster 2 as government entity — hospital networks</t>
        </is>
      </c>
      <c r="N377" s="47" t="inlineStr">
        <is>
          <t>HIGHEST</t>
        </is>
      </c>
      <c r="O377" s="48" t="inlineStr">
        <is>
          <t>https://nca.gov.sa/</t>
        </is>
      </c>
      <c r="P377" s="44" t="inlineStr">
        <is>
          <t>NCA ECC scope</t>
        </is>
      </c>
      <c r="Q377" s="70" t="inlineStr">
        <is>
          <t>See official source for version history</t>
        </is>
      </c>
      <c r="R377" s="70" t="inlineStr">
        <is>
          <t>Framework issued by the relevant authority. Version details available on the official website referenced in the source URL column. The framework has been updated periodically since first issuance.</t>
        </is>
      </c>
      <c r="S377" s="71" t="inlineStr">
        <is>
          <t>See official source</t>
        </is>
      </c>
      <c r="T377" s="70" t="inlineStr">
        <is>
          <t>Updated as needed by the issuing authority</t>
        </is>
      </c>
      <c r="U377" s="25" t="inlineStr">
        <is>
          <t>CURRENT — consult official source for latest version</t>
        </is>
      </c>
      <c r="V377" s="70" t="inlineStr">
        <is>
          <t>Penalties defined by issuing authority; consult official source. NCA ECC-2 penalties apply if relevant</t>
        </is>
      </c>
      <c r="W377" s="72" t="inlineStr">
        <is>
          <t>Issuing authority and/or designated inspection department</t>
        </is>
      </c>
      <c r="X377" s="70" t="inlineStr">
        <is>
          <t>As specified in framework scope — consult official document</t>
        </is>
      </c>
      <c r="Y377" s="49" t="inlineStr">
        <is>
          <t>Both (unless specified otherwise in official document)</t>
        </is>
      </c>
      <c r="Z377" s="70" t="inlineStr">
        <is>
          <t>As defined by issuing authority</t>
        </is>
      </c>
      <c r="AA377" s="71" t="inlineStr">
        <is>
          <t>As defined by issuing authority</t>
        </is>
      </c>
      <c r="AB377" s="70" t="inlineStr">
        <is>
          <t>To be determined from framework text — see official source</t>
        </is>
      </c>
      <c r="AC377" s="70" t="inlineStr">
        <is>
          <t>See framework preamble for international standard references</t>
        </is>
      </c>
      <c r="AD377" s="49" t="inlineStr">
        <is>
          <t>Arabic (primary in KSA); English may be available</t>
        </is>
      </c>
      <c r="AE377" s="58" t="inlineStr">
        <is>
          <t>Mapped to relevant GH-ICGA layer — requires manual assessment</t>
        </is>
      </c>
      <c r="AF377" s="56" t="inlineStr">
        <is>
          <t>See official framework for maturity model details</t>
        </is>
      </c>
      <c r="AG377" s="70" t="inlineStr">
        <is>
          <t>Aligned with relevant Vision 2030 programme — see framework context</t>
        </is>
      </c>
      <c r="AH377" s="70" t="inlineStr">
        <is>
          <t>As specified in framework compliance requirements</t>
        </is>
      </c>
      <c r="AI377" s="73" t="inlineStr">
        <is>
          <t>Institutional theory and regulatory governance theory underpin all KSA regulatory frameworks. Specific theoretical basis varies by framework — consult academic literature via Google Scholar using framework name as search term.</t>
        </is>
      </c>
      <c r="AJ377" s="70" t="inlineStr">
        <is>
          <t>Academic debate varies by framework maturity and international adoption. For KSA-specific debate, consult: Almohammad &amp; Wills (2021) J Cybersecurity; Al-Khater et al. (2020) IEEE Access; Baker McKenzie KSA regulatory updates.</t>
        </is>
      </c>
      <c r="AK377" s="74" t="inlineStr">
        <is>
          <t>Known criticisms include: implementation gap between standards and practice; resource constraints for smaller healthcare entities; rapid technology evolution outpacing regulation. Consult framework evaluation literature for specifics.</t>
        </is>
      </c>
      <c r="AL377" s="75" t="inlineStr">
        <is>
          <t>Framework comparison requires contextual analysis. Key comparators: NIST CSF 2.0 (international benchmark), ISO 27001 (certifiable standard), ECC-2 (KSA mandatory baseline). See main database for cross-framework mapping.</t>
        </is>
      </c>
      <c r="AM377"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77" s="50" t="inlineStr">
        <is>
          <t>Official: Consult the official source URL in the database for the primary document. Training: ISACA, ISC2, RAPS, IAPP, and HIMSS offer professional development covering most regulatory domains. Estimated hours vary by framework complexity.</t>
        </is>
      </c>
      <c r="AO377" s="77" t="inlineStr">
        <is>
          <t>Relevance to GH-ICGA framework varies by layer — see GH-ICGA Layer Mapping column. All KSA mandatory frameworks are compliance inputs to GH-ICGA Layer 4. Frameworks with IoMT-specific provisions directly inform Layers 2 and 3.</t>
        </is>
      </c>
      <c r="AP377" s="51" t="inlineStr">
        <is>
          <t>G + C (Governance + Compliance — standard regulatory framework positioning)</t>
        </is>
      </c>
      <c r="AQ377" s="78" t="inlineStr">
        <is>
          <t>Senior management: accountability for framework compliance. Designated compliance officer: monitor requirements. All staff: awareness of applicable obligations</t>
        </is>
      </c>
      <c r="AR377" s="74" t="inlineStr">
        <is>
          <t>Regulatory Risk; Operational Risk; Reputational Risk — specific domains determined by framework scope</t>
        </is>
      </c>
      <c r="AS377" s="22" t="inlineStr">
        <is>
          <t>See official source — legal obligation, regulatory requirement, or voluntary standard as applicable</t>
        </is>
      </c>
      <c r="AT377" s="75" t="inlineStr">
        <is>
          <t>Administrative; Technical; Operational — specific distribution determined by framework content</t>
        </is>
      </c>
      <c r="AU377" s="79" t="inlineStr">
        <is>
          <t>1. Compliance status (compliant/non-compliant). 2. # open findings from last assessment. 3. % controls implemented. 4. Time to remediate findings. 5. Incident rate in framework scope area</t>
        </is>
      </c>
      <c r="AV377" s="80" t="inlineStr">
        <is>
          <t>Self-assessment; internal audit; external assessment as specified by issuing authority</t>
        </is>
      </c>
      <c r="AW377" s="81" t="inlineStr">
        <is>
          <t>ServiceNow GRC; IBM OpenPages; RSA Archer; MetricStream — all major GRC platforms support custom framework import. Contact vendor for framework-specific module</t>
        </is>
      </c>
      <c r="AX377" s="82" t="inlineStr">
        <is>
          <t>Third parties in scope must demonstrate equivalent compliance. Contractual compliance obligations; right-to-audit clauses; annual third-party assessment</t>
        </is>
      </c>
      <c r="AY377" s="83" t="inlineStr">
        <is>
          <t>Non-compliance: regulatory action by issuing authority; fines and penalties as specified; operational and reputational consequences</t>
        </is>
      </c>
      <c r="AZ377" s="80" t="inlineStr">
        <is>
          <t>ALL 17 SECTORS</t>
        </is>
      </c>
      <c r="BA377" s="34" t="inlineStr">
        <is>
          <t>YES — ALL SECTORS</t>
        </is>
      </c>
      <c r="BB377" s="591">
        <f>IF(E377="","",IF(ISNUMBER(SEARCH("Institutional theory and regulatory governance theory underpin",AI377)),"TEMPLATE",IF(LEN(AI377)&gt;100,"DEEP",IF(AI377="","SPARSE","SHALLOW"))))</f>
        <v/>
      </c>
      <c r="BC377" s="591">
        <f>IF(E377="","",D377&amp;"-"&amp;B377&amp;"-"&amp;E377)</f>
        <v/>
      </c>
      <c r="BD377" s="591">
        <f>IF(E377="","",SUBSTITUTE(SUBSTITUTE(B377&amp;"-"&amp;E377," ",""),":","-"))</f>
        <v/>
      </c>
      <c r="BE377" s="591">
        <f>IF(E377="","",IF(ISNUMBER(SEARCH("ECC",E377)),"NCA-ECC-2-2024",IF(ISNUMBER(SEARCH("OTCC",E377)),"NCA-ECC-2-2024",IF(ISNUMBER(SEARCH("CCC",E377)),"NCA-ECC-2-2024",IF(ISNUMBER(SEARCH("DCC",E377)),"NCA-ECC-2-2024",IF(ISNUMBER(SEARCH("CSCC",E377)),"NCA-ECC-2-2024",IF(ISNUMBER(SEARCH("PDPL-IR",E377)),"PDPL-2021",IF(ISNUMBER(SEARCH("PDPL-DTR",E377)),"PDPL-2021","NONE"))))))))</f>
        <v/>
      </c>
      <c r="BF377" s="594">
        <f>IF(E377="","",IF(BB377="DEEP",10,IF(BB377="SHALLOW",5,IF(BB377="TEMPLATE",3,1)))+IF(N377="HIGHEST",5,IF(N377="HIGH",3,IF(N377="MODERATE",1,0)))+IF(ISNUMBER(SEARCH("Mandatory",L377)),3,0))</f>
        <v/>
      </c>
    </row>
    <row r="378" ht="42" customHeight="1">
      <c r="A378" s="84" t="n">
        <v>329</v>
      </c>
      <c r="B378" s="411" t="inlineStr">
        <is>
          <t>RHC2</t>
        </is>
      </c>
      <c r="C378" s="70" t="inlineStr">
        <is>
          <t>Riyadh Health Cluster 2</t>
        </is>
      </c>
      <c r="D378" s="70" t="inlineStr">
        <is>
          <t>17. Regional Health Clusters</t>
        </is>
      </c>
      <c r="E378" s="411" t="inlineStr">
        <is>
          <t>PDPL-2021</t>
        </is>
      </c>
      <c r="F378" s="72" t="inlineStr">
        <is>
          <t>Personal Data Protection Law</t>
        </is>
      </c>
      <c r="G378" s="70" t="inlineStr">
        <is>
          <t>نظام حماية البيانات الشخصية</t>
        </is>
      </c>
      <c r="H378" s="70" t="inlineStr">
        <is>
          <t>2021+IR 2023</t>
        </is>
      </c>
      <c r="I378" s="71" t="inlineStr">
        <is>
          <t>2021</t>
        </is>
      </c>
      <c r="J378" s="71" t="inlineStr">
        <is>
          <t>45</t>
        </is>
      </c>
      <c r="K378" s="70" t="inlineStr">
        <is>
          <t>MUST COMPLY WITH</t>
        </is>
      </c>
      <c r="L378" s="66" t="inlineStr">
        <is>
          <t>Mandatory Complier</t>
        </is>
      </c>
      <c r="M378" s="70" t="inlineStr">
        <is>
          <t>Riyadh Health Cluster 2 processes patient personal data</t>
        </is>
      </c>
      <c r="N378" s="86" t="inlineStr">
        <is>
          <t>HIGHEST</t>
        </is>
      </c>
      <c r="O378" s="87" t="inlineStr">
        <is>
          <t>https://sdaia.gov.sa/</t>
        </is>
      </c>
      <c r="P378" s="70" t="inlineStr">
        <is>
          <t>SDAIA</t>
        </is>
      </c>
      <c r="Q378" s="70" t="inlineStr">
        <is>
          <t>Royal Decree M/19 (16 Sep 2021) → amended Apr 2023</t>
        </is>
      </c>
      <c r="R378" s="70" t="inlineStr">
        <is>
          <t>Original (2021): 19 articles covering consent, data subject rights, controller obligations, sensitive data (health = sensitive), cross-border transfer. Apr 2023 amendment: strengthened enforcement, clarified health data provisions, aligned with PDPL-IR-2023. Grace period for compliance ended Sep 14, 2024. Penalties: up to SAR 5 million fine + 2 years imprisonment for sensitive data breach</t>
        </is>
      </c>
      <c r="S378" s="71" t="inlineStr">
        <is>
          <t>Issued: Sep 2021. Amended: Apr 2023. Fully enforceable: Sep 14, 2024</t>
        </is>
      </c>
      <c r="T378" s="70" t="inlineStr">
        <is>
          <t>SDAIA reviews annually; amendments expected 2025-2026</t>
        </is>
      </c>
      <c r="U378" s="25" t="inlineStr">
        <is>
          <t>CURRENT — fully enforceable since Sep 2024</t>
        </is>
      </c>
      <c r="V378" s="70" t="inlineStr">
        <is>
          <t>Criminal offence: up to 2 years imprisonment + SAR 3M fine for disclosing sensitive data (health data = sensitive); administrative fine up to SAR 5M; mandatory breach notification to SDAIA within 72 hours; data subject compensation claims</t>
        </is>
      </c>
      <c r="W378" s="72" t="inlineStr">
        <is>
          <t>SDAIA — Data Protection Authority (DPA functions); NDMO for government entities; courts for criminal penalties</t>
        </is>
      </c>
      <c r="X378" s="70" t="inlineStr">
        <is>
          <t>Hospital; Clinic; Lab; Pharmacy; Health IT Vendor; Health Insurer; Government Health Entity; Medical Device Manufacturer (all processing patient data)</t>
        </is>
      </c>
      <c r="Y378" s="49" t="inlineStr">
        <is>
          <t>Both + foreign entities processing data of KSA residents</t>
        </is>
      </c>
      <c r="Z378" s="70" t="inlineStr">
        <is>
          <t>SDAIA audit; controller self-assessment; DPO oversight; data subject complaints trigger investigation</t>
        </is>
      </c>
      <c r="AA378" s="71" t="inlineStr">
        <is>
          <t>Continuous (breach notification: 72 hours); annual DPO report; SDAIA random audits</t>
        </is>
      </c>
      <c r="AB378" s="70" t="inlineStr">
        <is>
          <t>12 (IoMT data minimisation; purpose limitation; consent management for wearable data; automated decision-making; data subject rights for IoMT-generated health data; cross-border transfer of IoMT data)</t>
        </is>
      </c>
      <c r="AC378" s="70" t="inlineStr">
        <is>
          <t>GDPR (substantial alignment — adequate protection basis); APEC Privacy Framework; ISO 29100; ISO 27701</t>
        </is>
      </c>
      <c r="AD378" s="49" t="inlineStr">
        <is>
          <t>Arabic (official); English translation (unofficial)</t>
        </is>
      </c>
      <c r="AE378" s="50" t="inlineStr">
        <is>
          <t>Layer 4: Compliance; Layer 2: Risk Management</t>
        </is>
      </c>
      <c r="AF378" s="60" t="inlineStr">
        <is>
          <t>No formal maturity model; SDAIA publishes compliance guidance</t>
        </is>
      </c>
      <c r="AG378" s="70" t="inlineStr">
        <is>
          <t>National Data Strategy; Vision 2030 Digital Economy; Digital Government transformation</t>
        </is>
      </c>
      <c r="AH378" s="70" t="inlineStr">
        <is>
          <t>Privacy notices; consent records; DPO appointment letter; data mapping/flow diagrams; breach notification records; DPIA for health data processing; controller registration</t>
        </is>
      </c>
      <c r="AI378" s="73" t="inlineStr">
        <is>
          <t>Privacy as fundamental right (Warren &amp; Brandeis 1890; Westin 1967). Contextual integrity theory (Nissenbaum 2004): health data flows must match medical context norms. Regulatory theory: data protection authority independence and enforcement. Information asymmetry theory: patients cannot protect their own data without regulation.</t>
        </is>
      </c>
      <c r="AJ378" s="70" t="inlineStr">
        <is>
          <t>FOR: Long-overdue — KSA had no comprehensive data protection law until 2021; health data explicitly protected as sensitive category; aligns KSA with global adequacy standards. AGAINST: Alrawabdeh (2014) and Aldawood &amp; Skinner (2019) documented Saudi privacy culture gap — regulation without public awareness is ineffective; 'GDPR-lite' criticism: exemptions broader than GDPR, enforcement weaker; health data provisions in IR still less specific than UK GDPR Schedule 1 conditions</t>
        </is>
      </c>
      <c r="AK378" s="74" t="inlineStr">
        <is>
          <t>No independent supervisory authority (SDAIA is both promoter and regulator — conflict of interest noted by Baker McKenzie 2025); patient data portability rights weaker than GDPR Article 20; no explicit right to explanation for AI-automated health decisions; cross-border transfer rules changed twice in 12 months (regulatory instability); small healthcare providers lack capacity for DPO requirements</t>
        </is>
      </c>
      <c r="AL378" s="75" t="inlineStr">
        <is>
          <t>PDPL vs GDPR: PDPL penalty lower (SAR 5M vs €20M); PDPL broader government exemptions; GDPR has independent DPA, PDPL does not. PDPL vs HIPAA: PDPL = all personal data (broader); HIPAA = US-specific health data only. PDPL vs UK GDPR: PDPL misses explicit Schedule 1 health data conditions. PDPL ahead of HIPAA on consent granularity; behind GDPR on enforcement independence</t>
        </is>
      </c>
      <c r="AM378" s="76" t="inlineStr">
        <is>
          <t>Baker McKenzie (2025) Saudi Arabia PDPL Global Data &amp; Cyber Handbook; Alrawabdeh W (2014) 'Internet and Social Media Challenges in Arab World' EJSR; Westin AF (1967) Privacy and Freedom NY Atheneum; Nissenbaum H (2004) 'Privacy as Contextual Integrity' Washington Law Review 79(1); CMS Law (2025) Saudi Arabia Data Protection &amp; Cybersecurity Expert Guide Oct 2025</t>
        </is>
      </c>
      <c r="AN378" s="50" t="inlineStr">
        <is>
          <t>Official: SDAIA website (sdaia.gov.sa) — Arabic + English. Training: IAPP CIPM/CIPP/E (privacy certifications applicable); OneTrust PDPL compliance course; Baker McKenzie PDPL compliance guide. Language: Arabic primary — strong Arabic reading recommended. Estimated: 50 hours for health sector DPO competence</t>
        </is>
      </c>
      <c r="AO378" s="77" t="inlineStr">
        <is>
          <t>PRIMARY driver for GH-ICGA Layer 4 (Compliance) — PDPL is the legal foundation for patient data governance in the preliminary GH-ICGA framework. Thesis argument: GH-ICGA Layer 4 operationalises PDPL requirements into IoMT-specific controls (consent management for wearable data; purpose limitation for monitoring streams; breach response for connected device incidents)</t>
        </is>
      </c>
      <c r="AP378" s="51" t="inlineStr">
        <is>
          <t>G + C (Governance + Compliance — strong compliance driver; risk implicit)</t>
        </is>
      </c>
      <c r="AQ378" s="78" t="inlineStr">
        <is>
          <t>Board/CEO: ultimate accountability for PDPL compliance. DPO: mandatory for large-scale health data processors — reports to highest management level. Privacy Committee: cross-functional oversight. All staff processing personal data: mandatory privacy awareness training annually</t>
        </is>
      </c>
      <c r="AR378" s="74" t="inlineStr">
        <is>
          <t>Privacy Risk (PRIMARY); Legal/Regulatory Risk; Reputational Risk; Strategic Risk (data monetisation constraints); Cross-Border Risk (data transfer restrictions)</t>
        </is>
      </c>
      <c r="AS378" s="22" t="inlineStr">
        <is>
          <t>LEGAL — Royal Decree M/19 2021 + Implementing Regulations Sep 2023. Criminal: imprisonment up to 2 years + SAR 3M fine for sensitive data disclosure. Administrative: SAR 5M maximum fine. Civil: data subject compensation claims</t>
        </is>
      </c>
      <c r="AT378" s="75" t="inlineStr">
        <is>
          <t>Administrative (A): consent management; privacy notices; DPO appointment; DPIA process; breach notification procedure. Technical (T): data minimisation; pseudonymisation; access controls for personal data; encryption. Operational (O): data retention enforcement; data subject rights fulfilment process; cross-border transfer review</t>
        </is>
      </c>
      <c r="AU378" s="79" t="inlineStr">
        <is>
          <t>1. # data subject rights requests fulfilled on time (target: 100% within 30 days). 2. # data breaches notified to SDAIA within 72h (target: 100%). 3. % staff completed privacy training (target: 100%). 4. # DPIAs completed for high-risk processing activities. 5. Data retention compliance rate (% records within policy). 6. % third-party processors with DPA agreements</t>
        </is>
      </c>
      <c r="AV378" s="80" t="inlineStr">
        <is>
          <t>Annual DPIA review; data mapping audit (controller record validation); consent record audit; breach response simulation (tabletop); access control review for personal data systems; third-party processor audit; SDAIA compliance self-assessment</t>
        </is>
      </c>
      <c r="AW378" s="81" t="inlineStr">
        <is>
          <t>OneTrust (market leader for PDPL); TrustArc; Nymity; DataGrail; Varonis (data discovery); Microsoft Purview (data classification). SDAIA National Data Governance Platform for registration. Arabic-capable tools preferred</t>
        </is>
      </c>
      <c r="AX378" s="82" t="inlineStr">
        <is>
          <t>All third-party data processors must have Data Processing Agreement (DPA). Processors must demonstrate equivalent PDPL compliance. Cross-border transfers require adequacy assessment or appropriate safeguards. Sub-processor disclosure mandatory. Annual processor risk assessment required</t>
        </is>
      </c>
      <c r="AY378" s="83" t="inlineStr">
        <is>
          <t>Non-compliance: SAR 5M administrative fine; criminal prosecution for sensitive data breach; SDAIA investigation; mandatory breach public disclosure. Business disruption: SDAIA can order processing suspension. Reputational: patient trust damage. Market: EU adequate protection status depends on PDPL enforcement credibility</t>
        </is>
      </c>
      <c r="AZ378" s="80" t="inlineStr">
        <is>
          <t>ALL 17 SECTORS — any entity processing personal data</t>
        </is>
      </c>
      <c r="BA378" s="34" t="inlineStr">
        <is>
          <t>YES — ALL SECTORS</t>
        </is>
      </c>
      <c r="BB378" s="591">
        <f>IF(E378="","",IF(ISNUMBER(SEARCH("Institutional theory and regulatory governance theory underpin",AI378)),"TEMPLATE",IF(LEN(AI378)&gt;100,"DEEP",IF(AI378="","SPARSE","SHALLOW"))))</f>
        <v/>
      </c>
      <c r="BC378" s="591">
        <f>IF(E378="","",D378&amp;"-"&amp;B378&amp;"-"&amp;E378)</f>
        <v/>
      </c>
      <c r="BD378" s="591">
        <f>IF(E378="","",SUBSTITUTE(SUBSTITUTE(B378&amp;"-"&amp;E378," ",""),":","-"))</f>
        <v/>
      </c>
      <c r="BE378" s="591">
        <f>IF(E378="","",IF(ISNUMBER(SEARCH("ECC",E378)),"NCA-ECC-2-2024",IF(ISNUMBER(SEARCH("OTCC",E378)),"NCA-ECC-2-2024",IF(ISNUMBER(SEARCH("CCC",E378)),"NCA-ECC-2-2024",IF(ISNUMBER(SEARCH("DCC",E378)),"NCA-ECC-2-2024",IF(ISNUMBER(SEARCH("CSCC",E378)),"NCA-ECC-2-2024",IF(ISNUMBER(SEARCH("PDPL-IR",E378)),"PDPL-2021",IF(ISNUMBER(SEARCH("PDPL-DTR",E378)),"PDPL-2021","NONE"))))))))</f>
        <v/>
      </c>
      <c r="BF378" s="594">
        <f>IF(E378="","",IF(BB378="DEEP",10,IF(BB378="SHALLOW",5,IF(BB378="TEMPLATE",3,1)))+IF(N378="HIGHEST",5,IF(N378="HIGH",3,IF(N378="MODERATE",1,0)))+IF(ISNUMBER(SEARCH("Mandatory",L378)),3,0))</f>
        <v/>
      </c>
    </row>
    <row r="379" ht="42" customHeight="1">
      <c r="A379" s="42" t="n">
        <v>330</v>
      </c>
      <c r="B379" s="412" t="inlineStr">
        <is>
          <t>RHC2</t>
        </is>
      </c>
      <c r="C379" s="44" t="inlineStr">
        <is>
          <t>Riyadh Health Cluster 2</t>
        </is>
      </c>
      <c r="D379" s="44" t="inlineStr">
        <is>
          <t>17. Regional Health Clusters</t>
        </is>
      </c>
      <c r="E379" s="412" t="inlineStr">
        <is>
          <t>MOH-TELE</t>
        </is>
      </c>
      <c r="F379" s="45" t="inlineStr">
        <is>
          <t>Telemedicine Regulations</t>
        </is>
      </c>
      <c r="G379" s="44" t="inlineStr">
        <is>
          <t>لائحة الرعاية الصحية عن بعد</t>
        </is>
      </c>
      <c r="H379" s="44" t="inlineStr">
        <is>
          <t>Late 2023</t>
        </is>
      </c>
      <c r="I379" s="46" t="inlineStr">
        <is>
          <t>2020</t>
        </is>
      </c>
      <c r="J379" s="46" t="inlineStr">
        <is>
          <t>38</t>
        </is>
      </c>
      <c r="K379" s="44" t="inlineStr">
        <is>
          <t>MUST COMPLY WITH</t>
        </is>
      </c>
      <c r="L379" s="66" t="inlineStr">
        <is>
          <t>Mandatory Complier</t>
        </is>
      </c>
      <c r="M379" s="44" t="inlineStr">
        <is>
          <t>Riyadh Health Cluster 2 offering telemedicine services</t>
        </is>
      </c>
      <c r="N379" s="54" t="inlineStr">
        <is>
          <t>HIGH</t>
        </is>
      </c>
      <c r="O379" s="48" t="inlineStr">
        <is>
          <t>https://www.moh.gov.sa/en/</t>
        </is>
      </c>
      <c r="P379" s="44" t="inlineStr">
        <is>
          <t>MOH; Hammad &amp; Al-Mehdar 2025</t>
        </is>
      </c>
      <c r="Q379" s="70" t="inlineStr">
        <is>
          <t>COVID-19 emergency 2020 → comprehensive regulations late 2023</t>
        </is>
      </c>
      <c r="R379" s="70" t="inlineStr">
        <is>
          <t>2020 (emergency COVID telehealth rules): basic platform licensing, identity verification, audio/video minimum standards. Late 2023 (comprehensive update, 38 controls): platform licensing requirements; patient identity verification; cross-border telemedicine restrictions; controlled substance prescribing rules (limited); data protection (PDPL alignment); patient consent requirements; clinical documentation standards; coverage by health insurance; quality assurance audit requirements</t>
        </is>
      </c>
      <c r="S379" s="71" t="inlineStr">
        <is>
          <t>Emergency 2020. Comprehensive: late 2023</t>
        </is>
      </c>
      <c r="T379" s="70" t="inlineStr">
        <is>
          <t>Annual update; cross-border rules under active development 2025</t>
        </is>
      </c>
      <c r="U379" s="25" t="inlineStr">
        <is>
          <t>CURRENT — late 2023 comprehensive version</t>
        </is>
      </c>
      <c r="V379" s="70" t="inlineStr">
        <is>
          <t>Platform licence revocation; SAR 1M–5M fine (scale by offence); clinical professional disciplinary action by SCFHS</t>
        </is>
      </c>
      <c r="W379" s="72" t="inlineStr">
        <is>
          <t>MOH — eHealth General Directorate; CST (platform technical licensing); CCHI (insurance coverage compliance); SCFHS (clinical standards)</t>
        </is>
      </c>
      <c r="X379" s="70" t="inlineStr">
        <is>
          <t>Hospital (outpatient teleconsultation); Clinic; Health IT Vendor (platform developers); Health Insurer (reimbursement compliance)</t>
        </is>
      </c>
      <c r="Y379" s="22" t="inlineStr">
        <is>
          <t>Both</t>
        </is>
      </c>
      <c r="Z379" s="70" t="inlineStr">
        <is>
          <t>MOH platform licence audit (annual); CCHI insurance compliance check; SCFHS clinical quality audit</t>
        </is>
      </c>
      <c r="AA379" s="71" t="inlineStr">
        <is>
          <t>Annual licence renewal; random clinical quality audit</t>
        </is>
      </c>
      <c r="AB379" s="70" t="inlineStr">
        <is>
          <t>15 (remote patient monitoring integration; wearable device data for teleconsultation; IoMT vital sign display during video consultation; remote device prescription; teleICU monitoring requirements)</t>
        </is>
      </c>
      <c r="AC379" s="70" t="inlineStr">
        <is>
          <t>WHO Telemedicine Guidelines (2010/updated); ISO 13131:2021 (Telehealth); ATA (American Telemedicine Association) standards (reference)</t>
        </is>
      </c>
      <c r="AD379" s="49" t="inlineStr">
        <is>
          <t>Arabic (primary); English technical guidance</t>
        </is>
      </c>
      <c r="AE379" s="26" t="inlineStr">
        <is>
          <t>Layer 1: Governance; Layer 4: Compliance</t>
        </is>
      </c>
      <c r="AF379" s="60" t="inlineStr">
        <is>
          <t>No formal maturity model; licence tiers (basic/advanced platform)</t>
        </is>
      </c>
      <c r="AG379" s="70" t="inlineStr">
        <is>
          <t>HSTP telemedicine targets (30% uptake); SEHA Virtual Hospital; Vision 2030 healthcare access targets</t>
        </is>
      </c>
      <c r="AH379" s="70" t="inlineStr">
        <is>
          <t>Platform licence certificate; patient consent records; clinical documentation standards compliance; identity verification log; prescription records; NABIDH integration evidence</t>
        </is>
      </c>
      <c r="AI379" s="73" t="inlineStr">
        <is>
          <t>Telehealth adoption theory (LeRouge &amp; Garfield 2013): patient acceptance + clinician integration. Access theory: geography-equity argument for remote care. Digital health governance theory: platform regulation vs clinical regulation tension.</t>
        </is>
      </c>
      <c r="AJ379" s="70" t="inlineStr">
        <is>
          <t>FOR: COVID-19 proved telehealth viability at scale in KSA (Al-Ataawi et al. 2022); Sehhaty platform shows government commitment; removes geographic barriers consistent with Vision 2030 equity goals; IoMT remote monitoring reimbursement framework emerging. AGAINST: Clinical quality in telehealth still debated (Hollander &amp; Sites 2020); data sovereignty for cross-border telehealth unresolved; prescription via teleconsultation remains restricted limiting scope; rural connectivity gaps undermine access equity goal</t>
        </is>
      </c>
      <c r="AK379" s="74" t="inlineStr">
        <is>
          <t>Regulations still lag technology — VR/AR clinical applications not addressed; AI-assisted teleconsultation regulatory pathway unclear; cross-border telehealth restrictions create market fragmentation; no minimum quality standards for audio/video equipment; liability for technical failure not yet codified in regulation</t>
        </is>
      </c>
      <c r="AL379" s="75" t="inlineStr">
        <is>
          <t>MOH-TELE vs NHS TECS (UK): NHS TECS has DTAC (Digital Technology Assessment Criteria) for all digital health tools — KSA equivalent absent. MOH-TELE vs FCC/CMS telehealth (US): US has federal reimbursement codes (CPT); KSA CCHI integration still developing. MOH-TELE vs WHO Telemedicine Guidelines: broadly aligned but KSA-specific cross-border rules more restrictive than WHO recommends</t>
        </is>
      </c>
      <c r="AM379" s="76" t="inlineStr">
        <is>
          <t>Al-Ataawi A et al. (2022) 'Telehealth in Saudi Arabia During COVID-19' J Healthcare Informatics Res; Hollander JE &amp; Sites FD (2020) 'Telehealth Beyond COVID-19' NEJM 2020; Hammad &amp; Al-Mehdar (2025) Saudi Healthcare Regulatory Update; WHO (2010) Telemedicine Opportunities and Developments; LeRouge C &amp; Garfield MJ (2013) 'Crossing the Telemedicine Chasm' JAMIA 20(6)</t>
        </is>
      </c>
      <c r="AN379" s="50" t="inlineStr">
        <is>
          <t>Official: MOH website. Training: American Telemedicine Association (ATA) online courses; SEHA Virtual Hospital training programme; WHO telehealth competency framework. Estimated: 25 hours</t>
        </is>
      </c>
      <c r="AO379" s="77" t="inlineStr">
        <is>
          <t>GH-ICGA Layer 1 (Governance) — telehealth regulation defines the governance boundary for remote IoMT monitoring. Thesis relevance: GH-ICGA must address the governance overlap between MOH-TELE (clinical platform regulation) and NCA-ECC (cybersecurity) and PDPL (patient data) for remote monitoring scenarios</t>
        </is>
      </c>
      <c r="AP379" s="51" t="inlineStr">
        <is>
          <t>G + C (platform governance + clinical compliance)</t>
        </is>
      </c>
      <c r="AQ379" s="78" t="inlineStr">
        <is>
          <t>CEO: platform licence accountability. Medical Director: clinical quality governance. DPO: PDPL compliance for patient data on platform. Technical Director: platform security. Pharmacy Director: prescription management compliance</t>
        </is>
      </c>
      <c r="AR379" s="74" t="inlineStr">
        <is>
          <t>Clinical Risk (misdiagnosis via teleconsultation); Regulatory Risk (licence breach); Privacy Risk (patient data); Operational Risk (platform availability); Cross-Border Risk (international teleconsultation restrictions)</t>
        </is>
      </c>
      <c r="AS379" s="61" t="inlineStr">
        <is>
          <t>REGULATORY — MOH licensing requirement. Non-compliance: platform licence revocation; SAR 1M–5M fine; SCFHS action against clinicians</t>
        </is>
      </c>
      <c r="AT379" s="75" t="inlineStr">
        <is>
          <t>Administrative (A): 20 controls — licensing; consent; documentation; clinical protocols. Technical (T): 12 controls — platform security; identity verification; audio/video standards. Operational (O): 6 controls — prescribing workflow; referral protocol; audit trail</t>
        </is>
      </c>
      <c r="AU379" s="79" t="inlineStr">
        <is>
          <t>1. Patient consent collection rate (target 100% before each session). 2. Platform availability SLA compliance (target &gt;99.5%). 3. Identity verification success rate. 4. # clinical complaints per 1,000 teleconsultations. 5. Documentation compliance rate (target 100% consultation notes in NABIDH). 6. Prescription audit pass rate</t>
        </is>
      </c>
      <c r="AV379" s="80" t="inlineStr">
        <is>
          <t>Annual MOH licence renewal audit; CCHI insurance coverage compliance check; patient record documentation audit; platform security assessment; identity verification system test; NABIDH integration test</t>
        </is>
      </c>
      <c r="AW379" s="81" t="inlineStr">
        <is>
          <t>Sehhaty / Mawid (MOH official platforms); Nabdh; Cura Health; Vezeeta; Nubaqraa — all require MOH licensing. Security tools: FortiWeb (WAF); Auth0/Okta (identity); TeleVisit security frameworks</t>
        </is>
      </c>
      <c r="AX379" s="82" t="inlineStr">
        <is>
          <t>Platform vendors: MOH-licensed telemedicine solution mandatory; PDPL DPA required; NABIDH API certification; patient data not to be shared with third-party analytics without consent; international teleconsultation providers must be MOH-approved</t>
        </is>
      </c>
      <c r="AY379" s="83" t="inlineStr">
        <is>
          <t>Unlicensed platform: immediate shutdown; SAR fine; clinical professional disciplinary action. Licence revocation: complete business cessation. Patient harm via telemedicine: malpractice liability; SCFHS investigation</t>
        </is>
      </c>
      <c r="AZ379" s="80" t="inlineStr">
        <is>
          <t>Healthcare &amp; Life Sciences; ICT/Digital (platform providers)</t>
        </is>
      </c>
      <c r="BA379" s="41" t="inlineStr">
        <is>
          <t>Sector-Specific</t>
        </is>
      </c>
      <c r="BB379" s="591">
        <f>IF(E379="","",IF(ISNUMBER(SEARCH("Institutional theory and regulatory governance theory underpin",AI379)),"TEMPLATE",IF(LEN(AI379)&gt;100,"DEEP",IF(AI379="","SPARSE","SHALLOW"))))</f>
        <v/>
      </c>
      <c r="BC379" s="591">
        <f>IF(E379="","",D379&amp;"-"&amp;B379&amp;"-"&amp;E379)</f>
        <v/>
      </c>
      <c r="BD379" s="591">
        <f>IF(E379="","",SUBSTITUTE(SUBSTITUTE(B379&amp;"-"&amp;E379," ",""),":","-"))</f>
        <v/>
      </c>
      <c r="BE379" s="591">
        <f>IF(E379="","",IF(ISNUMBER(SEARCH("ECC",E379)),"NCA-ECC-2-2024",IF(ISNUMBER(SEARCH("OTCC",E379)),"NCA-ECC-2-2024",IF(ISNUMBER(SEARCH("CCC",E379)),"NCA-ECC-2-2024",IF(ISNUMBER(SEARCH("DCC",E379)),"NCA-ECC-2-2024",IF(ISNUMBER(SEARCH("CSCC",E379)),"NCA-ECC-2-2024",IF(ISNUMBER(SEARCH("PDPL-IR",E379)),"PDPL-2021",IF(ISNUMBER(SEARCH("PDPL-DTR",E379)),"PDPL-2021","NONE"))))))))</f>
        <v/>
      </c>
      <c r="BF379" s="594">
        <f>IF(E379="","",IF(BB379="DEEP",10,IF(BB379="SHALLOW",5,IF(BB379="TEMPLATE",3,1)))+IF(N379="HIGHEST",5,IF(N379="HIGH",3,IF(N379="MODERATE",1,0)))+IF(ISNUMBER(SEARCH("Mandatory",L379)),3,0))</f>
        <v/>
      </c>
    </row>
    <row r="380" ht="42" customHeight="1">
      <c r="A380" s="84" t="n">
        <v>331</v>
      </c>
      <c r="B380" s="411" t="inlineStr">
        <is>
          <t>RHC2</t>
        </is>
      </c>
      <c r="C380" s="70" t="inlineStr">
        <is>
          <t>Riyadh Health Cluster 2</t>
        </is>
      </c>
      <c r="D380" s="70" t="inlineStr">
        <is>
          <t>17. Regional Health Clusters</t>
        </is>
      </c>
      <c r="E380" s="411" t="inlineStr">
        <is>
          <t>NHIC-NABIDH</t>
        </is>
      </c>
      <c r="F380" s="72" t="inlineStr">
        <is>
          <t>NABIDH EHR Platform Standard</t>
        </is>
      </c>
      <c r="G380" s="70" t="inlineStr">
        <is>
          <t>معيار منصة نبض</t>
        </is>
      </c>
      <c r="H380" s="70" t="inlineStr">
        <is>
          <t>Mandatory 2024</t>
        </is>
      </c>
      <c r="I380" s="71" t="inlineStr">
        <is>
          <t>2018</t>
        </is>
      </c>
      <c r="J380" s="71" t="inlineStr">
        <is>
          <t>40</t>
        </is>
      </c>
      <c r="K380" s="70" t="inlineStr">
        <is>
          <t>MUST COMPLY WITH</t>
        </is>
      </c>
      <c r="L380" s="66" t="inlineStr">
        <is>
          <t>Mandatory Complier</t>
        </is>
      </c>
      <c r="M380" s="70" t="inlineStr">
        <is>
          <t>Riyadh Health Cluster 2 hospitals — NABIDH interoperability</t>
        </is>
      </c>
      <c r="N380" s="86" t="inlineStr">
        <is>
          <t>HIGHEST</t>
        </is>
      </c>
      <c r="O380" s="87" t="inlineStr">
        <is>
          <t>https://nhic.gov.sa/</t>
        </is>
      </c>
      <c r="P380" s="70" t="inlineStr">
        <is>
          <t>NHIC</t>
        </is>
      </c>
      <c r="Q380" s="70" t="inlineStr">
        <is>
          <t>NABIDH launched 2018 (pilot) → FHIR R4 API 2022 → mandatory all facilities 2024</t>
        </is>
      </c>
      <c r="R380" s="70" t="inlineStr">
        <is>
          <t>2018 (pilot): 10 MOH hospitals. 2019-2021: health cluster rollout. 2022: FHIR R4 API standards published; private hospitals voluntary integration. 2023: API developer portal opened; 40 technical requirements published. 2024: MANDATORY — all healthcare facilities must connect; Private Health Institutions Law updated; penalties for non-connection: facility licensing at risk. NABIDH now the central patient data repository — 45M+ patient records as of 2024</t>
        </is>
      </c>
      <c r="S380" s="71" t="inlineStr">
        <is>
          <t>Launched: 2018. FHIR R4 API: 2022. Mandatory: 2024</t>
        </is>
      </c>
      <c r="T380" s="70" t="inlineStr">
        <is>
          <t>Continuous platform updates; API versioning quarterly</t>
        </is>
      </c>
      <c r="U380" s="25" t="inlineStr">
        <is>
          <t>CURRENT — mandatory as of 2024</t>
        </is>
      </c>
      <c r="V380" s="70" t="inlineStr">
        <is>
          <t>Facility unable to receive electronic referrals; excluded from national patient record; MOH licensing risk; procurement penalties</t>
        </is>
      </c>
      <c r="W380" s="72" t="inlineStr">
        <is>
          <t>NHIC — NABIDH Programme Office; MOH General Directorate of Health Informatics; regional health clusters</t>
        </is>
      </c>
      <c r="X380" s="70" t="inlineStr">
        <is>
          <t>Hospital; Clinic; Lab; Pharmacy — ALL healthcare facilities mandatory</t>
        </is>
      </c>
      <c r="Y380" s="22" t="inlineStr">
        <is>
          <t>Both</t>
        </is>
      </c>
      <c r="Z380" s="70" t="inlineStr">
        <is>
          <t>NHIC API conformance test; connectivity monitoring (automated); annual technical review</t>
        </is>
      </c>
      <c r="AA380" s="71" t="inlineStr">
        <is>
          <t>Continuous connectivity monitoring; annual audit</t>
        </is>
      </c>
      <c r="AB380" s="70" t="inlineStr">
        <is>
          <t>16 (NABIDH IoMT data ingestion API; remote monitoring data submission; wearable vital signs standardisation; IoMT device data consent management; IoMT-generated observation resources in FHIR)</t>
        </is>
      </c>
      <c r="AC380" s="70" t="inlineStr">
        <is>
          <t>HL7 FHIR R4 (mandatory); IHE profiles; SNOMED CT; ICD-10-CM; LOINC; HL7 CDA</t>
        </is>
      </c>
      <c r="AD380" s="49" t="inlineStr">
        <is>
          <t>Arabic + English (NABIDH technical specifications bilingual)</t>
        </is>
      </c>
      <c r="AE380" s="37" t="inlineStr">
        <is>
          <t>Layer 3: Technical Controls; Layer 4: Compliance; Layer 5: Assurance</t>
        </is>
      </c>
      <c r="AF380" s="27" t="inlineStr">
        <is>
          <t>Yes — 3 connectivity levels (Basic data exchange / Full longitudinal record / Advanced IoMT integration)</t>
        </is>
      </c>
      <c r="AG380" s="70" t="inlineStr">
        <is>
          <t>HSTP digital health; National EHR programme; NHIS integration; Vision 2030 connected healthcare</t>
        </is>
      </c>
      <c r="AH380" s="70" t="inlineStr">
        <is>
          <t>NABIDH connectivity certificate; API test results; FHIR conformance statement; patient consent records; data quality dashboard reports</t>
        </is>
      </c>
      <c r="AI380" s="73" t="inlineStr">
        <is>
          <t>Institutional theory and regulatory governance theory underpin all KSA regulatory frameworks. Specific theoretical basis varies by framework — consult academic literature via Google Scholar using framework name as search term.</t>
        </is>
      </c>
      <c r="AJ380" s="70" t="inlineStr">
        <is>
          <t>Academic debate varies by framework maturity and international adoption. For KSA-specific debate, consult: Almohammad &amp; Wills (2021) J Cybersecurity; Al-Khater et al. (2020) IEEE Access; Baker McKenzie KSA regulatory updates.</t>
        </is>
      </c>
      <c r="AK380" s="74" t="inlineStr">
        <is>
          <t>Known criticisms include: implementation gap between standards and practice; resource constraints for smaller healthcare entities; rapid technology evolution outpacing regulation. Consult framework evaluation literature for specifics.</t>
        </is>
      </c>
      <c r="AL380" s="75" t="inlineStr">
        <is>
          <t>Framework comparison requires contextual analysis. Key comparators: NIST CSF 2.0 (international benchmark), ISO 27001 (certifiable standard), ECC-2 (KSA mandatory baseline). See main database for cross-framework mapping.</t>
        </is>
      </c>
      <c r="AM380"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80" s="50" t="inlineStr">
        <is>
          <t>Official: Consult the official source URL in the database for the primary document. Training: ISACA, ISC2, RAPS, IAPP, and HIMSS offer professional development covering most regulatory domains. Estimated hours vary by framework complexity.</t>
        </is>
      </c>
      <c r="AO380" s="77" t="inlineStr">
        <is>
          <t>Relevance to GH-ICGA framework varies by layer — see GH-ICGA Layer Mapping column. All KSA mandatory frameworks are compliance inputs to GH-ICGA Layer 4. Frameworks with IoMT-specific provisions directly inform Layers 2 and 3.</t>
        </is>
      </c>
      <c r="AP380" s="51" t="inlineStr">
        <is>
          <t>G + C (Governance + Compliance — standard regulatory framework positioning)</t>
        </is>
      </c>
      <c r="AQ380" s="78" t="inlineStr">
        <is>
          <t>Senior management: accountability for framework compliance. Designated compliance officer: monitor requirements. All staff: awareness of applicable obligations</t>
        </is>
      </c>
      <c r="AR380" s="74" t="inlineStr">
        <is>
          <t>Regulatory Risk; Operational Risk; Reputational Risk — specific domains determined by framework scope</t>
        </is>
      </c>
      <c r="AS380" s="22" t="inlineStr">
        <is>
          <t>See official source — legal obligation, regulatory requirement, or voluntary standard as applicable</t>
        </is>
      </c>
      <c r="AT380" s="75" t="inlineStr">
        <is>
          <t>Administrative; Technical; Operational — specific distribution determined by framework content</t>
        </is>
      </c>
      <c r="AU380" s="79" t="inlineStr">
        <is>
          <t>1. Compliance status (compliant/non-compliant). 2. # open findings from last assessment. 3. % controls implemented. 4. Time to remediate findings. 5. Incident rate in framework scope area</t>
        </is>
      </c>
      <c r="AV380" s="80" t="inlineStr">
        <is>
          <t>Self-assessment; internal audit; external assessment as specified by issuing authority</t>
        </is>
      </c>
      <c r="AW380" s="81" t="inlineStr">
        <is>
          <t>ServiceNow GRC; IBM OpenPages; RSA Archer; MetricStream — all major GRC platforms support custom framework import. Contact vendor for framework-specific module</t>
        </is>
      </c>
      <c r="AX380" s="82" t="inlineStr">
        <is>
          <t>Third parties in scope must demonstrate equivalent compliance. Contractual compliance obligations; right-to-audit clauses; annual third-party assessment</t>
        </is>
      </c>
      <c r="AY380" s="83" t="inlineStr">
        <is>
          <t>Non-compliance: regulatory action by issuing authority; fines and penalties as specified; operational and reputational consequences</t>
        </is>
      </c>
      <c r="AZ380" s="80" t="inlineStr">
        <is>
          <t>Healthcare &amp; Life Sciences</t>
        </is>
      </c>
      <c r="BA380" s="41" t="inlineStr">
        <is>
          <t>Sector-Specific</t>
        </is>
      </c>
      <c r="BB380" s="591">
        <f>IF(E380="","",IF(ISNUMBER(SEARCH("Institutional theory and regulatory governance theory underpin",AI380)),"TEMPLATE",IF(LEN(AI380)&gt;100,"DEEP",IF(AI380="","SPARSE","SHALLOW"))))</f>
        <v/>
      </c>
      <c r="BC380" s="591">
        <f>IF(E380="","",D380&amp;"-"&amp;B380&amp;"-"&amp;E380)</f>
        <v/>
      </c>
      <c r="BD380" s="591">
        <f>IF(E380="","",SUBSTITUTE(SUBSTITUTE(B380&amp;"-"&amp;E380," ",""),":","-"))</f>
        <v/>
      </c>
      <c r="BE380" s="591">
        <f>IF(E380="","",IF(ISNUMBER(SEARCH("ECC",E380)),"NCA-ECC-2-2024",IF(ISNUMBER(SEARCH("OTCC",E380)),"NCA-ECC-2-2024",IF(ISNUMBER(SEARCH("CCC",E380)),"NCA-ECC-2-2024",IF(ISNUMBER(SEARCH("DCC",E380)),"NCA-ECC-2-2024",IF(ISNUMBER(SEARCH("CSCC",E380)),"NCA-ECC-2-2024",IF(ISNUMBER(SEARCH("PDPL-IR",E380)),"PDPL-2021",IF(ISNUMBER(SEARCH("PDPL-DTR",E380)),"PDPL-2021","NONE"))))))))</f>
        <v/>
      </c>
      <c r="BF380" s="594">
        <f>IF(E380="","",IF(BB380="DEEP",10,IF(BB380="SHALLOW",5,IF(BB380="TEMPLATE",3,1)))+IF(N380="HIGHEST",5,IF(N380="HIGH",3,IF(N380="MODERATE",1,0)))+IF(ISNUMBER(SEARCH("Mandatory",L380)),3,0))</f>
        <v/>
      </c>
    </row>
    <row r="381" ht="42" customHeight="1">
      <c r="A381" s="42" t="n">
        <v>332</v>
      </c>
      <c r="B381" s="412" t="inlineStr">
        <is>
          <t>RHC2</t>
        </is>
      </c>
      <c r="C381" s="44" t="inlineStr">
        <is>
          <t>Riyadh Health Cluster 2</t>
        </is>
      </c>
      <c r="D381" s="44" t="inlineStr">
        <is>
          <t>17. Regional Health Clusters</t>
        </is>
      </c>
      <c r="E381" s="412" t="inlineStr">
        <is>
          <t>NCA-OTCC</t>
        </is>
      </c>
      <c r="F381" s="45" t="inlineStr">
        <is>
          <t>OT Cybersecurity Controls</t>
        </is>
      </c>
      <c r="G381" s="44" t="inlineStr">
        <is>
          <t>ضوابط الأمن السيبراني للتقنيات التشغيلية</t>
        </is>
      </c>
      <c r="H381" s="44" t="inlineStr">
        <is>
          <t>OTCC-1:2022</t>
        </is>
      </c>
      <c r="I381" s="46" t="inlineStr">
        <is>
          <t>2022</t>
        </is>
      </c>
      <c r="J381" s="46" t="inlineStr">
        <is>
          <t>53</t>
        </is>
      </c>
      <c r="K381" s="44" t="inlineStr">
        <is>
          <t>MUST COMPLY WITH</t>
        </is>
      </c>
      <c r="L381" s="66" t="inlineStr">
        <is>
          <t>Mandatory Complier</t>
        </is>
      </c>
      <c r="M381" s="44" t="inlineStr">
        <is>
          <t>Riyadh Health Cluster 2 medical device OT networks — CNI designation</t>
        </is>
      </c>
      <c r="N381" s="47" t="inlineStr">
        <is>
          <t>HIGHEST</t>
        </is>
      </c>
      <c r="O381" s="48" t="inlineStr">
        <is>
          <t>https://nca.gov.sa/</t>
        </is>
      </c>
      <c r="P381" s="44" t="inlineStr">
        <is>
          <t>NCA OTCC</t>
        </is>
      </c>
      <c r="Q381" s="70" t="inlineStr">
        <is>
          <t>See official source for version history</t>
        </is>
      </c>
      <c r="R381" s="70" t="inlineStr">
        <is>
          <t>Framework issued by the relevant authority. Version details available on the official website referenced in the source URL column. The framework has been updated periodically since first issuance.</t>
        </is>
      </c>
      <c r="S381" s="71" t="inlineStr">
        <is>
          <t>See official source</t>
        </is>
      </c>
      <c r="T381" s="70" t="inlineStr">
        <is>
          <t>Updated as needed by the issuing authority</t>
        </is>
      </c>
      <c r="U381" s="25" t="inlineStr">
        <is>
          <t>CURRENT — consult official source for latest version</t>
        </is>
      </c>
      <c r="V381" s="70" t="inlineStr">
        <is>
          <t>Penalties defined by issuing authority; consult official source. NCA ECC-2 penalties apply if relevant</t>
        </is>
      </c>
      <c r="W381" s="72" t="inlineStr">
        <is>
          <t>Issuing authority and/or designated inspection department</t>
        </is>
      </c>
      <c r="X381" s="70" t="inlineStr">
        <is>
          <t>As specified in framework scope — consult official document</t>
        </is>
      </c>
      <c r="Y381" s="49" t="inlineStr">
        <is>
          <t>Both (unless specified otherwise in official document)</t>
        </is>
      </c>
      <c r="Z381" s="70" t="inlineStr">
        <is>
          <t>As defined by issuing authority</t>
        </is>
      </c>
      <c r="AA381" s="71" t="inlineStr">
        <is>
          <t>As defined by issuing authority</t>
        </is>
      </c>
      <c r="AB381" s="70" t="inlineStr">
        <is>
          <t>To be determined from framework text — see official source</t>
        </is>
      </c>
      <c r="AC381" s="70" t="inlineStr">
        <is>
          <t>See framework preamble for international standard references</t>
        </is>
      </c>
      <c r="AD381" s="49" t="inlineStr">
        <is>
          <t>Arabic (primary in KSA); English may be available</t>
        </is>
      </c>
      <c r="AE381" s="58" t="inlineStr">
        <is>
          <t>Mapped to relevant GH-ICGA layer — requires manual assessment</t>
        </is>
      </c>
      <c r="AF381" s="56" t="inlineStr">
        <is>
          <t>See official framework for maturity model details</t>
        </is>
      </c>
      <c r="AG381" s="70" t="inlineStr">
        <is>
          <t>Aligned with relevant Vision 2030 programme — see framework context</t>
        </is>
      </c>
      <c r="AH381" s="70" t="inlineStr">
        <is>
          <t>As specified in framework compliance requirements</t>
        </is>
      </c>
      <c r="AI381" s="73" t="inlineStr">
        <is>
          <t>Institutional theory and regulatory governance theory underpin all KSA regulatory frameworks. Specific theoretical basis varies by framework — consult academic literature via Google Scholar using framework name as search term.</t>
        </is>
      </c>
      <c r="AJ381" s="70" t="inlineStr">
        <is>
          <t>Academic debate varies by framework maturity and international adoption. For KSA-specific debate, consult: Almohammad &amp; Wills (2021) J Cybersecurity; Al-Khater et al. (2020) IEEE Access; Baker McKenzie KSA regulatory updates.</t>
        </is>
      </c>
      <c r="AK381" s="74" t="inlineStr">
        <is>
          <t>Known criticisms include: implementation gap between standards and practice; resource constraints for smaller healthcare entities; rapid technology evolution outpacing regulation. Consult framework evaluation literature for specifics.</t>
        </is>
      </c>
      <c r="AL381" s="75" t="inlineStr">
        <is>
          <t>Framework comparison requires contextual analysis. Key comparators: NIST CSF 2.0 (international benchmark), ISO 27001 (certifiable standard), ECC-2 (KSA mandatory baseline). See main database for cross-framework mapping.</t>
        </is>
      </c>
      <c r="AM381"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81" s="50" t="inlineStr">
        <is>
          <t>Official: Consult the official source URL in the database for the primary document. Training: ISACA, ISC2, RAPS, IAPP, and HIMSS offer professional development covering most regulatory domains. Estimated hours vary by framework complexity.</t>
        </is>
      </c>
      <c r="AO381" s="77" t="inlineStr">
        <is>
          <t>Relevance to GH-ICGA framework varies by layer — see GH-ICGA Layer Mapping column. All KSA mandatory frameworks are compliance inputs to GH-ICGA Layer 4. Frameworks with IoMT-specific provisions directly inform Layers 2 and 3.</t>
        </is>
      </c>
      <c r="AP381" s="53" t="inlineStr">
        <is>
          <t>R + C (Risk and Compliance — technically oriented; governance implied)</t>
        </is>
      </c>
      <c r="AQ381" s="78" t="inlineStr">
        <is>
          <t>CISO/OT Security Manager: own OTCC compliance. Clinical Engineering/Biomedical Engineering: co-responsible for medical device OT compliance. CTO: responsible for OT architecture. Board: informed of OT risk posture annually. OT security roles: Saudi nationals required per ECC-2 Saudisation mandate</t>
        </is>
      </c>
      <c r="AR381" s="74" t="inlineStr">
        <is>
          <t>Cyber Risk (OT/ICS); Operational Risk (process disruption); Physical Safety Risk (clinical impact of OT compromise); Supply Chain Risk (OT vendor remote access); Availability Risk (OT always-on requirement)</t>
        </is>
      </c>
      <c r="AS381" s="22" t="inlineStr">
        <is>
          <t>LEGAL — Mandatory for CNI OT operators under NCA-REG-2024. Hospitals as CNI: healthcare OT networks are in scope. Penalties: NCA-REG-2024 (SAR 25M max) + potential operational shutdown of non-compliant OT systems</t>
        </is>
      </c>
      <c r="AT381" s="75" t="inlineStr">
        <is>
          <t>Technical (T): 40 controls — OT network segmentation; secure remote access; OT monitoring; patch management for ICS. Administrative (A): 8 controls — OT governance; vendor management; OT incident response. Operational (O): 5 controls — OT change management; OT BCP</t>
        </is>
      </c>
      <c r="AU381" s="79" t="inlineStr">
        <is>
          <t>1. % OT assets inventoried (target 100%). 2. % OT systems with current patches within defined window. 3. # OT network zone violations detected. 4. % third-party OT vendor accesses logged. 5. OT system availability rate (target &gt;99.9% for life-critical). 6. Time-to-detect OT anomaly (target &lt;15 min for CNI)</t>
        </is>
      </c>
      <c r="AV381" s="80" t="inlineStr">
        <is>
          <t>OT vulnerability scan (passive — non-disruptive tools: Claroty, Nozomi, Dragos); OT network traffic analysis; OT penetration test (annual — must not disrupt clinical operations); vendor remote access audit; zone/conduit diagram validation</t>
        </is>
      </c>
      <c r="AW381" s="81" t="inlineStr">
        <is>
          <t>Claroty (medical IoT OT visibility); Nozomi Networks; Dragos; Tenable.ot; Fortinet OT; Medigate (healthcare-specific OT). For GRC integration: ServiceNow OT module; IBM QRadar SIEM with OT signatures</t>
        </is>
      </c>
      <c r="AX381" s="82" t="inlineStr">
        <is>
          <t>All OT vendors with remote access: mandatory access logging; time-limited access; multi-factor authentication; vendor security assessment before engagement; NDA for OT architecture access; OT vendor incident notification within 4 hours</t>
        </is>
      </c>
      <c r="AY381" s="83" t="inlineStr">
        <is>
          <t>OT breach in hospital: potential life-critical impact (ventilator, infusion pump disruption); NCA shutdown order; SAR 25M fine; criminal referral; SFDA recall if device compromise detected; massive reputational and legal exposure</t>
        </is>
      </c>
      <c r="AZ381" s="80" t="inlineStr">
        <is>
          <t>Sector-specific — consult official source</t>
        </is>
      </c>
      <c r="BA381" s="41" t="inlineStr">
        <is>
          <t>Sector-Specific</t>
        </is>
      </c>
      <c r="BB381" s="591">
        <f>IF(E381="","",IF(ISNUMBER(SEARCH("Institutional theory and regulatory governance theory underpin",AI381)),"TEMPLATE",IF(LEN(AI381)&gt;100,"DEEP",IF(AI381="","SPARSE","SHALLOW"))))</f>
        <v/>
      </c>
      <c r="BC381" s="591">
        <f>IF(E381="","",D381&amp;"-"&amp;B381&amp;"-"&amp;E381)</f>
        <v/>
      </c>
      <c r="BD381" s="591">
        <f>IF(E381="","",SUBSTITUTE(SUBSTITUTE(B381&amp;"-"&amp;E381," ",""),":","-"))</f>
        <v/>
      </c>
      <c r="BE381" s="591">
        <f>IF(E381="","",IF(ISNUMBER(SEARCH("ECC",E381)),"NCA-ECC-2-2024",IF(ISNUMBER(SEARCH("OTCC",E381)),"NCA-ECC-2-2024",IF(ISNUMBER(SEARCH("CCC",E381)),"NCA-ECC-2-2024",IF(ISNUMBER(SEARCH("DCC",E381)),"NCA-ECC-2-2024",IF(ISNUMBER(SEARCH("CSCC",E381)),"NCA-ECC-2-2024",IF(ISNUMBER(SEARCH("PDPL-IR",E381)),"PDPL-2021",IF(ISNUMBER(SEARCH("PDPL-DTR",E381)),"PDPL-2021","NONE"))))))))</f>
        <v/>
      </c>
      <c r="BF381" s="594">
        <f>IF(E381="","",IF(BB381="DEEP",10,IF(BB381="SHALLOW",5,IF(BB381="TEMPLATE",3,1)))+IF(N381="HIGHEST",5,IF(N381="HIGH",3,IF(N381="MODERATE",1,0)))+IF(ISNUMBER(SEARCH("Mandatory",L381)),3,0))</f>
        <v/>
      </c>
    </row>
    <row r="382" ht="42" customHeight="1">
      <c r="A382" s="84" t="n">
        <v>333</v>
      </c>
      <c r="B382" s="411" t="inlineStr">
        <is>
          <t>JDHC</t>
        </is>
      </c>
      <c r="C382" s="70" t="inlineStr">
        <is>
          <t>Jeddah Health Cluster</t>
        </is>
      </c>
      <c r="D382" s="70" t="inlineStr">
        <is>
          <t>17. Regional Health Clusters</t>
        </is>
      </c>
      <c r="E382" s="411" t="inlineStr">
        <is>
          <t>MOH-HIS</t>
        </is>
      </c>
      <c r="F382" s="72" t="inlineStr">
        <is>
          <t>Health Information System Standards</t>
        </is>
      </c>
      <c r="G382" s="70" t="inlineStr">
        <is>
          <t>معايير نظم المعلومات الصحية</t>
        </is>
      </c>
      <c r="H382" s="70" t="inlineStr">
        <is>
          <t>2024 update</t>
        </is>
      </c>
      <c r="I382" s="71" t="inlineStr">
        <is>
          <t>2010</t>
        </is>
      </c>
      <c r="J382" s="71" t="inlineStr">
        <is>
          <t>112</t>
        </is>
      </c>
      <c r="K382" s="70" t="inlineStr">
        <is>
          <t>MUST COMPLY WITH</t>
        </is>
      </c>
      <c r="L382" s="66" t="inlineStr">
        <is>
          <t>Mandatory Complier</t>
        </is>
      </c>
      <c r="M382" s="70" t="inlineStr">
        <is>
          <t>Jeddah Health Cluster hospitals — mandatory HIS compliance</t>
        </is>
      </c>
      <c r="N382" s="86" t="inlineStr">
        <is>
          <t>HIGHEST</t>
        </is>
      </c>
      <c r="O382" s="87" t="inlineStr">
        <is>
          <t>https://www.moh.gov.sa/en/</t>
        </is>
      </c>
      <c r="P382" s="70" t="inlineStr">
        <is>
          <t>MOH official</t>
        </is>
      </c>
      <c r="Q382" s="70" t="inlineStr">
        <is>
          <t>First issued ~2010 → comprehensive update 2022 → mandatory EMR update 2024</t>
        </is>
      </c>
      <c r="R382" s="70" t="inlineStr">
        <is>
          <t>Progressive standards covering: 2010 (basic EHR requirements); 2015 (interoperability standards added); 2018 (NABIDH integration); 2020 (mobile health and telemedicine modules); 2022 (comprehensive 112-control update covering clinical systems, imaging, medication management, emergency, genomics, training); 2024 (mandatory EMR adoption for all MOH and private facilities aligned with NABIDH)</t>
        </is>
      </c>
      <c r="S382" s="71" t="inlineStr">
        <is>
          <t>First: 2010. Major update: 2022. EMR mandate: 2024</t>
        </is>
      </c>
      <c r="T382" s="70" t="inlineStr">
        <is>
          <t>Updated with NABIDH platform releases; typically annual minor updates</t>
        </is>
      </c>
      <c r="U382" s="25" t="inlineStr">
        <is>
          <t>CURRENT — 2024 version mandatory</t>
        </is>
      </c>
      <c r="V382" s="70" t="inlineStr">
        <is>
          <t>MOH facility licensing at risk; mandatory corrective action plan; financial penalties under Private Health Institutions Law; non-compliant systems barred from NABIDH connectivity</t>
        </is>
      </c>
      <c r="W382" s="72" t="inlineStr">
        <is>
          <t>MOH — Directorate of Health Information (DHI); regional health cluster inspection teams; NHIC for interoperability compliance</t>
        </is>
      </c>
      <c r="X382" s="70" t="inlineStr">
        <is>
          <t>Hospital; Clinic; Lab; Pharmacy (hospital); Government Health Entity</t>
        </is>
      </c>
      <c r="Y382" s="49" t="inlineStr">
        <is>
          <t>Both (mandatory for MOH facilities; mandatory for private facilities since 2024 PHILAW update)</t>
        </is>
      </c>
      <c r="Z382" s="70" t="inlineStr">
        <is>
          <t>MOH annual IT audit; NHIC interoperability assessment; CBAHI HIT standards review during accreditation</t>
        </is>
      </c>
      <c r="AA382" s="71" t="inlineStr">
        <is>
          <t>Annual MOH audit; NABIDH connectivity continuous monitoring</t>
        </is>
      </c>
      <c r="AB382" s="70" t="inlineStr">
        <is>
          <t>28 (medical device integration into HIS; alarm management; device data capture; IoMT workflow integration; remote monitoring data ingestion; device incident reporting to HIS)</t>
        </is>
      </c>
      <c r="AC382" s="70" t="inlineStr">
        <is>
          <t>HL7 FHIR R4 (interoperability); IHE profiles (integration); ISO 27799:2016 (health ISMS); DICOM (imaging)</t>
        </is>
      </c>
      <c r="AD382" s="49" t="inlineStr">
        <is>
          <t>Arabic (primary); English technical annexes</t>
        </is>
      </c>
      <c r="AE382" s="26" t="inlineStr">
        <is>
          <t>Layer 1: Governance; Layer 3: Technical Controls; Layer 4: Compliance</t>
        </is>
      </c>
      <c r="AF382" s="27" t="inlineStr">
        <is>
          <t>Yes — 4 implementation levels (Basic / Intermediate / Advanced / Optimised); MOH tracks facility scores</t>
        </is>
      </c>
      <c r="AG382" s="70" t="inlineStr">
        <is>
          <t>HSTP digital health; NABIDH national EHR; Vision 2030 healthcare quality targets</t>
        </is>
      </c>
      <c r="AH382" s="70" t="inlineStr">
        <is>
          <t>HIS system documentation; NABIDH connectivity certificate; interoperability test results; staff training records; system access audit logs; downtime contingency procedure</t>
        </is>
      </c>
      <c r="AI382" s="73" t="inlineStr">
        <is>
          <t>Health informatics systems theory (Shortliffe &amp; Cimino 2006): HIS as sociotechnical infrastructure. Interoperability theory (Kuperman 2011): semantic/syntactic/organisational interoperability levels. Technology adoption theory (TAM — Davis 1989): clinician adoption barriers to HIS.</t>
        </is>
      </c>
      <c r="AJ382" s="70" t="inlineStr">
        <is>
          <t>FOR: National standardisation essential for patient safety continuity (WHO 2019); NABIDH integration creates longitudinal patient record unavailable previously; IoMT data integration requirements push hospitals toward modern system architectures. AGAINST: Ajami &amp; Bagheri-Tadi (2013) and Aloudah et al. (2021) document implementation-reality gap in Saudi HIS — standards exist but compliance varies widely by facility tier; urban-rural HIS capacity gap poorly addressed; cybersecurity requirements within HIS standards historically weak (pre-NABIDH)</t>
        </is>
      </c>
      <c r="AK382" s="74" t="inlineStr">
        <is>
          <t>112 controls create compliance burden without proportionality guidance; small private clinics face disproportionate compliance cost; no formal HIS certification programme — self-declaration accepted; IoMT data standards not harmonised with international HL7 FHIR profiles; historical emphasis on data capture over data quality</t>
        </is>
      </c>
      <c r="AL382" s="75" t="inlineStr">
        <is>
          <t>MOH-HIS vs NHS Digital standards (UK): NHS has legally binding DCB standards with enforcement; MOH-HIS is ministerial directive with softer enforcement. MOH-HIS vs ONC Health IT Certification (US): US has federal certification; KSA moving toward certification (NABIDH conformance). MOH-HIS + NHIC-NABIDH = closest to ONC approach in KSA</t>
        </is>
      </c>
      <c r="AM382" s="76" t="inlineStr">
        <is>
          <t>Ajami S &amp; Bagheri-Tadi T (2013) 'Barriers for Adopting Electronic Health Records' MateriaSociomed 25(3); Aloudah N et al. (2021) 'Digital Health in Saudi Arabia' Sustainability 13(12); Shortliffe EH &amp; Cimino JJ (2006) Biomedical Informatics Springer; WHO (2019) Classification of Digital Interventions; Alotaibi YK &amp; Federico F (2017) 'Impact of Health IT on Patient Safety' Saudi Medical J 38(12)</t>
        </is>
      </c>
      <c r="AN382" s="50" t="inlineStr">
        <is>
          <t>Official: MOH website (moh.gov.sa). Training: CPHIMS (Certified Professional Health Informatics &amp; Information Management); HL7 FHIR Foundational (HL7.org); NHIC developer portal training (nhic.gov.sa). Language: Arabic primary. Estimated: 45 hours</t>
        </is>
      </c>
      <c r="AO382" s="77" t="inlineStr">
        <is>
          <t>GH-ICGA Layer 1 (Governance) + Layer 3 (Technical Controls) — MOH-HIS is the clinical data governance backbone that the preliminary GH-ICGA IoMT framework must integrate with. Thesis: GH-ICGA IoMT data model must align with HIS data standards to ensure IoMT device data flows into the national health record coherently</t>
        </is>
      </c>
      <c r="AP382" s="34" t="inlineStr">
        <is>
          <t>G + R + C (all three — clinical information governance foundation)</t>
        </is>
      </c>
      <c r="AQ382" s="78" t="inlineStr">
        <is>
          <t>Hospital CEO: accountable for HIS compliance. CIO/CMIO: responsible for HIS implementation and NABIDH connectivity. Clinical Informatics Committee: govern HIS standards adoption. Department Heads: responsible for clinical data quality in their systems</t>
        </is>
      </c>
      <c r="AR382" s="74" t="inlineStr">
        <is>
          <t>Operational Risk (HIS downtime = clinical risk); Patient Safety Risk; Data Quality Risk; Regulatory Risk (MOH non-compliance); Interoperability Risk (NABIDH disconnection)</t>
        </is>
      </c>
      <c r="AS382" s="61" t="inlineStr">
        <is>
          <t>REGULATORY — MOH ministerial directive. Mandatory for all licensed facilities. Non-compliance risks licensing. Enforced through MOH annual audit and NABIDH connectivity monitoring</t>
        </is>
      </c>
      <c r="AT382" s="75" t="inlineStr">
        <is>
          <t>Technical (T): 68 controls — system architecture; integration; security; availability; backup. Administrative (A): 28 controls — data governance; policies; training; documentation. Operational (O): 16 controls — downtime procedures; change management; vendor management</t>
        </is>
      </c>
      <c r="AU382" s="79" t="inlineStr">
        <is>
          <t>1. NABIDH connectivity status (connected/disconnected). 2. HIS downtime incidents per month (target &lt;4h/month). 3. Data quality score (completeness/accuracy) from NABIDH reports. 4. % clinical staff trained on HIS (target 100%). 5. Time-to-restore HIS after failure (target &lt;4h). 6. # HIS security incidents per quarter</t>
        </is>
      </c>
      <c r="AV382" s="80" t="inlineStr">
        <is>
          <t>Annual MOH HIS audit (documentation + system walk-through); NABIDH API conformance test (NHIC automated); data quality audit; HIS security assessment; downtime procedure simulation; user access review</t>
        </is>
      </c>
      <c r="AW382" s="81" t="inlineStr">
        <is>
          <t>Epic; Cerner (Oracle Health); Philips Tasy EMR; Meditech; InterSystems HealthShare — all NABIDH-integrated. For compliance: ServiceNow Healthcare; Qualio (quality management); NHIC developer portal for FHIR conformance testing</t>
        </is>
      </c>
      <c r="AX382" s="82" t="inlineStr">
        <is>
          <t>HIS vendors: must be MOH-approved/NABIDH-certified; contractual data protection obligations; source code escrow for critical systems; SLA for 99.9% uptime; mandatory SFDA notification if HIS failure affects medical devices; annual security assessment of HIS vendors</t>
        </is>
      </c>
      <c r="AY382" s="83" t="inlineStr">
        <is>
          <t>Non-compliance: MOH corrective action; facility licence conditions; NABIDH disconnection (loss of referrals, national patient record access); PHILAW 2024 penalties for private facilities. Clinical impact: patient safety risk from poor data quality or HIS unavailability</t>
        </is>
      </c>
      <c r="AZ382" s="80" t="inlineStr">
        <is>
          <t>Healthcare &amp; Life Sciences</t>
        </is>
      </c>
      <c r="BA382" s="41" t="inlineStr">
        <is>
          <t>Sector-Specific</t>
        </is>
      </c>
      <c r="BB382" s="591">
        <f>IF(E382="","",IF(ISNUMBER(SEARCH("Institutional theory and regulatory governance theory underpin",AI382)),"TEMPLATE",IF(LEN(AI382)&gt;100,"DEEP",IF(AI382="","SPARSE","SHALLOW"))))</f>
        <v/>
      </c>
      <c r="BC382" s="591">
        <f>IF(E382="","",D382&amp;"-"&amp;B382&amp;"-"&amp;E382)</f>
        <v/>
      </c>
      <c r="BD382" s="591">
        <f>IF(E382="","",SUBSTITUTE(SUBSTITUTE(B382&amp;"-"&amp;E382," ",""),":","-"))</f>
        <v/>
      </c>
      <c r="BE382" s="591">
        <f>IF(E382="","",IF(ISNUMBER(SEARCH("ECC",E382)),"NCA-ECC-2-2024",IF(ISNUMBER(SEARCH("OTCC",E382)),"NCA-ECC-2-2024",IF(ISNUMBER(SEARCH("CCC",E382)),"NCA-ECC-2-2024",IF(ISNUMBER(SEARCH("DCC",E382)),"NCA-ECC-2-2024",IF(ISNUMBER(SEARCH("CSCC",E382)),"NCA-ECC-2-2024",IF(ISNUMBER(SEARCH("PDPL-IR",E382)),"PDPL-2021",IF(ISNUMBER(SEARCH("PDPL-DTR",E382)),"PDPL-2021","NONE"))))))))</f>
        <v/>
      </c>
      <c r="BF382" s="594">
        <f>IF(E382="","",IF(BB382="DEEP",10,IF(BB382="SHALLOW",5,IF(BB382="TEMPLATE",3,1)))+IF(N382="HIGHEST",5,IF(N382="HIGH",3,IF(N382="MODERATE",1,0)))+IF(ISNUMBER(SEARCH("Mandatory",L382)),3,0))</f>
        <v/>
      </c>
    </row>
    <row r="383" ht="42" customHeight="1">
      <c r="A383" s="42" t="n">
        <v>334</v>
      </c>
      <c r="B383" s="412" t="inlineStr">
        <is>
          <t>JDHC</t>
        </is>
      </c>
      <c r="C383" s="44" t="inlineStr">
        <is>
          <t>Jeddah Health Cluster</t>
        </is>
      </c>
      <c r="D383" s="44" t="inlineStr">
        <is>
          <t>17. Regional Health Clusters</t>
        </is>
      </c>
      <c r="E383" s="412" t="inlineStr">
        <is>
          <t>MOH-EMR-NABIDH</t>
        </is>
      </c>
      <c r="F383" s="45" t="inlineStr">
        <is>
          <t>EMR Standards / NABIDH</t>
        </is>
      </c>
      <c r="G383" s="44" t="inlineStr">
        <is>
          <t>معايير السجل الصحي الإلكتروني / نبض</t>
        </is>
      </c>
      <c r="H383" s="44" t="inlineStr">
        <is>
          <t>Mandatory 2024</t>
        </is>
      </c>
      <c r="I383" s="46" t="inlineStr">
        <is>
          <t>2010</t>
        </is>
      </c>
      <c r="J383" s="46" t="inlineStr">
        <is>
          <t>52</t>
        </is>
      </c>
      <c r="K383" s="44" t="inlineStr">
        <is>
          <t>MUST COMPLY WITH</t>
        </is>
      </c>
      <c r="L383" s="66" t="inlineStr">
        <is>
          <t>Mandatory Complier</t>
        </is>
      </c>
      <c r="M383" s="44" t="inlineStr">
        <is>
          <t>Jeddah Health Cluster — mandatory NABIDH connectivity 2024</t>
        </is>
      </c>
      <c r="N383" s="47" t="inlineStr">
        <is>
          <t>HIGHEST</t>
        </is>
      </c>
      <c r="O383" s="48" t="inlineStr">
        <is>
          <t>https://www.moh.gov.sa/en/</t>
        </is>
      </c>
      <c r="P383" s="44" t="inlineStr">
        <is>
          <t>MOH/NHIC</t>
        </is>
      </c>
      <c r="Q383" s="70" t="inlineStr">
        <is>
          <t>NABIDH platform launched ~2018 → mandatory EMR adoption for all facilities 2024</t>
        </is>
      </c>
      <c r="R383" s="70" t="inlineStr">
        <is>
          <t>NABIDH (National Unified EHR Platform): v1 2018 (pilot MOH hospitals); 2019-2021 (rollout to health clusters); 2022 (private hospital voluntary integration); 2023 (API standards published based on FHIR R4); 2024 (mandatory for ALL healthcare facilities per Private Health Institutions Law update — complete patient longitudinal record across facilities). EMR standard covers 52 functional requirements including: CPOE, medication reconciliation, imaging integration, patient portal, audit logs</t>
        </is>
      </c>
      <c r="S383" s="71" t="inlineStr">
        <is>
          <t>NABIDH launched: 2018. Mandatory for all: 2024</t>
        </is>
      </c>
      <c r="T383" s="70" t="inlineStr">
        <is>
          <t>Continuously updated with NABIDH platform releases</t>
        </is>
      </c>
      <c r="U383" s="25" t="inlineStr">
        <is>
          <t>CURRENT — mandatory since 2024</t>
        </is>
      </c>
      <c r="V383" s="70" t="inlineStr">
        <is>
          <t>Facility licensing revocation; MOH enforcement action; barred from government referrals; penalties under PHILAW 2024</t>
        </is>
      </c>
      <c r="W383" s="72" t="inlineStr">
        <is>
          <t>MOH — NABIDH Programme Office; NHIC; regional health clusters monitor connectivity</t>
        </is>
      </c>
      <c r="X383" s="70" t="inlineStr">
        <is>
          <t>Hospital; Clinic; Lab; Pharmacy; Government Health Entity — ALL healthcare facilities mandatory</t>
        </is>
      </c>
      <c r="Y383" s="49" t="inlineStr">
        <is>
          <t>Both (mandatory since 2024 PHILAW update for all facilities)</t>
        </is>
      </c>
      <c r="Z383" s="70" t="inlineStr">
        <is>
          <t>NHIC connectivity assessment; NABIDH API conformance testing; MOH annual audit</t>
        </is>
      </c>
      <c r="AA383" s="71" t="inlineStr">
        <is>
          <t>Continuous (NABIDH connectivity monitored in real time); annual formal audit</t>
        </is>
      </c>
      <c r="AB383" s="70" t="inlineStr">
        <is>
          <t>22 (IoMT data integration to NABIDH: wearable data ingestion API; remote monitoring feeds; device-generated vital signs; medical device alerts to patient record; IoMT consent management in EHR)</t>
        </is>
      </c>
      <c r="AC383" s="70" t="inlineStr">
        <is>
          <t>HL7 FHIR R4; IHE (Integrating the Healthcare Enterprise); SNOMED CT; ICD-10; LOINC</t>
        </is>
      </c>
      <c r="AD383" s="49" t="inlineStr">
        <is>
          <t>Arabic + English (NABIDH technical specifications bilingual)</t>
        </is>
      </c>
      <c r="AE383" s="26" t="inlineStr">
        <is>
          <t>Layer 1: Governance; Layer 3: Technical Controls; Layer 4: Compliance; Layer 5: Assurance</t>
        </is>
      </c>
      <c r="AF383" s="27" t="inlineStr">
        <is>
          <t>Yes — NABIDH connectivity levels (1: Basic data exchange; 2: Full longitudinal record; 3: Advanced interoperability with IoMT); MOH tracks facility level</t>
        </is>
      </c>
      <c r="AG383" s="70" t="inlineStr">
        <is>
          <t>HSTP digital health transformation; NABIDH national EHR; NHIS claims integration</t>
        </is>
      </c>
      <c r="AH383" s="70" t="inlineStr">
        <is>
          <t>NABIDH connectivity certificate; API integration test reports; patient consent records for data sharing; EHR system validation; data quality reports</t>
        </is>
      </c>
      <c r="AI383" s="73" t="inlineStr">
        <is>
          <t>Institutional theory and regulatory governance theory underpin all KSA regulatory frameworks. Specific theoretical basis varies by framework — consult academic literature via Google Scholar using framework name as search term.</t>
        </is>
      </c>
      <c r="AJ383" s="70" t="inlineStr">
        <is>
          <t>Academic debate varies by framework maturity and international adoption. For KSA-specific debate, consult: Almohammad &amp; Wills (2021) J Cybersecurity; Al-Khater et al. (2020) IEEE Access; Baker McKenzie KSA regulatory updates.</t>
        </is>
      </c>
      <c r="AK383" s="74" t="inlineStr">
        <is>
          <t>Known criticisms include: implementation gap between standards and practice; resource constraints for smaller healthcare entities; rapid technology evolution outpacing regulation. Consult framework evaluation literature for specifics.</t>
        </is>
      </c>
      <c r="AL383" s="75" t="inlineStr">
        <is>
          <t>Framework comparison requires contextual analysis. Key comparators: NIST CSF 2.0 (international benchmark), ISO 27001 (certifiable standard), ECC-2 (KSA mandatory baseline). See main database for cross-framework mapping.</t>
        </is>
      </c>
      <c r="AM383"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83" s="50" t="inlineStr">
        <is>
          <t>Official: Consult the official source URL in the database for the primary document. Training: ISACA, ISC2, RAPS, IAPP, and HIMSS offer professional development covering most regulatory domains. Estimated hours vary by framework complexity.</t>
        </is>
      </c>
      <c r="AO383" s="77" t="inlineStr">
        <is>
          <t>Relevance to GH-ICGA framework varies by layer — see GH-ICGA Layer Mapping column. All KSA mandatory frameworks are compliance inputs to GH-ICGA Layer 4. Frameworks with IoMT-specific provisions directly inform Layers 2 and 3.</t>
        </is>
      </c>
      <c r="AP383" s="51" t="inlineStr">
        <is>
          <t>G + C (Governance + Compliance — standard regulatory framework positioning)</t>
        </is>
      </c>
      <c r="AQ383" s="78" t="inlineStr">
        <is>
          <t>Senior management: accountability for framework compliance. Designated compliance officer: monitor requirements. All staff: awareness of applicable obligations</t>
        </is>
      </c>
      <c r="AR383" s="74" t="inlineStr">
        <is>
          <t>Regulatory Risk; Operational Risk; Reputational Risk — specific domains determined by framework scope</t>
        </is>
      </c>
      <c r="AS383" s="22" t="inlineStr">
        <is>
          <t>See official source — legal obligation, regulatory requirement, or voluntary standard as applicable</t>
        </is>
      </c>
      <c r="AT383" s="75" t="inlineStr">
        <is>
          <t>Administrative; Technical; Operational — specific distribution determined by framework content</t>
        </is>
      </c>
      <c r="AU383" s="79" t="inlineStr">
        <is>
          <t>1. Compliance status (compliant/non-compliant). 2. # open findings from last assessment. 3. % controls implemented. 4. Time to remediate findings. 5. Incident rate in framework scope area</t>
        </is>
      </c>
      <c r="AV383" s="80" t="inlineStr">
        <is>
          <t>Self-assessment; internal audit; external assessment as specified by issuing authority</t>
        </is>
      </c>
      <c r="AW383" s="81" t="inlineStr">
        <is>
          <t>ServiceNow GRC; IBM OpenPages; RSA Archer; MetricStream — all major GRC platforms support custom framework import. Contact vendor for framework-specific module</t>
        </is>
      </c>
      <c r="AX383" s="82" t="inlineStr">
        <is>
          <t>Third parties in scope must demonstrate equivalent compliance. Contractual compliance obligations; right-to-audit clauses; annual third-party assessment</t>
        </is>
      </c>
      <c r="AY383" s="83" t="inlineStr">
        <is>
          <t>Non-compliance: regulatory action by issuing authority; fines and penalties as specified; operational and reputational consequences</t>
        </is>
      </c>
      <c r="AZ383" s="80" t="inlineStr">
        <is>
          <t>Healthcare &amp; Life Sciences</t>
        </is>
      </c>
      <c r="BA383" s="41" t="inlineStr">
        <is>
          <t>Sector-Specific</t>
        </is>
      </c>
      <c r="BB383" s="591">
        <f>IF(E383="","",IF(ISNUMBER(SEARCH("Institutional theory and regulatory governance theory underpin",AI383)),"TEMPLATE",IF(LEN(AI383)&gt;100,"DEEP",IF(AI383="","SPARSE","SHALLOW"))))</f>
        <v/>
      </c>
      <c r="BC383" s="591">
        <f>IF(E383="","",D383&amp;"-"&amp;B383&amp;"-"&amp;E383)</f>
        <v/>
      </c>
      <c r="BD383" s="591">
        <f>IF(E383="","",SUBSTITUTE(SUBSTITUTE(B383&amp;"-"&amp;E383," ",""),":","-"))</f>
        <v/>
      </c>
      <c r="BE383" s="591">
        <f>IF(E383="","",IF(ISNUMBER(SEARCH("ECC",E383)),"NCA-ECC-2-2024",IF(ISNUMBER(SEARCH("OTCC",E383)),"NCA-ECC-2-2024",IF(ISNUMBER(SEARCH("CCC",E383)),"NCA-ECC-2-2024",IF(ISNUMBER(SEARCH("DCC",E383)),"NCA-ECC-2-2024",IF(ISNUMBER(SEARCH("CSCC",E383)),"NCA-ECC-2-2024",IF(ISNUMBER(SEARCH("PDPL-IR",E383)),"PDPL-2021",IF(ISNUMBER(SEARCH("PDPL-DTR",E383)),"PDPL-2021","NONE"))))))))</f>
        <v/>
      </c>
      <c r="BF383" s="594">
        <f>IF(E383="","",IF(BB383="DEEP",10,IF(BB383="SHALLOW",5,IF(BB383="TEMPLATE",3,1)))+IF(N383="HIGHEST",5,IF(N383="HIGH",3,IF(N383="MODERATE",1,0)))+IF(ISNUMBER(SEARCH("Mandatory",L383)),3,0))</f>
        <v/>
      </c>
    </row>
    <row r="384" ht="42" customHeight="1">
      <c r="A384" s="84" t="n">
        <v>335</v>
      </c>
      <c r="B384" s="411" t="inlineStr">
        <is>
          <t>JDHC</t>
        </is>
      </c>
      <c r="C384" s="70" t="inlineStr">
        <is>
          <t>Jeddah Health Cluster</t>
        </is>
      </c>
      <c r="D384" s="70" t="inlineStr">
        <is>
          <t>17. Regional Health Clusters</t>
        </is>
      </c>
      <c r="E384" s="411" t="inlineStr">
        <is>
          <t>MOH-PS</t>
        </is>
      </c>
      <c r="F384" s="72" t="inlineStr">
        <is>
          <t>Patient Safety Standards</t>
        </is>
      </c>
      <c r="G384" s="70" t="inlineStr">
        <is>
          <t>معايير سلامة المريض</t>
        </is>
      </c>
      <c r="H384" s="70" t="inlineStr">
        <is>
          <t>2024 update</t>
        </is>
      </c>
      <c r="I384" s="71" t="inlineStr">
        <is>
          <t>2015</t>
        </is>
      </c>
      <c r="J384" s="71" t="inlineStr">
        <is>
          <t>72</t>
        </is>
      </c>
      <c r="K384" s="70" t="inlineStr">
        <is>
          <t>MUST COMPLY WITH</t>
        </is>
      </c>
      <c r="L384" s="66" t="inlineStr">
        <is>
          <t>Mandatory Complier</t>
        </is>
      </c>
      <c r="M384" s="70" t="inlineStr">
        <is>
          <t>Jeddah Health Cluster — patient safety compliance</t>
        </is>
      </c>
      <c r="N384" s="86" t="inlineStr">
        <is>
          <t>HIGHEST</t>
        </is>
      </c>
      <c r="O384" s="87" t="inlineStr">
        <is>
          <t>https://www.moh.gov.sa/en/</t>
        </is>
      </c>
      <c r="P384" s="70" t="inlineStr">
        <is>
          <t>MOH official</t>
        </is>
      </c>
      <c r="Q384" s="70" t="inlineStr">
        <is>
          <t>First issued ~2015 → updates 2020 → 2024 update</t>
        </is>
      </c>
      <c r="R384" s="70" t="inlineStr">
        <is>
          <t>Based on WHO and JCI patient safety frameworks. Covers: patient identification (minimum 2 identifiers), medication safety (high-alert medications protocol), surgical safety checklist, falls prevention, infection control, critical value reporting, handover communications (SBAR). 2020 update added COVID-19 IPC protocols. 2024 update adds IoMT device safety (alarm fatigue management, device connectivity requirements)</t>
        </is>
      </c>
      <c r="S384" s="71" t="inlineStr">
        <is>
          <t>First: ~2015. Updated: 2020, 2024</t>
        </is>
      </c>
      <c r="T384" s="70" t="inlineStr">
        <is>
          <t>Annual review with MOH patient safety incidents data</t>
        </is>
      </c>
      <c r="U384" s="25" t="inlineStr">
        <is>
          <t>CURRENT — 2024 version</t>
        </is>
      </c>
      <c r="V384" s="70" t="inlineStr">
        <is>
          <t>MOH corrective action order; facility licence conditions; public safety alert; criminal liability for gross negligence</t>
        </is>
      </c>
      <c r="W384" s="72" t="inlineStr">
        <is>
          <t>MOH — Patient Safety Centre; regional health cluster inspection; CBAHI (patient safety standards embedded in accreditation)</t>
        </is>
      </c>
      <c r="X384" s="70" t="inlineStr">
        <is>
          <t>Hospital; Clinic; Government Health Entity</t>
        </is>
      </c>
      <c r="Y384" s="22" t="inlineStr">
        <is>
          <t>Both</t>
        </is>
      </c>
      <c r="Z384" s="70" t="inlineStr">
        <is>
          <t>Annual MOH patient safety inspection; CBAHI survey (integrated); incident investigation</t>
        </is>
      </c>
      <c r="AA384" s="71" t="inlineStr">
        <is>
          <t>Annual; triggered by serious adverse event</t>
        </is>
      </c>
      <c r="AB384" s="70" t="inlineStr">
        <is>
          <t>14 (alarm fatigue management for IoMT devices; connected infusion pump safety; IV smart pump drug library governance; patient ID for IoMT devices; device failure response procedures; remote monitoring alert management)</t>
        </is>
      </c>
      <c r="AC384" s="70" t="inlineStr">
        <is>
          <t>WHO Patient Safety Challenges (Global Patient Safety Action Plan 2021-2030); JCI Patient Safety Goals; The Joint Commission NPSG</t>
        </is>
      </c>
      <c r="AD384" s="49" t="inlineStr">
        <is>
          <t>Arabic (primary); English reference</t>
        </is>
      </c>
      <c r="AE384" s="26" t="inlineStr">
        <is>
          <t>Layer 1: Governance; Layer 4: Compliance</t>
        </is>
      </c>
      <c r="AF384" s="27" t="inlineStr">
        <is>
          <t>Yes — patient safety maturity levels (Safety-I to Safety-III); MOH tracks facility scores</t>
        </is>
      </c>
      <c r="AG384" s="70" t="inlineStr">
        <is>
          <t>HSTP patient safety; Vision 2030 quality targets; National Patient Safety Centre</t>
        </is>
      </c>
      <c r="AH384" s="70" t="inlineStr">
        <is>
          <t>Incident reporting system data; patient safety walkround records; fall prevention audit; medication safety audit; CBAHI patient safety standards compliance</t>
        </is>
      </c>
      <c r="AI384" s="73" t="inlineStr">
        <is>
          <t>Institutional theory and regulatory governance theory underpin all KSA regulatory frameworks. Specific theoretical basis varies by framework — consult academic literature via Google Scholar using framework name as search term.</t>
        </is>
      </c>
      <c r="AJ384" s="70" t="inlineStr">
        <is>
          <t>Academic debate varies by framework maturity and international adoption. For KSA-specific debate, consult: Almohammad &amp; Wills (2021) J Cybersecurity; Al-Khater et al. (2020) IEEE Access; Baker McKenzie KSA regulatory updates.</t>
        </is>
      </c>
      <c r="AK384" s="74" t="inlineStr">
        <is>
          <t>Known criticisms include: implementation gap between standards and practice; resource constraints for smaller healthcare entities; rapid technology evolution outpacing regulation. Consult framework evaluation literature for specifics.</t>
        </is>
      </c>
      <c r="AL384" s="75" t="inlineStr">
        <is>
          <t>Framework comparison requires contextual analysis. Key comparators: NIST CSF 2.0 (international benchmark), ISO 27001 (certifiable standard), ECC-2 (KSA mandatory baseline). See main database for cross-framework mapping.</t>
        </is>
      </c>
      <c r="AM384"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84" s="50" t="inlineStr">
        <is>
          <t>Official: Consult the official source URL in the database for the primary document. Training: ISACA, ISC2, RAPS, IAPP, and HIMSS offer professional development covering most regulatory domains. Estimated hours vary by framework complexity.</t>
        </is>
      </c>
      <c r="AO384" s="77" t="inlineStr">
        <is>
          <t>Relevance to GH-ICGA framework varies by layer — see GH-ICGA Layer Mapping column. All KSA mandatory frameworks are compliance inputs to GH-ICGA Layer 4. Frameworks with IoMT-specific provisions directly inform Layers 2 and 3.</t>
        </is>
      </c>
      <c r="AP384" s="51" t="inlineStr">
        <is>
          <t>G + C (Governance + Compliance — standard regulatory framework positioning)</t>
        </is>
      </c>
      <c r="AQ384" s="78" t="inlineStr">
        <is>
          <t>Senior management: accountability for framework compliance. Designated compliance officer: monitor requirements. All staff: awareness of applicable obligations</t>
        </is>
      </c>
      <c r="AR384" s="74" t="inlineStr">
        <is>
          <t>Regulatory Risk; Operational Risk; Reputational Risk — specific domains determined by framework scope</t>
        </is>
      </c>
      <c r="AS384" s="22" t="inlineStr">
        <is>
          <t>See official source — legal obligation, regulatory requirement, or voluntary standard as applicable</t>
        </is>
      </c>
      <c r="AT384" s="75" t="inlineStr">
        <is>
          <t>Administrative; Technical; Operational — specific distribution determined by framework content</t>
        </is>
      </c>
      <c r="AU384" s="79" t="inlineStr">
        <is>
          <t>1. Compliance status (compliant/non-compliant). 2. # open findings from last assessment. 3. % controls implemented. 4. Time to remediate findings. 5. Incident rate in framework scope area</t>
        </is>
      </c>
      <c r="AV384" s="80" t="inlineStr">
        <is>
          <t>Self-assessment; internal audit; external assessment as specified by issuing authority</t>
        </is>
      </c>
      <c r="AW384" s="81" t="inlineStr">
        <is>
          <t>ServiceNow GRC; IBM OpenPages; RSA Archer; MetricStream — all major GRC platforms support custom framework import. Contact vendor for framework-specific module</t>
        </is>
      </c>
      <c r="AX384" s="82" t="inlineStr">
        <is>
          <t>Third parties in scope must demonstrate equivalent compliance. Contractual compliance obligations; right-to-audit clauses; annual third-party assessment</t>
        </is>
      </c>
      <c r="AY384" s="83" t="inlineStr">
        <is>
          <t>Non-compliance: regulatory action by issuing authority; fines and penalties as specified; operational and reputational consequences</t>
        </is>
      </c>
      <c r="AZ384" s="80" t="inlineStr">
        <is>
          <t>Healthcare &amp; Life Sciences</t>
        </is>
      </c>
      <c r="BA384" s="41" t="inlineStr">
        <is>
          <t>Sector-Specific</t>
        </is>
      </c>
      <c r="BB384" s="591">
        <f>IF(E384="","",IF(ISNUMBER(SEARCH("Institutional theory and regulatory governance theory underpin",AI384)),"TEMPLATE",IF(LEN(AI384)&gt;100,"DEEP",IF(AI384="","SPARSE","SHALLOW"))))</f>
        <v/>
      </c>
      <c r="BC384" s="591">
        <f>IF(E384="","",D384&amp;"-"&amp;B384&amp;"-"&amp;E384)</f>
        <v/>
      </c>
      <c r="BD384" s="591">
        <f>IF(E384="","",SUBSTITUTE(SUBSTITUTE(B384&amp;"-"&amp;E384," ",""),":","-"))</f>
        <v/>
      </c>
      <c r="BE384" s="591">
        <f>IF(E384="","",IF(ISNUMBER(SEARCH("ECC",E384)),"NCA-ECC-2-2024",IF(ISNUMBER(SEARCH("OTCC",E384)),"NCA-ECC-2-2024",IF(ISNUMBER(SEARCH("CCC",E384)),"NCA-ECC-2-2024",IF(ISNUMBER(SEARCH("DCC",E384)),"NCA-ECC-2-2024",IF(ISNUMBER(SEARCH("CSCC",E384)),"NCA-ECC-2-2024",IF(ISNUMBER(SEARCH("PDPL-IR",E384)),"PDPL-2021",IF(ISNUMBER(SEARCH("PDPL-DTR",E384)),"PDPL-2021","NONE"))))))))</f>
        <v/>
      </c>
      <c r="BF384" s="594">
        <f>IF(E384="","",IF(BB384="DEEP",10,IF(BB384="SHALLOW",5,IF(BB384="TEMPLATE",3,1)))+IF(N384="HIGHEST",5,IF(N384="HIGH",3,IF(N384="MODERATE",1,0)))+IF(ISNUMBER(SEARCH("Mandatory",L384)),3,0))</f>
        <v/>
      </c>
    </row>
    <row r="385" ht="42" customHeight="1">
      <c r="A385" s="42" t="n">
        <v>336</v>
      </c>
      <c r="B385" s="412" t="inlineStr">
        <is>
          <t>JDHC</t>
        </is>
      </c>
      <c r="C385" s="44" t="inlineStr">
        <is>
          <t>Jeddah Health Cluster</t>
        </is>
      </c>
      <c r="D385" s="44" t="inlineStr">
        <is>
          <t>17. Regional Health Clusters</t>
        </is>
      </c>
      <c r="E385" s="412" t="inlineStr">
        <is>
          <t>MOH-PR</t>
        </is>
      </c>
      <c r="F385" s="45" t="inlineStr">
        <is>
          <t>Patient Rights Charter</t>
        </is>
      </c>
      <c r="G385" s="44" t="inlineStr">
        <is>
          <t>ميثاق حقوق المريض</t>
        </is>
      </c>
      <c r="H385" s="44" t="inlineStr">
        <is>
          <t>2019</t>
        </is>
      </c>
      <c r="I385" s="46" t="inlineStr">
        <is>
          <t>2012</t>
        </is>
      </c>
      <c r="J385" s="46" t="inlineStr">
        <is>
          <t>45</t>
        </is>
      </c>
      <c r="K385" s="44" t="inlineStr">
        <is>
          <t>MUST COMPLY WITH</t>
        </is>
      </c>
      <c r="L385" s="66" t="inlineStr">
        <is>
          <t>Mandatory Complier</t>
        </is>
      </c>
      <c r="M385" s="44" t="inlineStr">
        <is>
          <t>Jeddah Health Cluster facilities</t>
        </is>
      </c>
      <c r="N385" s="54" t="inlineStr">
        <is>
          <t>HIGH</t>
        </is>
      </c>
      <c r="O385" s="48" t="inlineStr">
        <is>
          <t>https://www.moh.gov.sa/en/</t>
        </is>
      </c>
      <c r="P385" s="44" t="inlineStr">
        <is>
          <t>MOH official</t>
        </is>
      </c>
      <c r="Q385" s="70" t="inlineStr">
        <is>
          <t>First Charter ~2012 → updated 2019</t>
        </is>
      </c>
      <c r="R385" s="70" t="inlineStr">
        <is>
          <t>45 rights and obligations. Key provisions: informed consent (including electronic consent for telemedicine), right to access medical records (digital access through NABIDH patient portal), right to privacy of health information, right to refuse treatment, right to second opinion. 2019 update added digital health rights (right to data portability from health apps)</t>
        </is>
      </c>
      <c r="S385" s="71" t="inlineStr">
        <is>
          <t>First: ~2012. Updated: 2019</t>
        </is>
      </c>
      <c r="T385" s="70" t="inlineStr">
        <is>
          <t>Review 2024-2025 expected to add AI/algorithmic transparency rights</t>
        </is>
      </c>
      <c r="U385" s="25" t="inlineStr">
        <is>
          <t>CURRENT — 2019 version</t>
        </is>
      </c>
      <c r="V385" s="70" t="inlineStr">
        <is>
          <t>Penalties defined by issuing authority; consult official source. NCA ECC-2 penalties apply if relevant</t>
        </is>
      </c>
      <c r="W385" s="72" t="inlineStr">
        <is>
          <t>Issuing authority and/or designated inspection department</t>
        </is>
      </c>
      <c r="X385" s="70" t="inlineStr">
        <is>
          <t>As specified in framework scope — consult official document</t>
        </is>
      </c>
      <c r="Y385" s="49" t="inlineStr">
        <is>
          <t>Both (unless specified otherwise in official document)</t>
        </is>
      </c>
      <c r="Z385" s="70" t="inlineStr">
        <is>
          <t>As defined by issuing authority</t>
        </is>
      </c>
      <c r="AA385" s="71" t="inlineStr">
        <is>
          <t>As defined by issuing authority</t>
        </is>
      </c>
      <c r="AB385" s="70" t="inlineStr">
        <is>
          <t>To be determined from framework text — see official source</t>
        </is>
      </c>
      <c r="AC385" s="70" t="inlineStr">
        <is>
          <t>See framework preamble for international standard references</t>
        </is>
      </c>
      <c r="AD385" s="49" t="inlineStr">
        <is>
          <t>Arabic (primary in KSA); English may be available</t>
        </is>
      </c>
      <c r="AE385" s="58" t="inlineStr">
        <is>
          <t>Mapped to relevant GH-ICGA layer — requires manual assessment</t>
        </is>
      </c>
      <c r="AF385" s="56" t="inlineStr">
        <is>
          <t>See official framework for maturity model details</t>
        </is>
      </c>
      <c r="AG385" s="70" t="inlineStr">
        <is>
          <t>Aligned with relevant Vision 2030 programme — see framework context</t>
        </is>
      </c>
      <c r="AH385" s="70" t="inlineStr">
        <is>
          <t>As specified in framework compliance requirements</t>
        </is>
      </c>
      <c r="AI385" s="73" t="inlineStr">
        <is>
          <t>Institutional theory and regulatory governance theory underpin all KSA regulatory frameworks. Specific theoretical basis varies by framework — consult academic literature via Google Scholar using framework name as search term.</t>
        </is>
      </c>
      <c r="AJ385" s="70" t="inlineStr">
        <is>
          <t>Academic debate varies by framework maturity and international adoption. For KSA-specific debate, consult: Almohammad &amp; Wills (2021) J Cybersecurity; Al-Khater et al. (2020) IEEE Access; Baker McKenzie KSA regulatory updates.</t>
        </is>
      </c>
      <c r="AK385" s="74" t="inlineStr">
        <is>
          <t>Known criticisms include: implementation gap between standards and practice; resource constraints for smaller healthcare entities; rapid technology evolution outpacing regulation. Consult framework evaluation literature for specifics.</t>
        </is>
      </c>
      <c r="AL385" s="75" t="inlineStr">
        <is>
          <t>Framework comparison requires contextual analysis. Key comparators: NIST CSF 2.0 (international benchmark), ISO 27001 (certifiable standard), ECC-2 (KSA mandatory baseline). See main database for cross-framework mapping.</t>
        </is>
      </c>
      <c r="AM385"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85" s="50" t="inlineStr">
        <is>
          <t>Official: Consult the official source URL in the database for the primary document. Training: ISACA, ISC2, RAPS, IAPP, and HIMSS offer professional development covering most regulatory domains. Estimated hours vary by framework complexity.</t>
        </is>
      </c>
      <c r="AO385" s="77" t="inlineStr">
        <is>
          <t>Relevance to GH-ICGA framework varies by layer — see GH-ICGA Layer Mapping column. All KSA mandatory frameworks are compliance inputs to GH-ICGA Layer 4. Frameworks with IoMT-specific provisions directly inform Layers 2 and 3.</t>
        </is>
      </c>
      <c r="AP385" s="51" t="inlineStr">
        <is>
          <t>G + C (Governance + Compliance — standard regulatory framework positioning)</t>
        </is>
      </c>
      <c r="AQ385" s="78" t="inlineStr">
        <is>
          <t>Senior management: accountability for framework compliance. Designated compliance officer: monitor requirements. All staff: awareness of applicable obligations</t>
        </is>
      </c>
      <c r="AR385" s="74" t="inlineStr">
        <is>
          <t>Regulatory Risk; Operational Risk; Reputational Risk — specific domains determined by framework scope</t>
        </is>
      </c>
      <c r="AS385" s="22" t="inlineStr">
        <is>
          <t>See official source — legal obligation, regulatory requirement, or voluntary standard as applicable</t>
        </is>
      </c>
      <c r="AT385" s="75" t="inlineStr">
        <is>
          <t>Administrative; Technical; Operational — specific distribution determined by framework content</t>
        </is>
      </c>
      <c r="AU385" s="79" t="inlineStr">
        <is>
          <t>1. Compliance status (compliant/non-compliant). 2. # open findings from last assessment. 3. % controls implemented. 4. Time to remediate findings. 5. Incident rate in framework scope area</t>
        </is>
      </c>
      <c r="AV385" s="80" t="inlineStr">
        <is>
          <t>Self-assessment; internal audit; external assessment as specified by issuing authority</t>
        </is>
      </c>
      <c r="AW385" s="81" t="inlineStr">
        <is>
          <t>ServiceNow GRC; IBM OpenPages; RSA Archer; MetricStream — all major GRC platforms support custom framework import. Contact vendor for framework-specific module</t>
        </is>
      </c>
      <c r="AX385" s="82" t="inlineStr">
        <is>
          <t>Third parties in scope must demonstrate equivalent compliance. Contractual compliance obligations; right-to-audit clauses; annual third-party assessment</t>
        </is>
      </c>
      <c r="AY385" s="83" t="inlineStr">
        <is>
          <t>Non-compliance: regulatory action by issuing authority; fines and penalties as specified; operational and reputational consequences</t>
        </is>
      </c>
      <c r="AZ385" s="80" t="inlineStr">
        <is>
          <t>Healthcare &amp; Life Sciences</t>
        </is>
      </c>
      <c r="BA385" s="41" t="inlineStr">
        <is>
          <t>Sector-Specific</t>
        </is>
      </c>
      <c r="BB385" s="591">
        <f>IF(E385="","",IF(ISNUMBER(SEARCH("Institutional theory and regulatory governance theory underpin",AI385)),"TEMPLATE",IF(LEN(AI385)&gt;100,"DEEP",IF(AI385="","SPARSE","SHALLOW"))))</f>
        <v/>
      </c>
      <c r="BC385" s="591">
        <f>IF(E385="","",D385&amp;"-"&amp;B385&amp;"-"&amp;E385)</f>
        <v/>
      </c>
      <c r="BD385" s="591">
        <f>IF(E385="","",SUBSTITUTE(SUBSTITUTE(B385&amp;"-"&amp;E385," ",""),":","-"))</f>
        <v/>
      </c>
      <c r="BE385" s="591">
        <f>IF(E385="","",IF(ISNUMBER(SEARCH("ECC",E385)),"NCA-ECC-2-2024",IF(ISNUMBER(SEARCH("OTCC",E385)),"NCA-ECC-2-2024",IF(ISNUMBER(SEARCH("CCC",E385)),"NCA-ECC-2-2024",IF(ISNUMBER(SEARCH("DCC",E385)),"NCA-ECC-2-2024",IF(ISNUMBER(SEARCH("CSCC",E385)),"NCA-ECC-2-2024",IF(ISNUMBER(SEARCH("PDPL-IR",E385)),"PDPL-2021",IF(ISNUMBER(SEARCH("PDPL-DTR",E385)),"PDPL-2021","NONE"))))))))</f>
        <v/>
      </c>
      <c r="BF385" s="594">
        <f>IF(E385="","",IF(BB385="DEEP",10,IF(BB385="SHALLOW",5,IF(BB385="TEMPLATE",3,1)))+IF(N385="HIGHEST",5,IF(N385="HIGH",3,IF(N385="MODERATE",1,0)))+IF(ISNUMBER(SEARCH("Mandatory",L385)),3,0))</f>
        <v/>
      </c>
    </row>
    <row r="386" ht="42" customHeight="1">
      <c r="A386" s="84" t="n">
        <v>337</v>
      </c>
      <c r="B386" s="411" t="inlineStr">
        <is>
          <t>JDHC</t>
        </is>
      </c>
      <c r="C386" s="70" t="inlineStr">
        <is>
          <t>Jeddah Health Cluster</t>
        </is>
      </c>
      <c r="D386" s="70" t="inlineStr">
        <is>
          <t>17. Regional Health Clusters</t>
        </is>
      </c>
      <c r="E386" s="411" t="inlineStr">
        <is>
          <t>CBAHI-HAS-H</t>
        </is>
      </c>
      <c r="F386" s="72" t="inlineStr">
        <is>
          <t>Hospital Accreditation Standards</t>
        </is>
      </c>
      <c r="G386" s="70" t="inlineStr">
        <is>
          <t>معايير اعتماد المستشفيات</t>
        </is>
      </c>
      <c r="H386" s="70" t="inlineStr">
        <is>
          <t>5th Ed. 2021</t>
        </is>
      </c>
      <c r="I386" s="71" t="inlineStr">
        <is>
          <t>2008</t>
        </is>
      </c>
      <c r="J386" s="71" t="inlineStr">
        <is>
          <t>298</t>
        </is>
      </c>
      <c r="K386" s="70" t="inlineStr">
        <is>
          <t>MUST COMPLY WITH</t>
        </is>
      </c>
      <c r="L386" s="92" t="inlineStr">
        <is>
          <t>Voluntary</t>
        </is>
      </c>
      <c r="M386" s="70" t="inlineStr">
        <is>
          <t>Jeddah Health Cluster hospitals pursuing CBAHI accreditation</t>
        </is>
      </c>
      <c r="N386" s="86" t="inlineStr">
        <is>
          <t>HIGHEST</t>
        </is>
      </c>
      <c r="O386" s="87" t="inlineStr">
        <is>
          <t>https://www.cbahi.gov.sa/</t>
        </is>
      </c>
      <c r="P386" s="70" t="inlineStr">
        <is>
          <t>CBAHI official</t>
        </is>
      </c>
      <c r="Q386" s="70" t="inlineStr">
        <is>
          <t>1st Ed 2008 → 2nd Ed 2011 → 3rd Ed 2014 → 4th Ed 2017 → 5th Ed 2021</t>
        </is>
      </c>
      <c r="R386" s="70" t="inlineStr">
        <is>
          <t>5th Edition (2021, current): 298 standards across domains including Patient and Family Rights, Patient Assessment, Care of Patients, Patient Safety, Medication Management, Infection Prevention, Facility Management, Staff Qualifications, Quality Improvement, Governance, HIT (Health Information Technology). HIT standards require EMR, NABIDH connectivity, access control, audit trails, downtime procedures. IoMT requirements added in 5th Ed: medical device integration standards, alarm management policy. Benchmarked against JCI standards</t>
        </is>
      </c>
      <c r="S386" s="71" t="inlineStr">
        <is>
          <t>1st Ed: 2008. 2nd: 2011. 3rd: 2014. 4th: 2017. 5th: 2021</t>
        </is>
      </c>
      <c r="T386" s="70" t="inlineStr">
        <is>
          <t>6th Edition expected 2025-2026</t>
        </is>
      </c>
      <c r="U386" s="25" t="inlineStr">
        <is>
          <t>CURRENT — 5th Edition 2021</t>
        </is>
      </c>
      <c r="V386" s="70" t="inlineStr">
        <is>
          <t>Accreditation denial; accreditation suspension; accreditation withdrawal; MOH facility licensing risk (accreditation linked to licensing in practice)</t>
        </is>
      </c>
      <c r="W386" s="72" t="inlineStr">
        <is>
          <t>CBAHI — Accreditation Survey Teams (peer surveyors); MOH recognises CBAHI as national accreditor</t>
        </is>
      </c>
      <c r="X386" s="70" t="inlineStr">
        <is>
          <t>Hospital (primary scope); Teaching Hospital; Specialist Centre</t>
        </is>
      </c>
      <c r="Y386" s="49" t="inlineStr">
        <is>
          <t>Both (voluntary but operationally required)</t>
        </is>
      </c>
      <c r="Z386" s="70" t="inlineStr">
        <is>
          <t>Full survey every 3 years; midterm (focused) survey at 18 months; unannounced visits; corrective action follow-up</t>
        </is>
      </c>
      <c r="AA386" s="71" t="inlineStr">
        <is>
          <t>Full survey: 3-year cycle. Midterm: 18 months. Unannounced: possible at any time</t>
        </is>
      </c>
      <c r="AB386" s="70" t="inlineStr">
        <is>
          <t>22 (HIT standards: medical device integration; alarm management policy mandatory; device maintenance logs; remote monitoring governance; downtime procedures; device inventory; cybersecurity of clinical systems as patient safety issue)</t>
        </is>
      </c>
      <c r="AC386" s="70" t="inlineStr">
        <is>
          <t>JCI (Joint Commission International) — benchmarked; ISQua (accreditation body accreditor); WHO Safe Hospitals Framework</t>
        </is>
      </c>
      <c r="AD386" s="22" t="inlineStr">
        <is>
          <t>Arabic + English (official bilingual)</t>
        </is>
      </c>
      <c r="AE386" s="26" t="inlineStr">
        <is>
          <t>Layer 1: Governance; Layer 4: Compliance; Layer 5: Assurance</t>
        </is>
      </c>
      <c r="AF386" s="27" t="inlineStr">
        <is>
          <t>Yes — Met / Partially Met / Not Met / Not Applicable per standard; overall accreditation decision = scored threshold</t>
        </is>
      </c>
      <c r="AG386" s="70" t="inlineStr">
        <is>
          <t>HSTP quality transformation; Vision 2030 healthcare quality targets (JCI/CBAHI accreditation for all tertiary hospitals)</t>
        </is>
      </c>
      <c r="AH386" s="70" t="inlineStr">
        <is>
          <t>Survey self-assessment; policy documentation; staff credential files; patient safety incident log; HIT system audit; quality improvement data; patient satisfaction scores</t>
        </is>
      </c>
      <c r="AI386" s="73" t="inlineStr">
        <is>
          <t>Healthcare quality theory (Donabedian 1988): structure-process-outcome triad. Accreditation theory: third-party external validation as quality assurance mechanism. Institutional isomorphism: accreditation spreads best practices through mimetic pressure. Patient safety culture theory (Reason 2000): systems-based safety vs blame culture.</t>
        </is>
      </c>
      <c r="AJ386" s="70" t="inlineStr">
        <is>
          <t>FOR: Almutairi et al. (2015) and Alkhenizan &amp; Shaw (2011) find CBAHI-accredited hospitals show measurable quality improvements; national benchmark grounded in Saudi context unlike JCI (US-centric); patient safety improvements documented post-accreditation. AGAINST: Voluntariness undermines universal coverage — only ~40% of KSA hospitals accredited (WHO PHSSR 2025); Greenfield &amp; Braithwaite (2008) meta-analysis questions causal link between accreditation and patient outcomes; survey preparation creates compliance-oriented behaviours rather than genuine quality improvement (gaming risk)</t>
        </is>
      </c>
      <c r="AK386" s="74" t="inlineStr">
        <is>
          <t>3-year survey cycle too long for rapid IoMT deployment environment; HIT standards in 5th Ed still less specific than HIMSS EMRAM Stage 6/7 requirements; cybersecurity standards within CBAHI remain minimal compared to NCA ECC-2 requirements; no dedicated IoMT governance chapter despite medical device proliferation; rural and small facility accreditation rates critically low</t>
        </is>
      </c>
      <c r="AL386" s="75" t="inlineStr">
        <is>
          <t>CBAHI vs JCI: JCI globally recognised; CBAHI nationally recognised — JCI preferred for medical tourism attracting hospitals. CBAHI vs HIMSS EMRAM: CBAHI is broad clinical; HIMSS EMRAM is digital health maturity-specific. CBAHI vs DNV: CBAHI similar survey model. CBAHI + HIMSS EMRAM combined = most comprehensive digital health quality picture for KSA hospitals</t>
        </is>
      </c>
      <c r="AM386" s="76" t="inlineStr">
        <is>
          <t>Alkhenizan A &amp; Shaw C (2011) 'Impact of Accreditation' Ann Saudi Med 31(4); Almutairi AF et al. (2015) 'Perceptions of CBAHI Accreditation' BMC Health Services Research; Donabedian A (1988) 'Quality of Care' JAMA 260(12); Greenfield D &amp; Braithwaite J (2008) 'Health Sector Accreditation Research' Int J Quality Health Care 20(3); WHO (2025) PHSSR Saudi Arabia</t>
        </is>
      </c>
      <c r="AN386" s="50" t="inlineStr">
        <is>
          <t>Official: CBAHI website (cbahi.gov.sa) — standards available to purchase. Training: CBAHI education programmes; surveyor training; CPHQ (Certified Professional in Healthcare Quality). Estimated: 60 hours for surveyors; 20 hours for department leads</t>
        </is>
      </c>
      <c r="AO386" s="77" t="inlineStr">
        <is>
          <t>GH-ICGA Layer 5 (Assurance) — CBAHI accreditation is the primary assurance mechanism for hospital IoMT governance. Thesis argument: CBAHI-HAS-H 5th Ed HIT standards need a cybersecurity annex for IoMT — GH-ICGA Layer 5 Assurance proposes an IoMT-specific evaluation framework that could be adopted within CBAHI survey process</t>
        </is>
      </c>
      <c r="AP386" s="51" t="inlineStr">
        <is>
          <t>G + C (Governance through quality standards + voluntary compliance assurance)</t>
        </is>
      </c>
      <c r="AQ386" s="78" t="inlineStr">
        <is>
          <t>CEO: accountable for accreditation status. CMO: responsible for clinical quality chapter compliance. CNO: responsible for nursing quality. Quality/Patient Safety Director: coordinates accreditation programme. Department heads: responsible for chapter compliance in their domain. Accreditation Committee: cross-functional governance body</t>
        </is>
      </c>
      <c r="AR386" s="74" t="inlineStr">
        <is>
          <t>Quality Risk; Patient Safety Risk; Operational Risk (accreditation loss = licensing risk); Reputational Risk; Regulatory Risk (MOH links accreditation to licensing in practice)</t>
        </is>
      </c>
      <c r="AS386" s="92" t="inlineStr">
        <is>
          <t>VOLUNTARY — but operationally MANDATORY (MOH licensing increasingly linked to CBAHI in practice; required for JCI-referencing hospitals and private insurance network participation)</t>
        </is>
      </c>
      <c r="AT386" s="75" t="inlineStr">
        <is>
          <t>Administrative (A): 150 controls — policies; procedures; governance; quality committees. Technical (T): 48 controls — HIT; equipment maintenance; diagnostic systems. Operational (O): 100 controls — clinical procedures; patient safety practices; staff competencies</t>
        </is>
      </c>
      <c r="AU386" s="79" t="inlineStr">
        <is>
          <t>1. CBAHI survey score per chapter (target ≥90% Met). 2. # sentinel events per 1,000 admissions. 3. Falls rate per 1,000 patient days. 4. Hospital-acquired infection rate. 5. Patient satisfaction score (target &gt;90%). 6. Medication error rate. 7. HIT compliance score (CBAHI HIT chapter)</t>
        </is>
      </c>
      <c r="AV386" s="80" t="inlineStr">
        <is>
          <t>CBAHI full survey (3-year cycle — 2-3 day on-site assessment); midterm survey (18 months — focused chapters); unannounced visit (possible any time); tracer methodology; document review; staff interviews; facility inspection</t>
        </is>
      </c>
      <c r="AW386" s="81" t="inlineStr">
        <is>
          <t>Accreditation Manager (CBAHI online platform); EQUIP (quality management platform); PowerDMS; Quantros; Press Ganey (patient satisfaction); Meditech/Epic quality modules; RL6 (incident reporting)</t>
        </is>
      </c>
      <c r="AX386" s="82" t="inlineStr">
        <is>
          <t>Contractors and service providers in clinical areas must meet CBAHI competency requirements; credentialing of contracted physicians required; outsourced services (laundry, catering, security) must meet CBAHI environment chapter standards; medical device vendors: CBAHI biomedical equipment requirements</t>
        </is>
      </c>
      <c r="AY386" s="83" t="inlineStr">
        <is>
          <t>Accreditation denial: cannot be MOH referral centre; excluded from major insurance networks; reputational damage. Accreditation suspension: immediate revenue impact from insurance exclusion. MOH can condition facility licence on CBAHI compliance</t>
        </is>
      </c>
      <c r="AZ386" s="80" t="inlineStr">
        <is>
          <t>Healthcare &amp; Life Sciences</t>
        </is>
      </c>
      <c r="BA386" s="41" t="inlineStr">
        <is>
          <t>Sector-Specific</t>
        </is>
      </c>
      <c r="BB386" s="591">
        <f>IF(E386="","",IF(ISNUMBER(SEARCH("Institutional theory and regulatory governance theory underpin",AI386)),"TEMPLATE",IF(LEN(AI386)&gt;100,"DEEP",IF(AI386="","SPARSE","SHALLOW"))))</f>
        <v/>
      </c>
      <c r="BC386" s="591">
        <f>IF(E386="","",D386&amp;"-"&amp;B386&amp;"-"&amp;E386)</f>
        <v/>
      </c>
      <c r="BD386" s="591">
        <f>IF(E386="","",SUBSTITUTE(SUBSTITUTE(B386&amp;"-"&amp;E386," ",""),":","-"))</f>
        <v/>
      </c>
      <c r="BE386" s="591">
        <f>IF(E386="","",IF(ISNUMBER(SEARCH("ECC",E386)),"NCA-ECC-2-2024",IF(ISNUMBER(SEARCH("OTCC",E386)),"NCA-ECC-2-2024",IF(ISNUMBER(SEARCH("CCC",E386)),"NCA-ECC-2-2024",IF(ISNUMBER(SEARCH("DCC",E386)),"NCA-ECC-2-2024",IF(ISNUMBER(SEARCH("CSCC",E386)),"NCA-ECC-2-2024",IF(ISNUMBER(SEARCH("PDPL-IR",E386)),"PDPL-2021",IF(ISNUMBER(SEARCH("PDPL-DTR",E386)),"PDPL-2021","NONE"))))))))</f>
        <v/>
      </c>
      <c r="BF386" s="594">
        <f>IF(E386="","",IF(BB386="DEEP",10,IF(BB386="SHALLOW",5,IF(BB386="TEMPLATE",3,1)))+IF(N386="HIGHEST",5,IF(N386="HIGH",3,IF(N386="MODERATE",1,0)))+IF(ISNUMBER(SEARCH("Mandatory",L386)),3,0))</f>
        <v/>
      </c>
    </row>
    <row r="387" ht="42" customHeight="1">
      <c r="A387" s="42" t="n">
        <v>338</v>
      </c>
      <c r="B387" s="412" t="inlineStr">
        <is>
          <t>JDHC</t>
        </is>
      </c>
      <c r="C387" s="44" t="inlineStr">
        <is>
          <t>Jeddah Health Cluster</t>
        </is>
      </c>
      <c r="D387" s="44" t="inlineStr">
        <is>
          <t>17. Regional Health Clusters</t>
        </is>
      </c>
      <c r="E387" s="412" t="inlineStr">
        <is>
          <t>NCA-ECC-2:2024</t>
        </is>
      </c>
      <c r="F387" s="45" t="inlineStr">
        <is>
          <t>Essential Cybersecurity Controls</t>
        </is>
      </c>
      <c r="G387" s="44" t="inlineStr">
        <is>
          <t>ضوابط الأمن السيبراني الأساسية</t>
        </is>
      </c>
      <c r="H387" s="44" t="inlineStr">
        <is>
          <t>ECC-2:2024</t>
        </is>
      </c>
      <c r="I387" s="46" t="inlineStr">
        <is>
          <t>2018</t>
        </is>
      </c>
      <c r="J387" s="46" t="inlineStr">
        <is>
          <t>108</t>
        </is>
      </c>
      <c r="K387" s="44" t="inlineStr">
        <is>
          <t>MUST COMPLY WITH</t>
        </is>
      </c>
      <c r="L387" s="66" t="inlineStr">
        <is>
          <t>Mandatory Complier</t>
        </is>
      </c>
      <c r="M387" s="44" t="inlineStr">
        <is>
          <t>Jeddah Health Cluster as government entity — hospital networks</t>
        </is>
      </c>
      <c r="N387" s="47" t="inlineStr">
        <is>
          <t>HIGHEST</t>
        </is>
      </c>
      <c r="O387" s="48" t="inlineStr">
        <is>
          <t>https://nca.gov.sa/</t>
        </is>
      </c>
      <c r="P387" s="44" t="inlineStr">
        <is>
          <t>NCA ECC scope</t>
        </is>
      </c>
      <c r="Q387" s="70" t="inlineStr">
        <is>
          <t>See official source for version history</t>
        </is>
      </c>
      <c r="R387" s="70" t="inlineStr">
        <is>
          <t>Framework issued by the relevant authority. Version details available on the official website referenced in the source URL column. The framework has been updated periodically since first issuance.</t>
        </is>
      </c>
      <c r="S387" s="71" t="inlineStr">
        <is>
          <t>See official source</t>
        </is>
      </c>
      <c r="T387" s="70" t="inlineStr">
        <is>
          <t>Updated as needed by the issuing authority</t>
        </is>
      </c>
      <c r="U387" s="25" t="inlineStr">
        <is>
          <t>CURRENT — consult official source for latest version</t>
        </is>
      </c>
      <c r="V387" s="70" t="inlineStr">
        <is>
          <t>Penalties defined by issuing authority; consult official source. NCA ECC-2 penalties apply if relevant</t>
        </is>
      </c>
      <c r="W387" s="72" t="inlineStr">
        <is>
          <t>Issuing authority and/or designated inspection department</t>
        </is>
      </c>
      <c r="X387" s="70" t="inlineStr">
        <is>
          <t>As specified in framework scope — consult official document</t>
        </is>
      </c>
      <c r="Y387" s="49" t="inlineStr">
        <is>
          <t>Both (unless specified otherwise in official document)</t>
        </is>
      </c>
      <c r="Z387" s="70" t="inlineStr">
        <is>
          <t>As defined by issuing authority</t>
        </is>
      </c>
      <c r="AA387" s="71" t="inlineStr">
        <is>
          <t>As defined by issuing authority</t>
        </is>
      </c>
      <c r="AB387" s="70" t="inlineStr">
        <is>
          <t>To be determined from framework text — see official source</t>
        </is>
      </c>
      <c r="AC387" s="70" t="inlineStr">
        <is>
          <t>See framework preamble for international standard references</t>
        </is>
      </c>
      <c r="AD387" s="49" t="inlineStr">
        <is>
          <t>Arabic (primary in KSA); English may be available</t>
        </is>
      </c>
      <c r="AE387" s="58" t="inlineStr">
        <is>
          <t>Mapped to relevant GH-ICGA layer — requires manual assessment</t>
        </is>
      </c>
      <c r="AF387" s="56" t="inlineStr">
        <is>
          <t>See official framework for maturity model details</t>
        </is>
      </c>
      <c r="AG387" s="70" t="inlineStr">
        <is>
          <t>Aligned with relevant Vision 2030 programme — see framework context</t>
        </is>
      </c>
      <c r="AH387" s="70" t="inlineStr">
        <is>
          <t>As specified in framework compliance requirements</t>
        </is>
      </c>
      <c r="AI387" s="73" t="inlineStr">
        <is>
          <t>Institutional theory and regulatory governance theory underpin all KSA regulatory frameworks. Specific theoretical basis varies by framework — consult academic literature via Google Scholar using framework name as search term.</t>
        </is>
      </c>
      <c r="AJ387" s="70" t="inlineStr">
        <is>
          <t>Academic debate varies by framework maturity and international adoption. For KSA-specific debate, consult: Almohammad &amp; Wills (2021) J Cybersecurity; Al-Khater et al. (2020) IEEE Access; Baker McKenzie KSA regulatory updates.</t>
        </is>
      </c>
      <c r="AK387" s="74" t="inlineStr">
        <is>
          <t>Known criticisms include: implementation gap between standards and practice; resource constraints for smaller healthcare entities; rapid technology evolution outpacing regulation. Consult framework evaluation literature for specifics.</t>
        </is>
      </c>
      <c r="AL387" s="75" t="inlineStr">
        <is>
          <t>Framework comparison requires contextual analysis. Key comparators: NIST CSF 2.0 (international benchmark), ISO 27001 (certifiable standard), ECC-2 (KSA mandatory baseline). See main database for cross-framework mapping.</t>
        </is>
      </c>
      <c r="AM387"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87" s="50" t="inlineStr">
        <is>
          <t>Official: Consult the official source URL in the database for the primary document. Training: ISACA, ISC2, RAPS, IAPP, and HIMSS offer professional development covering most regulatory domains. Estimated hours vary by framework complexity.</t>
        </is>
      </c>
      <c r="AO387" s="77" t="inlineStr">
        <is>
          <t>Relevance to GH-ICGA framework varies by layer — see GH-ICGA Layer Mapping column. All KSA mandatory frameworks are compliance inputs to GH-ICGA Layer 4. Frameworks with IoMT-specific provisions directly inform Layers 2 and 3.</t>
        </is>
      </c>
      <c r="AP387" s="51" t="inlineStr">
        <is>
          <t>G + C (Governance + Compliance — standard regulatory framework positioning)</t>
        </is>
      </c>
      <c r="AQ387" s="78" t="inlineStr">
        <is>
          <t>Senior management: accountability for framework compliance. Designated compliance officer: monitor requirements. All staff: awareness of applicable obligations</t>
        </is>
      </c>
      <c r="AR387" s="74" t="inlineStr">
        <is>
          <t>Regulatory Risk; Operational Risk; Reputational Risk — specific domains determined by framework scope</t>
        </is>
      </c>
      <c r="AS387" s="22" t="inlineStr">
        <is>
          <t>See official source — legal obligation, regulatory requirement, or voluntary standard as applicable</t>
        </is>
      </c>
      <c r="AT387" s="75" t="inlineStr">
        <is>
          <t>Administrative; Technical; Operational — specific distribution determined by framework content</t>
        </is>
      </c>
      <c r="AU387" s="79" t="inlineStr">
        <is>
          <t>1. Compliance status (compliant/non-compliant). 2. # open findings from last assessment. 3. % controls implemented. 4. Time to remediate findings. 5. Incident rate in framework scope area</t>
        </is>
      </c>
      <c r="AV387" s="80" t="inlineStr">
        <is>
          <t>Self-assessment; internal audit; external assessment as specified by issuing authority</t>
        </is>
      </c>
      <c r="AW387" s="81" t="inlineStr">
        <is>
          <t>ServiceNow GRC; IBM OpenPages; RSA Archer; MetricStream — all major GRC platforms support custom framework import. Contact vendor for framework-specific module</t>
        </is>
      </c>
      <c r="AX387" s="82" t="inlineStr">
        <is>
          <t>Third parties in scope must demonstrate equivalent compliance. Contractual compliance obligations; right-to-audit clauses; annual third-party assessment</t>
        </is>
      </c>
      <c r="AY387" s="83" t="inlineStr">
        <is>
          <t>Non-compliance: regulatory action by issuing authority; fines and penalties as specified; operational and reputational consequences</t>
        </is>
      </c>
      <c r="AZ387" s="80" t="inlineStr">
        <is>
          <t>ALL 17 SECTORS</t>
        </is>
      </c>
      <c r="BA387" s="34" t="inlineStr">
        <is>
          <t>YES — ALL SECTORS</t>
        </is>
      </c>
      <c r="BB387" s="591">
        <f>IF(E387="","",IF(ISNUMBER(SEARCH("Institutional theory and regulatory governance theory underpin",AI387)),"TEMPLATE",IF(LEN(AI387)&gt;100,"DEEP",IF(AI387="","SPARSE","SHALLOW"))))</f>
        <v/>
      </c>
      <c r="BC387" s="591">
        <f>IF(E387="","",D387&amp;"-"&amp;B387&amp;"-"&amp;E387)</f>
        <v/>
      </c>
      <c r="BD387" s="591">
        <f>IF(E387="","",SUBSTITUTE(SUBSTITUTE(B387&amp;"-"&amp;E387," ",""),":","-"))</f>
        <v/>
      </c>
      <c r="BE387" s="591">
        <f>IF(E387="","",IF(ISNUMBER(SEARCH("ECC",E387)),"NCA-ECC-2-2024",IF(ISNUMBER(SEARCH("OTCC",E387)),"NCA-ECC-2-2024",IF(ISNUMBER(SEARCH("CCC",E387)),"NCA-ECC-2-2024",IF(ISNUMBER(SEARCH("DCC",E387)),"NCA-ECC-2-2024",IF(ISNUMBER(SEARCH("CSCC",E387)),"NCA-ECC-2-2024",IF(ISNUMBER(SEARCH("PDPL-IR",E387)),"PDPL-2021",IF(ISNUMBER(SEARCH("PDPL-DTR",E387)),"PDPL-2021","NONE"))))))))</f>
        <v/>
      </c>
      <c r="BF387" s="594">
        <f>IF(E387="","",IF(BB387="DEEP",10,IF(BB387="SHALLOW",5,IF(BB387="TEMPLATE",3,1)))+IF(N387="HIGHEST",5,IF(N387="HIGH",3,IF(N387="MODERATE",1,0)))+IF(ISNUMBER(SEARCH("Mandatory",L387)),3,0))</f>
        <v/>
      </c>
    </row>
    <row r="388" ht="42" customHeight="1">
      <c r="A388" s="84" t="n">
        <v>339</v>
      </c>
      <c r="B388" s="411" t="inlineStr">
        <is>
          <t>JDHC</t>
        </is>
      </c>
      <c r="C388" s="70" t="inlineStr">
        <is>
          <t>Jeddah Health Cluster</t>
        </is>
      </c>
      <c r="D388" s="70" t="inlineStr">
        <is>
          <t>17. Regional Health Clusters</t>
        </is>
      </c>
      <c r="E388" s="411" t="inlineStr">
        <is>
          <t>PDPL-2021</t>
        </is>
      </c>
      <c r="F388" s="72" t="inlineStr">
        <is>
          <t>Personal Data Protection Law</t>
        </is>
      </c>
      <c r="G388" s="70" t="inlineStr">
        <is>
          <t>نظام حماية البيانات الشخصية</t>
        </is>
      </c>
      <c r="H388" s="70" t="inlineStr">
        <is>
          <t>2021+IR 2023</t>
        </is>
      </c>
      <c r="I388" s="71" t="inlineStr">
        <is>
          <t>2021</t>
        </is>
      </c>
      <c r="J388" s="71" t="inlineStr">
        <is>
          <t>45</t>
        </is>
      </c>
      <c r="K388" s="70" t="inlineStr">
        <is>
          <t>MUST COMPLY WITH</t>
        </is>
      </c>
      <c r="L388" s="66" t="inlineStr">
        <is>
          <t>Mandatory Complier</t>
        </is>
      </c>
      <c r="M388" s="70" t="inlineStr">
        <is>
          <t>Jeddah Health Cluster processes patient personal data</t>
        </is>
      </c>
      <c r="N388" s="86" t="inlineStr">
        <is>
          <t>HIGHEST</t>
        </is>
      </c>
      <c r="O388" s="87" t="inlineStr">
        <is>
          <t>https://sdaia.gov.sa/</t>
        </is>
      </c>
      <c r="P388" s="70" t="inlineStr">
        <is>
          <t>SDAIA</t>
        </is>
      </c>
      <c r="Q388" s="70" t="inlineStr">
        <is>
          <t>Royal Decree M/19 (16 Sep 2021) → amended Apr 2023</t>
        </is>
      </c>
      <c r="R388" s="70" t="inlineStr">
        <is>
          <t>Original (2021): 19 articles covering consent, data subject rights, controller obligations, sensitive data (health = sensitive), cross-border transfer. Apr 2023 amendment: strengthened enforcement, clarified health data provisions, aligned with PDPL-IR-2023. Grace period for compliance ended Sep 14, 2024. Penalties: up to SAR 5 million fine + 2 years imprisonment for sensitive data breach</t>
        </is>
      </c>
      <c r="S388" s="71" t="inlineStr">
        <is>
          <t>Issued: Sep 2021. Amended: Apr 2023. Fully enforceable: Sep 14, 2024</t>
        </is>
      </c>
      <c r="T388" s="70" t="inlineStr">
        <is>
          <t>SDAIA reviews annually; amendments expected 2025-2026</t>
        </is>
      </c>
      <c r="U388" s="25" t="inlineStr">
        <is>
          <t>CURRENT — fully enforceable since Sep 2024</t>
        </is>
      </c>
      <c r="V388" s="70" t="inlineStr">
        <is>
          <t>Criminal offence: up to 2 years imprisonment + SAR 3M fine for disclosing sensitive data (health data = sensitive); administrative fine up to SAR 5M; mandatory breach notification to SDAIA within 72 hours; data subject compensation claims</t>
        </is>
      </c>
      <c r="W388" s="72" t="inlineStr">
        <is>
          <t>SDAIA — Data Protection Authority (DPA functions); NDMO for government entities; courts for criminal penalties</t>
        </is>
      </c>
      <c r="X388" s="70" t="inlineStr">
        <is>
          <t>Hospital; Clinic; Lab; Pharmacy; Health IT Vendor; Health Insurer; Government Health Entity; Medical Device Manufacturer (all processing patient data)</t>
        </is>
      </c>
      <c r="Y388" s="49" t="inlineStr">
        <is>
          <t>Both + foreign entities processing data of KSA residents</t>
        </is>
      </c>
      <c r="Z388" s="70" t="inlineStr">
        <is>
          <t>SDAIA audit; controller self-assessment; DPO oversight; data subject complaints trigger investigation</t>
        </is>
      </c>
      <c r="AA388" s="71" t="inlineStr">
        <is>
          <t>Continuous (breach notification: 72 hours); annual DPO report; SDAIA random audits</t>
        </is>
      </c>
      <c r="AB388" s="70" t="inlineStr">
        <is>
          <t>12 (IoMT data minimisation; purpose limitation; consent management for wearable data; automated decision-making; data subject rights for IoMT-generated health data; cross-border transfer of IoMT data)</t>
        </is>
      </c>
      <c r="AC388" s="70" t="inlineStr">
        <is>
          <t>GDPR (substantial alignment — adequate protection basis); APEC Privacy Framework; ISO 29100; ISO 27701</t>
        </is>
      </c>
      <c r="AD388" s="49" t="inlineStr">
        <is>
          <t>Arabic (official); English translation (unofficial)</t>
        </is>
      </c>
      <c r="AE388" s="50" t="inlineStr">
        <is>
          <t>Layer 4: Compliance; Layer 2: Risk Management</t>
        </is>
      </c>
      <c r="AF388" s="60" t="inlineStr">
        <is>
          <t>No formal maturity model; SDAIA publishes compliance guidance</t>
        </is>
      </c>
      <c r="AG388" s="70" t="inlineStr">
        <is>
          <t>National Data Strategy; Vision 2030 Digital Economy; Digital Government transformation</t>
        </is>
      </c>
      <c r="AH388" s="70" t="inlineStr">
        <is>
          <t>Privacy notices; consent records; DPO appointment letter; data mapping/flow diagrams; breach notification records; DPIA for health data processing; controller registration</t>
        </is>
      </c>
      <c r="AI388" s="73" t="inlineStr">
        <is>
          <t>Privacy as fundamental right (Warren &amp; Brandeis 1890; Westin 1967). Contextual integrity theory (Nissenbaum 2004): health data flows must match medical context norms. Regulatory theory: data protection authority independence and enforcement. Information asymmetry theory: patients cannot protect their own data without regulation.</t>
        </is>
      </c>
      <c r="AJ388" s="70" t="inlineStr">
        <is>
          <t>FOR: Long-overdue — KSA had no comprehensive data protection law until 2021; health data explicitly protected as sensitive category; aligns KSA with global adequacy standards. AGAINST: Alrawabdeh (2014) and Aldawood &amp; Skinner (2019) documented Saudi privacy culture gap — regulation without public awareness is ineffective; 'GDPR-lite' criticism: exemptions broader than GDPR, enforcement weaker; health data provisions in IR still less specific than UK GDPR Schedule 1 conditions</t>
        </is>
      </c>
      <c r="AK388" s="74" t="inlineStr">
        <is>
          <t>No independent supervisory authority (SDAIA is both promoter and regulator — conflict of interest noted by Baker McKenzie 2025); patient data portability rights weaker than GDPR Article 20; no explicit right to explanation for AI-automated health decisions; cross-border transfer rules changed twice in 12 months (regulatory instability); small healthcare providers lack capacity for DPO requirements</t>
        </is>
      </c>
      <c r="AL388" s="75" t="inlineStr">
        <is>
          <t>PDPL vs GDPR: PDPL penalty lower (SAR 5M vs €20M); PDPL broader government exemptions; GDPR has independent DPA, PDPL does not. PDPL vs HIPAA: PDPL = all personal data (broader); HIPAA = US-specific health data only. PDPL vs UK GDPR: PDPL misses explicit Schedule 1 health data conditions. PDPL ahead of HIPAA on consent granularity; behind GDPR on enforcement independence</t>
        </is>
      </c>
      <c r="AM388" s="76" t="inlineStr">
        <is>
          <t>Baker McKenzie (2025) Saudi Arabia PDPL Global Data &amp; Cyber Handbook; Alrawabdeh W (2014) 'Internet and Social Media Challenges in Arab World' EJSR; Westin AF (1967) Privacy and Freedom NY Atheneum; Nissenbaum H (2004) 'Privacy as Contextual Integrity' Washington Law Review 79(1); CMS Law (2025) Saudi Arabia Data Protection &amp; Cybersecurity Expert Guide Oct 2025</t>
        </is>
      </c>
      <c r="AN388" s="50" t="inlineStr">
        <is>
          <t>Official: SDAIA website (sdaia.gov.sa) — Arabic + English. Training: IAPP CIPM/CIPP/E (privacy certifications applicable); OneTrust PDPL compliance course; Baker McKenzie PDPL compliance guide. Language: Arabic primary — strong Arabic reading recommended. Estimated: 50 hours for health sector DPO competence</t>
        </is>
      </c>
      <c r="AO388" s="77" t="inlineStr">
        <is>
          <t>PRIMARY driver for GH-ICGA Layer 4 (Compliance) — PDPL is the legal foundation for patient data governance in the preliminary GH-ICGA framework. Thesis argument: GH-ICGA Layer 4 operationalises PDPL requirements into IoMT-specific controls (consent management for wearable data; purpose limitation for monitoring streams; breach response for connected device incidents)</t>
        </is>
      </c>
      <c r="AP388" s="51" t="inlineStr">
        <is>
          <t>G + C (Governance + Compliance — strong compliance driver; risk implicit)</t>
        </is>
      </c>
      <c r="AQ388" s="78" t="inlineStr">
        <is>
          <t>Board/CEO: ultimate accountability for PDPL compliance. DPO: mandatory for large-scale health data processors — reports to highest management level. Privacy Committee: cross-functional oversight. All staff processing personal data: mandatory privacy awareness training annually</t>
        </is>
      </c>
      <c r="AR388" s="74" t="inlineStr">
        <is>
          <t>Privacy Risk (PRIMARY); Legal/Regulatory Risk; Reputational Risk; Strategic Risk (data monetisation constraints); Cross-Border Risk (data transfer restrictions)</t>
        </is>
      </c>
      <c r="AS388" s="22" t="inlineStr">
        <is>
          <t>LEGAL — Royal Decree M/19 2021 + Implementing Regulations Sep 2023. Criminal: imprisonment up to 2 years + SAR 3M fine for sensitive data disclosure. Administrative: SAR 5M maximum fine. Civil: data subject compensation claims</t>
        </is>
      </c>
      <c r="AT388" s="75" t="inlineStr">
        <is>
          <t>Administrative (A): consent management; privacy notices; DPO appointment; DPIA process; breach notification procedure. Technical (T): data minimisation; pseudonymisation; access controls for personal data; encryption. Operational (O): data retention enforcement; data subject rights fulfilment process; cross-border transfer review</t>
        </is>
      </c>
      <c r="AU388" s="79" t="inlineStr">
        <is>
          <t>1. # data subject rights requests fulfilled on time (target: 100% within 30 days). 2. # data breaches notified to SDAIA within 72h (target: 100%). 3. % staff completed privacy training (target: 100%). 4. # DPIAs completed for high-risk processing activities. 5. Data retention compliance rate (% records within policy). 6. % third-party processors with DPA agreements</t>
        </is>
      </c>
      <c r="AV388" s="80" t="inlineStr">
        <is>
          <t>Annual DPIA review; data mapping audit (controller record validation); consent record audit; breach response simulation (tabletop); access control review for personal data systems; third-party processor audit; SDAIA compliance self-assessment</t>
        </is>
      </c>
      <c r="AW388" s="81" t="inlineStr">
        <is>
          <t>OneTrust (market leader for PDPL); TrustArc; Nymity; DataGrail; Varonis (data discovery); Microsoft Purview (data classification). SDAIA National Data Governance Platform for registration. Arabic-capable tools preferred</t>
        </is>
      </c>
      <c r="AX388" s="82" t="inlineStr">
        <is>
          <t>All third-party data processors must have Data Processing Agreement (DPA). Processors must demonstrate equivalent PDPL compliance. Cross-border transfers require adequacy assessment or appropriate safeguards. Sub-processor disclosure mandatory. Annual processor risk assessment required</t>
        </is>
      </c>
      <c r="AY388" s="83" t="inlineStr">
        <is>
          <t>Non-compliance: SAR 5M administrative fine; criminal prosecution for sensitive data breach; SDAIA investigation; mandatory breach public disclosure. Business disruption: SDAIA can order processing suspension. Reputational: patient trust damage. Market: EU adequate protection status depends on PDPL enforcement credibility</t>
        </is>
      </c>
      <c r="AZ388" s="80" t="inlineStr">
        <is>
          <t>ALL 17 SECTORS — any entity processing personal data</t>
        </is>
      </c>
      <c r="BA388" s="34" t="inlineStr">
        <is>
          <t>YES — ALL SECTORS</t>
        </is>
      </c>
      <c r="BB388" s="591">
        <f>IF(E388="","",IF(ISNUMBER(SEARCH("Institutional theory and regulatory governance theory underpin",AI388)),"TEMPLATE",IF(LEN(AI388)&gt;100,"DEEP",IF(AI388="","SPARSE","SHALLOW"))))</f>
        <v/>
      </c>
      <c r="BC388" s="591">
        <f>IF(E388="","",D388&amp;"-"&amp;B388&amp;"-"&amp;E388)</f>
        <v/>
      </c>
      <c r="BD388" s="591">
        <f>IF(E388="","",SUBSTITUTE(SUBSTITUTE(B388&amp;"-"&amp;E388," ",""),":","-"))</f>
        <v/>
      </c>
      <c r="BE388" s="591">
        <f>IF(E388="","",IF(ISNUMBER(SEARCH("ECC",E388)),"NCA-ECC-2-2024",IF(ISNUMBER(SEARCH("OTCC",E388)),"NCA-ECC-2-2024",IF(ISNUMBER(SEARCH("CCC",E388)),"NCA-ECC-2-2024",IF(ISNUMBER(SEARCH("DCC",E388)),"NCA-ECC-2-2024",IF(ISNUMBER(SEARCH("CSCC",E388)),"NCA-ECC-2-2024",IF(ISNUMBER(SEARCH("PDPL-IR",E388)),"PDPL-2021",IF(ISNUMBER(SEARCH("PDPL-DTR",E388)),"PDPL-2021","NONE"))))))))</f>
        <v/>
      </c>
      <c r="BF388" s="594">
        <f>IF(E388="","",IF(BB388="DEEP",10,IF(BB388="SHALLOW",5,IF(BB388="TEMPLATE",3,1)))+IF(N388="HIGHEST",5,IF(N388="HIGH",3,IF(N388="MODERATE",1,0)))+IF(ISNUMBER(SEARCH("Mandatory",L388)),3,0))</f>
        <v/>
      </c>
    </row>
    <row r="389" ht="42" customHeight="1">
      <c r="A389" s="42" t="n">
        <v>340</v>
      </c>
      <c r="B389" s="412" t="inlineStr">
        <is>
          <t>JDHC</t>
        </is>
      </c>
      <c r="C389" s="44" t="inlineStr">
        <is>
          <t>Jeddah Health Cluster</t>
        </is>
      </c>
      <c r="D389" s="44" t="inlineStr">
        <is>
          <t>17. Regional Health Clusters</t>
        </is>
      </c>
      <c r="E389" s="412" t="inlineStr">
        <is>
          <t>MOH-TELE</t>
        </is>
      </c>
      <c r="F389" s="45" t="inlineStr">
        <is>
          <t>Telemedicine Regulations</t>
        </is>
      </c>
      <c r="G389" s="44" t="inlineStr">
        <is>
          <t>لائحة الرعاية الصحية عن بعد</t>
        </is>
      </c>
      <c r="H389" s="44" t="inlineStr">
        <is>
          <t>Late 2023</t>
        </is>
      </c>
      <c r="I389" s="46" t="inlineStr">
        <is>
          <t>2020</t>
        </is>
      </c>
      <c r="J389" s="46" t="inlineStr">
        <is>
          <t>38</t>
        </is>
      </c>
      <c r="K389" s="44" t="inlineStr">
        <is>
          <t>MUST COMPLY WITH</t>
        </is>
      </c>
      <c r="L389" s="66" t="inlineStr">
        <is>
          <t>Mandatory Complier</t>
        </is>
      </c>
      <c r="M389" s="44" t="inlineStr">
        <is>
          <t>Jeddah Health Cluster offering telemedicine services</t>
        </is>
      </c>
      <c r="N389" s="54" t="inlineStr">
        <is>
          <t>HIGH</t>
        </is>
      </c>
      <c r="O389" s="48" t="inlineStr">
        <is>
          <t>https://www.moh.gov.sa/en/</t>
        </is>
      </c>
      <c r="P389" s="44" t="inlineStr">
        <is>
          <t>MOH; Hammad &amp; Al-Mehdar 2025</t>
        </is>
      </c>
      <c r="Q389" s="70" t="inlineStr">
        <is>
          <t>COVID-19 emergency 2020 → comprehensive regulations late 2023</t>
        </is>
      </c>
      <c r="R389" s="70" t="inlineStr">
        <is>
          <t>2020 (emergency COVID telehealth rules): basic platform licensing, identity verification, audio/video minimum standards. Late 2023 (comprehensive update, 38 controls): platform licensing requirements; patient identity verification; cross-border telemedicine restrictions; controlled substance prescribing rules (limited); data protection (PDPL alignment); patient consent requirements; clinical documentation standards; coverage by health insurance; quality assurance audit requirements</t>
        </is>
      </c>
      <c r="S389" s="71" t="inlineStr">
        <is>
          <t>Emergency 2020. Comprehensive: late 2023</t>
        </is>
      </c>
      <c r="T389" s="70" t="inlineStr">
        <is>
          <t>Annual update; cross-border rules under active development 2025</t>
        </is>
      </c>
      <c r="U389" s="25" t="inlineStr">
        <is>
          <t>CURRENT — late 2023 comprehensive version</t>
        </is>
      </c>
      <c r="V389" s="70" t="inlineStr">
        <is>
          <t>Platform licence revocation; SAR 1M–5M fine (scale by offence); clinical professional disciplinary action by SCFHS</t>
        </is>
      </c>
      <c r="W389" s="72" t="inlineStr">
        <is>
          <t>MOH — eHealth General Directorate; CST (platform technical licensing); CCHI (insurance coverage compliance); SCFHS (clinical standards)</t>
        </is>
      </c>
      <c r="X389" s="70" t="inlineStr">
        <is>
          <t>Hospital (outpatient teleconsultation); Clinic; Health IT Vendor (platform developers); Health Insurer (reimbursement compliance)</t>
        </is>
      </c>
      <c r="Y389" s="22" t="inlineStr">
        <is>
          <t>Both</t>
        </is>
      </c>
      <c r="Z389" s="70" t="inlineStr">
        <is>
          <t>MOH platform licence audit (annual); CCHI insurance compliance check; SCFHS clinical quality audit</t>
        </is>
      </c>
      <c r="AA389" s="71" t="inlineStr">
        <is>
          <t>Annual licence renewal; random clinical quality audit</t>
        </is>
      </c>
      <c r="AB389" s="70" t="inlineStr">
        <is>
          <t>15 (remote patient monitoring integration; wearable device data for teleconsultation; IoMT vital sign display during video consultation; remote device prescription; teleICU monitoring requirements)</t>
        </is>
      </c>
      <c r="AC389" s="70" t="inlineStr">
        <is>
          <t>WHO Telemedicine Guidelines (2010/updated); ISO 13131:2021 (Telehealth); ATA (American Telemedicine Association) standards (reference)</t>
        </is>
      </c>
      <c r="AD389" s="49" t="inlineStr">
        <is>
          <t>Arabic (primary); English technical guidance</t>
        </is>
      </c>
      <c r="AE389" s="26" t="inlineStr">
        <is>
          <t>Layer 1: Governance; Layer 4: Compliance</t>
        </is>
      </c>
      <c r="AF389" s="60" t="inlineStr">
        <is>
          <t>No formal maturity model; licence tiers (basic/advanced platform)</t>
        </is>
      </c>
      <c r="AG389" s="70" t="inlineStr">
        <is>
          <t>HSTP telemedicine targets (30% uptake); SEHA Virtual Hospital; Vision 2030 healthcare access targets</t>
        </is>
      </c>
      <c r="AH389" s="70" t="inlineStr">
        <is>
          <t>Platform licence certificate; patient consent records; clinical documentation standards compliance; identity verification log; prescription records; NABIDH integration evidence</t>
        </is>
      </c>
      <c r="AI389" s="73" t="inlineStr">
        <is>
          <t>Telehealth adoption theory (LeRouge &amp; Garfield 2013): patient acceptance + clinician integration. Access theory: geography-equity argument for remote care. Digital health governance theory: platform regulation vs clinical regulation tension.</t>
        </is>
      </c>
      <c r="AJ389" s="70" t="inlineStr">
        <is>
          <t>FOR: COVID-19 proved telehealth viability at scale in KSA (Al-Ataawi et al. 2022); Sehhaty platform shows government commitment; removes geographic barriers consistent with Vision 2030 equity goals; IoMT remote monitoring reimbursement framework emerging. AGAINST: Clinical quality in telehealth still debated (Hollander &amp; Sites 2020); data sovereignty for cross-border telehealth unresolved; prescription via teleconsultation remains restricted limiting scope; rural connectivity gaps undermine access equity goal</t>
        </is>
      </c>
      <c r="AK389" s="74" t="inlineStr">
        <is>
          <t>Regulations still lag technology — VR/AR clinical applications not addressed; AI-assisted teleconsultation regulatory pathway unclear; cross-border telehealth restrictions create market fragmentation; no minimum quality standards for audio/video equipment; liability for technical failure not yet codified in regulation</t>
        </is>
      </c>
      <c r="AL389" s="75" t="inlineStr">
        <is>
          <t>MOH-TELE vs NHS TECS (UK): NHS TECS has DTAC (Digital Technology Assessment Criteria) for all digital health tools — KSA equivalent absent. MOH-TELE vs FCC/CMS telehealth (US): US has federal reimbursement codes (CPT); KSA CCHI integration still developing. MOH-TELE vs WHO Telemedicine Guidelines: broadly aligned but KSA-specific cross-border rules more restrictive than WHO recommends</t>
        </is>
      </c>
      <c r="AM389" s="76" t="inlineStr">
        <is>
          <t>Al-Ataawi A et al. (2022) 'Telehealth in Saudi Arabia During COVID-19' J Healthcare Informatics Res; Hollander JE &amp; Sites FD (2020) 'Telehealth Beyond COVID-19' NEJM 2020; Hammad &amp; Al-Mehdar (2025) Saudi Healthcare Regulatory Update; WHO (2010) Telemedicine Opportunities and Developments; LeRouge C &amp; Garfield MJ (2013) 'Crossing the Telemedicine Chasm' JAMIA 20(6)</t>
        </is>
      </c>
      <c r="AN389" s="50" t="inlineStr">
        <is>
          <t>Official: MOH website. Training: American Telemedicine Association (ATA) online courses; SEHA Virtual Hospital training programme; WHO telehealth competency framework. Estimated: 25 hours</t>
        </is>
      </c>
      <c r="AO389" s="77" t="inlineStr">
        <is>
          <t>GH-ICGA Layer 1 (Governance) — telehealth regulation defines the governance boundary for remote IoMT monitoring. Thesis relevance: GH-ICGA must address the governance overlap between MOH-TELE (clinical platform regulation) and NCA-ECC (cybersecurity) and PDPL (patient data) for remote monitoring scenarios</t>
        </is>
      </c>
      <c r="AP389" s="51" t="inlineStr">
        <is>
          <t>G + C (platform governance + clinical compliance)</t>
        </is>
      </c>
      <c r="AQ389" s="78" t="inlineStr">
        <is>
          <t>CEO: platform licence accountability. Medical Director: clinical quality governance. DPO: PDPL compliance for patient data on platform. Technical Director: platform security. Pharmacy Director: prescription management compliance</t>
        </is>
      </c>
      <c r="AR389" s="74" t="inlineStr">
        <is>
          <t>Clinical Risk (misdiagnosis via teleconsultation); Regulatory Risk (licence breach); Privacy Risk (patient data); Operational Risk (platform availability); Cross-Border Risk (international teleconsultation restrictions)</t>
        </is>
      </c>
      <c r="AS389" s="61" t="inlineStr">
        <is>
          <t>REGULATORY — MOH licensing requirement. Non-compliance: platform licence revocation; SAR 1M–5M fine; SCFHS action against clinicians</t>
        </is>
      </c>
      <c r="AT389" s="75" t="inlineStr">
        <is>
          <t>Administrative (A): 20 controls — licensing; consent; documentation; clinical protocols. Technical (T): 12 controls — platform security; identity verification; audio/video standards. Operational (O): 6 controls — prescribing workflow; referral protocol; audit trail</t>
        </is>
      </c>
      <c r="AU389" s="79" t="inlineStr">
        <is>
          <t>1. Patient consent collection rate (target 100% before each session). 2. Platform availability SLA compliance (target &gt;99.5%). 3. Identity verification success rate. 4. # clinical complaints per 1,000 teleconsultations. 5. Documentation compliance rate (target 100% consultation notes in NABIDH). 6. Prescription audit pass rate</t>
        </is>
      </c>
      <c r="AV389" s="80" t="inlineStr">
        <is>
          <t>Annual MOH licence renewal audit; CCHI insurance coverage compliance check; patient record documentation audit; platform security assessment; identity verification system test; NABIDH integration test</t>
        </is>
      </c>
      <c r="AW389" s="81" t="inlineStr">
        <is>
          <t>Sehhaty / Mawid (MOH official platforms); Nabdh; Cura Health; Vezeeta; Nubaqraa — all require MOH licensing. Security tools: FortiWeb (WAF); Auth0/Okta (identity); TeleVisit security frameworks</t>
        </is>
      </c>
      <c r="AX389" s="82" t="inlineStr">
        <is>
          <t>Platform vendors: MOH-licensed telemedicine solution mandatory; PDPL DPA required; NABIDH API certification; patient data not to be shared with third-party analytics without consent; international teleconsultation providers must be MOH-approved</t>
        </is>
      </c>
      <c r="AY389" s="83" t="inlineStr">
        <is>
          <t>Unlicensed platform: immediate shutdown; SAR fine; clinical professional disciplinary action. Licence revocation: complete business cessation. Patient harm via telemedicine: malpractice liability; SCFHS investigation</t>
        </is>
      </c>
      <c r="AZ389" s="80" t="inlineStr">
        <is>
          <t>Healthcare &amp; Life Sciences; ICT/Digital (platform providers)</t>
        </is>
      </c>
      <c r="BA389" s="41" t="inlineStr">
        <is>
          <t>Sector-Specific</t>
        </is>
      </c>
      <c r="BB389" s="591">
        <f>IF(E389="","",IF(ISNUMBER(SEARCH("Institutional theory and regulatory governance theory underpin",AI389)),"TEMPLATE",IF(LEN(AI389)&gt;100,"DEEP",IF(AI389="","SPARSE","SHALLOW"))))</f>
        <v/>
      </c>
      <c r="BC389" s="591">
        <f>IF(E389="","",D389&amp;"-"&amp;B389&amp;"-"&amp;E389)</f>
        <v/>
      </c>
      <c r="BD389" s="591">
        <f>IF(E389="","",SUBSTITUTE(SUBSTITUTE(B389&amp;"-"&amp;E389," ",""),":","-"))</f>
        <v/>
      </c>
      <c r="BE389" s="591">
        <f>IF(E389="","",IF(ISNUMBER(SEARCH("ECC",E389)),"NCA-ECC-2-2024",IF(ISNUMBER(SEARCH("OTCC",E389)),"NCA-ECC-2-2024",IF(ISNUMBER(SEARCH("CCC",E389)),"NCA-ECC-2-2024",IF(ISNUMBER(SEARCH("DCC",E389)),"NCA-ECC-2-2024",IF(ISNUMBER(SEARCH("CSCC",E389)),"NCA-ECC-2-2024",IF(ISNUMBER(SEARCH("PDPL-IR",E389)),"PDPL-2021",IF(ISNUMBER(SEARCH("PDPL-DTR",E389)),"PDPL-2021","NONE"))))))))</f>
        <v/>
      </c>
      <c r="BF389" s="594">
        <f>IF(E389="","",IF(BB389="DEEP",10,IF(BB389="SHALLOW",5,IF(BB389="TEMPLATE",3,1)))+IF(N389="HIGHEST",5,IF(N389="HIGH",3,IF(N389="MODERATE",1,0)))+IF(ISNUMBER(SEARCH("Mandatory",L389)),3,0))</f>
        <v/>
      </c>
    </row>
    <row r="390" ht="42" customHeight="1">
      <c r="A390" s="84" t="n">
        <v>341</v>
      </c>
      <c r="B390" s="411" t="inlineStr">
        <is>
          <t>JDHC</t>
        </is>
      </c>
      <c r="C390" s="70" t="inlineStr">
        <is>
          <t>Jeddah Health Cluster</t>
        </is>
      </c>
      <c r="D390" s="70" t="inlineStr">
        <is>
          <t>17. Regional Health Clusters</t>
        </is>
      </c>
      <c r="E390" s="411" t="inlineStr">
        <is>
          <t>NHIC-NABIDH</t>
        </is>
      </c>
      <c r="F390" s="72" t="inlineStr">
        <is>
          <t>NABIDH EHR Platform Standard</t>
        </is>
      </c>
      <c r="G390" s="70" t="inlineStr">
        <is>
          <t>معيار منصة نبض</t>
        </is>
      </c>
      <c r="H390" s="70" t="inlineStr">
        <is>
          <t>Mandatory 2024</t>
        </is>
      </c>
      <c r="I390" s="71" t="inlineStr">
        <is>
          <t>2018</t>
        </is>
      </c>
      <c r="J390" s="71" t="inlineStr">
        <is>
          <t>40</t>
        </is>
      </c>
      <c r="K390" s="70" t="inlineStr">
        <is>
          <t>MUST COMPLY WITH</t>
        </is>
      </c>
      <c r="L390" s="66" t="inlineStr">
        <is>
          <t>Mandatory Complier</t>
        </is>
      </c>
      <c r="M390" s="70" t="inlineStr">
        <is>
          <t>Jeddah Health Cluster hospitals — NABIDH interoperability</t>
        </is>
      </c>
      <c r="N390" s="86" t="inlineStr">
        <is>
          <t>HIGHEST</t>
        </is>
      </c>
      <c r="O390" s="87" t="inlineStr">
        <is>
          <t>https://nhic.gov.sa/</t>
        </is>
      </c>
      <c r="P390" s="70" t="inlineStr">
        <is>
          <t>NHIC</t>
        </is>
      </c>
      <c r="Q390" s="70" t="inlineStr">
        <is>
          <t>NABIDH launched 2018 (pilot) → FHIR R4 API 2022 → mandatory all facilities 2024</t>
        </is>
      </c>
      <c r="R390" s="70" t="inlineStr">
        <is>
          <t>2018 (pilot): 10 MOH hospitals. 2019-2021: health cluster rollout. 2022: FHIR R4 API standards published; private hospitals voluntary integration. 2023: API developer portal opened; 40 technical requirements published. 2024: MANDATORY — all healthcare facilities must connect; Private Health Institutions Law updated; penalties for non-connection: facility licensing at risk. NABIDH now the central patient data repository — 45M+ patient records as of 2024</t>
        </is>
      </c>
      <c r="S390" s="71" t="inlineStr">
        <is>
          <t>Launched: 2018. FHIR R4 API: 2022. Mandatory: 2024</t>
        </is>
      </c>
      <c r="T390" s="70" t="inlineStr">
        <is>
          <t>Continuous platform updates; API versioning quarterly</t>
        </is>
      </c>
      <c r="U390" s="25" t="inlineStr">
        <is>
          <t>CURRENT — mandatory as of 2024</t>
        </is>
      </c>
      <c r="V390" s="70" t="inlineStr">
        <is>
          <t>Facility unable to receive electronic referrals; excluded from national patient record; MOH licensing risk; procurement penalties</t>
        </is>
      </c>
      <c r="W390" s="72" t="inlineStr">
        <is>
          <t>NHIC — NABIDH Programme Office; MOH General Directorate of Health Informatics; regional health clusters</t>
        </is>
      </c>
      <c r="X390" s="70" t="inlineStr">
        <is>
          <t>Hospital; Clinic; Lab; Pharmacy — ALL healthcare facilities mandatory</t>
        </is>
      </c>
      <c r="Y390" s="22" t="inlineStr">
        <is>
          <t>Both</t>
        </is>
      </c>
      <c r="Z390" s="70" t="inlineStr">
        <is>
          <t>NHIC API conformance test; connectivity monitoring (automated); annual technical review</t>
        </is>
      </c>
      <c r="AA390" s="71" t="inlineStr">
        <is>
          <t>Continuous connectivity monitoring; annual audit</t>
        </is>
      </c>
      <c r="AB390" s="70" t="inlineStr">
        <is>
          <t>16 (NABIDH IoMT data ingestion API; remote monitoring data submission; wearable vital signs standardisation; IoMT device data consent management; IoMT-generated observation resources in FHIR)</t>
        </is>
      </c>
      <c r="AC390" s="70" t="inlineStr">
        <is>
          <t>HL7 FHIR R4 (mandatory); IHE profiles; SNOMED CT; ICD-10-CM; LOINC; HL7 CDA</t>
        </is>
      </c>
      <c r="AD390" s="49" t="inlineStr">
        <is>
          <t>Arabic + English (NABIDH technical specifications bilingual)</t>
        </is>
      </c>
      <c r="AE390" s="37" t="inlineStr">
        <is>
          <t>Layer 3: Technical Controls; Layer 4: Compliance; Layer 5: Assurance</t>
        </is>
      </c>
      <c r="AF390" s="27" t="inlineStr">
        <is>
          <t>Yes — 3 connectivity levels (Basic data exchange / Full longitudinal record / Advanced IoMT integration)</t>
        </is>
      </c>
      <c r="AG390" s="70" t="inlineStr">
        <is>
          <t>HSTP digital health; National EHR programme; NHIS integration; Vision 2030 connected healthcare</t>
        </is>
      </c>
      <c r="AH390" s="70" t="inlineStr">
        <is>
          <t>NABIDH connectivity certificate; API test results; FHIR conformance statement; patient consent records; data quality dashboard reports</t>
        </is>
      </c>
      <c r="AI390" s="73" t="inlineStr">
        <is>
          <t>Institutional theory and regulatory governance theory underpin all KSA regulatory frameworks. Specific theoretical basis varies by framework — consult academic literature via Google Scholar using framework name as search term.</t>
        </is>
      </c>
      <c r="AJ390" s="70" t="inlineStr">
        <is>
          <t>Academic debate varies by framework maturity and international adoption. For KSA-specific debate, consult: Almohammad &amp; Wills (2021) J Cybersecurity; Al-Khater et al. (2020) IEEE Access; Baker McKenzie KSA regulatory updates.</t>
        </is>
      </c>
      <c r="AK390" s="74" t="inlineStr">
        <is>
          <t>Known criticisms include: implementation gap between standards and practice; resource constraints for smaller healthcare entities; rapid technology evolution outpacing regulation. Consult framework evaluation literature for specifics.</t>
        </is>
      </c>
      <c r="AL390" s="75" t="inlineStr">
        <is>
          <t>Framework comparison requires contextual analysis. Key comparators: NIST CSF 2.0 (international benchmark), ISO 27001 (certifiable standard), ECC-2 (KSA mandatory baseline). See main database for cross-framework mapping.</t>
        </is>
      </c>
      <c r="AM390"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90" s="50" t="inlineStr">
        <is>
          <t>Official: Consult the official source URL in the database for the primary document. Training: ISACA, ISC2, RAPS, IAPP, and HIMSS offer professional development covering most regulatory domains. Estimated hours vary by framework complexity.</t>
        </is>
      </c>
      <c r="AO390" s="77" t="inlineStr">
        <is>
          <t>Relevance to GH-ICGA framework varies by layer — see GH-ICGA Layer Mapping column. All KSA mandatory frameworks are compliance inputs to GH-ICGA Layer 4. Frameworks with IoMT-specific provisions directly inform Layers 2 and 3.</t>
        </is>
      </c>
      <c r="AP390" s="51" t="inlineStr">
        <is>
          <t>G + C (Governance + Compliance — standard regulatory framework positioning)</t>
        </is>
      </c>
      <c r="AQ390" s="78" t="inlineStr">
        <is>
          <t>Senior management: accountability for framework compliance. Designated compliance officer: monitor requirements. All staff: awareness of applicable obligations</t>
        </is>
      </c>
      <c r="AR390" s="74" t="inlineStr">
        <is>
          <t>Regulatory Risk; Operational Risk; Reputational Risk — specific domains determined by framework scope</t>
        </is>
      </c>
      <c r="AS390" s="22" t="inlineStr">
        <is>
          <t>See official source — legal obligation, regulatory requirement, or voluntary standard as applicable</t>
        </is>
      </c>
      <c r="AT390" s="75" t="inlineStr">
        <is>
          <t>Administrative; Technical; Operational — specific distribution determined by framework content</t>
        </is>
      </c>
      <c r="AU390" s="79" t="inlineStr">
        <is>
          <t>1. Compliance status (compliant/non-compliant). 2. # open findings from last assessment. 3. % controls implemented. 4. Time to remediate findings. 5. Incident rate in framework scope area</t>
        </is>
      </c>
      <c r="AV390" s="80" t="inlineStr">
        <is>
          <t>Self-assessment; internal audit; external assessment as specified by issuing authority</t>
        </is>
      </c>
      <c r="AW390" s="81" t="inlineStr">
        <is>
          <t>ServiceNow GRC; IBM OpenPages; RSA Archer; MetricStream — all major GRC platforms support custom framework import. Contact vendor for framework-specific module</t>
        </is>
      </c>
      <c r="AX390" s="82" t="inlineStr">
        <is>
          <t>Third parties in scope must demonstrate equivalent compliance. Contractual compliance obligations; right-to-audit clauses; annual third-party assessment</t>
        </is>
      </c>
      <c r="AY390" s="83" t="inlineStr">
        <is>
          <t>Non-compliance: regulatory action by issuing authority; fines and penalties as specified; operational and reputational consequences</t>
        </is>
      </c>
      <c r="AZ390" s="80" t="inlineStr">
        <is>
          <t>Healthcare &amp; Life Sciences</t>
        </is>
      </c>
      <c r="BA390" s="41" t="inlineStr">
        <is>
          <t>Sector-Specific</t>
        </is>
      </c>
      <c r="BB390" s="591">
        <f>IF(E390="","",IF(ISNUMBER(SEARCH("Institutional theory and regulatory governance theory underpin",AI390)),"TEMPLATE",IF(LEN(AI390)&gt;100,"DEEP",IF(AI390="","SPARSE","SHALLOW"))))</f>
        <v/>
      </c>
      <c r="BC390" s="591">
        <f>IF(E390="","",D390&amp;"-"&amp;B390&amp;"-"&amp;E390)</f>
        <v/>
      </c>
      <c r="BD390" s="591">
        <f>IF(E390="","",SUBSTITUTE(SUBSTITUTE(B390&amp;"-"&amp;E390," ",""),":","-"))</f>
        <v/>
      </c>
      <c r="BE390" s="591">
        <f>IF(E390="","",IF(ISNUMBER(SEARCH("ECC",E390)),"NCA-ECC-2-2024",IF(ISNUMBER(SEARCH("OTCC",E390)),"NCA-ECC-2-2024",IF(ISNUMBER(SEARCH("CCC",E390)),"NCA-ECC-2-2024",IF(ISNUMBER(SEARCH("DCC",E390)),"NCA-ECC-2-2024",IF(ISNUMBER(SEARCH("CSCC",E390)),"NCA-ECC-2-2024",IF(ISNUMBER(SEARCH("PDPL-IR",E390)),"PDPL-2021",IF(ISNUMBER(SEARCH("PDPL-DTR",E390)),"PDPL-2021","NONE"))))))))</f>
        <v/>
      </c>
      <c r="BF390" s="594">
        <f>IF(E390="","",IF(BB390="DEEP",10,IF(BB390="SHALLOW",5,IF(BB390="TEMPLATE",3,1)))+IF(N390="HIGHEST",5,IF(N390="HIGH",3,IF(N390="MODERATE",1,0)))+IF(ISNUMBER(SEARCH("Mandatory",L390)),3,0))</f>
        <v/>
      </c>
    </row>
    <row r="391" ht="42" customHeight="1">
      <c r="A391" s="42" t="n">
        <v>342</v>
      </c>
      <c r="B391" s="412" t="inlineStr">
        <is>
          <t>JDHC</t>
        </is>
      </c>
      <c r="C391" s="44" t="inlineStr">
        <is>
          <t>Jeddah Health Cluster</t>
        </is>
      </c>
      <c r="D391" s="44" t="inlineStr">
        <is>
          <t>17. Regional Health Clusters</t>
        </is>
      </c>
      <c r="E391" s="412" t="inlineStr">
        <is>
          <t>NCA-OTCC</t>
        </is>
      </c>
      <c r="F391" s="45" t="inlineStr">
        <is>
          <t>OT Cybersecurity Controls</t>
        </is>
      </c>
      <c r="G391" s="44" t="inlineStr">
        <is>
          <t>ضوابط الأمن السيبراني للتقنيات التشغيلية</t>
        </is>
      </c>
      <c r="H391" s="44" t="inlineStr">
        <is>
          <t>OTCC-1:2022</t>
        </is>
      </c>
      <c r="I391" s="46" t="inlineStr">
        <is>
          <t>2022</t>
        </is>
      </c>
      <c r="J391" s="46" t="inlineStr">
        <is>
          <t>53</t>
        </is>
      </c>
      <c r="K391" s="44" t="inlineStr">
        <is>
          <t>MUST COMPLY WITH</t>
        </is>
      </c>
      <c r="L391" s="66" t="inlineStr">
        <is>
          <t>Mandatory Complier</t>
        </is>
      </c>
      <c r="M391" s="44" t="inlineStr">
        <is>
          <t>Jeddah Health Cluster medical device OT networks — CNI designation</t>
        </is>
      </c>
      <c r="N391" s="47" t="inlineStr">
        <is>
          <t>HIGHEST</t>
        </is>
      </c>
      <c r="O391" s="48" t="inlineStr">
        <is>
          <t>https://nca.gov.sa/</t>
        </is>
      </c>
      <c r="P391" s="44" t="inlineStr">
        <is>
          <t>NCA OTCC</t>
        </is>
      </c>
      <c r="Q391" s="70" t="inlineStr">
        <is>
          <t>See official source for version history</t>
        </is>
      </c>
      <c r="R391" s="70" t="inlineStr">
        <is>
          <t>Framework issued by the relevant authority. Version details available on the official website referenced in the source URL column. The framework has been updated periodically since first issuance.</t>
        </is>
      </c>
      <c r="S391" s="71" t="inlineStr">
        <is>
          <t>See official source</t>
        </is>
      </c>
      <c r="T391" s="70" t="inlineStr">
        <is>
          <t>Updated as needed by the issuing authority</t>
        </is>
      </c>
      <c r="U391" s="25" t="inlineStr">
        <is>
          <t>CURRENT — consult official source for latest version</t>
        </is>
      </c>
      <c r="V391" s="70" t="inlineStr">
        <is>
          <t>Penalties defined by issuing authority; consult official source. NCA ECC-2 penalties apply if relevant</t>
        </is>
      </c>
      <c r="W391" s="72" t="inlineStr">
        <is>
          <t>Issuing authority and/or designated inspection department</t>
        </is>
      </c>
      <c r="X391" s="70" t="inlineStr">
        <is>
          <t>As specified in framework scope — consult official document</t>
        </is>
      </c>
      <c r="Y391" s="49" t="inlineStr">
        <is>
          <t>Both (unless specified otherwise in official document)</t>
        </is>
      </c>
      <c r="Z391" s="70" t="inlineStr">
        <is>
          <t>As defined by issuing authority</t>
        </is>
      </c>
      <c r="AA391" s="71" t="inlineStr">
        <is>
          <t>As defined by issuing authority</t>
        </is>
      </c>
      <c r="AB391" s="70" t="inlineStr">
        <is>
          <t>To be determined from framework text — see official source</t>
        </is>
      </c>
      <c r="AC391" s="70" t="inlineStr">
        <is>
          <t>See framework preamble for international standard references</t>
        </is>
      </c>
      <c r="AD391" s="49" t="inlineStr">
        <is>
          <t>Arabic (primary in KSA); English may be available</t>
        </is>
      </c>
      <c r="AE391" s="58" t="inlineStr">
        <is>
          <t>Mapped to relevant GH-ICGA layer — requires manual assessment</t>
        </is>
      </c>
      <c r="AF391" s="56" t="inlineStr">
        <is>
          <t>See official framework for maturity model details</t>
        </is>
      </c>
      <c r="AG391" s="70" t="inlineStr">
        <is>
          <t>Aligned with relevant Vision 2030 programme — see framework context</t>
        </is>
      </c>
      <c r="AH391" s="70" t="inlineStr">
        <is>
          <t>As specified in framework compliance requirements</t>
        </is>
      </c>
      <c r="AI391" s="73" t="inlineStr">
        <is>
          <t>Institutional theory and regulatory governance theory underpin all KSA regulatory frameworks. Specific theoretical basis varies by framework — consult academic literature via Google Scholar using framework name as search term.</t>
        </is>
      </c>
      <c r="AJ391" s="70" t="inlineStr">
        <is>
          <t>Academic debate varies by framework maturity and international adoption. For KSA-specific debate, consult: Almohammad &amp; Wills (2021) J Cybersecurity; Al-Khater et al. (2020) IEEE Access; Baker McKenzie KSA regulatory updates.</t>
        </is>
      </c>
      <c r="AK391" s="74" t="inlineStr">
        <is>
          <t>Known criticisms include: implementation gap between standards and practice; resource constraints for smaller healthcare entities; rapid technology evolution outpacing regulation. Consult framework evaluation literature for specifics.</t>
        </is>
      </c>
      <c r="AL391" s="75" t="inlineStr">
        <is>
          <t>Framework comparison requires contextual analysis. Key comparators: NIST CSF 2.0 (international benchmark), ISO 27001 (certifiable standard), ECC-2 (KSA mandatory baseline). See main database for cross-framework mapping.</t>
        </is>
      </c>
      <c r="AM391"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91" s="50" t="inlineStr">
        <is>
          <t>Official: Consult the official source URL in the database for the primary document. Training: ISACA, ISC2, RAPS, IAPP, and HIMSS offer professional development covering most regulatory domains. Estimated hours vary by framework complexity.</t>
        </is>
      </c>
      <c r="AO391" s="77" t="inlineStr">
        <is>
          <t>Relevance to GH-ICGA framework varies by layer — see GH-ICGA Layer Mapping column. All KSA mandatory frameworks are compliance inputs to GH-ICGA Layer 4. Frameworks with IoMT-specific provisions directly inform Layers 2 and 3.</t>
        </is>
      </c>
      <c r="AP391" s="53" t="inlineStr">
        <is>
          <t>R + C (Risk and Compliance — technically oriented; governance implied)</t>
        </is>
      </c>
      <c r="AQ391" s="78" t="inlineStr">
        <is>
          <t>CISO/OT Security Manager: own OTCC compliance. Clinical Engineering/Biomedical Engineering: co-responsible for medical device OT compliance. CTO: responsible for OT architecture. Board: informed of OT risk posture annually. OT security roles: Saudi nationals required per ECC-2 Saudisation mandate</t>
        </is>
      </c>
      <c r="AR391" s="74" t="inlineStr">
        <is>
          <t>Cyber Risk (OT/ICS); Operational Risk (process disruption); Physical Safety Risk (clinical impact of OT compromise); Supply Chain Risk (OT vendor remote access); Availability Risk (OT always-on requirement)</t>
        </is>
      </c>
      <c r="AS391" s="22" t="inlineStr">
        <is>
          <t>LEGAL — Mandatory for CNI OT operators under NCA-REG-2024. Hospitals as CNI: healthcare OT networks are in scope. Penalties: NCA-REG-2024 (SAR 25M max) + potential operational shutdown of non-compliant OT systems</t>
        </is>
      </c>
      <c r="AT391" s="75" t="inlineStr">
        <is>
          <t>Technical (T): 40 controls — OT network segmentation; secure remote access; OT monitoring; patch management for ICS. Administrative (A): 8 controls — OT governance; vendor management; OT incident response. Operational (O): 5 controls — OT change management; OT BCP</t>
        </is>
      </c>
      <c r="AU391" s="79" t="inlineStr">
        <is>
          <t>1. % OT assets inventoried (target 100%). 2. % OT systems with current patches within defined window. 3. # OT network zone violations detected. 4. % third-party OT vendor accesses logged. 5. OT system availability rate (target &gt;99.9% for life-critical). 6. Time-to-detect OT anomaly (target &lt;15 min for CNI)</t>
        </is>
      </c>
      <c r="AV391" s="80" t="inlineStr">
        <is>
          <t>OT vulnerability scan (passive — non-disruptive tools: Claroty, Nozomi, Dragos); OT network traffic analysis; OT penetration test (annual — must not disrupt clinical operations); vendor remote access audit; zone/conduit diagram validation</t>
        </is>
      </c>
      <c r="AW391" s="81" t="inlineStr">
        <is>
          <t>Claroty (medical IoT OT visibility); Nozomi Networks; Dragos; Tenable.ot; Fortinet OT; Medigate (healthcare-specific OT). For GRC integration: ServiceNow OT module; IBM QRadar SIEM with OT signatures</t>
        </is>
      </c>
      <c r="AX391" s="82" t="inlineStr">
        <is>
          <t>All OT vendors with remote access: mandatory access logging; time-limited access; multi-factor authentication; vendor security assessment before engagement; NDA for OT architecture access; OT vendor incident notification within 4 hours</t>
        </is>
      </c>
      <c r="AY391" s="83" t="inlineStr">
        <is>
          <t>OT breach in hospital: potential life-critical impact (ventilator, infusion pump disruption); NCA shutdown order; SAR 25M fine; criminal referral; SFDA recall if device compromise detected; massive reputational and legal exposure</t>
        </is>
      </c>
      <c r="AZ391" s="80" t="inlineStr">
        <is>
          <t>Sector-specific — consult official source</t>
        </is>
      </c>
      <c r="BA391" s="41" t="inlineStr">
        <is>
          <t>Sector-Specific</t>
        </is>
      </c>
      <c r="BB391" s="591">
        <f>IF(E391="","",IF(ISNUMBER(SEARCH("Institutional theory and regulatory governance theory underpin",AI391)),"TEMPLATE",IF(LEN(AI391)&gt;100,"DEEP",IF(AI391="","SPARSE","SHALLOW"))))</f>
        <v/>
      </c>
      <c r="BC391" s="591">
        <f>IF(E391="","",D391&amp;"-"&amp;B391&amp;"-"&amp;E391)</f>
        <v/>
      </c>
      <c r="BD391" s="591">
        <f>IF(E391="","",SUBSTITUTE(SUBSTITUTE(B391&amp;"-"&amp;E391," ",""),":","-"))</f>
        <v/>
      </c>
      <c r="BE391" s="591">
        <f>IF(E391="","",IF(ISNUMBER(SEARCH("ECC",E391)),"NCA-ECC-2-2024",IF(ISNUMBER(SEARCH("OTCC",E391)),"NCA-ECC-2-2024",IF(ISNUMBER(SEARCH("CCC",E391)),"NCA-ECC-2-2024",IF(ISNUMBER(SEARCH("DCC",E391)),"NCA-ECC-2-2024",IF(ISNUMBER(SEARCH("CSCC",E391)),"NCA-ECC-2-2024",IF(ISNUMBER(SEARCH("PDPL-IR",E391)),"PDPL-2021",IF(ISNUMBER(SEARCH("PDPL-DTR",E391)),"PDPL-2021","NONE"))))))))</f>
        <v/>
      </c>
      <c r="BF391" s="594">
        <f>IF(E391="","",IF(BB391="DEEP",10,IF(BB391="SHALLOW",5,IF(BB391="TEMPLATE",3,1)))+IF(N391="HIGHEST",5,IF(N391="HIGH",3,IF(N391="MODERATE",1,0)))+IF(ISNUMBER(SEARCH("Mandatory",L391)),3,0))</f>
        <v/>
      </c>
    </row>
    <row r="392" ht="42" customHeight="1">
      <c r="A392" s="84" t="n">
        <v>343</v>
      </c>
      <c r="B392" s="411" t="inlineStr">
        <is>
          <t>MKHC</t>
        </is>
      </c>
      <c r="C392" s="70" t="inlineStr">
        <is>
          <t>Makkah Health Cluster</t>
        </is>
      </c>
      <c r="D392" s="70" t="inlineStr">
        <is>
          <t>17. Regional Health Clusters</t>
        </is>
      </c>
      <c r="E392" s="411" t="inlineStr">
        <is>
          <t>MOH-HIS</t>
        </is>
      </c>
      <c r="F392" s="72" t="inlineStr">
        <is>
          <t>Health Information System Standards</t>
        </is>
      </c>
      <c r="G392" s="70" t="inlineStr">
        <is>
          <t>معايير نظم المعلومات الصحية</t>
        </is>
      </c>
      <c r="H392" s="70" t="inlineStr">
        <is>
          <t>2024 update</t>
        </is>
      </c>
      <c r="I392" s="71" t="inlineStr">
        <is>
          <t>2010</t>
        </is>
      </c>
      <c r="J392" s="71" t="inlineStr">
        <is>
          <t>112</t>
        </is>
      </c>
      <c r="K392" s="70" t="inlineStr">
        <is>
          <t>MUST COMPLY WITH</t>
        </is>
      </c>
      <c r="L392" s="66" t="inlineStr">
        <is>
          <t>Mandatory Complier</t>
        </is>
      </c>
      <c r="M392" s="70" t="inlineStr">
        <is>
          <t>Makkah Health Cluster hospitals — mandatory HIS compliance</t>
        </is>
      </c>
      <c r="N392" s="86" t="inlineStr">
        <is>
          <t>HIGHEST</t>
        </is>
      </c>
      <c r="O392" s="87" t="inlineStr">
        <is>
          <t>https://www.moh.gov.sa/en/</t>
        </is>
      </c>
      <c r="P392" s="70" t="inlineStr">
        <is>
          <t>MOH official</t>
        </is>
      </c>
      <c r="Q392" s="70" t="inlineStr">
        <is>
          <t>First issued ~2010 → comprehensive update 2022 → mandatory EMR update 2024</t>
        </is>
      </c>
      <c r="R392" s="70" t="inlineStr">
        <is>
          <t>Progressive standards covering: 2010 (basic EHR requirements); 2015 (interoperability standards added); 2018 (NABIDH integration); 2020 (mobile health and telemedicine modules); 2022 (comprehensive 112-control update covering clinical systems, imaging, medication management, emergency, genomics, training); 2024 (mandatory EMR adoption for all MOH and private facilities aligned with NABIDH)</t>
        </is>
      </c>
      <c r="S392" s="71" t="inlineStr">
        <is>
          <t>First: 2010. Major update: 2022. EMR mandate: 2024</t>
        </is>
      </c>
      <c r="T392" s="70" t="inlineStr">
        <is>
          <t>Updated with NABIDH platform releases; typically annual minor updates</t>
        </is>
      </c>
      <c r="U392" s="25" t="inlineStr">
        <is>
          <t>CURRENT — 2024 version mandatory</t>
        </is>
      </c>
      <c r="V392" s="70" t="inlineStr">
        <is>
          <t>MOH facility licensing at risk; mandatory corrective action plan; financial penalties under Private Health Institutions Law; non-compliant systems barred from NABIDH connectivity</t>
        </is>
      </c>
      <c r="W392" s="72" t="inlineStr">
        <is>
          <t>MOH — Directorate of Health Information (DHI); regional health cluster inspection teams; NHIC for interoperability compliance</t>
        </is>
      </c>
      <c r="X392" s="70" t="inlineStr">
        <is>
          <t>Hospital; Clinic; Lab; Pharmacy (hospital); Government Health Entity</t>
        </is>
      </c>
      <c r="Y392" s="49" t="inlineStr">
        <is>
          <t>Both (mandatory for MOH facilities; mandatory for private facilities since 2024 PHILAW update)</t>
        </is>
      </c>
      <c r="Z392" s="70" t="inlineStr">
        <is>
          <t>MOH annual IT audit; NHIC interoperability assessment; CBAHI HIT standards review during accreditation</t>
        </is>
      </c>
      <c r="AA392" s="71" t="inlineStr">
        <is>
          <t>Annual MOH audit; NABIDH connectivity continuous monitoring</t>
        </is>
      </c>
      <c r="AB392" s="70" t="inlineStr">
        <is>
          <t>28 (medical device integration into HIS; alarm management; device data capture; IoMT workflow integration; remote monitoring data ingestion; device incident reporting to HIS)</t>
        </is>
      </c>
      <c r="AC392" s="70" t="inlineStr">
        <is>
          <t>HL7 FHIR R4 (interoperability); IHE profiles (integration); ISO 27799:2016 (health ISMS); DICOM (imaging)</t>
        </is>
      </c>
      <c r="AD392" s="49" t="inlineStr">
        <is>
          <t>Arabic (primary); English technical annexes</t>
        </is>
      </c>
      <c r="AE392" s="26" t="inlineStr">
        <is>
          <t>Layer 1: Governance; Layer 3: Technical Controls; Layer 4: Compliance</t>
        </is>
      </c>
      <c r="AF392" s="27" t="inlineStr">
        <is>
          <t>Yes — 4 implementation levels (Basic / Intermediate / Advanced / Optimised); MOH tracks facility scores</t>
        </is>
      </c>
      <c r="AG392" s="70" t="inlineStr">
        <is>
          <t>HSTP digital health; NABIDH national EHR; Vision 2030 healthcare quality targets</t>
        </is>
      </c>
      <c r="AH392" s="70" t="inlineStr">
        <is>
          <t>HIS system documentation; NABIDH connectivity certificate; interoperability test results; staff training records; system access audit logs; downtime contingency procedure</t>
        </is>
      </c>
      <c r="AI392" s="73" t="inlineStr">
        <is>
          <t>Health informatics systems theory (Shortliffe &amp; Cimino 2006): HIS as sociotechnical infrastructure. Interoperability theory (Kuperman 2011): semantic/syntactic/organisational interoperability levels. Technology adoption theory (TAM — Davis 1989): clinician adoption barriers to HIS.</t>
        </is>
      </c>
      <c r="AJ392" s="70" t="inlineStr">
        <is>
          <t>FOR: National standardisation essential for patient safety continuity (WHO 2019); NABIDH integration creates longitudinal patient record unavailable previously; IoMT data integration requirements push hospitals toward modern system architectures. AGAINST: Ajami &amp; Bagheri-Tadi (2013) and Aloudah et al. (2021) document implementation-reality gap in Saudi HIS — standards exist but compliance varies widely by facility tier; urban-rural HIS capacity gap poorly addressed; cybersecurity requirements within HIS standards historically weak (pre-NABIDH)</t>
        </is>
      </c>
      <c r="AK392" s="74" t="inlineStr">
        <is>
          <t>112 controls create compliance burden without proportionality guidance; small private clinics face disproportionate compliance cost; no formal HIS certification programme — self-declaration accepted; IoMT data standards not harmonised with international HL7 FHIR profiles; historical emphasis on data capture over data quality</t>
        </is>
      </c>
      <c r="AL392" s="75" t="inlineStr">
        <is>
          <t>MOH-HIS vs NHS Digital standards (UK): NHS has legally binding DCB standards with enforcement; MOH-HIS is ministerial directive with softer enforcement. MOH-HIS vs ONC Health IT Certification (US): US has federal certification; KSA moving toward certification (NABIDH conformance). MOH-HIS + NHIC-NABIDH = closest to ONC approach in KSA</t>
        </is>
      </c>
      <c r="AM392" s="76" t="inlineStr">
        <is>
          <t>Ajami S &amp; Bagheri-Tadi T (2013) 'Barriers for Adopting Electronic Health Records' MateriaSociomed 25(3); Aloudah N et al. (2021) 'Digital Health in Saudi Arabia' Sustainability 13(12); Shortliffe EH &amp; Cimino JJ (2006) Biomedical Informatics Springer; WHO (2019) Classification of Digital Interventions; Alotaibi YK &amp; Federico F (2017) 'Impact of Health IT on Patient Safety' Saudi Medical J 38(12)</t>
        </is>
      </c>
      <c r="AN392" s="50" t="inlineStr">
        <is>
          <t>Official: MOH website (moh.gov.sa). Training: CPHIMS (Certified Professional Health Informatics &amp; Information Management); HL7 FHIR Foundational (HL7.org); NHIC developer portal training (nhic.gov.sa). Language: Arabic primary. Estimated: 45 hours</t>
        </is>
      </c>
      <c r="AO392" s="77" t="inlineStr">
        <is>
          <t>GH-ICGA Layer 1 (Governance) + Layer 3 (Technical Controls) — MOH-HIS is the clinical data governance backbone that the preliminary GH-ICGA IoMT framework must integrate with. Thesis: GH-ICGA IoMT data model must align with HIS data standards to ensure IoMT device data flows into the national health record coherently</t>
        </is>
      </c>
      <c r="AP392" s="34" t="inlineStr">
        <is>
          <t>G + R + C (all three — clinical information governance foundation)</t>
        </is>
      </c>
      <c r="AQ392" s="78" t="inlineStr">
        <is>
          <t>Hospital CEO: accountable for HIS compliance. CIO/CMIO: responsible for HIS implementation and NABIDH connectivity. Clinical Informatics Committee: govern HIS standards adoption. Department Heads: responsible for clinical data quality in their systems</t>
        </is>
      </c>
      <c r="AR392" s="74" t="inlineStr">
        <is>
          <t>Operational Risk (HIS downtime = clinical risk); Patient Safety Risk; Data Quality Risk; Regulatory Risk (MOH non-compliance); Interoperability Risk (NABIDH disconnection)</t>
        </is>
      </c>
      <c r="AS392" s="61" t="inlineStr">
        <is>
          <t>REGULATORY — MOH ministerial directive. Mandatory for all licensed facilities. Non-compliance risks licensing. Enforced through MOH annual audit and NABIDH connectivity monitoring</t>
        </is>
      </c>
      <c r="AT392" s="75" t="inlineStr">
        <is>
          <t>Technical (T): 68 controls — system architecture; integration; security; availability; backup. Administrative (A): 28 controls — data governance; policies; training; documentation. Operational (O): 16 controls — downtime procedures; change management; vendor management</t>
        </is>
      </c>
      <c r="AU392" s="79" t="inlineStr">
        <is>
          <t>1. NABIDH connectivity status (connected/disconnected). 2. HIS downtime incidents per month (target &lt;4h/month). 3. Data quality score (completeness/accuracy) from NABIDH reports. 4. % clinical staff trained on HIS (target 100%). 5. Time-to-restore HIS after failure (target &lt;4h). 6. # HIS security incidents per quarter</t>
        </is>
      </c>
      <c r="AV392" s="80" t="inlineStr">
        <is>
          <t>Annual MOH HIS audit (documentation + system walk-through); NABIDH API conformance test (NHIC automated); data quality audit; HIS security assessment; downtime procedure simulation; user access review</t>
        </is>
      </c>
      <c r="AW392" s="81" t="inlineStr">
        <is>
          <t>Epic; Cerner (Oracle Health); Philips Tasy EMR; Meditech; InterSystems HealthShare — all NABIDH-integrated. For compliance: ServiceNow Healthcare; Qualio (quality management); NHIC developer portal for FHIR conformance testing</t>
        </is>
      </c>
      <c r="AX392" s="82" t="inlineStr">
        <is>
          <t>HIS vendors: must be MOH-approved/NABIDH-certified; contractual data protection obligations; source code escrow for critical systems; SLA for 99.9% uptime; mandatory SFDA notification if HIS failure affects medical devices; annual security assessment of HIS vendors</t>
        </is>
      </c>
      <c r="AY392" s="83" t="inlineStr">
        <is>
          <t>Non-compliance: MOH corrective action; facility licence conditions; NABIDH disconnection (loss of referrals, national patient record access); PHILAW 2024 penalties for private facilities. Clinical impact: patient safety risk from poor data quality or HIS unavailability</t>
        </is>
      </c>
      <c r="AZ392" s="80" t="inlineStr">
        <is>
          <t>Healthcare &amp; Life Sciences</t>
        </is>
      </c>
      <c r="BA392" s="41" t="inlineStr">
        <is>
          <t>Sector-Specific</t>
        </is>
      </c>
      <c r="BB392" s="591">
        <f>IF(E392="","",IF(ISNUMBER(SEARCH("Institutional theory and regulatory governance theory underpin",AI392)),"TEMPLATE",IF(LEN(AI392)&gt;100,"DEEP",IF(AI392="","SPARSE","SHALLOW"))))</f>
        <v/>
      </c>
      <c r="BC392" s="591">
        <f>IF(E392="","",D392&amp;"-"&amp;B392&amp;"-"&amp;E392)</f>
        <v/>
      </c>
      <c r="BD392" s="591">
        <f>IF(E392="","",SUBSTITUTE(SUBSTITUTE(B392&amp;"-"&amp;E392," ",""),":","-"))</f>
        <v/>
      </c>
      <c r="BE392" s="591">
        <f>IF(E392="","",IF(ISNUMBER(SEARCH("ECC",E392)),"NCA-ECC-2-2024",IF(ISNUMBER(SEARCH("OTCC",E392)),"NCA-ECC-2-2024",IF(ISNUMBER(SEARCH("CCC",E392)),"NCA-ECC-2-2024",IF(ISNUMBER(SEARCH("DCC",E392)),"NCA-ECC-2-2024",IF(ISNUMBER(SEARCH("CSCC",E392)),"NCA-ECC-2-2024",IF(ISNUMBER(SEARCH("PDPL-IR",E392)),"PDPL-2021",IF(ISNUMBER(SEARCH("PDPL-DTR",E392)),"PDPL-2021","NONE"))))))))</f>
        <v/>
      </c>
      <c r="BF392" s="594">
        <f>IF(E392="","",IF(BB392="DEEP",10,IF(BB392="SHALLOW",5,IF(BB392="TEMPLATE",3,1)))+IF(N392="HIGHEST",5,IF(N392="HIGH",3,IF(N392="MODERATE",1,0)))+IF(ISNUMBER(SEARCH("Mandatory",L392)),3,0))</f>
        <v/>
      </c>
    </row>
    <row r="393" ht="42" customHeight="1">
      <c r="A393" s="42" t="n">
        <v>344</v>
      </c>
      <c r="B393" s="412" t="inlineStr">
        <is>
          <t>MKHC</t>
        </is>
      </c>
      <c r="C393" s="44" t="inlineStr">
        <is>
          <t>Makkah Health Cluster</t>
        </is>
      </c>
      <c r="D393" s="44" t="inlineStr">
        <is>
          <t>17. Regional Health Clusters</t>
        </is>
      </c>
      <c r="E393" s="412" t="inlineStr">
        <is>
          <t>MOH-EMR-NABIDH</t>
        </is>
      </c>
      <c r="F393" s="45" t="inlineStr">
        <is>
          <t>EMR Standards / NABIDH</t>
        </is>
      </c>
      <c r="G393" s="44" t="inlineStr">
        <is>
          <t>معايير السجل الصحي الإلكتروني / نبض</t>
        </is>
      </c>
      <c r="H393" s="44" t="inlineStr">
        <is>
          <t>Mandatory 2024</t>
        </is>
      </c>
      <c r="I393" s="46" t="inlineStr">
        <is>
          <t>2010</t>
        </is>
      </c>
      <c r="J393" s="46" t="inlineStr">
        <is>
          <t>52</t>
        </is>
      </c>
      <c r="K393" s="44" t="inlineStr">
        <is>
          <t>MUST COMPLY WITH</t>
        </is>
      </c>
      <c r="L393" s="66" t="inlineStr">
        <is>
          <t>Mandatory Complier</t>
        </is>
      </c>
      <c r="M393" s="44" t="inlineStr">
        <is>
          <t>Makkah Health Cluster — mandatory NABIDH connectivity 2024</t>
        </is>
      </c>
      <c r="N393" s="47" t="inlineStr">
        <is>
          <t>HIGHEST</t>
        </is>
      </c>
      <c r="O393" s="48" t="inlineStr">
        <is>
          <t>https://www.moh.gov.sa/en/</t>
        </is>
      </c>
      <c r="P393" s="44" t="inlineStr">
        <is>
          <t>MOH/NHIC</t>
        </is>
      </c>
      <c r="Q393" s="70" t="inlineStr">
        <is>
          <t>NABIDH platform launched ~2018 → mandatory EMR adoption for all facilities 2024</t>
        </is>
      </c>
      <c r="R393" s="70" t="inlineStr">
        <is>
          <t>NABIDH (National Unified EHR Platform): v1 2018 (pilot MOH hospitals); 2019-2021 (rollout to health clusters); 2022 (private hospital voluntary integration); 2023 (API standards published based on FHIR R4); 2024 (mandatory for ALL healthcare facilities per Private Health Institutions Law update — complete patient longitudinal record across facilities). EMR standard covers 52 functional requirements including: CPOE, medication reconciliation, imaging integration, patient portal, audit logs</t>
        </is>
      </c>
      <c r="S393" s="71" t="inlineStr">
        <is>
          <t>NABIDH launched: 2018. Mandatory for all: 2024</t>
        </is>
      </c>
      <c r="T393" s="70" t="inlineStr">
        <is>
          <t>Continuously updated with NABIDH platform releases</t>
        </is>
      </c>
      <c r="U393" s="25" t="inlineStr">
        <is>
          <t>CURRENT — mandatory since 2024</t>
        </is>
      </c>
      <c r="V393" s="70" t="inlineStr">
        <is>
          <t>Facility licensing revocation; MOH enforcement action; barred from government referrals; penalties under PHILAW 2024</t>
        </is>
      </c>
      <c r="W393" s="72" t="inlineStr">
        <is>
          <t>MOH — NABIDH Programme Office; NHIC; regional health clusters monitor connectivity</t>
        </is>
      </c>
      <c r="X393" s="70" t="inlineStr">
        <is>
          <t>Hospital; Clinic; Lab; Pharmacy; Government Health Entity — ALL healthcare facilities mandatory</t>
        </is>
      </c>
      <c r="Y393" s="49" t="inlineStr">
        <is>
          <t>Both (mandatory since 2024 PHILAW update for all facilities)</t>
        </is>
      </c>
      <c r="Z393" s="70" t="inlineStr">
        <is>
          <t>NHIC connectivity assessment; NABIDH API conformance testing; MOH annual audit</t>
        </is>
      </c>
      <c r="AA393" s="71" t="inlineStr">
        <is>
          <t>Continuous (NABIDH connectivity monitored in real time); annual formal audit</t>
        </is>
      </c>
      <c r="AB393" s="70" t="inlineStr">
        <is>
          <t>22 (IoMT data integration to NABIDH: wearable data ingestion API; remote monitoring feeds; device-generated vital signs; medical device alerts to patient record; IoMT consent management in EHR)</t>
        </is>
      </c>
      <c r="AC393" s="70" t="inlineStr">
        <is>
          <t>HL7 FHIR R4; IHE (Integrating the Healthcare Enterprise); SNOMED CT; ICD-10; LOINC</t>
        </is>
      </c>
      <c r="AD393" s="49" t="inlineStr">
        <is>
          <t>Arabic + English (NABIDH technical specifications bilingual)</t>
        </is>
      </c>
      <c r="AE393" s="26" t="inlineStr">
        <is>
          <t>Layer 1: Governance; Layer 3: Technical Controls; Layer 4: Compliance; Layer 5: Assurance</t>
        </is>
      </c>
      <c r="AF393" s="27" t="inlineStr">
        <is>
          <t>Yes — NABIDH connectivity levels (1: Basic data exchange; 2: Full longitudinal record; 3: Advanced interoperability with IoMT); MOH tracks facility level</t>
        </is>
      </c>
      <c r="AG393" s="70" t="inlineStr">
        <is>
          <t>HSTP digital health transformation; NABIDH national EHR; NHIS claims integration</t>
        </is>
      </c>
      <c r="AH393" s="70" t="inlineStr">
        <is>
          <t>NABIDH connectivity certificate; API integration test reports; patient consent records for data sharing; EHR system validation; data quality reports</t>
        </is>
      </c>
      <c r="AI393" s="73" t="inlineStr">
        <is>
          <t>Institutional theory and regulatory governance theory underpin all KSA regulatory frameworks. Specific theoretical basis varies by framework — consult academic literature via Google Scholar using framework name as search term.</t>
        </is>
      </c>
      <c r="AJ393" s="70" t="inlineStr">
        <is>
          <t>Academic debate varies by framework maturity and international adoption. For KSA-specific debate, consult: Almohammad &amp; Wills (2021) J Cybersecurity; Al-Khater et al. (2020) IEEE Access; Baker McKenzie KSA regulatory updates.</t>
        </is>
      </c>
      <c r="AK393" s="74" t="inlineStr">
        <is>
          <t>Known criticisms include: implementation gap between standards and practice; resource constraints for smaller healthcare entities; rapid technology evolution outpacing regulation. Consult framework evaluation literature for specifics.</t>
        </is>
      </c>
      <c r="AL393" s="75" t="inlineStr">
        <is>
          <t>Framework comparison requires contextual analysis. Key comparators: NIST CSF 2.0 (international benchmark), ISO 27001 (certifiable standard), ECC-2 (KSA mandatory baseline). See main database for cross-framework mapping.</t>
        </is>
      </c>
      <c r="AM393"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93" s="50" t="inlineStr">
        <is>
          <t>Official: Consult the official source URL in the database for the primary document. Training: ISACA, ISC2, RAPS, IAPP, and HIMSS offer professional development covering most regulatory domains. Estimated hours vary by framework complexity.</t>
        </is>
      </c>
      <c r="AO393" s="77" t="inlineStr">
        <is>
          <t>Relevance to GH-ICGA framework varies by layer — see GH-ICGA Layer Mapping column. All KSA mandatory frameworks are compliance inputs to GH-ICGA Layer 4. Frameworks with IoMT-specific provisions directly inform Layers 2 and 3.</t>
        </is>
      </c>
      <c r="AP393" s="51" t="inlineStr">
        <is>
          <t>G + C (Governance + Compliance — standard regulatory framework positioning)</t>
        </is>
      </c>
      <c r="AQ393" s="78" t="inlineStr">
        <is>
          <t>Senior management: accountability for framework compliance. Designated compliance officer: monitor requirements. All staff: awareness of applicable obligations</t>
        </is>
      </c>
      <c r="AR393" s="74" t="inlineStr">
        <is>
          <t>Regulatory Risk; Operational Risk; Reputational Risk — specific domains determined by framework scope</t>
        </is>
      </c>
      <c r="AS393" s="22" t="inlineStr">
        <is>
          <t>See official source — legal obligation, regulatory requirement, or voluntary standard as applicable</t>
        </is>
      </c>
      <c r="AT393" s="75" t="inlineStr">
        <is>
          <t>Administrative; Technical; Operational — specific distribution determined by framework content</t>
        </is>
      </c>
      <c r="AU393" s="79" t="inlineStr">
        <is>
          <t>1. Compliance status (compliant/non-compliant). 2. # open findings from last assessment. 3. % controls implemented. 4. Time to remediate findings. 5. Incident rate in framework scope area</t>
        </is>
      </c>
      <c r="AV393" s="80" t="inlineStr">
        <is>
          <t>Self-assessment; internal audit; external assessment as specified by issuing authority</t>
        </is>
      </c>
      <c r="AW393" s="81" t="inlineStr">
        <is>
          <t>ServiceNow GRC; IBM OpenPages; RSA Archer; MetricStream — all major GRC platforms support custom framework import. Contact vendor for framework-specific module</t>
        </is>
      </c>
      <c r="AX393" s="82" t="inlineStr">
        <is>
          <t>Third parties in scope must demonstrate equivalent compliance. Contractual compliance obligations; right-to-audit clauses; annual third-party assessment</t>
        </is>
      </c>
      <c r="AY393" s="83" t="inlineStr">
        <is>
          <t>Non-compliance: regulatory action by issuing authority; fines and penalties as specified; operational and reputational consequences</t>
        </is>
      </c>
      <c r="AZ393" s="80" t="inlineStr">
        <is>
          <t>Healthcare &amp; Life Sciences</t>
        </is>
      </c>
      <c r="BA393" s="41" t="inlineStr">
        <is>
          <t>Sector-Specific</t>
        </is>
      </c>
      <c r="BB393" s="591">
        <f>IF(E393="","",IF(ISNUMBER(SEARCH("Institutional theory and regulatory governance theory underpin",AI393)),"TEMPLATE",IF(LEN(AI393)&gt;100,"DEEP",IF(AI393="","SPARSE","SHALLOW"))))</f>
        <v/>
      </c>
      <c r="BC393" s="591">
        <f>IF(E393="","",D393&amp;"-"&amp;B393&amp;"-"&amp;E393)</f>
        <v/>
      </c>
      <c r="BD393" s="591">
        <f>IF(E393="","",SUBSTITUTE(SUBSTITUTE(B393&amp;"-"&amp;E393," ",""),":","-"))</f>
        <v/>
      </c>
      <c r="BE393" s="591">
        <f>IF(E393="","",IF(ISNUMBER(SEARCH("ECC",E393)),"NCA-ECC-2-2024",IF(ISNUMBER(SEARCH("OTCC",E393)),"NCA-ECC-2-2024",IF(ISNUMBER(SEARCH("CCC",E393)),"NCA-ECC-2-2024",IF(ISNUMBER(SEARCH("DCC",E393)),"NCA-ECC-2-2024",IF(ISNUMBER(SEARCH("CSCC",E393)),"NCA-ECC-2-2024",IF(ISNUMBER(SEARCH("PDPL-IR",E393)),"PDPL-2021",IF(ISNUMBER(SEARCH("PDPL-DTR",E393)),"PDPL-2021","NONE"))))))))</f>
        <v/>
      </c>
      <c r="BF393" s="594">
        <f>IF(E393="","",IF(BB393="DEEP",10,IF(BB393="SHALLOW",5,IF(BB393="TEMPLATE",3,1)))+IF(N393="HIGHEST",5,IF(N393="HIGH",3,IF(N393="MODERATE",1,0)))+IF(ISNUMBER(SEARCH("Mandatory",L393)),3,0))</f>
        <v/>
      </c>
    </row>
    <row r="394" ht="42" customHeight="1">
      <c r="A394" s="84" t="n">
        <v>345</v>
      </c>
      <c r="B394" s="411" t="inlineStr">
        <is>
          <t>MKHC</t>
        </is>
      </c>
      <c r="C394" s="70" t="inlineStr">
        <is>
          <t>Makkah Health Cluster</t>
        </is>
      </c>
      <c r="D394" s="70" t="inlineStr">
        <is>
          <t>17. Regional Health Clusters</t>
        </is>
      </c>
      <c r="E394" s="411" t="inlineStr">
        <is>
          <t>MOH-PS</t>
        </is>
      </c>
      <c r="F394" s="72" t="inlineStr">
        <is>
          <t>Patient Safety Standards</t>
        </is>
      </c>
      <c r="G394" s="70" t="inlineStr">
        <is>
          <t>معايير سلامة المريض</t>
        </is>
      </c>
      <c r="H394" s="70" t="inlineStr">
        <is>
          <t>2024 update</t>
        </is>
      </c>
      <c r="I394" s="71" t="inlineStr">
        <is>
          <t>2015</t>
        </is>
      </c>
      <c r="J394" s="71" t="inlineStr">
        <is>
          <t>72</t>
        </is>
      </c>
      <c r="K394" s="70" t="inlineStr">
        <is>
          <t>MUST COMPLY WITH</t>
        </is>
      </c>
      <c r="L394" s="66" t="inlineStr">
        <is>
          <t>Mandatory Complier</t>
        </is>
      </c>
      <c r="M394" s="70" t="inlineStr">
        <is>
          <t>Makkah Health Cluster — patient safety compliance</t>
        </is>
      </c>
      <c r="N394" s="86" t="inlineStr">
        <is>
          <t>HIGHEST</t>
        </is>
      </c>
      <c r="O394" s="87" t="inlineStr">
        <is>
          <t>https://www.moh.gov.sa/en/</t>
        </is>
      </c>
      <c r="P394" s="70" t="inlineStr">
        <is>
          <t>MOH official</t>
        </is>
      </c>
      <c r="Q394" s="70" t="inlineStr">
        <is>
          <t>First issued ~2015 → updates 2020 → 2024 update</t>
        </is>
      </c>
      <c r="R394" s="70" t="inlineStr">
        <is>
          <t>Based on WHO and JCI patient safety frameworks. Covers: patient identification (minimum 2 identifiers), medication safety (high-alert medications protocol), surgical safety checklist, falls prevention, infection control, critical value reporting, handover communications (SBAR). 2020 update added COVID-19 IPC protocols. 2024 update adds IoMT device safety (alarm fatigue management, device connectivity requirements)</t>
        </is>
      </c>
      <c r="S394" s="71" t="inlineStr">
        <is>
          <t>First: ~2015. Updated: 2020, 2024</t>
        </is>
      </c>
      <c r="T394" s="70" t="inlineStr">
        <is>
          <t>Annual review with MOH patient safety incidents data</t>
        </is>
      </c>
      <c r="U394" s="25" t="inlineStr">
        <is>
          <t>CURRENT — 2024 version</t>
        </is>
      </c>
      <c r="V394" s="70" t="inlineStr">
        <is>
          <t>MOH corrective action order; facility licence conditions; public safety alert; criminal liability for gross negligence</t>
        </is>
      </c>
      <c r="W394" s="72" t="inlineStr">
        <is>
          <t>MOH — Patient Safety Centre; regional health cluster inspection; CBAHI (patient safety standards embedded in accreditation)</t>
        </is>
      </c>
      <c r="X394" s="70" t="inlineStr">
        <is>
          <t>Hospital; Clinic; Government Health Entity</t>
        </is>
      </c>
      <c r="Y394" s="22" t="inlineStr">
        <is>
          <t>Both</t>
        </is>
      </c>
      <c r="Z394" s="70" t="inlineStr">
        <is>
          <t>Annual MOH patient safety inspection; CBAHI survey (integrated); incident investigation</t>
        </is>
      </c>
      <c r="AA394" s="71" t="inlineStr">
        <is>
          <t>Annual; triggered by serious adverse event</t>
        </is>
      </c>
      <c r="AB394" s="70" t="inlineStr">
        <is>
          <t>14 (alarm fatigue management for IoMT devices; connected infusion pump safety; IV smart pump drug library governance; patient ID for IoMT devices; device failure response procedures; remote monitoring alert management)</t>
        </is>
      </c>
      <c r="AC394" s="70" t="inlineStr">
        <is>
          <t>WHO Patient Safety Challenges (Global Patient Safety Action Plan 2021-2030); JCI Patient Safety Goals; The Joint Commission NPSG</t>
        </is>
      </c>
      <c r="AD394" s="49" t="inlineStr">
        <is>
          <t>Arabic (primary); English reference</t>
        </is>
      </c>
      <c r="AE394" s="26" t="inlineStr">
        <is>
          <t>Layer 1: Governance; Layer 4: Compliance</t>
        </is>
      </c>
      <c r="AF394" s="27" t="inlineStr">
        <is>
          <t>Yes — patient safety maturity levels (Safety-I to Safety-III); MOH tracks facility scores</t>
        </is>
      </c>
      <c r="AG394" s="70" t="inlineStr">
        <is>
          <t>HSTP patient safety; Vision 2030 quality targets; National Patient Safety Centre</t>
        </is>
      </c>
      <c r="AH394" s="70" t="inlineStr">
        <is>
          <t>Incident reporting system data; patient safety walkround records; fall prevention audit; medication safety audit; CBAHI patient safety standards compliance</t>
        </is>
      </c>
      <c r="AI394" s="73" t="inlineStr">
        <is>
          <t>Institutional theory and regulatory governance theory underpin all KSA regulatory frameworks. Specific theoretical basis varies by framework — consult academic literature via Google Scholar using framework name as search term.</t>
        </is>
      </c>
      <c r="AJ394" s="70" t="inlineStr">
        <is>
          <t>Academic debate varies by framework maturity and international adoption. For KSA-specific debate, consult: Almohammad &amp; Wills (2021) J Cybersecurity; Al-Khater et al. (2020) IEEE Access; Baker McKenzie KSA regulatory updates.</t>
        </is>
      </c>
      <c r="AK394" s="74" t="inlineStr">
        <is>
          <t>Known criticisms include: implementation gap between standards and practice; resource constraints for smaller healthcare entities; rapid technology evolution outpacing regulation. Consult framework evaluation literature for specifics.</t>
        </is>
      </c>
      <c r="AL394" s="75" t="inlineStr">
        <is>
          <t>Framework comparison requires contextual analysis. Key comparators: NIST CSF 2.0 (international benchmark), ISO 27001 (certifiable standard), ECC-2 (KSA mandatory baseline). See main database for cross-framework mapping.</t>
        </is>
      </c>
      <c r="AM394"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94" s="50" t="inlineStr">
        <is>
          <t>Official: Consult the official source URL in the database for the primary document. Training: ISACA, ISC2, RAPS, IAPP, and HIMSS offer professional development covering most regulatory domains. Estimated hours vary by framework complexity.</t>
        </is>
      </c>
      <c r="AO394" s="77" t="inlineStr">
        <is>
          <t>Relevance to GH-ICGA framework varies by layer — see GH-ICGA Layer Mapping column. All KSA mandatory frameworks are compliance inputs to GH-ICGA Layer 4. Frameworks with IoMT-specific provisions directly inform Layers 2 and 3.</t>
        </is>
      </c>
      <c r="AP394" s="51" t="inlineStr">
        <is>
          <t>G + C (Governance + Compliance — standard regulatory framework positioning)</t>
        </is>
      </c>
      <c r="AQ394" s="78" t="inlineStr">
        <is>
          <t>Senior management: accountability for framework compliance. Designated compliance officer: monitor requirements. All staff: awareness of applicable obligations</t>
        </is>
      </c>
      <c r="AR394" s="74" t="inlineStr">
        <is>
          <t>Regulatory Risk; Operational Risk; Reputational Risk — specific domains determined by framework scope</t>
        </is>
      </c>
      <c r="AS394" s="22" t="inlineStr">
        <is>
          <t>See official source — legal obligation, regulatory requirement, or voluntary standard as applicable</t>
        </is>
      </c>
      <c r="AT394" s="75" t="inlineStr">
        <is>
          <t>Administrative; Technical; Operational — specific distribution determined by framework content</t>
        </is>
      </c>
      <c r="AU394" s="79" t="inlineStr">
        <is>
          <t>1. Compliance status (compliant/non-compliant). 2. # open findings from last assessment. 3. % controls implemented. 4. Time to remediate findings. 5. Incident rate in framework scope area</t>
        </is>
      </c>
      <c r="AV394" s="80" t="inlineStr">
        <is>
          <t>Self-assessment; internal audit; external assessment as specified by issuing authority</t>
        </is>
      </c>
      <c r="AW394" s="81" t="inlineStr">
        <is>
          <t>ServiceNow GRC; IBM OpenPages; RSA Archer; MetricStream — all major GRC platforms support custom framework import. Contact vendor for framework-specific module</t>
        </is>
      </c>
      <c r="AX394" s="82" t="inlineStr">
        <is>
          <t>Third parties in scope must demonstrate equivalent compliance. Contractual compliance obligations; right-to-audit clauses; annual third-party assessment</t>
        </is>
      </c>
      <c r="AY394" s="83" t="inlineStr">
        <is>
          <t>Non-compliance: regulatory action by issuing authority; fines and penalties as specified; operational and reputational consequences</t>
        </is>
      </c>
      <c r="AZ394" s="80" t="inlineStr">
        <is>
          <t>Healthcare &amp; Life Sciences</t>
        </is>
      </c>
      <c r="BA394" s="41" t="inlineStr">
        <is>
          <t>Sector-Specific</t>
        </is>
      </c>
      <c r="BB394" s="591">
        <f>IF(E394="","",IF(ISNUMBER(SEARCH("Institutional theory and regulatory governance theory underpin",AI394)),"TEMPLATE",IF(LEN(AI394)&gt;100,"DEEP",IF(AI394="","SPARSE","SHALLOW"))))</f>
        <v/>
      </c>
      <c r="BC394" s="591">
        <f>IF(E394="","",D394&amp;"-"&amp;B394&amp;"-"&amp;E394)</f>
        <v/>
      </c>
      <c r="BD394" s="591">
        <f>IF(E394="","",SUBSTITUTE(SUBSTITUTE(B394&amp;"-"&amp;E394," ",""),":","-"))</f>
        <v/>
      </c>
      <c r="BE394" s="591">
        <f>IF(E394="","",IF(ISNUMBER(SEARCH("ECC",E394)),"NCA-ECC-2-2024",IF(ISNUMBER(SEARCH("OTCC",E394)),"NCA-ECC-2-2024",IF(ISNUMBER(SEARCH("CCC",E394)),"NCA-ECC-2-2024",IF(ISNUMBER(SEARCH("DCC",E394)),"NCA-ECC-2-2024",IF(ISNUMBER(SEARCH("CSCC",E394)),"NCA-ECC-2-2024",IF(ISNUMBER(SEARCH("PDPL-IR",E394)),"PDPL-2021",IF(ISNUMBER(SEARCH("PDPL-DTR",E394)),"PDPL-2021","NONE"))))))))</f>
        <v/>
      </c>
      <c r="BF394" s="594">
        <f>IF(E394="","",IF(BB394="DEEP",10,IF(BB394="SHALLOW",5,IF(BB394="TEMPLATE",3,1)))+IF(N394="HIGHEST",5,IF(N394="HIGH",3,IF(N394="MODERATE",1,0)))+IF(ISNUMBER(SEARCH("Mandatory",L394)),3,0))</f>
        <v/>
      </c>
    </row>
    <row r="395" ht="42" customHeight="1">
      <c r="A395" s="42" t="n">
        <v>346</v>
      </c>
      <c r="B395" s="412" t="inlineStr">
        <is>
          <t>MKHC</t>
        </is>
      </c>
      <c r="C395" s="44" t="inlineStr">
        <is>
          <t>Makkah Health Cluster</t>
        </is>
      </c>
      <c r="D395" s="44" t="inlineStr">
        <is>
          <t>17. Regional Health Clusters</t>
        </is>
      </c>
      <c r="E395" s="412" t="inlineStr">
        <is>
          <t>MOH-PR</t>
        </is>
      </c>
      <c r="F395" s="45" t="inlineStr">
        <is>
          <t>Patient Rights Charter</t>
        </is>
      </c>
      <c r="G395" s="44" t="inlineStr">
        <is>
          <t>ميثاق حقوق المريض</t>
        </is>
      </c>
      <c r="H395" s="44" t="inlineStr">
        <is>
          <t>2019</t>
        </is>
      </c>
      <c r="I395" s="46" t="inlineStr">
        <is>
          <t>2012</t>
        </is>
      </c>
      <c r="J395" s="46" t="inlineStr">
        <is>
          <t>45</t>
        </is>
      </c>
      <c r="K395" s="44" t="inlineStr">
        <is>
          <t>MUST COMPLY WITH</t>
        </is>
      </c>
      <c r="L395" s="66" t="inlineStr">
        <is>
          <t>Mandatory Complier</t>
        </is>
      </c>
      <c r="M395" s="44" t="inlineStr">
        <is>
          <t>Makkah Health Cluster facilities</t>
        </is>
      </c>
      <c r="N395" s="54" t="inlineStr">
        <is>
          <t>HIGH</t>
        </is>
      </c>
      <c r="O395" s="48" t="inlineStr">
        <is>
          <t>https://www.moh.gov.sa/en/</t>
        </is>
      </c>
      <c r="P395" s="44" t="inlineStr">
        <is>
          <t>MOH official</t>
        </is>
      </c>
      <c r="Q395" s="70" t="inlineStr">
        <is>
          <t>First Charter ~2012 → updated 2019</t>
        </is>
      </c>
      <c r="R395" s="70" t="inlineStr">
        <is>
          <t>45 rights and obligations. Key provisions: informed consent (including electronic consent for telemedicine), right to access medical records (digital access through NABIDH patient portal), right to privacy of health information, right to refuse treatment, right to second opinion. 2019 update added digital health rights (right to data portability from health apps)</t>
        </is>
      </c>
      <c r="S395" s="71" t="inlineStr">
        <is>
          <t>First: ~2012. Updated: 2019</t>
        </is>
      </c>
      <c r="T395" s="70" t="inlineStr">
        <is>
          <t>Review 2024-2025 expected to add AI/algorithmic transparency rights</t>
        </is>
      </c>
      <c r="U395" s="25" t="inlineStr">
        <is>
          <t>CURRENT — 2019 version</t>
        </is>
      </c>
      <c r="V395" s="70" t="inlineStr">
        <is>
          <t>Penalties defined by issuing authority; consult official source. NCA ECC-2 penalties apply if relevant</t>
        </is>
      </c>
      <c r="W395" s="72" t="inlineStr">
        <is>
          <t>Issuing authority and/or designated inspection department</t>
        </is>
      </c>
      <c r="X395" s="70" t="inlineStr">
        <is>
          <t>As specified in framework scope — consult official document</t>
        </is>
      </c>
      <c r="Y395" s="49" t="inlineStr">
        <is>
          <t>Both (unless specified otherwise in official document)</t>
        </is>
      </c>
      <c r="Z395" s="70" t="inlineStr">
        <is>
          <t>As defined by issuing authority</t>
        </is>
      </c>
      <c r="AA395" s="71" t="inlineStr">
        <is>
          <t>As defined by issuing authority</t>
        </is>
      </c>
      <c r="AB395" s="70" t="inlineStr">
        <is>
          <t>To be determined from framework text — see official source</t>
        </is>
      </c>
      <c r="AC395" s="70" t="inlineStr">
        <is>
          <t>See framework preamble for international standard references</t>
        </is>
      </c>
      <c r="AD395" s="49" t="inlineStr">
        <is>
          <t>Arabic (primary in KSA); English may be available</t>
        </is>
      </c>
      <c r="AE395" s="58" t="inlineStr">
        <is>
          <t>Mapped to relevant GH-ICGA layer — requires manual assessment</t>
        </is>
      </c>
      <c r="AF395" s="56" t="inlineStr">
        <is>
          <t>See official framework for maturity model details</t>
        </is>
      </c>
      <c r="AG395" s="70" t="inlineStr">
        <is>
          <t>Aligned with relevant Vision 2030 programme — see framework context</t>
        </is>
      </c>
      <c r="AH395" s="70" t="inlineStr">
        <is>
          <t>As specified in framework compliance requirements</t>
        </is>
      </c>
      <c r="AI395" s="73" t="inlineStr">
        <is>
          <t>Institutional theory and regulatory governance theory underpin all KSA regulatory frameworks. Specific theoretical basis varies by framework — consult academic literature via Google Scholar using framework name as search term.</t>
        </is>
      </c>
      <c r="AJ395" s="70" t="inlineStr">
        <is>
          <t>Academic debate varies by framework maturity and international adoption. For KSA-specific debate, consult: Almohammad &amp; Wills (2021) J Cybersecurity; Al-Khater et al. (2020) IEEE Access; Baker McKenzie KSA regulatory updates.</t>
        </is>
      </c>
      <c r="AK395" s="74" t="inlineStr">
        <is>
          <t>Known criticisms include: implementation gap between standards and practice; resource constraints for smaller healthcare entities; rapid technology evolution outpacing regulation. Consult framework evaluation literature for specifics.</t>
        </is>
      </c>
      <c r="AL395" s="75" t="inlineStr">
        <is>
          <t>Framework comparison requires contextual analysis. Key comparators: NIST CSF 2.0 (international benchmark), ISO 27001 (certifiable standard), ECC-2 (KSA mandatory baseline). See main database for cross-framework mapping.</t>
        </is>
      </c>
      <c r="AM395"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95" s="50" t="inlineStr">
        <is>
          <t>Official: Consult the official source URL in the database for the primary document. Training: ISACA, ISC2, RAPS, IAPP, and HIMSS offer professional development covering most regulatory domains. Estimated hours vary by framework complexity.</t>
        </is>
      </c>
      <c r="AO395" s="77" t="inlineStr">
        <is>
          <t>Relevance to GH-ICGA framework varies by layer — see GH-ICGA Layer Mapping column. All KSA mandatory frameworks are compliance inputs to GH-ICGA Layer 4. Frameworks with IoMT-specific provisions directly inform Layers 2 and 3.</t>
        </is>
      </c>
      <c r="AP395" s="51" t="inlineStr">
        <is>
          <t>G + C (Governance + Compliance — standard regulatory framework positioning)</t>
        </is>
      </c>
      <c r="AQ395" s="78" t="inlineStr">
        <is>
          <t>Senior management: accountability for framework compliance. Designated compliance officer: monitor requirements. All staff: awareness of applicable obligations</t>
        </is>
      </c>
      <c r="AR395" s="74" t="inlineStr">
        <is>
          <t>Regulatory Risk; Operational Risk; Reputational Risk — specific domains determined by framework scope</t>
        </is>
      </c>
      <c r="AS395" s="22" t="inlineStr">
        <is>
          <t>See official source — legal obligation, regulatory requirement, or voluntary standard as applicable</t>
        </is>
      </c>
      <c r="AT395" s="75" t="inlineStr">
        <is>
          <t>Administrative; Technical; Operational — specific distribution determined by framework content</t>
        </is>
      </c>
      <c r="AU395" s="79" t="inlineStr">
        <is>
          <t>1. Compliance status (compliant/non-compliant). 2. # open findings from last assessment. 3. % controls implemented. 4. Time to remediate findings. 5. Incident rate in framework scope area</t>
        </is>
      </c>
      <c r="AV395" s="80" t="inlineStr">
        <is>
          <t>Self-assessment; internal audit; external assessment as specified by issuing authority</t>
        </is>
      </c>
      <c r="AW395" s="81" t="inlineStr">
        <is>
          <t>ServiceNow GRC; IBM OpenPages; RSA Archer; MetricStream — all major GRC platforms support custom framework import. Contact vendor for framework-specific module</t>
        </is>
      </c>
      <c r="AX395" s="82" t="inlineStr">
        <is>
          <t>Third parties in scope must demonstrate equivalent compliance. Contractual compliance obligations; right-to-audit clauses; annual third-party assessment</t>
        </is>
      </c>
      <c r="AY395" s="83" t="inlineStr">
        <is>
          <t>Non-compliance: regulatory action by issuing authority; fines and penalties as specified; operational and reputational consequences</t>
        </is>
      </c>
      <c r="AZ395" s="80" t="inlineStr">
        <is>
          <t>Healthcare &amp; Life Sciences</t>
        </is>
      </c>
      <c r="BA395" s="41" t="inlineStr">
        <is>
          <t>Sector-Specific</t>
        </is>
      </c>
      <c r="BB395" s="591">
        <f>IF(E395="","",IF(ISNUMBER(SEARCH("Institutional theory and regulatory governance theory underpin",AI395)),"TEMPLATE",IF(LEN(AI395)&gt;100,"DEEP",IF(AI395="","SPARSE","SHALLOW"))))</f>
        <v/>
      </c>
      <c r="BC395" s="591">
        <f>IF(E395="","",D395&amp;"-"&amp;B395&amp;"-"&amp;E395)</f>
        <v/>
      </c>
      <c r="BD395" s="591">
        <f>IF(E395="","",SUBSTITUTE(SUBSTITUTE(B395&amp;"-"&amp;E395," ",""),":","-"))</f>
        <v/>
      </c>
      <c r="BE395" s="591">
        <f>IF(E395="","",IF(ISNUMBER(SEARCH("ECC",E395)),"NCA-ECC-2-2024",IF(ISNUMBER(SEARCH("OTCC",E395)),"NCA-ECC-2-2024",IF(ISNUMBER(SEARCH("CCC",E395)),"NCA-ECC-2-2024",IF(ISNUMBER(SEARCH("DCC",E395)),"NCA-ECC-2-2024",IF(ISNUMBER(SEARCH("CSCC",E395)),"NCA-ECC-2-2024",IF(ISNUMBER(SEARCH("PDPL-IR",E395)),"PDPL-2021",IF(ISNUMBER(SEARCH("PDPL-DTR",E395)),"PDPL-2021","NONE"))))))))</f>
        <v/>
      </c>
      <c r="BF395" s="594">
        <f>IF(E395="","",IF(BB395="DEEP",10,IF(BB395="SHALLOW",5,IF(BB395="TEMPLATE",3,1)))+IF(N395="HIGHEST",5,IF(N395="HIGH",3,IF(N395="MODERATE",1,0)))+IF(ISNUMBER(SEARCH("Mandatory",L395)),3,0))</f>
        <v/>
      </c>
    </row>
    <row r="396" ht="42" customHeight="1">
      <c r="A396" s="84" t="n">
        <v>347</v>
      </c>
      <c r="B396" s="411" t="inlineStr">
        <is>
          <t>MKHC</t>
        </is>
      </c>
      <c r="C396" s="70" t="inlineStr">
        <is>
          <t>Makkah Health Cluster</t>
        </is>
      </c>
      <c r="D396" s="70" t="inlineStr">
        <is>
          <t>17. Regional Health Clusters</t>
        </is>
      </c>
      <c r="E396" s="411" t="inlineStr">
        <is>
          <t>CBAHI-HAS-H</t>
        </is>
      </c>
      <c r="F396" s="72" t="inlineStr">
        <is>
          <t>Hospital Accreditation Standards</t>
        </is>
      </c>
      <c r="G396" s="70" t="inlineStr">
        <is>
          <t>معايير اعتماد المستشفيات</t>
        </is>
      </c>
      <c r="H396" s="70" t="inlineStr">
        <is>
          <t>5th Ed. 2021</t>
        </is>
      </c>
      <c r="I396" s="71" t="inlineStr">
        <is>
          <t>2008</t>
        </is>
      </c>
      <c r="J396" s="71" t="inlineStr">
        <is>
          <t>298</t>
        </is>
      </c>
      <c r="K396" s="70" t="inlineStr">
        <is>
          <t>MUST COMPLY WITH</t>
        </is>
      </c>
      <c r="L396" s="92" t="inlineStr">
        <is>
          <t>Voluntary</t>
        </is>
      </c>
      <c r="M396" s="70" t="inlineStr">
        <is>
          <t>Makkah Health Cluster hospitals pursuing CBAHI accreditation</t>
        </is>
      </c>
      <c r="N396" s="86" t="inlineStr">
        <is>
          <t>HIGHEST</t>
        </is>
      </c>
      <c r="O396" s="87" t="inlineStr">
        <is>
          <t>https://www.cbahi.gov.sa/</t>
        </is>
      </c>
      <c r="P396" s="70" t="inlineStr">
        <is>
          <t>CBAHI official</t>
        </is>
      </c>
      <c r="Q396" s="70" t="inlineStr">
        <is>
          <t>1st Ed 2008 → 2nd Ed 2011 → 3rd Ed 2014 → 4th Ed 2017 → 5th Ed 2021</t>
        </is>
      </c>
      <c r="R396" s="70" t="inlineStr">
        <is>
          <t>5th Edition (2021, current): 298 standards across domains including Patient and Family Rights, Patient Assessment, Care of Patients, Patient Safety, Medication Management, Infection Prevention, Facility Management, Staff Qualifications, Quality Improvement, Governance, HIT (Health Information Technology). HIT standards require EMR, NABIDH connectivity, access control, audit trails, downtime procedures. IoMT requirements added in 5th Ed: medical device integration standards, alarm management policy. Benchmarked against JCI standards</t>
        </is>
      </c>
      <c r="S396" s="71" t="inlineStr">
        <is>
          <t>1st Ed: 2008. 2nd: 2011. 3rd: 2014. 4th: 2017. 5th: 2021</t>
        </is>
      </c>
      <c r="T396" s="70" t="inlineStr">
        <is>
          <t>6th Edition expected 2025-2026</t>
        </is>
      </c>
      <c r="U396" s="25" t="inlineStr">
        <is>
          <t>CURRENT — 5th Edition 2021</t>
        </is>
      </c>
      <c r="V396" s="70" t="inlineStr">
        <is>
          <t>Accreditation denial; accreditation suspension; accreditation withdrawal; MOH facility licensing risk (accreditation linked to licensing in practice)</t>
        </is>
      </c>
      <c r="W396" s="72" t="inlineStr">
        <is>
          <t>CBAHI — Accreditation Survey Teams (peer surveyors); MOH recognises CBAHI as national accreditor</t>
        </is>
      </c>
      <c r="X396" s="70" t="inlineStr">
        <is>
          <t>Hospital (primary scope); Teaching Hospital; Specialist Centre</t>
        </is>
      </c>
      <c r="Y396" s="49" t="inlineStr">
        <is>
          <t>Both (voluntary but operationally required)</t>
        </is>
      </c>
      <c r="Z396" s="70" t="inlineStr">
        <is>
          <t>Full survey every 3 years; midterm (focused) survey at 18 months; unannounced visits; corrective action follow-up</t>
        </is>
      </c>
      <c r="AA396" s="71" t="inlineStr">
        <is>
          <t>Full survey: 3-year cycle. Midterm: 18 months. Unannounced: possible at any time</t>
        </is>
      </c>
      <c r="AB396" s="70" t="inlineStr">
        <is>
          <t>22 (HIT standards: medical device integration; alarm management policy mandatory; device maintenance logs; remote monitoring governance; downtime procedures; device inventory; cybersecurity of clinical systems as patient safety issue)</t>
        </is>
      </c>
      <c r="AC396" s="70" t="inlineStr">
        <is>
          <t>JCI (Joint Commission International) — benchmarked; ISQua (accreditation body accreditor); WHO Safe Hospitals Framework</t>
        </is>
      </c>
      <c r="AD396" s="22" t="inlineStr">
        <is>
          <t>Arabic + English (official bilingual)</t>
        </is>
      </c>
      <c r="AE396" s="26" t="inlineStr">
        <is>
          <t>Layer 1: Governance; Layer 4: Compliance; Layer 5: Assurance</t>
        </is>
      </c>
      <c r="AF396" s="27" t="inlineStr">
        <is>
          <t>Yes — Met / Partially Met / Not Met / Not Applicable per standard; overall accreditation decision = scored threshold</t>
        </is>
      </c>
      <c r="AG396" s="70" t="inlineStr">
        <is>
          <t>HSTP quality transformation; Vision 2030 healthcare quality targets (JCI/CBAHI accreditation for all tertiary hospitals)</t>
        </is>
      </c>
      <c r="AH396" s="70" t="inlineStr">
        <is>
          <t>Survey self-assessment; policy documentation; staff credential files; patient safety incident log; HIT system audit; quality improvement data; patient satisfaction scores</t>
        </is>
      </c>
      <c r="AI396" s="73" t="inlineStr">
        <is>
          <t>Healthcare quality theory (Donabedian 1988): structure-process-outcome triad. Accreditation theory: third-party external validation as quality assurance mechanism. Institutional isomorphism: accreditation spreads best practices through mimetic pressure. Patient safety culture theory (Reason 2000): systems-based safety vs blame culture.</t>
        </is>
      </c>
      <c r="AJ396" s="70" t="inlineStr">
        <is>
          <t>FOR: Almutairi et al. (2015) and Alkhenizan &amp; Shaw (2011) find CBAHI-accredited hospitals show measurable quality improvements; national benchmark grounded in Saudi context unlike JCI (US-centric); patient safety improvements documented post-accreditation. AGAINST: Voluntariness undermines universal coverage — only ~40% of KSA hospitals accredited (WHO PHSSR 2025); Greenfield &amp; Braithwaite (2008) meta-analysis questions causal link between accreditation and patient outcomes; survey preparation creates compliance-oriented behaviours rather than genuine quality improvement (gaming risk)</t>
        </is>
      </c>
      <c r="AK396" s="74" t="inlineStr">
        <is>
          <t>3-year survey cycle too long for rapid IoMT deployment environment; HIT standards in 5th Ed still less specific than HIMSS EMRAM Stage 6/7 requirements; cybersecurity standards within CBAHI remain minimal compared to NCA ECC-2 requirements; no dedicated IoMT governance chapter despite medical device proliferation; rural and small facility accreditation rates critically low</t>
        </is>
      </c>
      <c r="AL396" s="75" t="inlineStr">
        <is>
          <t>CBAHI vs JCI: JCI globally recognised; CBAHI nationally recognised — JCI preferred for medical tourism attracting hospitals. CBAHI vs HIMSS EMRAM: CBAHI is broad clinical; HIMSS EMRAM is digital health maturity-specific. CBAHI vs DNV: CBAHI similar survey model. CBAHI + HIMSS EMRAM combined = most comprehensive digital health quality picture for KSA hospitals</t>
        </is>
      </c>
      <c r="AM396" s="76" t="inlineStr">
        <is>
          <t>Alkhenizan A &amp; Shaw C (2011) 'Impact of Accreditation' Ann Saudi Med 31(4); Almutairi AF et al. (2015) 'Perceptions of CBAHI Accreditation' BMC Health Services Research; Donabedian A (1988) 'Quality of Care' JAMA 260(12); Greenfield D &amp; Braithwaite J (2008) 'Health Sector Accreditation Research' Int J Quality Health Care 20(3); WHO (2025) PHSSR Saudi Arabia</t>
        </is>
      </c>
      <c r="AN396" s="50" t="inlineStr">
        <is>
          <t>Official: CBAHI website (cbahi.gov.sa) — standards available to purchase. Training: CBAHI education programmes; surveyor training; CPHQ (Certified Professional in Healthcare Quality). Estimated: 60 hours for surveyors; 20 hours for department leads</t>
        </is>
      </c>
      <c r="AO396" s="77" t="inlineStr">
        <is>
          <t>GH-ICGA Layer 5 (Assurance) — CBAHI accreditation is the primary assurance mechanism for hospital IoMT governance. Thesis argument: CBAHI-HAS-H 5th Ed HIT standards need a cybersecurity annex for IoMT — GH-ICGA Layer 5 Assurance proposes an IoMT-specific evaluation framework that could be adopted within CBAHI survey process</t>
        </is>
      </c>
      <c r="AP396" s="51" t="inlineStr">
        <is>
          <t>G + C (Governance through quality standards + voluntary compliance assurance)</t>
        </is>
      </c>
      <c r="AQ396" s="78" t="inlineStr">
        <is>
          <t>CEO: accountable for accreditation status. CMO: responsible for clinical quality chapter compliance. CNO: responsible for nursing quality. Quality/Patient Safety Director: coordinates accreditation programme. Department heads: responsible for chapter compliance in their domain. Accreditation Committee: cross-functional governance body</t>
        </is>
      </c>
      <c r="AR396" s="74" t="inlineStr">
        <is>
          <t>Quality Risk; Patient Safety Risk; Operational Risk (accreditation loss = licensing risk); Reputational Risk; Regulatory Risk (MOH links accreditation to licensing in practice)</t>
        </is>
      </c>
      <c r="AS396" s="92" t="inlineStr">
        <is>
          <t>VOLUNTARY — but operationally MANDATORY (MOH licensing increasingly linked to CBAHI in practice; required for JCI-referencing hospitals and private insurance network participation)</t>
        </is>
      </c>
      <c r="AT396" s="75" t="inlineStr">
        <is>
          <t>Administrative (A): 150 controls — policies; procedures; governance; quality committees. Technical (T): 48 controls — HIT; equipment maintenance; diagnostic systems. Operational (O): 100 controls — clinical procedures; patient safety practices; staff competencies</t>
        </is>
      </c>
      <c r="AU396" s="79" t="inlineStr">
        <is>
          <t>1. CBAHI survey score per chapter (target ≥90% Met). 2. # sentinel events per 1,000 admissions. 3. Falls rate per 1,000 patient days. 4. Hospital-acquired infection rate. 5. Patient satisfaction score (target &gt;90%). 6. Medication error rate. 7. HIT compliance score (CBAHI HIT chapter)</t>
        </is>
      </c>
      <c r="AV396" s="80" t="inlineStr">
        <is>
          <t>CBAHI full survey (3-year cycle — 2-3 day on-site assessment); midterm survey (18 months — focused chapters); unannounced visit (possible any time); tracer methodology; document review; staff interviews; facility inspection</t>
        </is>
      </c>
      <c r="AW396" s="81" t="inlineStr">
        <is>
          <t>Accreditation Manager (CBAHI online platform); EQUIP (quality management platform); PowerDMS; Quantros; Press Ganey (patient satisfaction); Meditech/Epic quality modules; RL6 (incident reporting)</t>
        </is>
      </c>
      <c r="AX396" s="82" t="inlineStr">
        <is>
          <t>Contractors and service providers in clinical areas must meet CBAHI competency requirements; credentialing of contracted physicians required; outsourced services (laundry, catering, security) must meet CBAHI environment chapter standards; medical device vendors: CBAHI biomedical equipment requirements</t>
        </is>
      </c>
      <c r="AY396" s="83" t="inlineStr">
        <is>
          <t>Accreditation denial: cannot be MOH referral centre; excluded from major insurance networks; reputational damage. Accreditation suspension: immediate revenue impact from insurance exclusion. MOH can condition facility licence on CBAHI compliance</t>
        </is>
      </c>
      <c r="AZ396" s="80" t="inlineStr">
        <is>
          <t>Healthcare &amp; Life Sciences</t>
        </is>
      </c>
      <c r="BA396" s="41" t="inlineStr">
        <is>
          <t>Sector-Specific</t>
        </is>
      </c>
      <c r="BB396" s="591">
        <f>IF(E396="","",IF(ISNUMBER(SEARCH("Institutional theory and regulatory governance theory underpin",AI396)),"TEMPLATE",IF(LEN(AI396)&gt;100,"DEEP",IF(AI396="","SPARSE","SHALLOW"))))</f>
        <v/>
      </c>
      <c r="BC396" s="591">
        <f>IF(E396="","",D396&amp;"-"&amp;B396&amp;"-"&amp;E396)</f>
        <v/>
      </c>
      <c r="BD396" s="591">
        <f>IF(E396="","",SUBSTITUTE(SUBSTITUTE(B396&amp;"-"&amp;E396," ",""),":","-"))</f>
        <v/>
      </c>
      <c r="BE396" s="591">
        <f>IF(E396="","",IF(ISNUMBER(SEARCH("ECC",E396)),"NCA-ECC-2-2024",IF(ISNUMBER(SEARCH("OTCC",E396)),"NCA-ECC-2-2024",IF(ISNUMBER(SEARCH("CCC",E396)),"NCA-ECC-2-2024",IF(ISNUMBER(SEARCH("DCC",E396)),"NCA-ECC-2-2024",IF(ISNUMBER(SEARCH("CSCC",E396)),"NCA-ECC-2-2024",IF(ISNUMBER(SEARCH("PDPL-IR",E396)),"PDPL-2021",IF(ISNUMBER(SEARCH("PDPL-DTR",E396)),"PDPL-2021","NONE"))))))))</f>
        <v/>
      </c>
      <c r="BF396" s="594">
        <f>IF(E396="","",IF(BB396="DEEP",10,IF(BB396="SHALLOW",5,IF(BB396="TEMPLATE",3,1)))+IF(N396="HIGHEST",5,IF(N396="HIGH",3,IF(N396="MODERATE",1,0)))+IF(ISNUMBER(SEARCH("Mandatory",L396)),3,0))</f>
        <v/>
      </c>
    </row>
    <row r="397" ht="42" customHeight="1">
      <c r="A397" s="42" t="n">
        <v>348</v>
      </c>
      <c r="B397" s="412" t="inlineStr">
        <is>
          <t>MKHC</t>
        </is>
      </c>
      <c r="C397" s="44" t="inlineStr">
        <is>
          <t>Makkah Health Cluster</t>
        </is>
      </c>
      <c r="D397" s="44" t="inlineStr">
        <is>
          <t>17. Regional Health Clusters</t>
        </is>
      </c>
      <c r="E397" s="412" t="inlineStr">
        <is>
          <t>NCA-ECC-2:2024</t>
        </is>
      </c>
      <c r="F397" s="45" t="inlineStr">
        <is>
          <t>Essential Cybersecurity Controls</t>
        </is>
      </c>
      <c r="G397" s="44" t="inlineStr">
        <is>
          <t>ضوابط الأمن السيبراني الأساسية</t>
        </is>
      </c>
      <c r="H397" s="44" t="inlineStr">
        <is>
          <t>ECC-2:2024</t>
        </is>
      </c>
      <c r="I397" s="46" t="inlineStr">
        <is>
          <t>2018</t>
        </is>
      </c>
      <c r="J397" s="46" t="inlineStr">
        <is>
          <t>108</t>
        </is>
      </c>
      <c r="K397" s="44" t="inlineStr">
        <is>
          <t>MUST COMPLY WITH</t>
        </is>
      </c>
      <c r="L397" s="66" t="inlineStr">
        <is>
          <t>Mandatory Complier</t>
        </is>
      </c>
      <c r="M397" s="44" t="inlineStr">
        <is>
          <t>Makkah Health Cluster as government entity — hospital networks</t>
        </is>
      </c>
      <c r="N397" s="47" t="inlineStr">
        <is>
          <t>HIGHEST</t>
        </is>
      </c>
      <c r="O397" s="48" t="inlineStr">
        <is>
          <t>https://nca.gov.sa/</t>
        </is>
      </c>
      <c r="P397" s="44" t="inlineStr">
        <is>
          <t>NCA ECC scope</t>
        </is>
      </c>
      <c r="Q397" s="70" t="inlineStr">
        <is>
          <t>See official source for version history</t>
        </is>
      </c>
      <c r="R397" s="70" t="inlineStr">
        <is>
          <t>Framework issued by the relevant authority. Version details available on the official website referenced in the source URL column. The framework has been updated periodically since first issuance.</t>
        </is>
      </c>
      <c r="S397" s="71" t="inlineStr">
        <is>
          <t>See official source</t>
        </is>
      </c>
      <c r="T397" s="70" t="inlineStr">
        <is>
          <t>Updated as needed by the issuing authority</t>
        </is>
      </c>
      <c r="U397" s="25" t="inlineStr">
        <is>
          <t>CURRENT — consult official source for latest version</t>
        </is>
      </c>
      <c r="V397" s="70" t="inlineStr">
        <is>
          <t>Penalties defined by issuing authority; consult official source. NCA ECC-2 penalties apply if relevant</t>
        </is>
      </c>
      <c r="W397" s="72" t="inlineStr">
        <is>
          <t>Issuing authority and/or designated inspection department</t>
        </is>
      </c>
      <c r="X397" s="70" t="inlineStr">
        <is>
          <t>As specified in framework scope — consult official document</t>
        </is>
      </c>
      <c r="Y397" s="49" t="inlineStr">
        <is>
          <t>Both (unless specified otherwise in official document)</t>
        </is>
      </c>
      <c r="Z397" s="70" t="inlineStr">
        <is>
          <t>As defined by issuing authority</t>
        </is>
      </c>
      <c r="AA397" s="71" t="inlineStr">
        <is>
          <t>As defined by issuing authority</t>
        </is>
      </c>
      <c r="AB397" s="70" t="inlineStr">
        <is>
          <t>To be determined from framework text — see official source</t>
        </is>
      </c>
      <c r="AC397" s="70" t="inlineStr">
        <is>
          <t>See framework preamble for international standard references</t>
        </is>
      </c>
      <c r="AD397" s="49" t="inlineStr">
        <is>
          <t>Arabic (primary in KSA); English may be available</t>
        </is>
      </c>
      <c r="AE397" s="58" t="inlineStr">
        <is>
          <t>Mapped to relevant GH-ICGA layer — requires manual assessment</t>
        </is>
      </c>
      <c r="AF397" s="56" t="inlineStr">
        <is>
          <t>See official framework for maturity model details</t>
        </is>
      </c>
      <c r="AG397" s="70" t="inlineStr">
        <is>
          <t>Aligned with relevant Vision 2030 programme — see framework context</t>
        </is>
      </c>
      <c r="AH397" s="70" t="inlineStr">
        <is>
          <t>As specified in framework compliance requirements</t>
        </is>
      </c>
      <c r="AI397" s="73" t="inlineStr">
        <is>
          <t>Institutional theory and regulatory governance theory underpin all KSA regulatory frameworks. Specific theoretical basis varies by framework — consult academic literature via Google Scholar using framework name as search term.</t>
        </is>
      </c>
      <c r="AJ397" s="70" t="inlineStr">
        <is>
          <t>Academic debate varies by framework maturity and international adoption. For KSA-specific debate, consult: Almohammad &amp; Wills (2021) J Cybersecurity; Al-Khater et al. (2020) IEEE Access; Baker McKenzie KSA regulatory updates.</t>
        </is>
      </c>
      <c r="AK397" s="74" t="inlineStr">
        <is>
          <t>Known criticisms include: implementation gap between standards and practice; resource constraints for smaller healthcare entities; rapid technology evolution outpacing regulation. Consult framework evaluation literature for specifics.</t>
        </is>
      </c>
      <c r="AL397" s="75" t="inlineStr">
        <is>
          <t>Framework comparison requires contextual analysis. Key comparators: NIST CSF 2.0 (international benchmark), ISO 27001 (certifiable standard), ECC-2 (KSA mandatory baseline). See main database for cross-framework mapping.</t>
        </is>
      </c>
      <c r="AM397"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397" s="50" t="inlineStr">
        <is>
          <t>Official: Consult the official source URL in the database for the primary document. Training: ISACA, ISC2, RAPS, IAPP, and HIMSS offer professional development covering most regulatory domains. Estimated hours vary by framework complexity.</t>
        </is>
      </c>
      <c r="AO397" s="77" t="inlineStr">
        <is>
          <t>Relevance to GH-ICGA framework varies by layer — see GH-ICGA Layer Mapping column. All KSA mandatory frameworks are compliance inputs to GH-ICGA Layer 4. Frameworks with IoMT-specific provisions directly inform Layers 2 and 3.</t>
        </is>
      </c>
      <c r="AP397" s="51" t="inlineStr">
        <is>
          <t>G + C (Governance + Compliance — standard regulatory framework positioning)</t>
        </is>
      </c>
      <c r="AQ397" s="78" t="inlineStr">
        <is>
          <t>Senior management: accountability for framework compliance. Designated compliance officer: monitor requirements. All staff: awareness of applicable obligations</t>
        </is>
      </c>
      <c r="AR397" s="74" t="inlineStr">
        <is>
          <t>Regulatory Risk; Operational Risk; Reputational Risk — specific domains determined by framework scope</t>
        </is>
      </c>
      <c r="AS397" s="22" t="inlineStr">
        <is>
          <t>See official source — legal obligation, regulatory requirement, or voluntary standard as applicable</t>
        </is>
      </c>
      <c r="AT397" s="75" t="inlineStr">
        <is>
          <t>Administrative; Technical; Operational — specific distribution determined by framework content</t>
        </is>
      </c>
      <c r="AU397" s="79" t="inlineStr">
        <is>
          <t>1. Compliance status (compliant/non-compliant). 2. # open findings from last assessment. 3. % controls implemented. 4. Time to remediate findings. 5. Incident rate in framework scope area</t>
        </is>
      </c>
      <c r="AV397" s="80" t="inlineStr">
        <is>
          <t>Self-assessment; internal audit; external assessment as specified by issuing authority</t>
        </is>
      </c>
      <c r="AW397" s="81" t="inlineStr">
        <is>
          <t>ServiceNow GRC; IBM OpenPages; RSA Archer; MetricStream — all major GRC platforms support custom framework import. Contact vendor for framework-specific module</t>
        </is>
      </c>
      <c r="AX397" s="82" t="inlineStr">
        <is>
          <t>Third parties in scope must demonstrate equivalent compliance. Contractual compliance obligations; right-to-audit clauses; annual third-party assessment</t>
        </is>
      </c>
      <c r="AY397" s="83" t="inlineStr">
        <is>
          <t>Non-compliance: regulatory action by issuing authority; fines and penalties as specified; operational and reputational consequences</t>
        </is>
      </c>
      <c r="AZ397" s="80" t="inlineStr">
        <is>
          <t>ALL 17 SECTORS</t>
        </is>
      </c>
      <c r="BA397" s="34" t="inlineStr">
        <is>
          <t>YES — ALL SECTORS</t>
        </is>
      </c>
      <c r="BB397" s="591">
        <f>IF(E397="","",IF(ISNUMBER(SEARCH("Institutional theory and regulatory governance theory underpin",AI397)),"TEMPLATE",IF(LEN(AI397)&gt;100,"DEEP",IF(AI397="","SPARSE","SHALLOW"))))</f>
        <v/>
      </c>
      <c r="BC397" s="591">
        <f>IF(E397="","",D397&amp;"-"&amp;B397&amp;"-"&amp;E397)</f>
        <v/>
      </c>
      <c r="BD397" s="591">
        <f>IF(E397="","",SUBSTITUTE(SUBSTITUTE(B397&amp;"-"&amp;E397," ",""),":","-"))</f>
        <v/>
      </c>
      <c r="BE397" s="591">
        <f>IF(E397="","",IF(ISNUMBER(SEARCH("ECC",E397)),"NCA-ECC-2-2024",IF(ISNUMBER(SEARCH("OTCC",E397)),"NCA-ECC-2-2024",IF(ISNUMBER(SEARCH("CCC",E397)),"NCA-ECC-2-2024",IF(ISNUMBER(SEARCH("DCC",E397)),"NCA-ECC-2-2024",IF(ISNUMBER(SEARCH("CSCC",E397)),"NCA-ECC-2-2024",IF(ISNUMBER(SEARCH("PDPL-IR",E397)),"PDPL-2021",IF(ISNUMBER(SEARCH("PDPL-DTR",E397)),"PDPL-2021","NONE"))))))))</f>
        <v/>
      </c>
      <c r="BF397" s="594">
        <f>IF(E397="","",IF(BB397="DEEP",10,IF(BB397="SHALLOW",5,IF(BB397="TEMPLATE",3,1)))+IF(N397="HIGHEST",5,IF(N397="HIGH",3,IF(N397="MODERATE",1,0)))+IF(ISNUMBER(SEARCH("Mandatory",L397)),3,0))</f>
        <v/>
      </c>
    </row>
    <row r="398" ht="42" customHeight="1">
      <c r="A398" s="84" t="n">
        <v>349</v>
      </c>
      <c r="B398" s="411" t="inlineStr">
        <is>
          <t>MKHC</t>
        </is>
      </c>
      <c r="C398" s="70" t="inlineStr">
        <is>
          <t>Makkah Health Cluster</t>
        </is>
      </c>
      <c r="D398" s="70" t="inlineStr">
        <is>
          <t>17. Regional Health Clusters</t>
        </is>
      </c>
      <c r="E398" s="411" t="inlineStr">
        <is>
          <t>PDPL-2021</t>
        </is>
      </c>
      <c r="F398" s="72" t="inlineStr">
        <is>
          <t>Personal Data Protection Law</t>
        </is>
      </c>
      <c r="G398" s="70" t="inlineStr">
        <is>
          <t>نظام حماية البيانات الشخصية</t>
        </is>
      </c>
      <c r="H398" s="70" t="inlineStr">
        <is>
          <t>2021+IR 2023</t>
        </is>
      </c>
      <c r="I398" s="71" t="inlineStr">
        <is>
          <t>2021</t>
        </is>
      </c>
      <c r="J398" s="71" t="inlineStr">
        <is>
          <t>45</t>
        </is>
      </c>
      <c r="K398" s="70" t="inlineStr">
        <is>
          <t>MUST COMPLY WITH</t>
        </is>
      </c>
      <c r="L398" s="66" t="inlineStr">
        <is>
          <t>Mandatory Complier</t>
        </is>
      </c>
      <c r="M398" s="70" t="inlineStr">
        <is>
          <t>Makkah Health Cluster processes patient personal data</t>
        </is>
      </c>
      <c r="N398" s="86" t="inlineStr">
        <is>
          <t>HIGHEST</t>
        </is>
      </c>
      <c r="O398" s="87" t="inlineStr">
        <is>
          <t>https://sdaia.gov.sa/</t>
        </is>
      </c>
      <c r="P398" s="70" t="inlineStr">
        <is>
          <t>SDAIA</t>
        </is>
      </c>
      <c r="Q398" s="70" t="inlineStr">
        <is>
          <t>Royal Decree M/19 (16 Sep 2021) → amended Apr 2023</t>
        </is>
      </c>
      <c r="R398" s="70" t="inlineStr">
        <is>
          <t>Original (2021): 19 articles covering consent, data subject rights, controller obligations, sensitive data (health = sensitive), cross-border transfer. Apr 2023 amendment: strengthened enforcement, clarified health data provisions, aligned with PDPL-IR-2023. Grace period for compliance ended Sep 14, 2024. Penalties: up to SAR 5 million fine + 2 years imprisonment for sensitive data breach</t>
        </is>
      </c>
      <c r="S398" s="71" t="inlineStr">
        <is>
          <t>Issued: Sep 2021. Amended: Apr 2023. Fully enforceable: Sep 14, 2024</t>
        </is>
      </c>
      <c r="T398" s="70" t="inlineStr">
        <is>
          <t>SDAIA reviews annually; amendments expected 2025-2026</t>
        </is>
      </c>
      <c r="U398" s="25" t="inlineStr">
        <is>
          <t>CURRENT — fully enforceable since Sep 2024</t>
        </is>
      </c>
      <c r="V398" s="70" t="inlineStr">
        <is>
          <t>Criminal offence: up to 2 years imprisonment + SAR 3M fine for disclosing sensitive data (health data = sensitive); administrative fine up to SAR 5M; mandatory breach notification to SDAIA within 72 hours; data subject compensation claims</t>
        </is>
      </c>
      <c r="W398" s="72" t="inlineStr">
        <is>
          <t>SDAIA — Data Protection Authority (DPA functions); NDMO for government entities; courts for criminal penalties</t>
        </is>
      </c>
      <c r="X398" s="70" t="inlineStr">
        <is>
          <t>Hospital; Clinic; Lab; Pharmacy; Health IT Vendor; Health Insurer; Government Health Entity; Medical Device Manufacturer (all processing patient data)</t>
        </is>
      </c>
      <c r="Y398" s="49" t="inlineStr">
        <is>
          <t>Both + foreign entities processing data of KSA residents</t>
        </is>
      </c>
      <c r="Z398" s="70" t="inlineStr">
        <is>
          <t>SDAIA audit; controller self-assessment; DPO oversight; data subject complaints trigger investigation</t>
        </is>
      </c>
      <c r="AA398" s="71" t="inlineStr">
        <is>
          <t>Continuous (breach notification: 72 hours); annual DPO report; SDAIA random audits</t>
        </is>
      </c>
      <c r="AB398" s="70" t="inlineStr">
        <is>
          <t>12 (IoMT data minimisation; purpose limitation; consent management for wearable data; automated decision-making; data subject rights for IoMT-generated health data; cross-border transfer of IoMT data)</t>
        </is>
      </c>
      <c r="AC398" s="70" t="inlineStr">
        <is>
          <t>GDPR (substantial alignment — adequate protection basis); APEC Privacy Framework; ISO 29100; ISO 27701</t>
        </is>
      </c>
      <c r="AD398" s="49" t="inlineStr">
        <is>
          <t>Arabic (official); English translation (unofficial)</t>
        </is>
      </c>
      <c r="AE398" s="50" t="inlineStr">
        <is>
          <t>Layer 4: Compliance; Layer 2: Risk Management</t>
        </is>
      </c>
      <c r="AF398" s="60" t="inlineStr">
        <is>
          <t>No formal maturity model; SDAIA publishes compliance guidance</t>
        </is>
      </c>
      <c r="AG398" s="70" t="inlineStr">
        <is>
          <t>National Data Strategy; Vision 2030 Digital Economy; Digital Government transformation</t>
        </is>
      </c>
      <c r="AH398" s="70" t="inlineStr">
        <is>
          <t>Privacy notices; consent records; DPO appointment letter; data mapping/flow diagrams; breach notification records; DPIA for health data processing; controller registration</t>
        </is>
      </c>
      <c r="AI398" s="73" t="inlineStr">
        <is>
          <t>Privacy as fundamental right (Warren &amp; Brandeis 1890; Westin 1967). Contextual integrity theory (Nissenbaum 2004): health data flows must match medical context norms. Regulatory theory: data protection authority independence and enforcement. Information asymmetry theory: patients cannot protect their own data without regulation.</t>
        </is>
      </c>
      <c r="AJ398" s="70" t="inlineStr">
        <is>
          <t>FOR: Long-overdue — KSA had no comprehensive data protection law until 2021; health data explicitly protected as sensitive category; aligns KSA with global adequacy standards. AGAINST: Alrawabdeh (2014) and Aldawood &amp; Skinner (2019) documented Saudi privacy culture gap — regulation without public awareness is ineffective; 'GDPR-lite' criticism: exemptions broader than GDPR, enforcement weaker; health data provisions in IR still less specific than UK GDPR Schedule 1 conditions</t>
        </is>
      </c>
      <c r="AK398" s="74" t="inlineStr">
        <is>
          <t>No independent supervisory authority (SDAIA is both promoter and regulator — conflict of interest noted by Baker McKenzie 2025); patient data portability rights weaker than GDPR Article 20; no explicit right to explanation for AI-automated health decisions; cross-border transfer rules changed twice in 12 months (regulatory instability); small healthcare providers lack capacity for DPO requirements</t>
        </is>
      </c>
      <c r="AL398" s="75" t="inlineStr">
        <is>
          <t>PDPL vs GDPR: PDPL penalty lower (SAR 5M vs €20M); PDPL broader government exemptions; GDPR has independent DPA, PDPL does not. PDPL vs HIPAA: PDPL = all personal data (broader); HIPAA = US-specific health data only. PDPL vs UK GDPR: PDPL misses explicit Schedule 1 health data conditions. PDPL ahead of HIPAA on consent granularity; behind GDPR on enforcement independence</t>
        </is>
      </c>
      <c r="AM398" s="76" t="inlineStr">
        <is>
          <t>Baker McKenzie (2025) Saudi Arabia PDPL Global Data &amp; Cyber Handbook; Alrawabdeh W (2014) 'Internet and Social Media Challenges in Arab World' EJSR; Westin AF (1967) Privacy and Freedom NY Atheneum; Nissenbaum H (2004) 'Privacy as Contextual Integrity' Washington Law Review 79(1); CMS Law (2025) Saudi Arabia Data Protection &amp; Cybersecurity Expert Guide Oct 2025</t>
        </is>
      </c>
      <c r="AN398" s="50" t="inlineStr">
        <is>
          <t>Official: SDAIA website (sdaia.gov.sa) — Arabic + English. Training: IAPP CIPM/CIPP/E (privacy certifications applicable); OneTrust PDPL compliance course; Baker McKenzie PDPL compliance guide. Language: Arabic primary — strong Arabic reading recommended. Estimated: 50 hours for health sector DPO competence</t>
        </is>
      </c>
      <c r="AO398" s="77" t="inlineStr">
        <is>
          <t>PRIMARY driver for GH-ICGA Layer 4 (Compliance) — PDPL is the legal foundation for patient data governance in the preliminary GH-ICGA framework. Thesis argument: GH-ICGA Layer 4 operationalises PDPL requirements into IoMT-specific controls (consent management for wearable data; purpose limitation for monitoring streams; breach response for connected device incidents)</t>
        </is>
      </c>
      <c r="AP398" s="51" t="inlineStr">
        <is>
          <t>G + C (Governance + Compliance — strong compliance driver; risk implicit)</t>
        </is>
      </c>
      <c r="AQ398" s="78" t="inlineStr">
        <is>
          <t>Board/CEO: ultimate accountability for PDPL compliance. DPO: mandatory for large-scale health data processors — reports to highest management level. Privacy Committee: cross-functional oversight. All staff processing personal data: mandatory privacy awareness training annually</t>
        </is>
      </c>
      <c r="AR398" s="74" t="inlineStr">
        <is>
          <t>Privacy Risk (PRIMARY); Legal/Regulatory Risk; Reputational Risk; Strategic Risk (data monetisation constraints); Cross-Border Risk (data transfer restrictions)</t>
        </is>
      </c>
      <c r="AS398" s="22" t="inlineStr">
        <is>
          <t>LEGAL — Royal Decree M/19 2021 + Implementing Regulations Sep 2023. Criminal: imprisonment up to 2 years + SAR 3M fine for sensitive data disclosure. Administrative: SAR 5M maximum fine. Civil: data subject compensation claims</t>
        </is>
      </c>
      <c r="AT398" s="75" t="inlineStr">
        <is>
          <t>Administrative (A): consent management; privacy notices; DPO appointment; DPIA process; breach notification procedure. Technical (T): data minimisation; pseudonymisation; access controls for personal data; encryption. Operational (O): data retention enforcement; data subject rights fulfilment process; cross-border transfer review</t>
        </is>
      </c>
      <c r="AU398" s="79" t="inlineStr">
        <is>
          <t>1. # data subject rights requests fulfilled on time (target: 100% within 30 days). 2. # data breaches notified to SDAIA within 72h (target: 100%). 3. % staff completed privacy training (target: 100%). 4. # DPIAs completed for high-risk processing activities. 5. Data retention compliance rate (% records within policy). 6. % third-party processors with DPA agreements</t>
        </is>
      </c>
      <c r="AV398" s="80" t="inlineStr">
        <is>
          <t>Annual DPIA review; data mapping audit (controller record validation); consent record audit; breach response simulation (tabletop); access control review for personal data systems; third-party processor audit; SDAIA compliance self-assessment</t>
        </is>
      </c>
      <c r="AW398" s="81" t="inlineStr">
        <is>
          <t>OneTrust (market leader for PDPL); TrustArc; Nymity; DataGrail; Varonis (data discovery); Microsoft Purview (data classification). SDAIA National Data Governance Platform for registration. Arabic-capable tools preferred</t>
        </is>
      </c>
      <c r="AX398" s="82" t="inlineStr">
        <is>
          <t>All third-party data processors must have Data Processing Agreement (DPA). Processors must demonstrate equivalent PDPL compliance. Cross-border transfers require adequacy assessment or appropriate safeguards. Sub-processor disclosure mandatory. Annual processor risk assessment required</t>
        </is>
      </c>
      <c r="AY398" s="83" t="inlineStr">
        <is>
          <t>Non-compliance: SAR 5M administrative fine; criminal prosecution for sensitive data breach; SDAIA investigation; mandatory breach public disclosure. Business disruption: SDAIA can order processing suspension. Reputational: patient trust damage. Market: EU adequate protection status depends on PDPL enforcement credibility</t>
        </is>
      </c>
      <c r="AZ398" s="80" t="inlineStr">
        <is>
          <t>ALL 17 SECTORS — any entity processing personal data</t>
        </is>
      </c>
      <c r="BA398" s="34" t="inlineStr">
        <is>
          <t>YES — ALL SECTORS</t>
        </is>
      </c>
      <c r="BB398" s="591">
        <f>IF(E398="","",IF(ISNUMBER(SEARCH("Institutional theory and regulatory governance theory underpin",AI398)),"TEMPLATE",IF(LEN(AI398)&gt;100,"DEEP",IF(AI398="","SPARSE","SHALLOW"))))</f>
        <v/>
      </c>
      <c r="BC398" s="591">
        <f>IF(E398="","",D398&amp;"-"&amp;B398&amp;"-"&amp;E398)</f>
        <v/>
      </c>
      <c r="BD398" s="591">
        <f>IF(E398="","",SUBSTITUTE(SUBSTITUTE(B398&amp;"-"&amp;E398," ",""),":","-"))</f>
        <v/>
      </c>
      <c r="BE398" s="591">
        <f>IF(E398="","",IF(ISNUMBER(SEARCH("ECC",E398)),"NCA-ECC-2-2024",IF(ISNUMBER(SEARCH("OTCC",E398)),"NCA-ECC-2-2024",IF(ISNUMBER(SEARCH("CCC",E398)),"NCA-ECC-2-2024",IF(ISNUMBER(SEARCH("DCC",E398)),"NCA-ECC-2-2024",IF(ISNUMBER(SEARCH("CSCC",E398)),"NCA-ECC-2-2024",IF(ISNUMBER(SEARCH("PDPL-IR",E398)),"PDPL-2021",IF(ISNUMBER(SEARCH("PDPL-DTR",E398)),"PDPL-2021","NONE"))))))))</f>
        <v/>
      </c>
      <c r="BF398" s="594">
        <f>IF(E398="","",IF(BB398="DEEP",10,IF(BB398="SHALLOW",5,IF(BB398="TEMPLATE",3,1)))+IF(N398="HIGHEST",5,IF(N398="HIGH",3,IF(N398="MODERATE",1,0)))+IF(ISNUMBER(SEARCH("Mandatory",L398)),3,0))</f>
        <v/>
      </c>
    </row>
    <row r="399" ht="42" customHeight="1">
      <c r="A399" s="42" t="n">
        <v>350</v>
      </c>
      <c r="B399" s="412" t="inlineStr">
        <is>
          <t>MKHC</t>
        </is>
      </c>
      <c r="C399" s="44" t="inlineStr">
        <is>
          <t>Makkah Health Cluster</t>
        </is>
      </c>
      <c r="D399" s="44" t="inlineStr">
        <is>
          <t>17. Regional Health Clusters</t>
        </is>
      </c>
      <c r="E399" s="412" t="inlineStr">
        <is>
          <t>MOH-TELE</t>
        </is>
      </c>
      <c r="F399" s="45" t="inlineStr">
        <is>
          <t>Telemedicine Regulations</t>
        </is>
      </c>
      <c r="G399" s="44" t="inlineStr">
        <is>
          <t>لائحة الرعاية الصحية عن بعد</t>
        </is>
      </c>
      <c r="H399" s="44" t="inlineStr">
        <is>
          <t>Late 2023</t>
        </is>
      </c>
      <c r="I399" s="46" t="inlineStr">
        <is>
          <t>2020</t>
        </is>
      </c>
      <c r="J399" s="46" t="inlineStr">
        <is>
          <t>38</t>
        </is>
      </c>
      <c r="K399" s="44" t="inlineStr">
        <is>
          <t>MUST COMPLY WITH</t>
        </is>
      </c>
      <c r="L399" s="66" t="inlineStr">
        <is>
          <t>Mandatory Complier</t>
        </is>
      </c>
      <c r="M399" s="44" t="inlineStr">
        <is>
          <t>Makkah Health Cluster offering telemedicine services</t>
        </is>
      </c>
      <c r="N399" s="54" t="inlineStr">
        <is>
          <t>HIGH</t>
        </is>
      </c>
      <c r="O399" s="48" t="inlineStr">
        <is>
          <t>https://www.moh.gov.sa/en/</t>
        </is>
      </c>
      <c r="P399" s="44" t="inlineStr">
        <is>
          <t>MOH; Hammad &amp; Al-Mehdar 2025</t>
        </is>
      </c>
      <c r="Q399" s="70" t="inlineStr">
        <is>
          <t>COVID-19 emergency 2020 → comprehensive regulations late 2023</t>
        </is>
      </c>
      <c r="R399" s="70" t="inlineStr">
        <is>
          <t>2020 (emergency COVID telehealth rules): basic platform licensing, identity verification, audio/video minimum standards. Late 2023 (comprehensive update, 38 controls): platform licensing requirements; patient identity verification; cross-border telemedicine restrictions; controlled substance prescribing rules (limited); data protection (PDPL alignment); patient consent requirements; clinical documentation standards; coverage by health insurance; quality assurance audit requirements</t>
        </is>
      </c>
      <c r="S399" s="71" t="inlineStr">
        <is>
          <t>Emergency 2020. Comprehensive: late 2023</t>
        </is>
      </c>
      <c r="T399" s="70" t="inlineStr">
        <is>
          <t>Annual update; cross-border rules under active development 2025</t>
        </is>
      </c>
      <c r="U399" s="25" t="inlineStr">
        <is>
          <t>CURRENT — late 2023 comprehensive version</t>
        </is>
      </c>
      <c r="V399" s="70" t="inlineStr">
        <is>
          <t>Platform licence revocation; SAR 1M–5M fine (scale by offence); clinical professional disciplinary action by SCFHS</t>
        </is>
      </c>
      <c r="W399" s="72" t="inlineStr">
        <is>
          <t>MOH — eHealth General Directorate; CST (platform technical licensing); CCHI (insurance coverage compliance); SCFHS (clinical standards)</t>
        </is>
      </c>
      <c r="X399" s="70" t="inlineStr">
        <is>
          <t>Hospital (outpatient teleconsultation); Clinic; Health IT Vendor (platform developers); Health Insurer (reimbursement compliance)</t>
        </is>
      </c>
      <c r="Y399" s="22" t="inlineStr">
        <is>
          <t>Both</t>
        </is>
      </c>
      <c r="Z399" s="70" t="inlineStr">
        <is>
          <t>MOH platform licence audit (annual); CCHI insurance compliance check; SCFHS clinical quality audit</t>
        </is>
      </c>
      <c r="AA399" s="71" t="inlineStr">
        <is>
          <t>Annual licence renewal; random clinical quality audit</t>
        </is>
      </c>
      <c r="AB399" s="70" t="inlineStr">
        <is>
          <t>15 (remote patient monitoring integration; wearable device data for teleconsultation; IoMT vital sign display during video consultation; remote device prescription; teleICU monitoring requirements)</t>
        </is>
      </c>
      <c r="AC399" s="70" t="inlineStr">
        <is>
          <t>WHO Telemedicine Guidelines (2010/updated); ISO 13131:2021 (Telehealth); ATA (American Telemedicine Association) standards (reference)</t>
        </is>
      </c>
      <c r="AD399" s="49" t="inlineStr">
        <is>
          <t>Arabic (primary); English technical guidance</t>
        </is>
      </c>
      <c r="AE399" s="26" t="inlineStr">
        <is>
          <t>Layer 1: Governance; Layer 4: Compliance</t>
        </is>
      </c>
      <c r="AF399" s="60" t="inlineStr">
        <is>
          <t>No formal maturity model; licence tiers (basic/advanced platform)</t>
        </is>
      </c>
      <c r="AG399" s="70" t="inlineStr">
        <is>
          <t>HSTP telemedicine targets (30% uptake); SEHA Virtual Hospital; Vision 2030 healthcare access targets</t>
        </is>
      </c>
      <c r="AH399" s="70" t="inlineStr">
        <is>
          <t>Platform licence certificate; patient consent records; clinical documentation standards compliance; identity verification log; prescription records; NABIDH integration evidence</t>
        </is>
      </c>
      <c r="AI399" s="73" t="inlineStr">
        <is>
          <t>Telehealth adoption theory (LeRouge &amp; Garfield 2013): patient acceptance + clinician integration. Access theory: geography-equity argument for remote care. Digital health governance theory: platform regulation vs clinical regulation tension.</t>
        </is>
      </c>
      <c r="AJ399" s="70" t="inlineStr">
        <is>
          <t>FOR: COVID-19 proved telehealth viability at scale in KSA (Al-Ataawi et al. 2022); Sehhaty platform shows government commitment; removes geographic barriers consistent with Vision 2030 equity goals; IoMT remote monitoring reimbursement framework emerging. AGAINST: Clinical quality in telehealth still debated (Hollander &amp; Sites 2020); data sovereignty for cross-border telehealth unresolved; prescription via teleconsultation remains restricted limiting scope; rural connectivity gaps undermine access equity goal</t>
        </is>
      </c>
      <c r="AK399" s="74" t="inlineStr">
        <is>
          <t>Regulations still lag technology — VR/AR clinical applications not addressed; AI-assisted teleconsultation regulatory pathway unclear; cross-border telehealth restrictions create market fragmentation; no minimum quality standards for audio/video equipment; liability for technical failure not yet codified in regulation</t>
        </is>
      </c>
      <c r="AL399" s="75" t="inlineStr">
        <is>
          <t>MOH-TELE vs NHS TECS (UK): NHS TECS has DTAC (Digital Technology Assessment Criteria) for all digital health tools — KSA equivalent absent. MOH-TELE vs FCC/CMS telehealth (US): US has federal reimbursement codes (CPT); KSA CCHI integration still developing. MOH-TELE vs WHO Telemedicine Guidelines: broadly aligned but KSA-specific cross-border rules more restrictive than WHO recommends</t>
        </is>
      </c>
      <c r="AM399" s="76" t="inlineStr">
        <is>
          <t>Al-Ataawi A et al. (2022) 'Telehealth in Saudi Arabia During COVID-19' J Healthcare Informatics Res; Hollander JE &amp; Sites FD (2020) 'Telehealth Beyond COVID-19' NEJM 2020; Hammad &amp; Al-Mehdar (2025) Saudi Healthcare Regulatory Update; WHO (2010) Telemedicine Opportunities and Developments; LeRouge C &amp; Garfield MJ (2013) 'Crossing the Telemedicine Chasm' JAMIA 20(6)</t>
        </is>
      </c>
      <c r="AN399" s="50" t="inlineStr">
        <is>
          <t>Official: MOH website. Training: American Telemedicine Association (ATA) online courses; SEHA Virtual Hospital training programme; WHO telehealth competency framework. Estimated: 25 hours</t>
        </is>
      </c>
      <c r="AO399" s="77" t="inlineStr">
        <is>
          <t>GH-ICGA Layer 1 (Governance) — telehealth regulation defines the governance boundary for remote IoMT monitoring. Thesis relevance: GH-ICGA must address the governance overlap between MOH-TELE (clinical platform regulation) and NCA-ECC (cybersecurity) and PDPL (patient data) for remote monitoring scenarios</t>
        </is>
      </c>
      <c r="AP399" s="51" t="inlineStr">
        <is>
          <t>G + C (platform governance + clinical compliance)</t>
        </is>
      </c>
      <c r="AQ399" s="78" t="inlineStr">
        <is>
          <t>CEO: platform licence accountability. Medical Director: clinical quality governance. DPO: PDPL compliance for patient data on platform. Technical Director: platform security. Pharmacy Director: prescription management compliance</t>
        </is>
      </c>
      <c r="AR399" s="74" t="inlineStr">
        <is>
          <t>Clinical Risk (misdiagnosis via teleconsultation); Regulatory Risk (licence breach); Privacy Risk (patient data); Operational Risk (platform availability); Cross-Border Risk (international teleconsultation restrictions)</t>
        </is>
      </c>
      <c r="AS399" s="61" t="inlineStr">
        <is>
          <t>REGULATORY — MOH licensing requirement. Non-compliance: platform licence revocation; SAR 1M–5M fine; SCFHS action against clinicians</t>
        </is>
      </c>
      <c r="AT399" s="75" t="inlineStr">
        <is>
          <t>Administrative (A): 20 controls — licensing; consent; documentation; clinical protocols. Technical (T): 12 controls — platform security; identity verification; audio/video standards. Operational (O): 6 controls — prescribing workflow; referral protocol; audit trail</t>
        </is>
      </c>
      <c r="AU399" s="79" t="inlineStr">
        <is>
          <t>1. Patient consent collection rate (target 100% before each session). 2. Platform availability SLA compliance (target &gt;99.5%). 3. Identity verification success rate. 4. # clinical complaints per 1,000 teleconsultations. 5. Documentation compliance rate (target 100% consultation notes in NABIDH). 6. Prescription audit pass rate</t>
        </is>
      </c>
      <c r="AV399" s="80" t="inlineStr">
        <is>
          <t>Annual MOH licence renewal audit; CCHI insurance coverage compliance check; patient record documentation audit; platform security assessment; identity verification system test; NABIDH integration test</t>
        </is>
      </c>
      <c r="AW399" s="81" t="inlineStr">
        <is>
          <t>Sehhaty / Mawid (MOH official platforms); Nabdh; Cura Health; Vezeeta; Nubaqraa — all require MOH licensing. Security tools: FortiWeb (WAF); Auth0/Okta (identity); TeleVisit security frameworks</t>
        </is>
      </c>
      <c r="AX399" s="82" t="inlineStr">
        <is>
          <t>Platform vendors: MOH-licensed telemedicine solution mandatory; PDPL DPA required; NABIDH API certification; patient data not to be shared with third-party analytics without consent; international teleconsultation providers must be MOH-approved</t>
        </is>
      </c>
      <c r="AY399" s="83" t="inlineStr">
        <is>
          <t>Unlicensed platform: immediate shutdown; SAR fine; clinical professional disciplinary action. Licence revocation: complete business cessation. Patient harm via telemedicine: malpractice liability; SCFHS investigation</t>
        </is>
      </c>
      <c r="AZ399" s="80" t="inlineStr">
        <is>
          <t>Healthcare &amp; Life Sciences; ICT/Digital (platform providers)</t>
        </is>
      </c>
      <c r="BA399" s="41" t="inlineStr">
        <is>
          <t>Sector-Specific</t>
        </is>
      </c>
      <c r="BB399" s="591">
        <f>IF(E399="","",IF(ISNUMBER(SEARCH("Institutional theory and regulatory governance theory underpin",AI399)),"TEMPLATE",IF(LEN(AI399)&gt;100,"DEEP",IF(AI399="","SPARSE","SHALLOW"))))</f>
        <v/>
      </c>
      <c r="BC399" s="591">
        <f>IF(E399="","",D399&amp;"-"&amp;B399&amp;"-"&amp;E399)</f>
        <v/>
      </c>
      <c r="BD399" s="591">
        <f>IF(E399="","",SUBSTITUTE(SUBSTITUTE(B399&amp;"-"&amp;E399," ",""),":","-"))</f>
        <v/>
      </c>
      <c r="BE399" s="591">
        <f>IF(E399="","",IF(ISNUMBER(SEARCH("ECC",E399)),"NCA-ECC-2-2024",IF(ISNUMBER(SEARCH("OTCC",E399)),"NCA-ECC-2-2024",IF(ISNUMBER(SEARCH("CCC",E399)),"NCA-ECC-2-2024",IF(ISNUMBER(SEARCH("DCC",E399)),"NCA-ECC-2-2024",IF(ISNUMBER(SEARCH("CSCC",E399)),"NCA-ECC-2-2024",IF(ISNUMBER(SEARCH("PDPL-IR",E399)),"PDPL-2021",IF(ISNUMBER(SEARCH("PDPL-DTR",E399)),"PDPL-2021","NONE"))))))))</f>
        <v/>
      </c>
      <c r="BF399" s="594">
        <f>IF(E399="","",IF(BB399="DEEP",10,IF(BB399="SHALLOW",5,IF(BB399="TEMPLATE",3,1)))+IF(N399="HIGHEST",5,IF(N399="HIGH",3,IF(N399="MODERATE",1,0)))+IF(ISNUMBER(SEARCH("Mandatory",L399)),3,0))</f>
        <v/>
      </c>
    </row>
    <row r="400" ht="42" customHeight="1">
      <c r="A400" s="84" t="n">
        <v>351</v>
      </c>
      <c r="B400" s="411" t="inlineStr">
        <is>
          <t>MKHC</t>
        </is>
      </c>
      <c r="C400" s="70" t="inlineStr">
        <is>
          <t>Makkah Health Cluster</t>
        </is>
      </c>
      <c r="D400" s="70" t="inlineStr">
        <is>
          <t>17. Regional Health Clusters</t>
        </is>
      </c>
      <c r="E400" s="411" t="inlineStr">
        <is>
          <t>NHIC-NABIDH</t>
        </is>
      </c>
      <c r="F400" s="72" t="inlineStr">
        <is>
          <t>NABIDH EHR Platform Standard</t>
        </is>
      </c>
      <c r="G400" s="70" t="inlineStr">
        <is>
          <t>معيار منصة نبض</t>
        </is>
      </c>
      <c r="H400" s="70" t="inlineStr">
        <is>
          <t>Mandatory 2024</t>
        </is>
      </c>
      <c r="I400" s="71" t="inlineStr">
        <is>
          <t>2018</t>
        </is>
      </c>
      <c r="J400" s="71" t="inlineStr">
        <is>
          <t>40</t>
        </is>
      </c>
      <c r="K400" s="70" t="inlineStr">
        <is>
          <t>MUST COMPLY WITH</t>
        </is>
      </c>
      <c r="L400" s="66" t="inlineStr">
        <is>
          <t>Mandatory Complier</t>
        </is>
      </c>
      <c r="M400" s="70" t="inlineStr">
        <is>
          <t>Makkah Health Cluster hospitals — NABIDH interoperability</t>
        </is>
      </c>
      <c r="N400" s="86" t="inlineStr">
        <is>
          <t>HIGHEST</t>
        </is>
      </c>
      <c r="O400" s="87" t="inlineStr">
        <is>
          <t>https://nhic.gov.sa/</t>
        </is>
      </c>
      <c r="P400" s="70" t="inlineStr">
        <is>
          <t>NHIC</t>
        </is>
      </c>
      <c r="Q400" s="70" t="inlineStr">
        <is>
          <t>NABIDH launched 2018 (pilot) → FHIR R4 API 2022 → mandatory all facilities 2024</t>
        </is>
      </c>
      <c r="R400" s="70" t="inlineStr">
        <is>
          <t>2018 (pilot): 10 MOH hospitals. 2019-2021: health cluster rollout. 2022: FHIR R4 API standards published; private hospitals voluntary integration. 2023: API developer portal opened; 40 technical requirements published. 2024: MANDATORY — all healthcare facilities must connect; Private Health Institutions Law updated; penalties for non-connection: facility licensing at risk. NABIDH now the central patient data repository — 45M+ patient records as of 2024</t>
        </is>
      </c>
      <c r="S400" s="71" t="inlineStr">
        <is>
          <t>Launched: 2018. FHIR R4 API: 2022. Mandatory: 2024</t>
        </is>
      </c>
      <c r="T400" s="70" t="inlineStr">
        <is>
          <t>Continuous platform updates; API versioning quarterly</t>
        </is>
      </c>
      <c r="U400" s="25" t="inlineStr">
        <is>
          <t>CURRENT — mandatory as of 2024</t>
        </is>
      </c>
      <c r="V400" s="70" t="inlineStr">
        <is>
          <t>Facility unable to receive electronic referrals; excluded from national patient record; MOH licensing risk; procurement penalties</t>
        </is>
      </c>
      <c r="W400" s="72" t="inlineStr">
        <is>
          <t>NHIC — NABIDH Programme Office; MOH General Directorate of Health Informatics; regional health clusters</t>
        </is>
      </c>
      <c r="X400" s="70" t="inlineStr">
        <is>
          <t>Hospital; Clinic; Lab; Pharmacy — ALL healthcare facilities mandatory</t>
        </is>
      </c>
      <c r="Y400" s="22" t="inlineStr">
        <is>
          <t>Both</t>
        </is>
      </c>
      <c r="Z400" s="70" t="inlineStr">
        <is>
          <t>NHIC API conformance test; connectivity monitoring (automated); annual technical review</t>
        </is>
      </c>
      <c r="AA400" s="71" t="inlineStr">
        <is>
          <t>Continuous connectivity monitoring; annual audit</t>
        </is>
      </c>
      <c r="AB400" s="70" t="inlineStr">
        <is>
          <t>16 (NABIDH IoMT data ingestion API; remote monitoring data submission; wearable vital signs standardisation; IoMT device data consent management; IoMT-generated observation resources in FHIR)</t>
        </is>
      </c>
      <c r="AC400" s="70" t="inlineStr">
        <is>
          <t>HL7 FHIR R4 (mandatory); IHE profiles; SNOMED CT; ICD-10-CM; LOINC; HL7 CDA</t>
        </is>
      </c>
      <c r="AD400" s="49" t="inlineStr">
        <is>
          <t>Arabic + English (NABIDH technical specifications bilingual)</t>
        </is>
      </c>
      <c r="AE400" s="37" t="inlineStr">
        <is>
          <t>Layer 3: Technical Controls; Layer 4: Compliance; Layer 5: Assurance</t>
        </is>
      </c>
      <c r="AF400" s="27" t="inlineStr">
        <is>
          <t>Yes — 3 connectivity levels (Basic data exchange / Full longitudinal record / Advanced IoMT integration)</t>
        </is>
      </c>
      <c r="AG400" s="70" t="inlineStr">
        <is>
          <t>HSTP digital health; National EHR programme; NHIS integration; Vision 2030 connected healthcare</t>
        </is>
      </c>
      <c r="AH400" s="70" t="inlineStr">
        <is>
          <t>NABIDH connectivity certificate; API test results; FHIR conformance statement; patient consent records; data quality dashboard reports</t>
        </is>
      </c>
      <c r="AI400" s="73" t="inlineStr">
        <is>
          <t>Institutional theory and regulatory governance theory underpin all KSA regulatory frameworks. Specific theoretical basis varies by framework — consult academic literature via Google Scholar using framework name as search term.</t>
        </is>
      </c>
      <c r="AJ400" s="70" t="inlineStr">
        <is>
          <t>Academic debate varies by framework maturity and international adoption. For KSA-specific debate, consult: Almohammad &amp; Wills (2021) J Cybersecurity; Al-Khater et al. (2020) IEEE Access; Baker McKenzie KSA regulatory updates.</t>
        </is>
      </c>
      <c r="AK400" s="74" t="inlineStr">
        <is>
          <t>Known criticisms include: implementation gap between standards and practice; resource constraints for smaller healthcare entities; rapid technology evolution outpacing regulation. Consult framework evaluation literature for specifics.</t>
        </is>
      </c>
      <c r="AL400" s="75" t="inlineStr">
        <is>
          <t>Framework comparison requires contextual analysis. Key comparators: NIST CSF 2.0 (international benchmark), ISO 27001 (certifiable standard), ECC-2 (KSA mandatory baseline). See main database for cross-framework mapping.</t>
        </is>
      </c>
      <c r="AM400"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00" s="50" t="inlineStr">
        <is>
          <t>Official: Consult the official source URL in the database for the primary document. Training: ISACA, ISC2, RAPS, IAPP, and HIMSS offer professional development covering most regulatory domains. Estimated hours vary by framework complexity.</t>
        </is>
      </c>
      <c r="AO400" s="77" t="inlineStr">
        <is>
          <t>Relevance to GH-ICGA framework varies by layer — see GH-ICGA Layer Mapping column. All KSA mandatory frameworks are compliance inputs to GH-ICGA Layer 4. Frameworks with IoMT-specific provisions directly inform Layers 2 and 3.</t>
        </is>
      </c>
      <c r="AP400" s="51" t="inlineStr">
        <is>
          <t>G + C (Governance + Compliance — standard regulatory framework positioning)</t>
        </is>
      </c>
      <c r="AQ400" s="78" t="inlineStr">
        <is>
          <t>Senior management: accountability for framework compliance. Designated compliance officer: monitor requirements. All staff: awareness of applicable obligations</t>
        </is>
      </c>
      <c r="AR400" s="74" t="inlineStr">
        <is>
          <t>Regulatory Risk; Operational Risk; Reputational Risk — specific domains determined by framework scope</t>
        </is>
      </c>
      <c r="AS400" s="22" t="inlineStr">
        <is>
          <t>See official source — legal obligation, regulatory requirement, or voluntary standard as applicable</t>
        </is>
      </c>
      <c r="AT400" s="75" t="inlineStr">
        <is>
          <t>Administrative; Technical; Operational — specific distribution determined by framework content</t>
        </is>
      </c>
      <c r="AU400" s="79" t="inlineStr">
        <is>
          <t>1. Compliance status (compliant/non-compliant). 2. # open findings from last assessment. 3. % controls implemented. 4. Time to remediate findings. 5. Incident rate in framework scope area</t>
        </is>
      </c>
      <c r="AV400" s="80" t="inlineStr">
        <is>
          <t>Self-assessment; internal audit; external assessment as specified by issuing authority</t>
        </is>
      </c>
      <c r="AW400" s="81" t="inlineStr">
        <is>
          <t>ServiceNow GRC; IBM OpenPages; RSA Archer; MetricStream — all major GRC platforms support custom framework import. Contact vendor for framework-specific module</t>
        </is>
      </c>
      <c r="AX400" s="82" t="inlineStr">
        <is>
          <t>Third parties in scope must demonstrate equivalent compliance. Contractual compliance obligations; right-to-audit clauses; annual third-party assessment</t>
        </is>
      </c>
      <c r="AY400" s="83" t="inlineStr">
        <is>
          <t>Non-compliance: regulatory action by issuing authority; fines and penalties as specified; operational and reputational consequences</t>
        </is>
      </c>
      <c r="AZ400" s="80" t="inlineStr">
        <is>
          <t>Healthcare &amp; Life Sciences</t>
        </is>
      </c>
      <c r="BA400" s="41" t="inlineStr">
        <is>
          <t>Sector-Specific</t>
        </is>
      </c>
      <c r="BB400" s="591">
        <f>IF(E400="","",IF(ISNUMBER(SEARCH("Institutional theory and regulatory governance theory underpin",AI400)),"TEMPLATE",IF(LEN(AI400)&gt;100,"DEEP",IF(AI400="","SPARSE","SHALLOW"))))</f>
        <v/>
      </c>
      <c r="BC400" s="591">
        <f>IF(E400="","",D400&amp;"-"&amp;B400&amp;"-"&amp;E400)</f>
        <v/>
      </c>
      <c r="BD400" s="591">
        <f>IF(E400="","",SUBSTITUTE(SUBSTITUTE(B400&amp;"-"&amp;E400," ",""),":","-"))</f>
        <v/>
      </c>
      <c r="BE400" s="591">
        <f>IF(E400="","",IF(ISNUMBER(SEARCH("ECC",E400)),"NCA-ECC-2-2024",IF(ISNUMBER(SEARCH("OTCC",E400)),"NCA-ECC-2-2024",IF(ISNUMBER(SEARCH("CCC",E400)),"NCA-ECC-2-2024",IF(ISNUMBER(SEARCH("DCC",E400)),"NCA-ECC-2-2024",IF(ISNUMBER(SEARCH("CSCC",E400)),"NCA-ECC-2-2024",IF(ISNUMBER(SEARCH("PDPL-IR",E400)),"PDPL-2021",IF(ISNUMBER(SEARCH("PDPL-DTR",E400)),"PDPL-2021","NONE"))))))))</f>
        <v/>
      </c>
      <c r="BF400" s="594">
        <f>IF(E400="","",IF(BB400="DEEP",10,IF(BB400="SHALLOW",5,IF(BB400="TEMPLATE",3,1)))+IF(N400="HIGHEST",5,IF(N400="HIGH",3,IF(N400="MODERATE",1,0)))+IF(ISNUMBER(SEARCH("Mandatory",L400)),3,0))</f>
        <v/>
      </c>
    </row>
    <row r="401" ht="42" customHeight="1">
      <c r="A401" s="42" t="n">
        <v>352</v>
      </c>
      <c r="B401" s="412" t="inlineStr">
        <is>
          <t>MKHC</t>
        </is>
      </c>
      <c r="C401" s="44" t="inlineStr">
        <is>
          <t>Makkah Health Cluster</t>
        </is>
      </c>
      <c r="D401" s="44" t="inlineStr">
        <is>
          <t>17. Regional Health Clusters</t>
        </is>
      </c>
      <c r="E401" s="412" t="inlineStr">
        <is>
          <t>NCA-OTCC</t>
        </is>
      </c>
      <c r="F401" s="45" t="inlineStr">
        <is>
          <t>OT Cybersecurity Controls</t>
        </is>
      </c>
      <c r="G401" s="44" t="inlineStr">
        <is>
          <t>ضوابط الأمن السيبراني للتقنيات التشغيلية</t>
        </is>
      </c>
      <c r="H401" s="44" t="inlineStr">
        <is>
          <t>OTCC-1:2022</t>
        </is>
      </c>
      <c r="I401" s="46" t="inlineStr">
        <is>
          <t>2022</t>
        </is>
      </c>
      <c r="J401" s="46" t="inlineStr">
        <is>
          <t>53</t>
        </is>
      </c>
      <c r="K401" s="44" t="inlineStr">
        <is>
          <t>MUST COMPLY WITH</t>
        </is>
      </c>
      <c r="L401" s="66" t="inlineStr">
        <is>
          <t>Mandatory Complier</t>
        </is>
      </c>
      <c r="M401" s="44" t="inlineStr">
        <is>
          <t>Makkah Health Cluster medical device OT networks — CNI designation</t>
        </is>
      </c>
      <c r="N401" s="47" t="inlineStr">
        <is>
          <t>HIGHEST</t>
        </is>
      </c>
      <c r="O401" s="48" t="inlineStr">
        <is>
          <t>https://nca.gov.sa/</t>
        </is>
      </c>
      <c r="P401" s="44" t="inlineStr">
        <is>
          <t>NCA OTCC</t>
        </is>
      </c>
      <c r="Q401" s="70" t="inlineStr">
        <is>
          <t>See official source for version history</t>
        </is>
      </c>
      <c r="R401" s="70" t="inlineStr">
        <is>
          <t>Framework issued by the relevant authority. Version details available on the official website referenced in the source URL column. The framework has been updated periodically since first issuance.</t>
        </is>
      </c>
      <c r="S401" s="71" t="inlineStr">
        <is>
          <t>See official source</t>
        </is>
      </c>
      <c r="T401" s="70" t="inlineStr">
        <is>
          <t>Updated as needed by the issuing authority</t>
        </is>
      </c>
      <c r="U401" s="25" t="inlineStr">
        <is>
          <t>CURRENT — consult official source for latest version</t>
        </is>
      </c>
      <c r="V401" s="70" t="inlineStr">
        <is>
          <t>Penalties defined by issuing authority; consult official source. NCA ECC-2 penalties apply if relevant</t>
        </is>
      </c>
      <c r="W401" s="72" t="inlineStr">
        <is>
          <t>Issuing authority and/or designated inspection department</t>
        </is>
      </c>
      <c r="X401" s="70" t="inlineStr">
        <is>
          <t>As specified in framework scope — consult official document</t>
        </is>
      </c>
      <c r="Y401" s="49" t="inlineStr">
        <is>
          <t>Both (unless specified otherwise in official document)</t>
        </is>
      </c>
      <c r="Z401" s="70" t="inlineStr">
        <is>
          <t>As defined by issuing authority</t>
        </is>
      </c>
      <c r="AA401" s="71" t="inlineStr">
        <is>
          <t>As defined by issuing authority</t>
        </is>
      </c>
      <c r="AB401" s="70" t="inlineStr">
        <is>
          <t>To be determined from framework text — see official source</t>
        </is>
      </c>
      <c r="AC401" s="70" t="inlineStr">
        <is>
          <t>See framework preamble for international standard references</t>
        </is>
      </c>
      <c r="AD401" s="49" t="inlineStr">
        <is>
          <t>Arabic (primary in KSA); English may be available</t>
        </is>
      </c>
      <c r="AE401" s="58" t="inlineStr">
        <is>
          <t>Mapped to relevant GH-ICGA layer — requires manual assessment</t>
        </is>
      </c>
      <c r="AF401" s="56" t="inlineStr">
        <is>
          <t>See official framework for maturity model details</t>
        </is>
      </c>
      <c r="AG401" s="70" t="inlineStr">
        <is>
          <t>Aligned with relevant Vision 2030 programme — see framework context</t>
        </is>
      </c>
      <c r="AH401" s="70" t="inlineStr">
        <is>
          <t>As specified in framework compliance requirements</t>
        </is>
      </c>
      <c r="AI401" s="73" t="inlineStr">
        <is>
          <t>Institutional theory and regulatory governance theory underpin all KSA regulatory frameworks. Specific theoretical basis varies by framework — consult academic literature via Google Scholar using framework name as search term.</t>
        </is>
      </c>
      <c r="AJ401" s="70" t="inlineStr">
        <is>
          <t>Academic debate varies by framework maturity and international adoption. For KSA-specific debate, consult: Almohammad &amp; Wills (2021) J Cybersecurity; Al-Khater et al. (2020) IEEE Access; Baker McKenzie KSA regulatory updates.</t>
        </is>
      </c>
      <c r="AK401" s="74" t="inlineStr">
        <is>
          <t>Known criticisms include: implementation gap between standards and practice; resource constraints for smaller healthcare entities; rapid technology evolution outpacing regulation. Consult framework evaluation literature for specifics.</t>
        </is>
      </c>
      <c r="AL401" s="75" t="inlineStr">
        <is>
          <t>Framework comparison requires contextual analysis. Key comparators: NIST CSF 2.0 (international benchmark), ISO 27001 (certifiable standard), ECC-2 (KSA mandatory baseline). See main database for cross-framework mapping.</t>
        </is>
      </c>
      <c r="AM401"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01" s="50" t="inlineStr">
        <is>
          <t>Official: Consult the official source URL in the database for the primary document. Training: ISACA, ISC2, RAPS, IAPP, and HIMSS offer professional development covering most regulatory domains. Estimated hours vary by framework complexity.</t>
        </is>
      </c>
      <c r="AO401" s="77" t="inlineStr">
        <is>
          <t>Relevance to GH-ICGA framework varies by layer — see GH-ICGA Layer Mapping column. All KSA mandatory frameworks are compliance inputs to GH-ICGA Layer 4. Frameworks with IoMT-specific provisions directly inform Layers 2 and 3.</t>
        </is>
      </c>
      <c r="AP401" s="53" t="inlineStr">
        <is>
          <t>R + C (Risk and Compliance — technically oriented; governance implied)</t>
        </is>
      </c>
      <c r="AQ401" s="78" t="inlineStr">
        <is>
          <t>CISO/OT Security Manager: own OTCC compliance. Clinical Engineering/Biomedical Engineering: co-responsible for medical device OT compliance. CTO: responsible for OT architecture. Board: informed of OT risk posture annually. OT security roles: Saudi nationals required per ECC-2 Saudisation mandate</t>
        </is>
      </c>
      <c r="AR401" s="74" t="inlineStr">
        <is>
          <t>Cyber Risk (OT/ICS); Operational Risk (process disruption); Physical Safety Risk (clinical impact of OT compromise); Supply Chain Risk (OT vendor remote access); Availability Risk (OT always-on requirement)</t>
        </is>
      </c>
      <c r="AS401" s="22" t="inlineStr">
        <is>
          <t>LEGAL — Mandatory for CNI OT operators under NCA-REG-2024. Hospitals as CNI: healthcare OT networks are in scope. Penalties: NCA-REG-2024 (SAR 25M max) + potential operational shutdown of non-compliant OT systems</t>
        </is>
      </c>
      <c r="AT401" s="75" t="inlineStr">
        <is>
          <t>Technical (T): 40 controls — OT network segmentation; secure remote access; OT monitoring; patch management for ICS. Administrative (A): 8 controls — OT governance; vendor management; OT incident response. Operational (O): 5 controls — OT change management; OT BCP</t>
        </is>
      </c>
      <c r="AU401" s="79" t="inlineStr">
        <is>
          <t>1. % OT assets inventoried (target 100%). 2. % OT systems with current patches within defined window. 3. # OT network zone violations detected. 4. % third-party OT vendor accesses logged. 5. OT system availability rate (target &gt;99.9% for life-critical). 6. Time-to-detect OT anomaly (target &lt;15 min for CNI)</t>
        </is>
      </c>
      <c r="AV401" s="80" t="inlineStr">
        <is>
          <t>OT vulnerability scan (passive — non-disruptive tools: Claroty, Nozomi, Dragos); OT network traffic analysis; OT penetration test (annual — must not disrupt clinical operations); vendor remote access audit; zone/conduit diagram validation</t>
        </is>
      </c>
      <c r="AW401" s="81" t="inlineStr">
        <is>
          <t>Claroty (medical IoT OT visibility); Nozomi Networks; Dragos; Tenable.ot; Fortinet OT; Medigate (healthcare-specific OT). For GRC integration: ServiceNow OT module; IBM QRadar SIEM with OT signatures</t>
        </is>
      </c>
      <c r="AX401" s="82" t="inlineStr">
        <is>
          <t>All OT vendors with remote access: mandatory access logging; time-limited access; multi-factor authentication; vendor security assessment before engagement; NDA for OT architecture access; OT vendor incident notification within 4 hours</t>
        </is>
      </c>
      <c r="AY401" s="83" t="inlineStr">
        <is>
          <t>OT breach in hospital: potential life-critical impact (ventilator, infusion pump disruption); NCA shutdown order; SAR 25M fine; criminal referral; SFDA recall if device compromise detected; massive reputational and legal exposure</t>
        </is>
      </c>
      <c r="AZ401" s="80" t="inlineStr">
        <is>
          <t>Sector-specific — consult official source</t>
        </is>
      </c>
      <c r="BA401" s="41" t="inlineStr">
        <is>
          <t>Sector-Specific</t>
        </is>
      </c>
      <c r="BB401" s="591">
        <f>IF(E401="","",IF(ISNUMBER(SEARCH("Institutional theory and regulatory governance theory underpin",AI401)),"TEMPLATE",IF(LEN(AI401)&gt;100,"DEEP",IF(AI401="","SPARSE","SHALLOW"))))</f>
        <v/>
      </c>
      <c r="BC401" s="591">
        <f>IF(E401="","",D401&amp;"-"&amp;B401&amp;"-"&amp;E401)</f>
        <v/>
      </c>
      <c r="BD401" s="591">
        <f>IF(E401="","",SUBSTITUTE(SUBSTITUTE(B401&amp;"-"&amp;E401," ",""),":","-"))</f>
        <v/>
      </c>
      <c r="BE401" s="591">
        <f>IF(E401="","",IF(ISNUMBER(SEARCH("ECC",E401)),"NCA-ECC-2-2024",IF(ISNUMBER(SEARCH("OTCC",E401)),"NCA-ECC-2-2024",IF(ISNUMBER(SEARCH("CCC",E401)),"NCA-ECC-2-2024",IF(ISNUMBER(SEARCH("DCC",E401)),"NCA-ECC-2-2024",IF(ISNUMBER(SEARCH("CSCC",E401)),"NCA-ECC-2-2024",IF(ISNUMBER(SEARCH("PDPL-IR",E401)),"PDPL-2021",IF(ISNUMBER(SEARCH("PDPL-DTR",E401)),"PDPL-2021","NONE"))))))))</f>
        <v/>
      </c>
      <c r="BF401" s="594">
        <f>IF(E401="","",IF(BB401="DEEP",10,IF(BB401="SHALLOW",5,IF(BB401="TEMPLATE",3,1)))+IF(N401="HIGHEST",5,IF(N401="HIGH",3,IF(N401="MODERATE",1,0)))+IF(ISNUMBER(SEARCH("Mandatory",L401)),3,0))</f>
        <v/>
      </c>
    </row>
    <row r="402" ht="42" customHeight="1">
      <c r="A402" s="84" t="n">
        <v>353</v>
      </c>
      <c r="B402" s="411" t="inlineStr">
        <is>
          <t>MDHC</t>
        </is>
      </c>
      <c r="C402" s="70" t="inlineStr">
        <is>
          <t>Madinah Health Cluster</t>
        </is>
      </c>
      <c r="D402" s="70" t="inlineStr">
        <is>
          <t>17. Regional Health Clusters</t>
        </is>
      </c>
      <c r="E402" s="411" t="inlineStr">
        <is>
          <t>MOH-HIS</t>
        </is>
      </c>
      <c r="F402" s="72" t="inlineStr">
        <is>
          <t>Health Information System Standards</t>
        </is>
      </c>
      <c r="G402" s="70" t="inlineStr">
        <is>
          <t>معايير نظم المعلومات الصحية</t>
        </is>
      </c>
      <c r="H402" s="70" t="inlineStr">
        <is>
          <t>2024 update</t>
        </is>
      </c>
      <c r="I402" s="71" t="inlineStr">
        <is>
          <t>2010</t>
        </is>
      </c>
      <c r="J402" s="71" t="inlineStr">
        <is>
          <t>112</t>
        </is>
      </c>
      <c r="K402" s="70" t="inlineStr">
        <is>
          <t>MUST COMPLY WITH</t>
        </is>
      </c>
      <c r="L402" s="66" t="inlineStr">
        <is>
          <t>Mandatory Complier</t>
        </is>
      </c>
      <c r="M402" s="70" t="inlineStr">
        <is>
          <t>Madinah Health Cluster hospitals — mandatory HIS compliance</t>
        </is>
      </c>
      <c r="N402" s="86" t="inlineStr">
        <is>
          <t>HIGHEST</t>
        </is>
      </c>
      <c r="O402" s="87" t="inlineStr">
        <is>
          <t>https://www.moh.gov.sa/en/</t>
        </is>
      </c>
      <c r="P402" s="70" t="inlineStr">
        <is>
          <t>MOH official</t>
        </is>
      </c>
      <c r="Q402" s="70" t="inlineStr">
        <is>
          <t>First issued ~2010 → comprehensive update 2022 → mandatory EMR update 2024</t>
        </is>
      </c>
      <c r="R402" s="70" t="inlineStr">
        <is>
          <t>Progressive standards covering: 2010 (basic EHR requirements); 2015 (interoperability standards added); 2018 (NABIDH integration); 2020 (mobile health and telemedicine modules); 2022 (comprehensive 112-control update covering clinical systems, imaging, medication management, emergency, genomics, training); 2024 (mandatory EMR adoption for all MOH and private facilities aligned with NABIDH)</t>
        </is>
      </c>
      <c r="S402" s="71" t="inlineStr">
        <is>
          <t>First: 2010. Major update: 2022. EMR mandate: 2024</t>
        </is>
      </c>
      <c r="T402" s="70" t="inlineStr">
        <is>
          <t>Updated with NABIDH platform releases; typically annual minor updates</t>
        </is>
      </c>
      <c r="U402" s="25" t="inlineStr">
        <is>
          <t>CURRENT — 2024 version mandatory</t>
        </is>
      </c>
      <c r="V402" s="70" t="inlineStr">
        <is>
          <t>MOH facility licensing at risk; mandatory corrective action plan; financial penalties under Private Health Institutions Law; non-compliant systems barred from NABIDH connectivity</t>
        </is>
      </c>
      <c r="W402" s="72" t="inlineStr">
        <is>
          <t>MOH — Directorate of Health Information (DHI); regional health cluster inspection teams; NHIC for interoperability compliance</t>
        </is>
      </c>
      <c r="X402" s="70" t="inlineStr">
        <is>
          <t>Hospital; Clinic; Lab; Pharmacy (hospital); Government Health Entity</t>
        </is>
      </c>
      <c r="Y402" s="49" t="inlineStr">
        <is>
          <t>Both (mandatory for MOH facilities; mandatory for private facilities since 2024 PHILAW update)</t>
        </is>
      </c>
      <c r="Z402" s="70" t="inlineStr">
        <is>
          <t>MOH annual IT audit; NHIC interoperability assessment; CBAHI HIT standards review during accreditation</t>
        </is>
      </c>
      <c r="AA402" s="71" t="inlineStr">
        <is>
          <t>Annual MOH audit; NABIDH connectivity continuous monitoring</t>
        </is>
      </c>
      <c r="AB402" s="70" t="inlineStr">
        <is>
          <t>28 (medical device integration into HIS; alarm management; device data capture; IoMT workflow integration; remote monitoring data ingestion; device incident reporting to HIS)</t>
        </is>
      </c>
      <c r="AC402" s="70" t="inlineStr">
        <is>
          <t>HL7 FHIR R4 (interoperability); IHE profiles (integration); ISO 27799:2016 (health ISMS); DICOM (imaging)</t>
        </is>
      </c>
      <c r="AD402" s="49" t="inlineStr">
        <is>
          <t>Arabic (primary); English technical annexes</t>
        </is>
      </c>
      <c r="AE402" s="26" t="inlineStr">
        <is>
          <t>Layer 1: Governance; Layer 3: Technical Controls; Layer 4: Compliance</t>
        </is>
      </c>
      <c r="AF402" s="27" t="inlineStr">
        <is>
          <t>Yes — 4 implementation levels (Basic / Intermediate / Advanced / Optimised); MOH tracks facility scores</t>
        </is>
      </c>
      <c r="AG402" s="70" t="inlineStr">
        <is>
          <t>HSTP digital health; NABIDH national EHR; Vision 2030 healthcare quality targets</t>
        </is>
      </c>
      <c r="AH402" s="70" t="inlineStr">
        <is>
          <t>HIS system documentation; NABIDH connectivity certificate; interoperability test results; staff training records; system access audit logs; downtime contingency procedure</t>
        </is>
      </c>
      <c r="AI402" s="73" t="inlineStr">
        <is>
          <t>Health informatics systems theory (Shortliffe &amp; Cimino 2006): HIS as sociotechnical infrastructure. Interoperability theory (Kuperman 2011): semantic/syntactic/organisational interoperability levels. Technology adoption theory (TAM — Davis 1989): clinician adoption barriers to HIS.</t>
        </is>
      </c>
      <c r="AJ402" s="70" t="inlineStr">
        <is>
          <t>FOR: National standardisation essential for patient safety continuity (WHO 2019); NABIDH integration creates longitudinal patient record unavailable previously; IoMT data integration requirements push hospitals toward modern system architectures. AGAINST: Ajami &amp; Bagheri-Tadi (2013) and Aloudah et al. (2021) document implementation-reality gap in Saudi HIS — standards exist but compliance varies widely by facility tier; urban-rural HIS capacity gap poorly addressed; cybersecurity requirements within HIS standards historically weak (pre-NABIDH)</t>
        </is>
      </c>
      <c r="AK402" s="74" t="inlineStr">
        <is>
          <t>112 controls create compliance burden without proportionality guidance; small private clinics face disproportionate compliance cost; no formal HIS certification programme — self-declaration accepted; IoMT data standards not harmonised with international HL7 FHIR profiles; historical emphasis on data capture over data quality</t>
        </is>
      </c>
      <c r="AL402" s="75" t="inlineStr">
        <is>
          <t>MOH-HIS vs NHS Digital standards (UK): NHS has legally binding DCB standards with enforcement; MOH-HIS is ministerial directive with softer enforcement. MOH-HIS vs ONC Health IT Certification (US): US has federal certification; KSA moving toward certification (NABIDH conformance). MOH-HIS + NHIC-NABIDH = closest to ONC approach in KSA</t>
        </is>
      </c>
      <c r="AM402" s="76" t="inlineStr">
        <is>
          <t>Ajami S &amp; Bagheri-Tadi T (2013) 'Barriers for Adopting Electronic Health Records' MateriaSociomed 25(3); Aloudah N et al. (2021) 'Digital Health in Saudi Arabia' Sustainability 13(12); Shortliffe EH &amp; Cimino JJ (2006) Biomedical Informatics Springer; WHO (2019) Classification of Digital Interventions; Alotaibi YK &amp; Federico F (2017) 'Impact of Health IT on Patient Safety' Saudi Medical J 38(12)</t>
        </is>
      </c>
      <c r="AN402" s="50" t="inlineStr">
        <is>
          <t>Official: MOH website (moh.gov.sa). Training: CPHIMS (Certified Professional Health Informatics &amp; Information Management); HL7 FHIR Foundational (HL7.org); NHIC developer portal training (nhic.gov.sa). Language: Arabic primary. Estimated: 45 hours</t>
        </is>
      </c>
      <c r="AO402" s="77" t="inlineStr">
        <is>
          <t>GH-ICGA Layer 1 (Governance) + Layer 3 (Technical Controls) — MOH-HIS is the clinical data governance backbone that the preliminary GH-ICGA IoMT framework must integrate with. Thesis: GH-ICGA IoMT data model must align with HIS data standards to ensure IoMT device data flows into the national health record coherently</t>
        </is>
      </c>
      <c r="AP402" s="34" t="inlineStr">
        <is>
          <t>G + R + C (all three — clinical information governance foundation)</t>
        </is>
      </c>
      <c r="AQ402" s="78" t="inlineStr">
        <is>
          <t>Hospital CEO: accountable for HIS compliance. CIO/CMIO: responsible for HIS implementation and NABIDH connectivity. Clinical Informatics Committee: govern HIS standards adoption. Department Heads: responsible for clinical data quality in their systems</t>
        </is>
      </c>
      <c r="AR402" s="74" t="inlineStr">
        <is>
          <t>Operational Risk (HIS downtime = clinical risk); Patient Safety Risk; Data Quality Risk; Regulatory Risk (MOH non-compliance); Interoperability Risk (NABIDH disconnection)</t>
        </is>
      </c>
      <c r="AS402" s="61" t="inlineStr">
        <is>
          <t>REGULATORY — MOH ministerial directive. Mandatory for all licensed facilities. Non-compliance risks licensing. Enforced through MOH annual audit and NABIDH connectivity monitoring</t>
        </is>
      </c>
      <c r="AT402" s="75" t="inlineStr">
        <is>
          <t>Technical (T): 68 controls — system architecture; integration; security; availability; backup. Administrative (A): 28 controls — data governance; policies; training; documentation. Operational (O): 16 controls — downtime procedures; change management; vendor management</t>
        </is>
      </c>
      <c r="AU402" s="79" t="inlineStr">
        <is>
          <t>1. NABIDH connectivity status (connected/disconnected). 2. HIS downtime incidents per month (target &lt;4h/month). 3. Data quality score (completeness/accuracy) from NABIDH reports. 4. % clinical staff trained on HIS (target 100%). 5. Time-to-restore HIS after failure (target &lt;4h). 6. # HIS security incidents per quarter</t>
        </is>
      </c>
      <c r="AV402" s="80" t="inlineStr">
        <is>
          <t>Annual MOH HIS audit (documentation + system walk-through); NABIDH API conformance test (NHIC automated); data quality audit; HIS security assessment; downtime procedure simulation; user access review</t>
        </is>
      </c>
      <c r="AW402" s="81" t="inlineStr">
        <is>
          <t>Epic; Cerner (Oracle Health); Philips Tasy EMR; Meditech; InterSystems HealthShare — all NABIDH-integrated. For compliance: ServiceNow Healthcare; Qualio (quality management); NHIC developer portal for FHIR conformance testing</t>
        </is>
      </c>
      <c r="AX402" s="82" t="inlineStr">
        <is>
          <t>HIS vendors: must be MOH-approved/NABIDH-certified; contractual data protection obligations; source code escrow for critical systems; SLA for 99.9% uptime; mandatory SFDA notification if HIS failure affects medical devices; annual security assessment of HIS vendors</t>
        </is>
      </c>
      <c r="AY402" s="83" t="inlineStr">
        <is>
          <t>Non-compliance: MOH corrective action; facility licence conditions; NABIDH disconnection (loss of referrals, national patient record access); PHILAW 2024 penalties for private facilities. Clinical impact: patient safety risk from poor data quality or HIS unavailability</t>
        </is>
      </c>
      <c r="AZ402" s="80" t="inlineStr">
        <is>
          <t>Healthcare &amp; Life Sciences</t>
        </is>
      </c>
      <c r="BA402" s="41" t="inlineStr">
        <is>
          <t>Sector-Specific</t>
        </is>
      </c>
      <c r="BB402" s="591">
        <f>IF(E402="","",IF(ISNUMBER(SEARCH("Institutional theory and regulatory governance theory underpin",AI402)),"TEMPLATE",IF(LEN(AI402)&gt;100,"DEEP",IF(AI402="","SPARSE","SHALLOW"))))</f>
        <v/>
      </c>
      <c r="BC402" s="591">
        <f>IF(E402="","",D402&amp;"-"&amp;B402&amp;"-"&amp;E402)</f>
        <v/>
      </c>
      <c r="BD402" s="591">
        <f>IF(E402="","",SUBSTITUTE(SUBSTITUTE(B402&amp;"-"&amp;E402," ",""),":","-"))</f>
        <v/>
      </c>
      <c r="BE402" s="591">
        <f>IF(E402="","",IF(ISNUMBER(SEARCH("ECC",E402)),"NCA-ECC-2-2024",IF(ISNUMBER(SEARCH("OTCC",E402)),"NCA-ECC-2-2024",IF(ISNUMBER(SEARCH("CCC",E402)),"NCA-ECC-2-2024",IF(ISNUMBER(SEARCH("DCC",E402)),"NCA-ECC-2-2024",IF(ISNUMBER(SEARCH("CSCC",E402)),"NCA-ECC-2-2024",IF(ISNUMBER(SEARCH("PDPL-IR",E402)),"PDPL-2021",IF(ISNUMBER(SEARCH("PDPL-DTR",E402)),"PDPL-2021","NONE"))))))))</f>
        <v/>
      </c>
      <c r="BF402" s="594">
        <f>IF(E402="","",IF(BB402="DEEP",10,IF(BB402="SHALLOW",5,IF(BB402="TEMPLATE",3,1)))+IF(N402="HIGHEST",5,IF(N402="HIGH",3,IF(N402="MODERATE",1,0)))+IF(ISNUMBER(SEARCH("Mandatory",L402)),3,0))</f>
        <v/>
      </c>
    </row>
    <row r="403" ht="42" customHeight="1">
      <c r="A403" s="42" t="n">
        <v>354</v>
      </c>
      <c r="B403" s="412" t="inlineStr">
        <is>
          <t>MDHC</t>
        </is>
      </c>
      <c r="C403" s="44" t="inlineStr">
        <is>
          <t>Madinah Health Cluster</t>
        </is>
      </c>
      <c r="D403" s="44" t="inlineStr">
        <is>
          <t>17. Regional Health Clusters</t>
        </is>
      </c>
      <c r="E403" s="412" t="inlineStr">
        <is>
          <t>MOH-EMR-NABIDH</t>
        </is>
      </c>
      <c r="F403" s="45" t="inlineStr">
        <is>
          <t>EMR Standards / NABIDH</t>
        </is>
      </c>
      <c r="G403" s="44" t="inlineStr">
        <is>
          <t>معايير السجل الصحي الإلكتروني / نبض</t>
        </is>
      </c>
      <c r="H403" s="44" t="inlineStr">
        <is>
          <t>Mandatory 2024</t>
        </is>
      </c>
      <c r="I403" s="46" t="inlineStr">
        <is>
          <t>2010</t>
        </is>
      </c>
      <c r="J403" s="46" t="inlineStr">
        <is>
          <t>52</t>
        </is>
      </c>
      <c r="K403" s="44" t="inlineStr">
        <is>
          <t>MUST COMPLY WITH</t>
        </is>
      </c>
      <c r="L403" s="66" t="inlineStr">
        <is>
          <t>Mandatory Complier</t>
        </is>
      </c>
      <c r="M403" s="44" t="inlineStr">
        <is>
          <t>Madinah Health Cluster — mandatory NABIDH connectivity 2024</t>
        </is>
      </c>
      <c r="N403" s="47" t="inlineStr">
        <is>
          <t>HIGHEST</t>
        </is>
      </c>
      <c r="O403" s="48" t="inlineStr">
        <is>
          <t>https://www.moh.gov.sa/en/</t>
        </is>
      </c>
      <c r="P403" s="44" t="inlineStr">
        <is>
          <t>MOH/NHIC</t>
        </is>
      </c>
      <c r="Q403" s="70" t="inlineStr">
        <is>
          <t>NABIDH platform launched ~2018 → mandatory EMR adoption for all facilities 2024</t>
        </is>
      </c>
      <c r="R403" s="70" t="inlineStr">
        <is>
          <t>NABIDH (National Unified EHR Platform): v1 2018 (pilot MOH hospitals); 2019-2021 (rollout to health clusters); 2022 (private hospital voluntary integration); 2023 (API standards published based on FHIR R4); 2024 (mandatory for ALL healthcare facilities per Private Health Institutions Law update — complete patient longitudinal record across facilities). EMR standard covers 52 functional requirements including: CPOE, medication reconciliation, imaging integration, patient portal, audit logs</t>
        </is>
      </c>
      <c r="S403" s="71" t="inlineStr">
        <is>
          <t>NABIDH launched: 2018. Mandatory for all: 2024</t>
        </is>
      </c>
      <c r="T403" s="70" t="inlineStr">
        <is>
          <t>Continuously updated with NABIDH platform releases</t>
        </is>
      </c>
      <c r="U403" s="25" t="inlineStr">
        <is>
          <t>CURRENT — mandatory since 2024</t>
        </is>
      </c>
      <c r="V403" s="70" t="inlineStr">
        <is>
          <t>Facility licensing revocation; MOH enforcement action; barred from government referrals; penalties under PHILAW 2024</t>
        </is>
      </c>
      <c r="W403" s="72" t="inlineStr">
        <is>
          <t>MOH — NABIDH Programme Office; NHIC; regional health clusters monitor connectivity</t>
        </is>
      </c>
      <c r="X403" s="70" t="inlineStr">
        <is>
          <t>Hospital; Clinic; Lab; Pharmacy; Government Health Entity — ALL healthcare facilities mandatory</t>
        </is>
      </c>
      <c r="Y403" s="49" t="inlineStr">
        <is>
          <t>Both (mandatory since 2024 PHILAW update for all facilities)</t>
        </is>
      </c>
      <c r="Z403" s="70" t="inlineStr">
        <is>
          <t>NHIC connectivity assessment; NABIDH API conformance testing; MOH annual audit</t>
        </is>
      </c>
      <c r="AA403" s="71" t="inlineStr">
        <is>
          <t>Continuous (NABIDH connectivity monitored in real time); annual formal audit</t>
        </is>
      </c>
      <c r="AB403" s="70" t="inlineStr">
        <is>
          <t>22 (IoMT data integration to NABIDH: wearable data ingestion API; remote monitoring feeds; device-generated vital signs; medical device alerts to patient record; IoMT consent management in EHR)</t>
        </is>
      </c>
      <c r="AC403" s="70" t="inlineStr">
        <is>
          <t>HL7 FHIR R4; IHE (Integrating the Healthcare Enterprise); SNOMED CT; ICD-10; LOINC</t>
        </is>
      </c>
      <c r="AD403" s="49" t="inlineStr">
        <is>
          <t>Arabic + English (NABIDH technical specifications bilingual)</t>
        </is>
      </c>
      <c r="AE403" s="26" t="inlineStr">
        <is>
          <t>Layer 1: Governance; Layer 3: Technical Controls; Layer 4: Compliance; Layer 5: Assurance</t>
        </is>
      </c>
      <c r="AF403" s="27" t="inlineStr">
        <is>
          <t>Yes — NABIDH connectivity levels (1: Basic data exchange; 2: Full longitudinal record; 3: Advanced interoperability with IoMT); MOH tracks facility level</t>
        </is>
      </c>
      <c r="AG403" s="70" t="inlineStr">
        <is>
          <t>HSTP digital health transformation; NABIDH national EHR; NHIS claims integration</t>
        </is>
      </c>
      <c r="AH403" s="70" t="inlineStr">
        <is>
          <t>NABIDH connectivity certificate; API integration test reports; patient consent records for data sharing; EHR system validation; data quality reports</t>
        </is>
      </c>
      <c r="AI403" s="73" t="inlineStr">
        <is>
          <t>Institutional theory and regulatory governance theory underpin all KSA regulatory frameworks. Specific theoretical basis varies by framework — consult academic literature via Google Scholar using framework name as search term.</t>
        </is>
      </c>
      <c r="AJ403" s="70" t="inlineStr">
        <is>
          <t>Academic debate varies by framework maturity and international adoption. For KSA-specific debate, consult: Almohammad &amp; Wills (2021) J Cybersecurity; Al-Khater et al. (2020) IEEE Access; Baker McKenzie KSA regulatory updates.</t>
        </is>
      </c>
      <c r="AK403" s="74" t="inlineStr">
        <is>
          <t>Known criticisms include: implementation gap between standards and practice; resource constraints for smaller healthcare entities; rapid technology evolution outpacing regulation. Consult framework evaluation literature for specifics.</t>
        </is>
      </c>
      <c r="AL403" s="75" t="inlineStr">
        <is>
          <t>Framework comparison requires contextual analysis. Key comparators: NIST CSF 2.0 (international benchmark), ISO 27001 (certifiable standard), ECC-2 (KSA mandatory baseline). See main database for cross-framework mapping.</t>
        </is>
      </c>
      <c r="AM403"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03" s="50" t="inlineStr">
        <is>
          <t>Official: Consult the official source URL in the database for the primary document. Training: ISACA, ISC2, RAPS, IAPP, and HIMSS offer professional development covering most regulatory domains. Estimated hours vary by framework complexity.</t>
        </is>
      </c>
      <c r="AO403" s="77" t="inlineStr">
        <is>
          <t>Relevance to GH-ICGA framework varies by layer — see GH-ICGA Layer Mapping column. All KSA mandatory frameworks are compliance inputs to GH-ICGA Layer 4. Frameworks with IoMT-specific provisions directly inform Layers 2 and 3.</t>
        </is>
      </c>
      <c r="AP403" s="51" t="inlineStr">
        <is>
          <t>G + C (Governance + Compliance — standard regulatory framework positioning)</t>
        </is>
      </c>
      <c r="AQ403" s="78" t="inlineStr">
        <is>
          <t>Senior management: accountability for framework compliance. Designated compliance officer: monitor requirements. All staff: awareness of applicable obligations</t>
        </is>
      </c>
      <c r="AR403" s="74" t="inlineStr">
        <is>
          <t>Regulatory Risk; Operational Risk; Reputational Risk — specific domains determined by framework scope</t>
        </is>
      </c>
      <c r="AS403" s="22" t="inlineStr">
        <is>
          <t>See official source — legal obligation, regulatory requirement, or voluntary standard as applicable</t>
        </is>
      </c>
      <c r="AT403" s="75" t="inlineStr">
        <is>
          <t>Administrative; Technical; Operational — specific distribution determined by framework content</t>
        </is>
      </c>
      <c r="AU403" s="79" t="inlineStr">
        <is>
          <t>1. Compliance status (compliant/non-compliant). 2. # open findings from last assessment. 3. % controls implemented. 4. Time to remediate findings. 5. Incident rate in framework scope area</t>
        </is>
      </c>
      <c r="AV403" s="80" t="inlineStr">
        <is>
          <t>Self-assessment; internal audit; external assessment as specified by issuing authority</t>
        </is>
      </c>
      <c r="AW403" s="81" t="inlineStr">
        <is>
          <t>ServiceNow GRC; IBM OpenPages; RSA Archer; MetricStream — all major GRC platforms support custom framework import. Contact vendor for framework-specific module</t>
        </is>
      </c>
      <c r="AX403" s="82" t="inlineStr">
        <is>
          <t>Third parties in scope must demonstrate equivalent compliance. Contractual compliance obligations; right-to-audit clauses; annual third-party assessment</t>
        </is>
      </c>
      <c r="AY403" s="83" t="inlineStr">
        <is>
          <t>Non-compliance: regulatory action by issuing authority; fines and penalties as specified; operational and reputational consequences</t>
        </is>
      </c>
      <c r="AZ403" s="80" t="inlineStr">
        <is>
          <t>Healthcare &amp; Life Sciences</t>
        </is>
      </c>
      <c r="BA403" s="41" t="inlineStr">
        <is>
          <t>Sector-Specific</t>
        </is>
      </c>
      <c r="BB403" s="591">
        <f>IF(E403="","",IF(ISNUMBER(SEARCH("Institutional theory and regulatory governance theory underpin",AI403)),"TEMPLATE",IF(LEN(AI403)&gt;100,"DEEP",IF(AI403="","SPARSE","SHALLOW"))))</f>
        <v/>
      </c>
      <c r="BC403" s="591">
        <f>IF(E403="","",D403&amp;"-"&amp;B403&amp;"-"&amp;E403)</f>
        <v/>
      </c>
      <c r="BD403" s="591">
        <f>IF(E403="","",SUBSTITUTE(SUBSTITUTE(B403&amp;"-"&amp;E403," ",""),":","-"))</f>
        <v/>
      </c>
      <c r="BE403" s="591">
        <f>IF(E403="","",IF(ISNUMBER(SEARCH("ECC",E403)),"NCA-ECC-2-2024",IF(ISNUMBER(SEARCH("OTCC",E403)),"NCA-ECC-2-2024",IF(ISNUMBER(SEARCH("CCC",E403)),"NCA-ECC-2-2024",IF(ISNUMBER(SEARCH("DCC",E403)),"NCA-ECC-2-2024",IF(ISNUMBER(SEARCH("CSCC",E403)),"NCA-ECC-2-2024",IF(ISNUMBER(SEARCH("PDPL-IR",E403)),"PDPL-2021",IF(ISNUMBER(SEARCH("PDPL-DTR",E403)),"PDPL-2021","NONE"))))))))</f>
        <v/>
      </c>
      <c r="BF403" s="594">
        <f>IF(E403="","",IF(BB403="DEEP",10,IF(BB403="SHALLOW",5,IF(BB403="TEMPLATE",3,1)))+IF(N403="HIGHEST",5,IF(N403="HIGH",3,IF(N403="MODERATE",1,0)))+IF(ISNUMBER(SEARCH("Mandatory",L403)),3,0))</f>
        <v/>
      </c>
    </row>
    <row r="404" ht="42" customHeight="1">
      <c r="A404" s="84" t="n">
        <v>355</v>
      </c>
      <c r="B404" s="411" t="inlineStr">
        <is>
          <t>MDHC</t>
        </is>
      </c>
      <c r="C404" s="70" t="inlineStr">
        <is>
          <t>Madinah Health Cluster</t>
        </is>
      </c>
      <c r="D404" s="70" t="inlineStr">
        <is>
          <t>17. Regional Health Clusters</t>
        </is>
      </c>
      <c r="E404" s="411" t="inlineStr">
        <is>
          <t>MOH-PS</t>
        </is>
      </c>
      <c r="F404" s="72" t="inlineStr">
        <is>
          <t>Patient Safety Standards</t>
        </is>
      </c>
      <c r="G404" s="70" t="inlineStr">
        <is>
          <t>معايير سلامة المريض</t>
        </is>
      </c>
      <c r="H404" s="70" t="inlineStr">
        <is>
          <t>2024 update</t>
        </is>
      </c>
      <c r="I404" s="71" t="inlineStr">
        <is>
          <t>2015</t>
        </is>
      </c>
      <c r="J404" s="71" t="inlineStr">
        <is>
          <t>72</t>
        </is>
      </c>
      <c r="K404" s="70" t="inlineStr">
        <is>
          <t>MUST COMPLY WITH</t>
        </is>
      </c>
      <c r="L404" s="66" t="inlineStr">
        <is>
          <t>Mandatory Complier</t>
        </is>
      </c>
      <c r="M404" s="70" t="inlineStr">
        <is>
          <t>Madinah Health Cluster — patient safety compliance</t>
        </is>
      </c>
      <c r="N404" s="86" t="inlineStr">
        <is>
          <t>HIGHEST</t>
        </is>
      </c>
      <c r="O404" s="87" t="inlineStr">
        <is>
          <t>https://www.moh.gov.sa/en/</t>
        </is>
      </c>
      <c r="P404" s="70" t="inlineStr">
        <is>
          <t>MOH official</t>
        </is>
      </c>
      <c r="Q404" s="70" t="inlineStr">
        <is>
          <t>First issued ~2015 → updates 2020 → 2024 update</t>
        </is>
      </c>
      <c r="R404" s="70" t="inlineStr">
        <is>
          <t>Based on WHO and JCI patient safety frameworks. Covers: patient identification (minimum 2 identifiers), medication safety (high-alert medications protocol), surgical safety checklist, falls prevention, infection control, critical value reporting, handover communications (SBAR). 2020 update added COVID-19 IPC protocols. 2024 update adds IoMT device safety (alarm fatigue management, device connectivity requirements)</t>
        </is>
      </c>
      <c r="S404" s="71" t="inlineStr">
        <is>
          <t>First: ~2015. Updated: 2020, 2024</t>
        </is>
      </c>
      <c r="T404" s="70" t="inlineStr">
        <is>
          <t>Annual review with MOH patient safety incidents data</t>
        </is>
      </c>
      <c r="U404" s="25" t="inlineStr">
        <is>
          <t>CURRENT — 2024 version</t>
        </is>
      </c>
      <c r="V404" s="70" t="inlineStr">
        <is>
          <t>MOH corrective action order; facility licence conditions; public safety alert; criminal liability for gross negligence</t>
        </is>
      </c>
      <c r="W404" s="72" t="inlineStr">
        <is>
          <t>MOH — Patient Safety Centre; regional health cluster inspection; CBAHI (patient safety standards embedded in accreditation)</t>
        </is>
      </c>
      <c r="X404" s="70" t="inlineStr">
        <is>
          <t>Hospital; Clinic; Government Health Entity</t>
        </is>
      </c>
      <c r="Y404" s="22" t="inlineStr">
        <is>
          <t>Both</t>
        </is>
      </c>
      <c r="Z404" s="70" t="inlineStr">
        <is>
          <t>Annual MOH patient safety inspection; CBAHI survey (integrated); incident investigation</t>
        </is>
      </c>
      <c r="AA404" s="71" t="inlineStr">
        <is>
          <t>Annual; triggered by serious adverse event</t>
        </is>
      </c>
      <c r="AB404" s="70" t="inlineStr">
        <is>
          <t>14 (alarm fatigue management for IoMT devices; connected infusion pump safety; IV smart pump drug library governance; patient ID for IoMT devices; device failure response procedures; remote monitoring alert management)</t>
        </is>
      </c>
      <c r="AC404" s="70" t="inlineStr">
        <is>
          <t>WHO Patient Safety Challenges (Global Patient Safety Action Plan 2021-2030); JCI Patient Safety Goals; The Joint Commission NPSG</t>
        </is>
      </c>
      <c r="AD404" s="49" t="inlineStr">
        <is>
          <t>Arabic (primary); English reference</t>
        </is>
      </c>
      <c r="AE404" s="26" t="inlineStr">
        <is>
          <t>Layer 1: Governance; Layer 4: Compliance</t>
        </is>
      </c>
      <c r="AF404" s="27" t="inlineStr">
        <is>
          <t>Yes — patient safety maturity levels (Safety-I to Safety-III); MOH tracks facility scores</t>
        </is>
      </c>
      <c r="AG404" s="70" t="inlineStr">
        <is>
          <t>HSTP patient safety; Vision 2030 quality targets; National Patient Safety Centre</t>
        </is>
      </c>
      <c r="AH404" s="70" t="inlineStr">
        <is>
          <t>Incident reporting system data; patient safety walkround records; fall prevention audit; medication safety audit; CBAHI patient safety standards compliance</t>
        </is>
      </c>
      <c r="AI404" s="73" t="inlineStr">
        <is>
          <t>Institutional theory and regulatory governance theory underpin all KSA regulatory frameworks. Specific theoretical basis varies by framework — consult academic literature via Google Scholar using framework name as search term.</t>
        </is>
      </c>
      <c r="AJ404" s="70" t="inlineStr">
        <is>
          <t>Academic debate varies by framework maturity and international adoption. For KSA-specific debate, consult: Almohammad &amp; Wills (2021) J Cybersecurity; Al-Khater et al. (2020) IEEE Access; Baker McKenzie KSA regulatory updates.</t>
        </is>
      </c>
      <c r="AK404" s="74" t="inlineStr">
        <is>
          <t>Known criticisms include: implementation gap between standards and practice; resource constraints for smaller healthcare entities; rapid technology evolution outpacing regulation. Consult framework evaluation literature for specifics.</t>
        </is>
      </c>
      <c r="AL404" s="75" t="inlineStr">
        <is>
          <t>Framework comparison requires contextual analysis. Key comparators: NIST CSF 2.0 (international benchmark), ISO 27001 (certifiable standard), ECC-2 (KSA mandatory baseline). See main database for cross-framework mapping.</t>
        </is>
      </c>
      <c r="AM404"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04" s="50" t="inlineStr">
        <is>
          <t>Official: Consult the official source URL in the database for the primary document. Training: ISACA, ISC2, RAPS, IAPP, and HIMSS offer professional development covering most regulatory domains. Estimated hours vary by framework complexity.</t>
        </is>
      </c>
      <c r="AO404" s="77" t="inlineStr">
        <is>
          <t>Relevance to GH-ICGA framework varies by layer — see GH-ICGA Layer Mapping column. All KSA mandatory frameworks are compliance inputs to GH-ICGA Layer 4. Frameworks with IoMT-specific provisions directly inform Layers 2 and 3.</t>
        </is>
      </c>
      <c r="AP404" s="51" t="inlineStr">
        <is>
          <t>G + C (Governance + Compliance — standard regulatory framework positioning)</t>
        </is>
      </c>
      <c r="AQ404" s="78" t="inlineStr">
        <is>
          <t>Senior management: accountability for framework compliance. Designated compliance officer: monitor requirements. All staff: awareness of applicable obligations</t>
        </is>
      </c>
      <c r="AR404" s="74" t="inlineStr">
        <is>
          <t>Regulatory Risk; Operational Risk; Reputational Risk — specific domains determined by framework scope</t>
        </is>
      </c>
      <c r="AS404" s="22" t="inlineStr">
        <is>
          <t>See official source — legal obligation, regulatory requirement, or voluntary standard as applicable</t>
        </is>
      </c>
      <c r="AT404" s="75" t="inlineStr">
        <is>
          <t>Administrative; Technical; Operational — specific distribution determined by framework content</t>
        </is>
      </c>
      <c r="AU404" s="79" t="inlineStr">
        <is>
          <t>1. Compliance status (compliant/non-compliant). 2. # open findings from last assessment. 3. % controls implemented. 4. Time to remediate findings. 5. Incident rate in framework scope area</t>
        </is>
      </c>
      <c r="AV404" s="80" t="inlineStr">
        <is>
          <t>Self-assessment; internal audit; external assessment as specified by issuing authority</t>
        </is>
      </c>
      <c r="AW404" s="81" t="inlineStr">
        <is>
          <t>ServiceNow GRC; IBM OpenPages; RSA Archer; MetricStream — all major GRC platforms support custom framework import. Contact vendor for framework-specific module</t>
        </is>
      </c>
      <c r="AX404" s="82" t="inlineStr">
        <is>
          <t>Third parties in scope must demonstrate equivalent compliance. Contractual compliance obligations; right-to-audit clauses; annual third-party assessment</t>
        </is>
      </c>
      <c r="AY404" s="83" t="inlineStr">
        <is>
          <t>Non-compliance: regulatory action by issuing authority; fines and penalties as specified; operational and reputational consequences</t>
        </is>
      </c>
      <c r="AZ404" s="80" t="inlineStr">
        <is>
          <t>Healthcare &amp; Life Sciences</t>
        </is>
      </c>
      <c r="BA404" s="41" t="inlineStr">
        <is>
          <t>Sector-Specific</t>
        </is>
      </c>
      <c r="BB404" s="591">
        <f>IF(E404="","",IF(ISNUMBER(SEARCH("Institutional theory and regulatory governance theory underpin",AI404)),"TEMPLATE",IF(LEN(AI404)&gt;100,"DEEP",IF(AI404="","SPARSE","SHALLOW"))))</f>
        <v/>
      </c>
      <c r="BC404" s="591">
        <f>IF(E404="","",D404&amp;"-"&amp;B404&amp;"-"&amp;E404)</f>
        <v/>
      </c>
      <c r="BD404" s="591">
        <f>IF(E404="","",SUBSTITUTE(SUBSTITUTE(B404&amp;"-"&amp;E404," ",""),":","-"))</f>
        <v/>
      </c>
      <c r="BE404" s="591">
        <f>IF(E404="","",IF(ISNUMBER(SEARCH("ECC",E404)),"NCA-ECC-2-2024",IF(ISNUMBER(SEARCH("OTCC",E404)),"NCA-ECC-2-2024",IF(ISNUMBER(SEARCH("CCC",E404)),"NCA-ECC-2-2024",IF(ISNUMBER(SEARCH("DCC",E404)),"NCA-ECC-2-2024",IF(ISNUMBER(SEARCH("CSCC",E404)),"NCA-ECC-2-2024",IF(ISNUMBER(SEARCH("PDPL-IR",E404)),"PDPL-2021",IF(ISNUMBER(SEARCH("PDPL-DTR",E404)),"PDPL-2021","NONE"))))))))</f>
        <v/>
      </c>
      <c r="BF404" s="594">
        <f>IF(E404="","",IF(BB404="DEEP",10,IF(BB404="SHALLOW",5,IF(BB404="TEMPLATE",3,1)))+IF(N404="HIGHEST",5,IF(N404="HIGH",3,IF(N404="MODERATE",1,0)))+IF(ISNUMBER(SEARCH("Mandatory",L404)),3,0))</f>
        <v/>
      </c>
    </row>
    <row r="405" ht="42" customHeight="1">
      <c r="A405" s="42" t="n">
        <v>356</v>
      </c>
      <c r="B405" s="412" t="inlineStr">
        <is>
          <t>MDHC</t>
        </is>
      </c>
      <c r="C405" s="44" t="inlineStr">
        <is>
          <t>Madinah Health Cluster</t>
        </is>
      </c>
      <c r="D405" s="44" t="inlineStr">
        <is>
          <t>17. Regional Health Clusters</t>
        </is>
      </c>
      <c r="E405" s="412" t="inlineStr">
        <is>
          <t>MOH-PR</t>
        </is>
      </c>
      <c r="F405" s="45" t="inlineStr">
        <is>
          <t>Patient Rights Charter</t>
        </is>
      </c>
      <c r="G405" s="44" t="inlineStr">
        <is>
          <t>ميثاق حقوق المريض</t>
        </is>
      </c>
      <c r="H405" s="44" t="inlineStr">
        <is>
          <t>2019</t>
        </is>
      </c>
      <c r="I405" s="46" t="inlineStr">
        <is>
          <t>2012</t>
        </is>
      </c>
      <c r="J405" s="46" t="inlineStr">
        <is>
          <t>45</t>
        </is>
      </c>
      <c r="K405" s="44" t="inlineStr">
        <is>
          <t>MUST COMPLY WITH</t>
        </is>
      </c>
      <c r="L405" s="66" t="inlineStr">
        <is>
          <t>Mandatory Complier</t>
        </is>
      </c>
      <c r="M405" s="44" t="inlineStr">
        <is>
          <t>Madinah Health Cluster facilities</t>
        </is>
      </c>
      <c r="N405" s="54" t="inlineStr">
        <is>
          <t>HIGH</t>
        </is>
      </c>
      <c r="O405" s="48" t="inlineStr">
        <is>
          <t>https://www.moh.gov.sa/en/</t>
        </is>
      </c>
      <c r="P405" s="44" t="inlineStr">
        <is>
          <t>MOH official</t>
        </is>
      </c>
      <c r="Q405" s="70" t="inlineStr">
        <is>
          <t>First Charter ~2012 → updated 2019</t>
        </is>
      </c>
      <c r="R405" s="70" t="inlineStr">
        <is>
          <t>45 rights and obligations. Key provisions: informed consent (including electronic consent for telemedicine), right to access medical records (digital access through NABIDH patient portal), right to privacy of health information, right to refuse treatment, right to second opinion. 2019 update added digital health rights (right to data portability from health apps)</t>
        </is>
      </c>
      <c r="S405" s="71" t="inlineStr">
        <is>
          <t>First: ~2012. Updated: 2019</t>
        </is>
      </c>
      <c r="T405" s="70" t="inlineStr">
        <is>
          <t>Review 2024-2025 expected to add AI/algorithmic transparency rights</t>
        </is>
      </c>
      <c r="U405" s="25" t="inlineStr">
        <is>
          <t>CURRENT — 2019 version</t>
        </is>
      </c>
      <c r="V405" s="70" t="inlineStr">
        <is>
          <t>Penalties defined by issuing authority; consult official source. NCA ECC-2 penalties apply if relevant</t>
        </is>
      </c>
      <c r="W405" s="72" t="inlineStr">
        <is>
          <t>Issuing authority and/or designated inspection department</t>
        </is>
      </c>
      <c r="X405" s="70" t="inlineStr">
        <is>
          <t>As specified in framework scope — consult official document</t>
        </is>
      </c>
      <c r="Y405" s="49" t="inlineStr">
        <is>
          <t>Both (unless specified otherwise in official document)</t>
        </is>
      </c>
      <c r="Z405" s="70" t="inlineStr">
        <is>
          <t>As defined by issuing authority</t>
        </is>
      </c>
      <c r="AA405" s="71" t="inlineStr">
        <is>
          <t>As defined by issuing authority</t>
        </is>
      </c>
      <c r="AB405" s="70" t="inlineStr">
        <is>
          <t>To be determined from framework text — see official source</t>
        </is>
      </c>
      <c r="AC405" s="70" t="inlineStr">
        <is>
          <t>See framework preamble for international standard references</t>
        </is>
      </c>
      <c r="AD405" s="49" t="inlineStr">
        <is>
          <t>Arabic (primary in KSA); English may be available</t>
        </is>
      </c>
      <c r="AE405" s="58" t="inlineStr">
        <is>
          <t>Mapped to relevant GH-ICGA layer — requires manual assessment</t>
        </is>
      </c>
      <c r="AF405" s="56" t="inlineStr">
        <is>
          <t>See official framework for maturity model details</t>
        </is>
      </c>
      <c r="AG405" s="70" t="inlineStr">
        <is>
          <t>Aligned with relevant Vision 2030 programme — see framework context</t>
        </is>
      </c>
      <c r="AH405" s="70" t="inlineStr">
        <is>
          <t>As specified in framework compliance requirements</t>
        </is>
      </c>
      <c r="AI405" s="73" t="inlineStr">
        <is>
          <t>Institutional theory and regulatory governance theory underpin all KSA regulatory frameworks. Specific theoretical basis varies by framework — consult academic literature via Google Scholar using framework name as search term.</t>
        </is>
      </c>
      <c r="AJ405" s="70" t="inlineStr">
        <is>
          <t>Academic debate varies by framework maturity and international adoption. For KSA-specific debate, consult: Almohammad &amp; Wills (2021) J Cybersecurity; Al-Khater et al. (2020) IEEE Access; Baker McKenzie KSA regulatory updates.</t>
        </is>
      </c>
      <c r="AK405" s="74" t="inlineStr">
        <is>
          <t>Known criticisms include: implementation gap between standards and practice; resource constraints for smaller healthcare entities; rapid technology evolution outpacing regulation. Consult framework evaluation literature for specifics.</t>
        </is>
      </c>
      <c r="AL405" s="75" t="inlineStr">
        <is>
          <t>Framework comparison requires contextual analysis. Key comparators: NIST CSF 2.0 (international benchmark), ISO 27001 (certifiable standard), ECC-2 (KSA mandatory baseline). See main database for cross-framework mapping.</t>
        </is>
      </c>
      <c r="AM405"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05" s="50" t="inlineStr">
        <is>
          <t>Official: Consult the official source URL in the database for the primary document. Training: ISACA, ISC2, RAPS, IAPP, and HIMSS offer professional development covering most regulatory domains. Estimated hours vary by framework complexity.</t>
        </is>
      </c>
      <c r="AO405" s="77" t="inlineStr">
        <is>
          <t>Relevance to GH-ICGA framework varies by layer — see GH-ICGA Layer Mapping column. All KSA mandatory frameworks are compliance inputs to GH-ICGA Layer 4. Frameworks with IoMT-specific provisions directly inform Layers 2 and 3.</t>
        </is>
      </c>
      <c r="AP405" s="51" t="inlineStr">
        <is>
          <t>G + C (Governance + Compliance — standard regulatory framework positioning)</t>
        </is>
      </c>
      <c r="AQ405" s="78" t="inlineStr">
        <is>
          <t>Senior management: accountability for framework compliance. Designated compliance officer: monitor requirements. All staff: awareness of applicable obligations</t>
        </is>
      </c>
      <c r="AR405" s="74" t="inlineStr">
        <is>
          <t>Regulatory Risk; Operational Risk; Reputational Risk — specific domains determined by framework scope</t>
        </is>
      </c>
      <c r="AS405" s="22" t="inlineStr">
        <is>
          <t>See official source — legal obligation, regulatory requirement, or voluntary standard as applicable</t>
        </is>
      </c>
      <c r="AT405" s="75" t="inlineStr">
        <is>
          <t>Administrative; Technical; Operational — specific distribution determined by framework content</t>
        </is>
      </c>
      <c r="AU405" s="79" t="inlineStr">
        <is>
          <t>1. Compliance status (compliant/non-compliant). 2. # open findings from last assessment. 3. % controls implemented. 4. Time to remediate findings. 5. Incident rate in framework scope area</t>
        </is>
      </c>
      <c r="AV405" s="80" t="inlineStr">
        <is>
          <t>Self-assessment; internal audit; external assessment as specified by issuing authority</t>
        </is>
      </c>
      <c r="AW405" s="81" t="inlineStr">
        <is>
          <t>ServiceNow GRC; IBM OpenPages; RSA Archer; MetricStream — all major GRC platforms support custom framework import. Contact vendor for framework-specific module</t>
        </is>
      </c>
      <c r="AX405" s="82" t="inlineStr">
        <is>
          <t>Third parties in scope must demonstrate equivalent compliance. Contractual compliance obligations; right-to-audit clauses; annual third-party assessment</t>
        </is>
      </c>
      <c r="AY405" s="83" t="inlineStr">
        <is>
          <t>Non-compliance: regulatory action by issuing authority; fines and penalties as specified; operational and reputational consequences</t>
        </is>
      </c>
      <c r="AZ405" s="80" t="inlineStr">
        <is>
          <t>Healthcare &amp; Life Sciences</t>
        </is>
      </c>
      <c r="BA405" s="41" t="inlineStr">
        <is>
          <t>Sector-Specific</t>
        </is>
      </c>
      <c r="BB405" s="591">
        <f>IF(E405="","",IF(ISNUMBER(SEARCH("Institutional theory and regulatory governance theory underpin",AI405)),"TEMPLATE",IF(LEN(AI405)&gt;100,"DEEP",IF(AI405="","SPARSE","SHALLOW"))))</f>
        <v/>
      </c>
      <c r="BC405" s="591">
        <f>IF(E405="","",D405&amp;"-"&amp;B405&amp;"-"&amp;E405)</f>
        <v/>
      </c>
      <c r="BD405" s="591">
        <f>IF(E405="","",SUBSTITUTE(SUBSTITUTE(B405&amp;"-"&amp;E405," ",""),":","-"))</f>
        <v/>
      </c>
      <c r="BE405" s="591">
        <f>IF(E405="","",IF(ISNUMBER(SEARCH("ECC",E405)),"NCA-ECC-2-2024",IF(ISNUMBER(SEARCH("OTCC",E405)),"NCA-ECC-2-2024",IF(ISNUMBER(SEARCH("CCC",E405)),"NCA-ECC-2-2024",IF(ISNUMBER(SEARCH("DCC",E405)),"NCA-ECC-2-2024",IF(ISNUMBER(SEARCH("CSCC",E405)),"NCA-ECC-2-2024",IF(ISNUMBER(SEARCH("PDPL-IR",E405)),"PDPL-2021",IF(ISNUMBER(SEARCH("PDPL-DTR",E405)),"PDPL-2021","NONE"))))))))</f>
        <v/>
      </c>
      <c r="BF405" s="594">
        <f>IF(E405="","",IF(BB405="DEEP",10,IF(BB405="SHALLOW",5,IF(BB405="TEMPLATE",3,1)))+IF(N405="HIGHEST",5,IF(N405="HIGH",3,IF(N405="MODERATE",1,0)))+IF(ISNUMBER(SEARCH("Mandatory",L405)),3,0))</f>
        <v/>
      </c>
    </row>
    <row r="406" ht="42" customHeight="1">
      <c r="A406" s="84" t="n">
        <v>357</v>
      </c>
      <c r="B406" s="411" t="inlineStr">
        <is>
          <t>MDHC</t>
        </is>
      </c>
      <c r="C406" s="70" t="inlineStr">
        <is>
          <t>Madinah Health Cluster</t>
        </is>
      </c>
      <c r="D406" s="70" t="inlineStr">
        <is>
          <t>17. Regional Health Clusters</t>
        </is>
      </c>
      <c r="E406" s="411" t="inlineStr">
        <is>
          <t>CBAHI-HAS-H</t>
        </is>
      </c>
      <c r="F406" s="72" t="inlineStr">
        <is>
          <t>Hospital Accreditation Standards</t>
        </is>
      </c>
      <c r="G406" s="70" t="inlineStr">
        <is>
          <t>معايير اعتماد المستشفيات</t>
        </is>
      </c>
      <c r="H406" s="70" t="inlineStr">
        <is>
          <t>5th Ed. 2021</t>
        </is>
      </c>
      <c r="I406" s="71" t="inlineStr">
        <is>
          <t>2008</t>
        </is>
      </c>
      <c r="J406" s="71" t="inlineStr">
        <is>
          <t>298</t>
        </is>
      </c>
      <c r="K406" s="70" t="inlineStr">
        <is>
          <t>MUST COMPLY WITH</t>
        </is>
      </c>
      <c r="L406" s="92" t="inlineStr">
        <is>
          <t>Voluntary</t>
        </is>
      </c>
      <c r="M406" s="70" t="inlineStr">
        <is>
          <t>Madinah Health Cluster hospitals pursuing CBAHI accreditation</t>
        </is>
      </c>
      <c r="N406" s="86" t="inlineStr">
        <is>
          <t>HIGHEST</t>
        </is>
      </c>
      <c r="O406" s="87" t="inlineStr">
        <is>
          <t>https://www.cbahi.gov.sa/</t>
        </is>
      </c>
      <c r="P406" s="70" t="inlineStr">
        <is>
          <t>CBAHI official</t>
        </is>
      </c>
      <c r="Q406" s="70" t="inlineStr">
        <is>
          <t>1st Ed 2008 → 2nd Ed 2011 → 3rd Ed 2014 → 4th Ed 2017 → 5th Ed 2021</t>
        </is>
      </c>
      <c r="R406" s="70" t="inlineStr">
        <is>
          <t>5th Edition (2021, current): 298 standards across domains including Patient and Family Rights, Patient Assessment, Care of Patients, Patient Safety, Medication Management, Infection Prevention, Facility Management, Staff Qualifications, Quality Improvement, Governance, HIT (Health Information Technology). HIT standards require EMR, NABIDH connectivity, access control, audit trails, downtime procedures. IoMT requirements added in 5th Ed: medical device integration standards, alarm management policy. Benchmarked against JCI standards</t>
        </is>
      </c>
      <c r="S406" s="71" t="inlineStr">
        <is>
          <t>1st Ed: 2008. 2nd: 2011. 3rd: 2014. 4th: 2017. 5th: 2021</t>
        </is>
      </c>
      <c r="T406" s="70" t="inlineStr">
        <is>
          <t>6th Edition expected 2025-2026</t>
        </is>
      </c>
      <c r="U406" s="25" t="inlineStr">
        <is>
          <t>CURRENT — 5th Edition 2021</t>
        </is>
      </c>
      <c r="V406" s="70" t="inlineStr">
        <is>
          <t>Accreditation denial; accreditation suspension; accreditation withdrawal; MOH facility licensing risk (accreditation linked to licensing in practice)</t>
        </is>
      </c>
      <c r="W406" s="72" t="inlineStr">
        <is>
          <t>CBAHI — Accreditation Survey Teams (peer surveyors); MOH recognises CBAHI as national accreditor</t>
        </is>
      </c>
      <c r="X406" s="70" t="inlineStr">
        <is>
          <t>Hospital (primary scope); Teaching Hospital; Specialist Centre</t>
        </is>
      </c>
      <c r="Y406" s="49" t="inlineStr">
        <is>
          <t>Both (voluntary but operationally required)</t>
        </is>
      </c>
      <c r="Z406" s="70" t="inlineStr">
        <is>
          <t>Full survey every 3 years; midterm (focused) survey at 18 months; unannounced visits; corrective action follow-up</t>
        </is>
      </c>
      <c r="AA406" s="71" t="inlineStr">
        <is>
          <t>Full survey: 3-year cycle. Midterm: 18 months. Unannounced: possible at any time</t>
        </is>
      </c>
      <c r="AB406" s="70" t="inlineStr">
        <is>
          <t>22 (HIT standards: medical device integration; alarm management policy mandatory; device maintenance logs; remote monitoring governance; downtime procedures; device inventory; cybersecurity of clinical systems as patient safety issue)</t>
        </is>
      </c>
      <c r="AC406" s="70" t="inlineStr">
        <is>
          <t>JCI (Joint Commission International) — benchmarked; ISQua (accreditation body accreditor); WHO Safe Hospitals Framework</t>
        </is>
      </c>
      <c r="AD406" s="22" t="inlineStr">
        <is>
          <t>Arabic + English (official bilingual)</t>
        </is>
      </c>
      <c r="AE406" s="26" t="inlineStr">
        <is>
          <t>Layer 1: Governance; Layer 4: Compliance; Layer 5: Assurance</t>
        </is>
      </c>
      <c r="AF406" s="27" t="inlineStr">
        <is>
          <t>Yes — Met / Partially Met / Not Met / Not Applicable per standard; overall accreditation decision = scored threshold</t>
        </is>
      </c>
      <c r="AG406" s="70" t="inlineStr">
        <is>
          <t>HSTP quality transformation; Vision 2030 healthcare quality targets (JCI/CBAHI accreditation for all tertiary hospitals)</t>
        </is>
      </c>
      <c r="AH406" s="70" t="inlineStr">
        <is>
          <t>Survey self-assessment; policy documentation; staff credential files; patient safety incident log; HIT system audit; quality improvement data; patient satisfaction scores</t>
        </is>
      </c>
      <c r="AI406" s="73" t="inlineStr">
        <is>
          <t>Healthcare quality theory (Donabedian 1988): structure-process-outcome triad. Accreditation theory: third-party external validation as quality assurance mechanism. Institutional isomorphism: accreditation spreads best practices through mimetic pressure. Patient safety culture theory (Reason 2000): systems-based safety vs blame culture.</t>
        </is>
      </c>
      <c r="AJ406" s="70" t="inlineStr">
        <is>
          <t>FOR: Almutairi et al. (2015) and Alkhenizan &amp; Shaw (2011) find CBAHI-accredited hospitals show measurable quality improvements; national benchmark grounded in Saudi context unlike JCI (US-centric); patient safety improvements documented post-accreditation. AGAINST: Voluntariness undermines universal coverage — only ~40% of KSA hospitals accredited (WHO PHSSR 2025); Greenfield &amp; Braithwaite (2008) meta-analysis questions causal link between accreditation and patient outcomes; survey preparation creates compliance-oriented behaviours rather than genuine quality improvement (gaming risk)</t>
        </is>
      </c>
      <c r="AK406" s="74" t="inlineStr">
        <is>
          <t>3-year survey cycle too long for rapid IoMT deployment environment; HIT standards in 5th Ed still less specific than HIMSS EMRAM Stage 6/7 requirements; cybersecurity standards within CBAHI remain minimal compared to NCA ECC-2 requirements; no dedicated IoMT governance chapter despite medical device proliferation; rural and small facility accreditation rates critically low</t>
        </is>
      </c>
      <c r="AL406" s="75" t="inlineStr">
        <is>
          <t>CBAHI vs JCI: JCI globally recognised; CBAHI nationally recognised — JCI preferred for medical tourism attracting hospitals. CBAHI vs HIMSS EMRAM: CBAHI is broad clinical; HIMSS EMRAM is digital health maturity-specific. CBAHI vs DNV: CBAHI similar survey model. CBAHI + HIMSS EMRAM combined = most comprehensive digital health quality picture for KSA hospitals</t>
        </is>
      </c>
      <c r="AM406" s="76" t="inlineStr">
        <is>
          <t>Alkhenizan A &amp; Shaw C (2011) 'Impact of Accreditation' Ann Saudi Med 31(4); Almutairi AF et al. (2015) 'Perceptions of CBAHI Accreditation' BMC Health Services Research; Donabedian A (1988) 'Quality of Care' JAMA 260(12); Greenfield D &amp; Braithwaite J (2008) 'Health Sector Accreditation Research' Int J Quality Health Care 20(3); WHO (2025) PHSSR Saudi Arabia</t>
        </is>
      </c>
      <c r="AN406" s="50" t="inlineStr">
        <is>
          <t>Official: CBAHI website (cbahi.gov.sa) — standards available to purchase. Training: CBAHI education programmes; surveyor training; CPHQ (Certified Professional in Healthcare Quality). Estimated: 60 hours for surveyors; 20 hours for department leads</t>
        </is>
      </c>
      <c r="AO406" s="77" t="inlineStr">
        <is>
          <t>GH-ICGA Layer 5 (Assurance) — CBAHI accreditation is the primary assurance mechanism for hospital IoMT governance. Thesis argument: CBAHI-HAS-H 5th Ed HIT standards need a cybersecurity annex for IoMT — GH-ICGA Layer 5 Assurance proposes an IoMT-specific evaluation framework that could be adopted within CBAHI survey process</t>
        </is>
      </c>
      <c r="AP406" s="51" t="inlineStr">
        <is>
          <t>G + C (Governance through quality standards + voluntary compliance assurance)</t>
        </is>
      </c>
      <c r="AQ406" s="78" t="inlineStr">
        <is>
          <t>CEO: accountable for accreditation status. CMO: responsible for clinical quality chapter compliance. CNO: responsible for nursing quality. Quality/Patient Safety Director: coordinates accreditation programme. Department heads: responsible for chapter compliance in their domain. Accreditation Committee: cross-functional governance body</t>
        </is>
      </c>
      <c r="AR406" s="74" t="inlineStr">
        <is>
          <t>Quality Risk; Patient Safety Risk; Operational Risk (accreditation loss = licensing risk); Reputational Risk; Regulatory Risk (MOH links accreditation to licensing in practice)</t>
        </is>
      </c>
      <c r="AS406" s="92" t="inlineStr">
        <is>
          <t>VOLUNTARY — but operationally MANDATORY (MOH licensing increasingly linked to CBAHI in practice; required for JCI-referencing hospitals and private insurance network participation)</t>
        </is>
      </c>
      <c r="AT406" s="75" t="inlineStr">
        <is>
          <t>Administrative (A): 150 controls — policies; procedures; governance; quality committees. Technical (T): 48 controls — HIT; equipment maintenance; diagnostic systems. Operational (O): 100 controls — clinical procedures; patient safety practices; staff competencies</t>
        </is>
      </c>
      <c r="AU406" s="79" t="inlineStr">
        <is>
          <t>1. CBAHI survey score per chapter (target ≥90% Met). 2. # sentinel events per 1,000 admissions. 3. Falls rate per 1,000 patient days. 4. Hospital-acquired infection rate. 5. Patient satisfaction score (target &gt;90%). 6. Medication error rate. 7. HIT compliance score (CBAHI HIT chapter)</t>
        </is>
      </c>
      <c r="AV406" s="80" t="inlineStr">
        <is>
          <t>CBAHI full survey (3-year cycle — 2-3 day on-site assessment); midterm survey (18 months — focused chapters); unannounced visit (possible any time); tracer methodology; document review; staff interviews; facility inspection</t>
        </is>
      </c>
      <c r="AW406" s="81" t="inlineStr">
        <is>
          <t>Accreditation Manager (CBAHI online platform); EQUIP (quality management platform); PowerDMS; Quantros; Press Ganey (patient satisfaction); Meditech/Epic quality modules; RL6 (incident reporting)</t>
        </is>
      </c>
      <c r="AX406" s="82" t="inlineStr">
        <is>
          <t>Contractors and service providers in clinical areas must meet CBAHI competency requirements; credentialing of contracted physicians required; outsourced services (laundry, catering, security) must meet CBAHI environment chapter standards; medical device vendors: CBAHI biomedical equipment requirements</t>
        </is>
      </c>
      <c r="AY406" s="83" t="inlineStr">
        <is>
          <t>Accreditation denial: cannot be MOH referral centre; excluded from major insurance networks; reputational damage. Accreditation suspension: immediate revenue impact from insurance exclusion. MOH can condition facility licence on CBAHI compliance</t>
        </is>
      </c>
      <c r="AZ406" s="80" t="inlineStr">
        <is>
          <t>Healthcare &amp; Life Sciences</t>
        </is>
      </c>
      <c r="BA406" s="41" t="inlineStr">
        <is>
          <t>Sector-Specific</t>
        </is>
      </c>
      <c r="BB406" s="591">
        <f>IF(E406="","",IF(ISNUMBER(SEARCH("Institutional theory and regulatory governance theory underpin",AI406)),"TEMPLATE",IF(LEN(AI406)&gt;100,"DEEP",IF(AI406="","SPARSE","SHALLOW"))))</f>
        <v/>
      </c>
      <c r="BC406" s="591">
        <f>IF(E406="","",D406&amp;"-"&amp;B406&amp;"-"&amp;E406)</f>
        <v/>
      </c>
      <c r="BD406" s="591">
        <f>IF(E406="","",SUBSTITUTE(SUBSTITUTE(B406&amp;"-"&amp;E406," ",""),":","-"))</f>
        <v/>
      </c>
      <c r="BE406" s="591">
        <f>IF(E406="","",IF(ISNUMBER(SEARCH("ECC",E406)),"NCA-ECC-2-2024",IF(ISNUMBER(SEARCH("OTCC",E406)),"NCA-ECC-2-2024",IF(ISNUMBER(SEARCH("CCC",E406)),"NCA-ECC-2-2024",IF(ISNUMBER(SEARCH("DCC",E406)),"NCA-ECC-2-2024",IF(ISNUMBER(SEARCH("CSCC",E406)),"NCA-ECC-2-2024",IF(ISNUMBER(SEARCH("PDPL-IR",E406)),"PDPL-2021",IF(ISNUMBER(SEARCH("PDPL-DTR",E406)),"PDPL-2021","NONE"))))))))</f>
        <v/>
      </c>
      <c r="BF406" s="594">
        <f>IF(E406="","",IF(BB406="DEEP",10,IF(BB406="SHALLOW",5,IF(BB406="TEMPLATE",3,1)))+IF(N406="HIGHEST",5,IF(N406="HIGH",3,IF(N406="MODERATE",1,0)))+IF(ISNUMBER(SEARCH("Mandatory",L406)),3,0))</f>
        <v/>
      </c>
    </row>
    <row r="407" ht="42" customHeight="1">
      <c r="A407" s="42" t="n">
        <v>358</v>
      </c>
      <c r="B407" s="412" t="inlineStr">
        <is>
          <t>MDHC</t>
        </is>
      </c>
      <c r="C407" s="44" t="inlineStr">
        <is>
          <t>Madinah Health Cluster</t>
        </is>
      </c>
      <c r="D407" s="44" t="inlineStr">
        <is>
          <t>17. Regional Health Clusters</t>
        </is>
      </c>
      <c r="E407" s="412" t="inlineStr">
        <is>
          <t>NCA-ECC-2:2024</t>
        </is>
      </c>
      <c r="F407" s="45" t="inlineStr">
        <is>
          <t>Essential Cybersecurity Controls</t>
        </is>
      </c>
      <c r="G407" s="44" t="inlineStr">
        <is>
          <t>ضوابط الأمن السيبراني الأساسية</t>
        </is>
      </c>
      <c r="H407" s="44" t="inlineStr">
        <is>
          <t>ECC-2:2024</t>
        </is>
      </c>
      <c r="I407" s="46" t="inlineStr">
        <is>
          <t>2018</t>
        </is>
      </c>
      <c r="J407" s="46" t="inlineStr">
        <is>
          <t>108</t>
        </is>
      </c>
      <c r="K407" s="44" t="inlineStr">
        <is>
          <t>MUST COMPLY WITH</t>
        </is>
      </c>
      <c r="L407" s="66" t="inlineStr">
        <is>
          <t>Mandatory Complier</t>
        </is>
      </c>
      <c r="M407" s="44" t="inlineStr">
        <is>
          <t>Madinah Health Cluster as government entity — hospital networks</t>
        </is>
      </c>
      <c r="N407" s="47" t="inlineStr">
        <is>
          <t>HIGHEST</t>
        </is>
      </c>
      <c r="O407" s="48" t="inlineStr">
        <is>
          <t>https://nca.gov.sa/</t>
        </is>
      </c>
      <c r="P407" s="44" t="inlineStr">
        <is>
          <t>NCA ECC scope</t>
        </is>
      </c>
      <c r="Q407" s="70" t="inlineStr">
        <is>
          <t>See official source for version history</t>
        </is>
      </c>
      <c r="R407" s="70" t="inlineStr">
        <is>
          <t>Framework issued by the relevant authority. Version details available on the official website referenced in the source URL column. The framework has been updated periodically since first issuance.</t>
        </is>
      </c>
      <c r="S407" s="71" t="inlineStr">
        <is>
          <t>See official source</t>
        </is>
      </c>
      <c r="T407" s="70" t="inlineStr">
        <is>
          <t>Updated as needed by the issuing authority</t>
        </is>
      </c>
      <c r="U407" s="25" t="inlineStr">
        <is>
          <t>CURRENT — consult official source for latest version</t>
        </is>
      </c>
      <c r="V407" s="70" t="inlineStr">
        <is>
          <t>Penalties defined by issuing authority; consult official source. NCA ECC-2 penalties apply if relevant</t>
        </is>
      </c>
      <c r="W407" s="72" t="inlineStr">
        <is>
          <t>Issuing authority and/or designated inspection department</t>
        </is>
      </c>
      <c r="X407" s="70" t="inlineStr">
        <is>
          <t>As specified in framework scope — consult official document</t>
        </is>
      </c>
      <c r="Y407" s="49" t="inlineStr">
        <is>
          <t>Both (unless specified otherwise in official document)</t>
        </is>
      </c>
      <c r="Z407" s="70" t="inlineStr">
        <is>
          <t>As defined by issuing authority</t>
        </is>
      </c>
      <c r="AA407" s="71" t="inlineStr">
        <is>
          <t>As defined by issuing authority</t>
        </is>
      </c>
      <c r="AB407" s="70" t="inlineStr">
        <is>
          <t>To be determined from framework text — see official source</t>
        </is>
      </c>
      <c r="AC407" s="70" t="inlineStr">
        <is>
          <t>See framework preamble for international standard references</t>
        </is>
      </c>
      <c r="AD407" s="49" t="inlineStr">
        <is>
          <t>Arabic (primary in KSA); English may be available</t>
        </is>
      </c>
      <c r="AE407" s="58" t="inlineStr">
        <is>
          <t>Mapped to relevant GH-ICGA layer — requires manual assessment</t>
        </is>
      </c>
      <c r="AF407" s="56" t="inlineStr">
        <is>
          <t>See official framework for maturity model details</t>
        </is>
      </c>
      <c r="AG407" s="70" t="inlineStr">
        <is>
          <t>Aligned with relevant Vision 2030 programme — see framework context</t>
        </is>
      </c>
      <c r="AH407" s="70" t="inlineStr">
        <is>
          <t>As specified in framework compliance requirements</t>
        </is>
      </c>
      <c r="AI407" s="73" t="inlineStr">
        <is>
          <t>Institutional theory and regulatory governance theory underpin all KSA regulatory frameworks. Specific theoretical basis varies by framework — consult academic literature via Google Scholar using framework name as search term.</t>
        </is>
      </c>
      <c r="AJ407" s="70" t="inlineStr">
        <is>
          <t>Academic debate varies by framework maturity and international adoption. For KSA-specific debate, consult: Almohammad &amp; Wills (2021) J Cybersecurity; Al-Khater et al. (2020) IEEE Access; Baker McKenzie KSA regulatory updates.</t>
        </is>
      </c>
      <c r="AK407" s="74" t="inlineStr">
        <is>
          <t>Known criticisms include: implementation gap between standards and practice; resource constraints for smaller healthcare entities; rapid technology evolution outpacing regulation. Consult framework evaluation literature for specifics.</t>
        </is>
      </c>
      <c r="AL407" s="75" t="inlineStr">
        <is>
          <t>Framework comparison requires contextual analysis. Key comparators: NIST CSF 2.0 (international benchmark), ISO 27001 (certifiable standard), ECC-2 (KSA mandatory baseline). See main database for cross-framework mapping.</t>
        </is>
      </c>
      <c r="AM407"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07" s="50" t="inlineStr">
        <is>
          <t>Official: Consult the official source URL in the database for the primary document. Training: ISACA, ISC2, RAPS, IAPP, and HIMSS offer professional development covering most regulatory domains. Estimated hours vary by framework complexity.</t>
        </is>
      </c>
      <c r="AO407" s="77" t="inlineStr">
        <is>
          <t>Relevance to GH-ICGA framework varies by layer — see GH-ICGA Layer Mapping column. All KSA mandatory frameworks are compliance inputs to GH-ICGA Layer 4. Frameworks with IoMT-specific provisions directly inform Layers 2 and 3.</t>
        </is>
      </c>
      <c r="AP407" s="51" t="inlineStr">
        <is>
          <t>G + C (Governance + Compliance — standard regulatory framework positioning)</t>
        </is>
      </c>
      <c r="AQ407" s="78" t="inlineStr">
        <is>
          <t>Senior management: accountability for framework compliance. Designated compliance officer: monitor requirements. All staff: awareness of applicable obligations</t>
        </is>
      </c>
      <c r="AR407" s="74" t="inlineStr">
        <is>
          <t>Regulatory Risk; Operational Risk; Reputational Risk — specific domains determined by framework scope</t>
        </is>
      </c>
      <c r="AS407" s="22" t="inlineStr">
        <is>
          <t>See official source — legal obligation, regulatory requirement, or voluntary standard as applicable</t>
        </is>
      </c>
      <c r="AT407" s="75" t="inlineStr">
        <is>
          <t>Administrative; Technical; Operational — specific distribution determined by framework content</t>
        </is>
      </c>
      <c r="AU407" s="79" t="inlineStr">
        <is>
          <t>1. Compliance status (compliant/non-compliant). 2. # open findings from last assessment. 3. % controls implemented. 4. Time to remediate findings. 5. Incident rate in framework scope area</t>
        </is>
      </c>
      <c r="AV407" s="80" t="inlineStr">
        <is>
          <t>Self-assessment; internal audit; external assessment as specified by issuing authority</t>
        </is>
      </c>
      <c r="AW407" s="81" t="inlineStr">
        <is>
          <t>ServiceNow GRC; IBM OpenPages; RSA Archer; MetricStream — all major GRC platforms support custom framework import. Contact vendor for framework-specific module</t>
        </is>
      </c>
      <c r="AX407" s="82" t="inlineStr">
        <is>
          <t>Third parties in scope must demonstrate equivalent compliance. Contractual compliance obligations; right-to-audit clauses; annual third-party assessment</t>
        </is>
      </c>
      <c r="AY407" s="83" t="inlineStr">
        <is>
          <t>Non-compliance: regulatory action by issuing authority; fines and penalties as specified; operational and reputational consequences</t>
        </is>
      </c>
      <c r="AZ407" s="80" t="inlineStr">
        <is>
          <t>ALL 17 SECTORS</t>
        </is>
      </c>
      <c r="BA407" s="34" t="inlineStr">
        <is>
          <t>YES — ALL SECTORS</t>
        </is>
      </c>
      <c r="BB407" s="591">
        <f>IF(E407="","",IF(ISNUMBER(SEARCH("Institutional theory and regulatory governance theory underpin",AI407)),"TEMPLATE",IF(LEN(AI407)&gt;100,"DEEP",IF(AI407="","SPARSE","SHALLOW"))))</f>
        <v/>
      </c>
      <c r="BC407" s="591">
        <f>IF(E407="","",D407&amp;"-"&amp;B407&amp;"-"&amp;E407)</f>
        <v/>
      </c>
      <c r="BD407" s="591">
        <f>IF(E407="","",SUBSTITUTE(SUBSTITUTE(B407&amp;"-"&amp;E407," ",""),":","-"))</f>
        <v/>
      </c>
      <c r="BE407" s="591">
        <f>IF(E407="","",IF(ISNUMBER(SEARCH("ECC",E407)),"NCA-ECC-2-2024",IF(ISNUMBER(SEARCH("OTCC",E407)),"NCA-ECC-2-2024",IF(ISNUMBER(SEARCH("CCC",E407)),"NCA-ECC-2-2024",IF(ISNUMBER(SEARCH("DCC",E407)),"NCA-ECC-2-2024",IF(ISNUMBER(SEARCH("CSCC",E407)),"NCA-ECC-2-2024",IF(ISNUMBER(SEARCH("PDPL-IR",E407)),"PDPL-2021",IF(ISNUMBER(SEARCH("PDPL-DTR",E407)),"PDPL-2021","NONE"))))))))</f>
        <v/>
      </c>
      <c r="BF407" s="594">
        <f>IF(E407="","",IF(BB407="DEEP",10,IF(BB407="SHALLOW",5,IF(BB407="TEMPLATE",3,1)))+IF(N407="HIGHEST",5,IF(N407="HIGH",3,IF(N407="MODERATE",1,0)))+IF(ISNUMBER(SEARCH("Mandatory",L407)),3,0))</f>
        <v/>
      </c>
    </row>
    <row r="408" ht="42" customHeight="1">
      <c r="A408" s="84" t="n">
        <v>359</v>
      </c>
      <c r="B408" s="411" t="inlineStr">
        <is>
          <t>MDHC</t>
        </is>
      </c>
      <c r="C408" s="70" t="inlineStr">
        <is>
          <t>Madinah Health Cluster</t>
        </is>
      </c>
      <c r="D408" s="70" t="inlineStr">
        <is>
          <t>17. Regional Health Clusters</t>
        </is>
      </c>
      <c r="E408" s="411" t="inlineStr">
        <is>
          <t>PDPL-2021</t>
        </is>
      </c>
      <c r="F408" s="72" t="inlineStr">
        <is>
          <t>Personal Data Protection Law</t>
        </is>
      </c>
      <c r="G408" s="70" t="inlineStr">
        <is>
          <t>نظام حماية البيانات الشخصية</t>
        </is>
      </c>
      <c r="H408" s="70" t="inlineStr">
        <is>
          <t>2021+IR 2023</t>
        </is>
      </c>
      <c r="I408" s="71" t="inlineStr">
        <is>
          <t>2021</t>
        </is>
      </c>
      <c r="J408" s="71" t="inlineStr">
        <is>
          <t>45</t>
        </is>
      </c>
      <c r="K408" s="70" t="inlineStr">
        <is>
          <t>MUST COMPLY WITH</t>
        </is>
      </c>
      <c r="L408" s="66" t="inlineStr">
        <is>
          <t>Mandatory Complier</t>
        </is>
      </c>
      <c r="M408" s="70" t="inlineStr">
        <is>
          <t>Madinah Health Cluster processes patient personal data</t>
        </is>
      </c>
      <c r="N408" s="86" t="inlineStr">
        <is>
          <t>HIGHEST</t>
        </is>
      </c>
      <c r="O408" s="87" t="inlineStr">
        <is>
          <t>https://sdaia.gov.sa/</t>
        </is>
      </c>
      <c r="P408" s="70" t="inlineStr">
        <is>
          <t>SDAIA</t>
        </is>
      </c>
      <c r="Q408" s="70" t="inlineStr">
        <is>
          <t>Royal Decree M/19 (16 Sep 2021) → amended Apr 2023</t>
        </is>
      </c>
      <c r="R408" s="70" t="inlineStr">
        <is>
          <t>Original (2021): 19 articles covering consent, data subject rights, controller obligations, sensitive data (health = sensitive), cross-border transfer. Apr 2023 amendment: strengthened enforcement, clarified health data provisions, aligned with PDPL-IR-2023. Grace period for compliance ended Sep 14, 2024. Penalties: up to SAR 5 million fine + 2 years imprisonment for sensitive data breach</t>
        </is>
      </c>
      <c r="S408" s="71" t="inlineStr">
        <is>
          <t>Issued: Sep 2021. Amended: Apr 2023. Fully enforceable: Sep 14, 2024</t>
        </is>
      </c>
      <c r="T408" s="70" t="inlineStr">
        <is>
          <t>SDAIA reviews annually; amendments expected 2025-2026</t>
        </is>
      </c>
      <c r="U408" s="25" t="inlineStr">
        <is>
          <t>CURRENT — fully enforceable since Sep 2024</t>
        </is>
      </c>
      <c r="V408" s="70" t="inlineStr">
        <is>
          <t>Criminal offence: up to 2 years imprisonment + SAR 3M fine for disclosing sensitive data (health data = sensitive); administrative fine up to SAR 5M; mandatory breach notification to SDAIA within 72 hours; data subject compensation claims</t>
        </is>
      </c>
      <c r="W408" s="72" t="inlineStr">
        <is>
          <t>SDAIA — Data Protection Authority (DPA functions); NDMO for government entities; courts for criminal penalties</t>
        </is>
      </c>
      <c r="X408" s="70" t="inlineStr">
        <is>
          <t>Hospital; Clinic; Lab; Pharmacy; Health IT Vendor; Health Insurer; Government Health Entity; Medical Device Manufacturer (all processing patient data)</t>
        </is>
      </c>
      <c r="Y408" s="49" t="inlineStr">
        <is>
          <t>Both + foreign entities processing data of KSA residents</t>
        </is>
      </c>
      <c r="Z408" s="70" t="inlineStr">
        <is>
          <t>SDAIA audit; controller self-assessment; DPO oversight; data subject complaints trigger investigation</t>
        </is>
      </c>
      <c r="AA408" s="71" t="inlineStr">
        <is>
          <t>Continuous (breach notification: 72 hours); annual DPO report; SDAIA random audits</t>
        </is>
      </c>
      <c r="AB408" s="70" t="inlineStr">
        <is>
          <t>12 (IoMT data minimisation; purpose limitation; consent management for wearable data; automated decision-making; data subject rights for IoMT-generated health data; cross-border transfer of IoMT data)</t>
        </is>
      </c>
      <c r="AC408" s="70" t="inlineStr">
        <is>
          <t>GDPR (substantial alignment — adequate protection basis); APEC Privacy Framework; ISO 29100; ISO 27701</t>
        </is>
      </c>
      <c r="AD408" s="49" t="inlineStr">
        <is>
          <t>Arabic (official); English translation (unofficial)</t>
        </is>
      </c>
      <c r="AE408" s="50" t="inlineStr">
        <is>
          <t>Layer 4: Compliance; Layer 2: Risk Management</t>
        </is>
      </c>
      <c r="AF408" s="60" t="inlineStr">
        <is>
          <t>No formal maturity model; SDAIA publishes compliance guidance</t>
        </is>
      </c>
      <c r="AG408" s="70" t="inlineStr">
        <is>
          <t>National Data Strategy; Vision 2030 Digital Economy; Digital Government transformation</t>
        </is>
      </c>
      <c r="AH408" s="70" t="inlineStr">
        <is>
          <t>Privacy notices; consent records; DPO appointment letter; data mapping/flow diagrams; breach notification records; DPIA for health data processing; controller registration</t>
        </is>
      </c>
      <c r="AI408" s="73" t="inlineStr">
        <is>
          <t>Privacy as fundamental right (Warren &amp; Brandeis 1890; Westin 1967). Contextual integrity theory (Nissenbaum 2004): health data flows must match medical context norms. Regulatory theory: data protection authority independence and enforcement. Information asymmetry theory: patients cannot protect their own data without regulation.</t>
        </is>
      </c>
      <c r="AJ408" s="70" t="inlineStr">
        <is>
          <t>FOR: Long-overdue — KSA had no comprehensive data protection law until 2021; health data explicitly protected as sensitive category; aligns KSA with global adequacy standards. AGAINST: Alrawabdeh (2014) and Aldawood &amp; Skinner (2019) documented Saudi privacy culture gap — regulation without public awareness is ineffective; 'GDPR-lite' criticism: exemptions broader than GDPR, enforcement weaker; health data provisions in IR still less specific than UK GDPR Schedule 1 conditions</t>
        </is>
      </c>
      <c r="AK408" s="74" t="inlineStr">
        <is>
          <t>No independent supervisory authority (SDAIA is both promoter and regulator — conflict of interest noted by Baker McKenzie 2025); patient data portability rights weaker than GDPR Article 20; no explicit right to explanation for AI-automated health decisions; cross-border transfer rules changed twice in 12 months (regulatory instability); small healthcare providers lack capacity for DPO requirements</t>
        </is>
      </c>
      <c r="AL408" s="75" t="inlineStr">
        <is>
          <t>PDPL vs GDPR: PDPL penalty lower (SAR 5M vs €20M); PDPL broader government exemptions; GDPR has independent DPA, PDPL does not. PDPL vs HIPAA: PDPL = all personal data (broader); HIPAA = US-specific health data only. PDPL vs UK GDPR: PDPL misses explicit Schedule 1 health data conditions. PDPL ahead of HIPAA on consent granularity; behind GDPR on enforcement independence</t>
        </is>
      </c>
      <c r="AM408" s="76" t="inlineStr">
        <is>
          <t>Baker McKenzie (2025) Saudi Arabia PDPL Global Data &amp; Cyber Handbook; Alrawabdeh W (2014) 'Internet and Social Media Challenges in Arab World' EJSR; Westin AF (1967) Privacy and Freedom NY Atheneum; Nissenbaum H (2004) 'Privacy as Contextual Integrity' Washington Law Review 79(1); CMS Law (2025) Saudi Arabia Data Protection &amp; Cybersecurity Expert Guide Oct 2025</t>
        </is>
      </c>
      <c r="AN408" s="50" t="inlineStr">
        <is>
          <t>Official: SDAIA website (sdaia.gov.sa) — Arabic + English. Training: IAPP CIPM/CIPP/E (privacy certifications applicable); OneTrust PDPL compliance course; Baker McKenzie PDPL compliance guide. Language: Arabic primary — strong Arabic reading recommended. Estimated: 50 hours for health sector DPO competence</t>
        </is>
      </c>
      <c r="AO408" s="77" t="inlineStr">
        <is>
          <t>PRIMARY driver for GH-ICGA Layer 4 (Compliance) — PDPL is the legal foundation for patient data governance in the preliminary GH-ICGA framework. Thesis argument: GH-ICGA Layer 4 operationalises PDPL requirements into IoMT-specific controls (consent management for wearable data; purpose limitation for monitoring streams; breach response for connected device incidents)</t>
        </is>
      </c>
      <c r="AP408" s="51" t="inlineStr">
        <is>
          <t>G + C (Governance + Compliance — strong compliance driver; risk implicit)</t>
        </is>
      </c>
      <c r="AQ408" s="78" t="inlineStr">
        <is>
          <t>Board/CEO: ultimate accountability for PDPL compliance. DPO: mandatory for large-scale health data processors — reports to highest management level. Privacy Committee: cross-functional oversight. All staff processing personal data: mandatory privacy awareness training annually</t>
        </is>
      </c>
      <c r="AR408" s="74" t="inlineStr">
        <is>
          <t>Privacy Risk (PRIMARY); Legal/Regulatory Risk; Reputational Risk; Strategic Risk (data monetisation constraints); Cross-Border Risk (data transfer restrictions)</t>
        </is>
      </c>
      <c r="AS408" s="22" t="inlineStr">
        <is>
          <t>LEGAL — Royal Decree M/19 2021 + Implementing Regulations Sep 2023. Criminal: imprisonment up to 2 years + SAR 3M fine for sensitive data disclosure. Administrative: SAR 5M maximum fine. Civil: data subject compensation claims</t>
        </is>
      </c>
      <c r="AT408" s="75" t="inlineStr">
        <is>
          <t>Administrative (A): consent management; privacy notices; DPO appointment; DPIA process; breach notification procedure. Technical (T): data minimisation; pseudonymisation; access controls for personal data; encryption. Operational (O): data retention enforcement; data subject rights fulfilment process; cross-border transfer review</t>
        </is>
      </c>
      <c r="AU408" s="79" t="inlineStr">
        <is>
          <t>1. # data subject rights requests fulfilled on time (target: 100% within 30 days). 2. # data breaches notified to SDAIA within 72h (target: 100%). 3. % staff completed privacy training (target: 100%). 4. # DPIAs completed for high-risk processing activities. 5. Data retention compliance rate (% records within policy). 6. % third-party processors with DPA agreements</t>
        </is>
      </c>
      <c r="AV408" s="80" t="inlineStr">
        <is>
          <t>Annual DPIA review; data mapping audit (controller record validation); consent record audit; breach response simulation (tabletop); access control review for personal data systems; third-party processor audit; SDAIA compliance self-assessment</t>
        </is>
      </c>
      <c r="AW408" s="81" t="inlineStr">
        <is>
          <t>OneTrust (market leader for PDPL); TrustArc; Nymity; DataGrail; Varonis (data discovery); Microsoft Purview (data classification). SDAIA National Data Governance Platform for registration. Arabic-capable tools preferred</t>
        </is>
      </c>
      <c r="AX408" s="82" t="inlineStr">
        <is>
          <t>All third-party data processors must have Data Processing Agreement (DPA). Processors must demonstrate equivalent PDPL compliance. Cross-border transfers require adequacy assessment or appropriate safeguards. Sub-processor disclosure mandatory. Annual processor risk assessment required</t>
        </is>
      </c>
      <c r="AY408" s="83" t="inlineStr">
        <is>
          <t>Non-compliance: SAR 5M administrative fine; criminal prosecution for sensitive data breach; SDAIA investigation; mandatory breach public disclosure. Business disruption: SDAIA can order processing suspension. Reputational: patient trust damage. Market: EU adequate protection status depends on PDPL enforcement credibility</t>
        </is>
      </c>
      <c r="AZ408" s="80" t="inlineStr">
        <is>
          <t>ALL 17 SECTORS — any entity processing personal data</t>
        </is>
      </c>
      <c r="BA408" s="34" t="inlineStr">
        <is>
          <t>YES — ALL SECTORS</t>
        </is>
      </c>
      <c r="BB408" s="591">
        <f>IF(E408="","",IF(ISNUMBER(SEARCH("Institutional theory and regulatory governance theory underpin",AI408)),"TEMPLATE",IF(LEN(AI408)&gt;100,"DEEP",IF(AI408="","SPARSE","SHALLOW"))))</f>
        <v/>
      </c>
      <c r="BC408" s="591">
        <f>IF(E408="","",D408&amp;"-"&amp;B408&amp;"-"&amp;E408)</f>
        <v/>
      </c>
      <c r="BD408" s="591">
        <f>IF(E408="","",SUBSTITUTE(SUBSTITUTE(B408&amp;"-"&amp;E408," ",""),":","-"))</f>
        <v/>
      </c>
      <c r="BE408" s="591">
        <f>IF(E408="","",IF(ISNUMBER(SEARCH("ECC",E408)),"NCA-ECC-2-2024",IF(ISNUMBER(SEARCH("OTCC",E408)),"NCA-ECC-2-2024",IF(ISNUMBER(SEARCH("CCC",E408)),"NCA-ECC-2-2024",IF(ISNUMBER(SEARCH("DCC",E408)),"NCA-ECC-2-2024",IF(ISNUMBER(SEARCH("CSCC",E408)),"NCA-ECC-2-2024",IF(ISNUMBER(SEARCH("PDPL-IR",E408)),"PDPL-2021",IF(ISNUMBER(SEARCH("PDPL-DTR",E408)),"PDPL-2021","NONE"))))))))</f>
        <v/>
      </c>
      <c r="BF408" s="594">
        <f>IF(E408="","",IF(BB408="DEEP",10,IF(BB408="SHALLOW",5,IF(BB408="TEMPLATE",3,1)))+IF(N408="HIGHEST",5,IF(N408="HIGH",3,IF(N408="MODERATE",1,0)))+IF(ISNUMBER(SEARCH("Mandatory",L408)),3,0))</f>
        <v/>
      </c>
    </row>
    <row r="409" ht="42" customHeight="1">
      <c r="A409" s="42" t="n">
        <v>360</v>
      </c>
      <c r="B409" s="412" t="inlineStr">
        <is>
          <t>MDHC</t>
        </is>
      </c>
      <c r="C409" s="44" t="inlineStr">
        <is>
          <t>Madinah Health Cluster</t>
        </is>
      </c>
      <c r="D409" s="44" t="inlineStr">
        <is>
          <t>17. Regional Health Clusters</t>
        </is>
      </c>
      <c r="E409" s="412" t="inlineStr">
        <is>
          <t>MOH-TELE</t>
        </is>
      </c>
      <c r="F409" s="45" t="inlineStr">
        <is>
          <t>Telemedicine Regulations</t>
        </is>
      </c>
      <c r="G409" s="44" t="inlineStr">
        <is>
          <t>لائحة الرعاية الصحية عن بعد</t>
        </is>
      </c>
      <c r="H409" s="44" t="inlineStr">
        <is>
          <t>Late 2023</t>
        </is>
      </c>
      <c r="I409" s="46" t="inlineStr">
        <is>
          <t>2020</t>
        </is>
      </c>
      <c r="J409" s="46" t="inlineStr">
        <is>
          <t>38</t>
        </is>
      </c>
      <c r="K409" s="44" t="inlineStr">
        <is>
          <t>MUST COMPLY WITH</t>
        </is>
      </c>
      <c r="L409" s="66" t="inlineStr">
        <is>
          <t>Mandatory Complier</t>
        </is>
      </c>
      <c r="M409" s="44" t="inlineStr">
        <is>
          <t>Madinah Health Cluster offering telemedicine services</t>
        </is>
      </c>
      <c r="N409" s="54" t="inlineStr">
        <is>
          <t>HIGH</t>
        </is>
      </c>
      <c r="O409" s="48" t="inlineStr">
        <is>
          <t>https://www.moh.gov.sa/en/</t>
        </is>
      </c>
      <c r="P409" s="44" t="inlineStr">
        <is>
          <t>MOH; Hammad &amp; Al-Mehdar 2025</t>
        </is>
      </c>
      <c r="Q409" s="70" t="inlineStr">
        <is>
          <t>COVID-19 emergency 2020 → comprehensive regulations late 2023</t>
        </is>
      </c>
      <c r="R409" s="70" t="inlineStr">
        <is>
          <t>2020 (emergency COVID telehealth rules): basic platform licensing, identity verification, audio/video minimum standards. Late 2023 (comprehensive update, 38 controls): platform licensing requirements; patient identity verification; cross-border telemedicine restrictions; controlled substance prescribing rules (limited); data protection (PDPL alignment); patient consent requirements; clinical documentation standards; coverage by health insurance; quality assurance audit requirements</t>
        </is>
      </c>
      <c r="S409" s="71" t="inlineStr">
        <is>
          <t>Emergency 2020. Comprehensive: late 2023</t>
        </is>
      </c>
      <c r="T409" s="70" t="inlineStr">
        <is>
          <t>Annual update; cross-border rules under active development 2025</t>
        </is>
      </c>
      <c r="U409" s="25" t="inlineStr">
        <is>
          <t>CURRENT — late 2023 comprehensive version</t>
        </is>
      </c>
      <c r="V409" s="70" t="inlineStr">
        <is>
          <t>Platform licence revocation; SAR 1M–5M fine (scale by offence); clinical professional disciplinary action by SCFHS</t>
        </is>
      </c>
      <c r="W409" s="72" t="inlineStr">
        <is>
          <t>MOH — eHealth General Directorate; CST (platform technical licensing); CCHI (insurance coverage compliance); SCFHS (clinical standards)</t>
        </is>
      </c>
      <c r="X409" s="70" t="inlineStr">
        <is>
          <t>Hospital (outpatient teleconsultation); Clinic; Health IT Vendor (platform developers); Health Insurer (reimbursement compliance)</t>
        </is>
      </c>
      <c r="Y409" s="22" t="inlineStr">
        <is>
          <t>Both</t>
        </is>
      </c>
      <c r="Z409" s="70" t="inlineStr">
        <is>
          <t>MOH platform licence audit (annual); CCHI insurance compliance check; SCFHS clinical quality audit</t>
        </is>
      </c>
      <c r="AA409" s="71" t="inlineStr">
        <is>
          <t>Annual licence renewal; random clinical quality audit</t>
        </is>
      </c>
      <c r="AB409" s="70" t="inlineStr">
        <is>
          <t>15 (remote patient monitoring integration; wearable device data for teleconsultation; IoMT vital sign display during video consultation; remote device prescription; teleICU monitoring requirements)</t>
        </is>
      </c>
      <c r="AC409" s="70" t="inlineStr">
        <is>
          <t>WHO Telemedicine Guidelines (2010/updated); ISO 13131:2021 (Telehealth); ATA (American Telemedicine Association) standards (reference)</t>
        </is>
      </c>
      <c r="AD409" s="49" t="inlineStr">
        <is>
          <t>Arabic (primary); English technical guidance</t>
        </is>
      </c>
      <c r="AE409" s="26" t="inlineStr">
        <is>
          <t>Layer 1: Governance; Layer 4: Compliance</t>
        </is>
      </c>
      <c r="AF409" s="60" t="inlineStr">
        <is>
          <t>No formal maturity model; licence tiers (basic/advanced platform)</t>
        </is>
      </c>
      <c r="AG409" s="70" t="inlineStr">
        <is>
          <t>HSTP telemedicine targets (30% uptake); SEHA Virtual Hospital; Vision 2030 healthcare access targets</t>
        </is>
      </c>
      <c r="AH409" s="70" t="inlineStr">
        <is>
          <t>Platform licence certificate; patient consent records; clinical documentation standards compliance; identity verification log; prescription records; NABIDH integration evidence</t>
        </is>
      </c>
      <c r="AI409" s="73" t="inlineStr">
        <is>
          <t>Telehealth adoption theory (LeRouge &amp; Garfield 2013): patient acceptance + clinician integration. Access theory: geography-equity argument for remote care. Digital health governance theory: platform regulation vs clinical regulation tension.</t>
        </is>
      </c>
      <c r="AJ409" s="70" t="inlineStr">
        <is>
          <t>FOR: COVID-19 proved telehealth viability at scale in KSA (Al-Ataawi et al. 2022); Sehhaty platform shows government commitment; removes geographic barriers consistent with Vision 2030 equity goals; IoMT remote monitoring reimbursement framework emerging. AGAINST: Clinical quality in telehealth still debated (Hollander &amp; Sites 2020); data sovereignty for cross-border telehealth unresolved; prescription via teleconsultation remains restricted limiting scope; rural connectivity gaps undermine access equity goal</t>
        </is>
      </c>
      <c r="AK409" s="74" t="inlineStr">
        <is>
          <t>Regulations still lag technology — VR/AR clinical applications not addressed; AI-assisted teleconsultation regulatory pathway unclear; cross-border telehealth restrictions create market fragmentation; no minimum quality standards for audio/video equipment; liability for technical failure not yet codified in regulation</t>
        </is>
      </c>
      <c r="AL409" s="75" t="inlineStr">
        <is>
          <t>MOH-TELE vs NHS TECS (UK): NHS TECS has DTAC (Digital Technology Assessment Criteria) for all digital health tools — KSA equivalent absent. MOH-TELE vs FCC/CMS telehealth (US): US has federal reimbursement codes (CPT); KSA CCHI integration still developing. MOH-TELE vs WHO Telemedicine Guidelines: broadly aligned but KSA-specific cross-border rules more restrictive than WHO recommends</t>
        </is>
      </c>
      <c r="AM409" s="76" t="inlineStr">
        <is>
          <t>Al-Ataawi A et al. (2022) 'Telehealth in Saudi Arabia During COVID-19' J Healthcare Informatics Res; Hollander JE &amp; Sites FD (2020) 'Telehealth Beyond COVID-19' NEJM 2020; Hammad &amp; Al-Mehdar (2025) Saudi Healthcare Regulatory Update; WHO (2010) Telemedicine Opportunities and Developments; LeRouge C &amp; Garfield MJ (2013) 'Crossing the Telemedicine Chasm' JAMIA 20(6)</t>
        </is>
      </c>
      <c r="AN409" s="50" t="inlineStr">
        <is>
          <t>Official: MOH website. Training: American Telemedicine Association (ATA) online courses; SEHA Virtual Hospital training programme; WHO telehealth competency framework. Estimated: 25 hours</t>
        </is>
      </c>
      <c r="AO409" s="77" t="inlineStr">
        <is>
          <t>GH-ICGA Layer 1 (Governance) — telehealth regulation defines the governance boundary for remote IoMT monitoring. Thesis relevance: GH-ICGA must address the governance overlap between MOH-TELE (clinical platform regulation) and NCA-ECC (cybersecurity) and PDPL (patient data) for remote monitoring scenarios</t>
        </is>
      </c>
      <c r="AP409" s="51" t="inlineStr">
        <is>
          <t>G + C (platform governance + clinical compliance)</t>
        </is>
      </c>
      <c r="AQ409" s="78" t="inlineStr">
        <is>
          <t>CEO: platform licence accountability. Medical Director: clinical quality governance. DPO: PDPL compliance for patient data on platform. Technical Director: platform security. Pharmacy Director: prescription management compliance</t>
        </is>
      </c>
      <c r="AR409" s="74" t="inlineStr">
        <is>
          <t>Clinical Risk (misdiagnosis via teleconsultation); Regulatory Risk (licence breach); Privacy Risk (patient data); Operational Risk (platform availability); Cross-Border Risk (international teleconsultation restrictions)</t>
        </is>
      </c>
      <c r="AS409" s="61" t="inlineStr">
        <is>
          <t>REGULATORY — MOH licensing requirement. Non-compliance: platform licence revocation; SAR 1M–5M fine; SCFHS action against clinicians</t>
        </is>
      </c>
      <c r="AT409" s="75" t="inlineStr">
        <is>
          <t>Administrative (A): 20 controls — licensing; consent; documentation; clinical protocols. Technical (T): 12 controls — platform security; identity verification; audio/video standards. Operational (O): 6 controls — prescribing workflow; referral protocol; audit trail</t>
        </is>
      </c>
      <c r="AU409" s="79" t="inlineStr">
        <is>
          <t>1. Patient consent collection rate (target 100% before each session). 2. Platform availability SLA compliance (target &gt;99.5%). 3. Identity verification success rate. 4. # clinical complaints per 1,000 teleconsultations. 5. Documentation compliance rate (target 100% consultation notes in NABIDH). 6. Prescription audit pass rate</t>
        </is>
      </c>
      <c r="AV409" s="80" t="inlineStr">
        <is>
          <t>Annual MOH licence renewal audit; CCHI insurance coverage compliance check; patient record documentation audit; platform security assessment; identity verification system test; NABIDH integration test</t>
        </is>
      </c>
      <c r="AW409" s="81" t="inlineStr">
        <is>
          <t>Sehhaty / Mawid (MOH official platforms); Nabdh; Cura Health; Vezeeta; Nubaqraa — all require MOH licensing. Security tools: FortiWeb (WAF); Auth0/Okta (identity); TeleVisit security frameworks</t>
        </is>
      </c>
      <c r="AX409" s="82" t="inlineStr">
        <is>
          <t>Platform vendors: MOH-licensed telemedicine solution mandatory; PDPL DPA required; NABIDH API certification; patient data not to be shared with third-party analytics without consent; international teleconsultation providers must be MOH-approved</t>
        </is>
      </c>
      <c r="AY409" s="83" t="inlineStr">
        <is>
          <t>Unlicensed platform: immediate shutdown; SAR fine; clinical professional disciplinary action. Licence revocation: complete business cessation. Patient harm via telemedicine: malpractice liability; SCFHS investigation</t>
        </is>
      </c>
      <c r="AZ409" s="80" t="inlineStr">
        <is>
          <t>Healthcare &amp; Life Sciences; ICT/Digital (platform providers)</t>
        </is>
      </c>
      <c r="BA409" s="41" t="inlineStr">
        <is>
          <t>Sector-Specific</t>
        </is>
      </c>
      <c r="BB409" s="591">
        <f>IF(E409="","",IF(ISNUMBER(SEARCH("Institutional theory and regulatory governance theory underpin",AI409)),"TEMPLATE",IF(LEN(AI409)&gt;100,"DEEP",IF(AI409="","SPARSE","SHALLOW"))))</f>
        <v/>
      </c>
      <c r="BC409" s="591">
        <f>IF(E409="","",D409&amp;"-"&amp;B409&amp;"-"&amp;E409)</f>
        <v/>
      </c>
      <c r="BD409" s="591">
        <f>IF(E409="","",SUBSTITUTE(SUBSTITUTE(B409&amp;"-"&amp;E409," ",""),":","-"))</f>
        <v/>
      </c>
      <c r="BE409" s="591">
        <f>IF(E409="","",IF(ISNUMBER(SEARCH("ECC",E409)),"NCA-ECC-2-2024",IF(ISNUMBER(SEARCH("OTCC",E409)),"NCA-ECC-2-2024",IF(ISNUMBER(SEARCH("CCC",E409)),"NCA-ECC-2-2024",IF(ISNUMBER(SEARCH("DCC",E409)),"NCA-ECC-2-2024",IF(ISNUMBER(SEARCH("CSCC",E409)),"NCA-ECC-2-2024",IF(ISNUMBER(SEARCH("PDPL-IR",E409)),"PDPL-2021",IF(ISNUMBER(SEARCH("PDPL-DTR",E409)),"PDPL-2021","NONE"))))))))</f>
        <v/>
      </c>
      <c r="BF409" s="594">
        <f>IF(E409="","",IF(BB409="DEEP",10,IF(BB409="SHALLOW",5,IF(BB409="TEMPLATE",3,1)))+IF(N409="HIGHEST",5,IF(N409="HIGH",3,IF(N409="MODERATE",1,0)))+IF(ISNUMBER(SEARCH("Mandatory",L409)),3,0))</f>
        <v/>
      </c>
    </row>
    <row r="410" ht="42" customHeight="1">
      <c r="A410" s="84" t="n">
        <v>361</v>
      </c>
      <c r="B410" s="411" t="inlineStr">
        <is>
          <t>MDHC</t>
        </is>
      </c>
      <c r="C410" s="70" t="inlineStr">
        <is>
          <t>Madinah Health Cluster</t>
        </is>
      </c>
      <c r="D410" s="70" t="inlineStr">
        <is>
          <t>17. Regional Health Clusters</t>
        </is>
      </c>
      <c r="E410" s="411" t="inlineStr">
        <is>
          <t>NHIC-NABIDH</t>
        </is>
      </c>
      <c r="F410" s="72" t="inlineStr">
        <is>
          <t>NABIDH EHR Platform Standard</t>
        </is>
      </c>
      <c r="G410" s="70" t="inlineStr">
        <is>
          <t>معيار منصة نبض</t>
        </is>
      </c>
      <c r="H410" s="70" t="inlineStr">
        <is>
          <t>Mandatory 2024</t>
        </is>
      </c>
      <c r="I410" s="71" t="inlineStr">
        <is>
          <t>2018</t>
        </is>
      </c>
      <c r="J410" s="71" t="inlineStr">
        <is>
          <t>40</t>
        </is>
      </c>
      <c r="K410" s="70" t="inlineStr">
        <is>
          <t>MUST COMPLY WITH</t>
        </is>
      </c>
      <c r="L410" s="66" t="inlineStr">
        <is>
          <t>Mandatory Complier</t>
        </is>
      </c>
      <c r="M410" s="70" t="inlineStr">
        <is>
          <t>Madinah Health Cluster hospitals — NABIDH interoperability</t>
        </is>
      </c>
      <c r="N410" s="86" t="inlineStr">
        <is>
          <t>HIGHEST</t>
        </is>
      </c>
      <c r="O410" s="87" t="inlineStr">
        <is>
          <t>https://nhic.gov.sa/</t>
        </is>
      </c>
      <c r="P410" s="70" t="inlineStr">
        <is>
          <t>NHIC</t>
        </is>
      </c>
      <c r="Q410" s="70" t="inlineStr">
        <is>
          <t>NABIDH launched 2018 (pilot) → FHIR R4 API 2022 → mandatory all facilities 2024</t>
        </is>
      </c>
      <c r="R410" s="70" t="inlineStr">
        <is>
          <t>2018 (pilot): 10 MOH hospitals. 2019-2021: health cluster rollout. 2022: FHIR R4 API standards published; private hospitals voluntary integration. 2023: API developer portal opened; 40 technical requirements published. 2024: MANDATORY — all healthcare facilities must connect; Private Health Institutions Law updated; penalties for non-connection: facility licensing at risk. NABIDH now the central patient data repository — 45M+ patient records as of 2024</t>
        </is>
      </c>
      <c r="S410" s="71" t="inlineStr">
        <is>
          <t>Launched: 2018. FHIR R4 API: 2022. Mandatory: 2024</t>
        </is>
      </c>
      <c r="T410" s="70" t="inlineStr">
        <is>
          <t>Continuous platform updates; API versioning quarterly</t>
        </is>
      </c>
      <c r="U410" s="25" t="inlineStr">
        <is>
          <t>CURRENT — mandatory as of 2024</t>
        </is>
      </c>
      <c r="V410" s="70" t="inlineStr">
        <is>
          <t>Facility unable to receive electronic referrals; excluded from national patient record; MOH licensing risk; procurement penalties</t>
        </is>
      </c>
      <c r="W410" s="72" t="inlineStr">
        <is>
          <t>NHIC — NABIDH Programme Office; MOH General Directorate of Health Informatics; regional health clusters</t>
        </is>
      </c>
      <c r="X410" s="70" t="inlineStr">
        <is>
          <t>Hospital; Clinic; Lab; Pharmacy — ALL healthcare facilities mandatory</t>
        </is>
      </c>
      <c r="Y410" s="22" t="inlineStr">
        <is>
          <t>Both</t>
        </is>
      </c>
      <c r="Z410" s="70" t="inlineStr">
        <is>
          <t>NHIC API conformance test; connectivity monitoring (automated); annual technical review</t>
        </is>
      </c>
      <c r="AA410" s="71" t="inlineStr">
        <is>
          <t>Continuous connectivity monitoring; annual audit</t>
        </is>
      </c>
      <c r="AB410" s="70" t="inlineStr">
        <is>
          <t>16 (NABIDH IoMT data ingestion API; remote monitoring data submission; wearable vital signs standardisation; IoMT device data consent management; IoMT-generated observation resources in FHIR)</t>
        </is>
      </c>
      <c r="AC410" s="70" t="inlineStr">
        <is>
          <t>HL7 FHIR R4 (mandatory); IHE profiles; SNOMED CT; ICD-10-CM; LOINC; HL7 CDA</t>
        </is>
      </c>
      <c r="AD410" s="49" t="inlineStr">
        <is>
          <t>Arabic + English (NABIDH technical specifications bilingual)</t>
        </is>
      </c>
      <c r="AE410" s="37" t="inlineStr">
        <is>
          <t>Layer 3: Technical Controls; Layer 4: Compliance; Layer 5: Assurance</t>
        </is>
      </c>
      <c r="AF410" s="27" t="inlineStr">
        <is>
          <t>Yes — 3 connectivity levels (Basic data exchange / Full longitudinal record / Advanced IoMT integration)</t>
        </is>
      </c>
      <c r="AG410" s="70" t="inlineStr">
        <is>
          <t>HSTP digital health; National EHR programme; NHIS integration; Vision 2030 connected healthcare</t>
        </is>
      </c>
      <c r="AH410" s="70" t="inlineStr">
        <is>
          <t>NABIDH connectivity certificate; API test results; FHIR conformance statement; patient consent records; data quality dashboard reports</t>
        </is>
      </c>
      <c r="AI410" s="73" t="inlineStr">
        <is>
          <t>Institutional theory and regulatory governance theory underpin all KSA regulatory frameworks. Specific theoretical basis varies by framework — consult academic literature via Google Scholar using framework name as search term.</t>
        </is>
      </c>
      <c r="AJ410" s="70" t="inlineStr">
        <is>
          <t>Academic debate varies by framework maturity and international adoption. For KSA-specific debate, consult: Almohammad &amp; Wills (2021) J Cybersecurity; Al-Khater et al. (2020) IEEE Access; Baker McKenzie KSA regulatory updates.</t>
        </is>
      </c>
      <c r="AK410" s="74" t="inlineStr">
        <is>
          <t>Known criticisms include: implementation gap between standards and practice; resource constraints for smaller healthcare entities; rapid technology evolution outpacing regulation. Consult framework evaluation literature for specifics.</t>
        </is>
      </c>
      <c r="AL410" s="75" t="inlineStr">
        <is>
          <t>Framework comparison requires contextual analysis. Key comparators: NIST CSF 2.0 (international benchmark), ISO 27001 (certifiable standard), ECC-2 (KSA mandatory baseline). See main database for cross-framework mapping.</t>
        </is>
      </c>
      <c r="AM410"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10" s="50" t="inlineStr">
        <is>
          <t>Official: Consult the official source URL in the database for the primary document. Training: ISACA, ISC2, RAPS, IAPP, and HIMSS offer professional development covering most regulatory domains. Estimated hours vary by framework complexity.</t>
        </is>
      </c>
      <c r="AO410" s="77" t="inlineStr">
        <is>
          <t>Relevance to GH-ICGA framework varies by layer — see GH-ICGA Layer Mapping column. All KSA mandatory frameworks are compliance inputs to GH-ICGA Layer 4. Frameworks with IoMT-specific provisions directly inform Layers 2 and 3.</t>
        </is>
      </c>
      <c r="AP410" s="51" t="inlineStr">
        <is>
          <t>G + C (Governance + Compliance — standard regulatory framework positioning)</t>
        </is>
      </c>
      <c r="AQ410" s="78" t="inlineStr">
        <is>
          <t>Senior management: accountability for framework compliance. Designated compliance officer: monitor requirements. All staff: awareness of applicable obligations</t>
        </is>
      </c>
      <c r="AR410" s="74" t="inlineStr">
        <is>
          <t>Regulatory Risk; Operational Risk; Reputational Risk — specific domains determined by framework scope</t>
        </is>
      </c>
      <c r="AS410" s="22" t="inlineStr">
        <is>
          <t>See official source — legal obligation, regulatory requirement, or voluntary standard as applicable</t>
        </is>
      </c>
      <c r="AT410" s="75" t="inlineStr">
        <is>
          <t>Administrative; Technical; Operational — specific distribution determined by framework content</t>
        </is>
      </c>
      <c r="AU410" s="79" t="inlineStr">
        <is>
          <t>1. Compliance status (compliant/non-compliant). 2. # open findings from last assessment. 3. % controls implemented. 4. Time to remediate findings. 5. Incident rate in framework scope area</t>
        </is>
      </c>
      <c r="AV410" s="80" t="inlineStr">
        <is>
          <t>Self-assessment; internal audit; external assessment as specified by issuing authority</t>
        </is>
      </c>
      <c r="AW410" s="81" t="inlineStr">
        <is>
          <t>ServiceNow GRC; IBM OpenPages; RSA Archer; MetricStream — all major GRC platforms support custom framework import. Contact vendor for framework-specific module</t>
        </is>
      </c>
      <c r="AX410" s="82" t="inlineStr">
        <is>
          <t>Third parties in scope must demonstrate equivalent compliance. Contractual compliance obligations; right-to-audit clauses; annual third-party assessment</t>
        </is>
      </c>
      <c r="AY410" s="83" t="inlineStr">
        <is>
          <t>Non-compliance: regulatory action by issuing authority; fines and penalties as specified; operational and reputational consequences</t>
        </is>
      </c>
      <c r="AZ410" s="80" t="inlineStr">
        <is>
          <t>Healthcare &amp; Life Sciences</t>
        </is>
      </c>
      <c r="BA410" s="41" t="inlineStr">
        <is>
          <t>Sector-Specific</t>
        </is>
      </c>
      <c r="BB410" s="591">
        <f>IF(E410="","",IF(ISNUMBER(SEARCH("Institutional theory and regulatory governance theory underpin",AI410)),"TEMPLATE",IF(LEN(AI410)&gt;100,"DEEP",IF(AI410="","SPARSE","SHALLOW"))))</f>
        <v/>
      </c>
      <c r="BC410" s="591">
        <f>IF(E410="","",D410&amp;"-"&amp;B410&amp;"-"&amp;E410)</f>
        <v/>
      </c>
      <c r="BD410" s="591">
        <f>IF(E410="","",SUBSTITUTE(SUBSTITUTE(B410&amp;"-"&amp;E410," ",""),":","-"))</f>
        <v/>
      </c>
      <c r="BE410" s="591">
        <f>IF(E410="","",IF(ISNUMBER(SEARCH("ECC",E410)),"NCA-ECC-2-2024",IF(ISNUMBER(SEARCH("OTCC",E410)),"NCA-ECC-2-2024",IF(ISNUMBER(SEARCH("CCC",E410)),"NCA-ECC-2-2024",IF(ISNUMBER(SEARCH("DCC",E410)),"NCA-ECC-2-2024",IF(ISNUMBER(SEARCH("CSCC",E410)),"NCA-ECC-2-2024",IF(ISNUMBER(SEARCH("PDPL-IR",E410)),"PDPL-2021",IF(ISNUMBER(SEARCH("PDPL-DTR",E410)),"PDPL-2021","NONE"))))))))</f>
        <v/>
      </c>
      <c r="BF410" s="594">
        <f>IF(E410="","",IF(BB410="DEEP",10,IF(BB410="SHALLOW",5,IF(BB410="TEMPLATE",3,1)))+IF(N410="HIGHEST",5,IF(N410="HIGH",3,IF(N410="MODERATE",1,0)))+IF(ISNUMBER(SEARCH("Mandatory",L410)),3,0))</f>
        <v/>
      </c>
    </row>
    <row r="411" ht="42" customHeight="1">
      <c r="A411" s="42" t="n">
        <v>362</v>
      </c>
      <c r="B411" s="412" t="inlineStr">
        <is>
          <t>MDHC</t>
        </is>
      </c>
      <c r="C411" s="44" t="inlineStr">
        <is>
          <t>Madinah Health Cluster</t>
        </is>
      </c>
      <c r="D411" s="44" t="inlineStr">
        <is>
          <t>17. Regional Health Clusters</t>
        </is>
      </c>
      <c r="E411" s="412" t="inlineStr">
        <is>
          <t>NCA-OTCC</t>
        </is>
      </c>
      <c r="F411" s="45" t="inlineStr">
        <is>
          <t>OT Cybersecurity Controls</t>
        </is>
      </c>
      <c r="G411" s="44" t="inlineStr">
        <is>
          <t>ضوابط الأمن السيبراني للتقنيات التشغيلية</t>
        </is>
      </c>
      <c r="H411" s="44" t="inlineStr">
        <is>
          <t>OTCC-1:2022</t>
        </is>
      </c>
      <c r="I411" s="46" t="inlineStr">
        <is>
          <t>2022</t>
        </is>
      </c>
      <c r="J411" s="46" t="inlineStr">
        <is>
          <t>53</t>
        </is>
      </c>
      <c r="K411" s="44" t="inlineStr">
        <is>
          <t>MUST COMPLY WITH</t>
        </is>
      </c>
      <c r="L411" s="66" t="inlineStr">
        <is>
          <t>Mandatory Complier</t>
        </is>
      </c>
      <c r="M411" s="44" t="inlineStr">
        <is>
          <t>Madinah Health Cluster medical device OT networks — CNI designation</t>
        </is>
      </c>
      <c r="N411" s="47" t="inlineStr">
        <is>
          <t>HIGHEST</t>
        </is>
      </c>
      <c r="O411" s="48" t="inlineStr">
        <is>
          <t>https://nca.gov.sa/</t>
        </is>
      </c>
      <c r="P411" s="44" t="inlineStr">
        <is>
          <t>NCA OTCC</t>
        </is>
      </c>
      <c r="Q411" s="70" t="inlineStr">
        <is>
          <t>See official source for version history</t>
        </is>
      </c>
      <c r="R411" s="70" t="inlineStr">
        <is>
          <t>Framework issued by the relevant authority. Version details available on the official website referenced in the source URL column. The framework has been updated periodically since first issuance.</t>
        </is>
      </c>
      <c r="S411" s="71" t="inlineStr">
        <is>
          <t>See official source</t>
        </is>
      </c>
      <c r="T411" s="70" t="inlineStr">
        <is>
          <t>Updated as needed by the issuing authority</t>
        </is>
      </c>
      <c r="U411" s="25" t="inlineStr">
        <is>
          <t>CURRENT — consult official source for latest version</t>
        </is>
      </c>
      <c r="V411" s="70" t="inlineStr">
        <is>
          <t>Penalties defined by issuing authority; consult official source. NCA ECC-2 penalties apply if relevant</t>
        </is>
      </c>
      <c r="W411" s="72" t="inlineStr">
        <is>
          <t>Issuing authority and/or designated inspection department</t>
        </is>
      </c>
      <c r="X411" s="70" t="inlineStr">
        <is>
          <t>As specified in framework scope — consult official document</t>
        </is>
      </c>
      <c r="Y411" s="49" t="inlineStr">
        <is>
          <t>Both (unless specified otherwise in official document)</t>
        </is>
      </c>
      <c r="Z411" s="70" t="inlineStr">
        <is>
          <t>As defined by issuing authority</t>
        </is>
      </c>
      <c r="AA411" s="71" t="inlineStr">
        <is>
          <t>As defined by issuing authority</t>
        </is>
      </c>
      <c r="AB411" s="70" t="inlineStr">
        <is>
          <t>To be determined from framework text — see official source</t>
        </is>
      </c>
      <c r="AC411" s="70" t="inlineStr">
        <is>
          <t>See framework preamble for international standard references</t>
        </is>
      </c>
      <c r="AD411" s="49" t="inlineStr">
        <is>
          <t>Arabic (primary in KSA); English may be available</t>
        </is>
      </c>
      <c r="AE411" s="58" t="inlineStr">
        <is>
          <t>Mapped to relevant GH-ICGA layer — requires manual assessment</t>
        </is>
      </c>
      <c r="AF411" s="56" t="inlineStr">
        <is>
          <t>See official framework for maturity model details</t>
        </is>
      </c>
      <c r="AG411" s="70" t="inlineStr">
        <is>
          <t>Aligned with relevant Vision 2030 programme — see framework context</t>
        </is>
      </c>
      <c r="AH411" s="70" t="inlineStr">
        <is>
          <t>As specified in framework compliance requirements</t>
        </is>
      </c>
      <c r="AI411" s="73" t="inlineStr">
        <is>
          <t>Institutional theory and regulatory governance theory underpin all KSA regulatory frameworks. Specific theoretical basis varies by framework — consult academic literature via Google Scholar using framework name as search term.</t>
        </is>
      </c>
      <c r="AJ411" s="70" t="inlineStr">
        <is>
          <t>Academic debate varies by framework maturity and international adoption. For KSA-specific debate, consult: Almohammad &amp; Wills (2021) J Cybersecurity; Al-Khater et al. (2020) IEEE Access; Baker McKenzie KSA regulatory updates.</t>
        </is>
      </c>
      <c r="AK411" s="74" t="inlineStr">
        <is>
          <t>Known criticisms include: implementation gap between standards and practice; resource constraints for smaller healthcare entities; rapid technology evolution outpacing regulation. Consult framework evaluation literature for specifics.</t>
        </is>
      </c>
      <c r="AL411" s="75" t="inlineStr">
        <is>
          <t>Framework comparison requires contextual analysis. Key comparators: NIST CSF 2.0 (international benchmark), ISO 27001 (certifiable standard), ECC-2 (KSA mandatory baseline). See main database for cross-framework mapping.</t>
        </is>
      </c>
      <c r="AM411"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11" s="50" t="inlineStr">
        <is>
          <t>Official: Consult the official source URL in the database for the primary document. Training: ISACA, ISC2, RAPS, IAPP, and HIMSS offer professional development covering most regulatory domains. Estimated hours vary by framework complexity.</t>
        </is>
      </c>
      <c r="AO411" s="77" t="inlineStr">
        <is>
          <t>Relevance to GH-ICGA framework varies by layer — see GH-ICGA Layer Mapping column. All KSA mandatory frameworks are compliance inputs to GH-ICGA Layer 4. Frameworks with IoMT-specific provisions directly inform Layers 2 and 3.</t>
        </is>
      </c>
      <c r="AP411" s="53" t="inlineStr">
        <is>
          <t>R + C (Risk and Compliance — technically oriented; governance implied)</t>
        </is>
      </c>
      <c r="AQ411" s="78" t="inlineStr">
        <is>
          <t>CISO/OT Security Manager: own OTCC compliance. Clinical Engineering/Biomedical Engineering: co-responsible for medical device OT compliance. CTO: responsible for OT architecture. Board: informed of OT risk posture annually. OT security roles: Saudi nationals required per ECC-2 Saudisation mandate</t>
        </is>
      </c>
      <c r="AR411" s="74" t="inlineStr">
        <is>
          <t>Cyber Risk (OT/ICS); Operational Risk (process disruption); Physical Safety Risk (clinical impact of OT compromise); Supply Chain Risk (OT vendor remote access); Availability Risk (OT always-on requirement)</t>
        </is>
      </c>
      <c r="AS411" s="22" t="inlineStr">
        <is>
          <t>LEGAL — Mandatory for CNI OT operators under NCA-REG-2024. Hospitals as CNI: healthcare OT networks are in scope. Penalties: NCA-REG-2024 (SAR 25M max) + potential operational shutdown of non-compliant OT systems</t>
        </is>
      </c>
      <c r="AT411" s="75" t="inlineStr">
        <is>
          <t>Technical (T): 40 controls — OT network segmentation; secure remote access; OT monitoring; patch management for ICS. Administrative (A): 8 controls — OT governance; vendor management; OT incident response. Operational (O): 5 controls — OT change management; OT BCP</t>
        </is>
      </c>
      <c r="AU411" s="79" t="inlineStr">
        <is>
          <t>1. % OT assets inventoried (target 100%). 2. % OT systems with current patches within defined window. 3. # OT network zone violations detected. 4. % third-party OT vendor accesses logged. 5. OT system availability rate (target &gt;99.9% for life-critical). 6. Time-to-detect OT anomaly (target &lt;15 min for CNI)</t>
        </is>
      </c>
      <c r="AV411" s="80" t="inlineStr">
        <is>
          <t>OT vulnerability scan (passive — non-disruptive tools: Claroty, Nozomi, Dragos); OT network traffic analysis; OT penetration test (annual — must not disrupt clinical operations); vendor remote access audit; zone/conduit diagram validation</t>
        </is>
      </c>
      <c r="AW411" s="81" t="inlineStr">
        <is>
          <t>Claroty (medical IoT OT visibility); Nozomi Networks; Dragos; Tenable.ot; Fortinet OT; Medigate (healthcare-specific OT). For GRC integration: ServiceNow OT module; IBM QRadar SIEM with OT signatures</t>
        </is>
      </c>
      <c r="AX411" s="82" t="inlineStr">
        <is>
          <t>All OT vendors with remote access: mandatory access logging; time-limited access; multi-factor authentication; vendor security assessment before engagement; NDA for OT architecture access; OT vendor incident notification within 4 hours</t>
        </is>
      </c>
      <c r="AY411" s="83" t="inlineStr">
        <is>
          <t>OT breach in hospital: potential life-critical impact (ventilator, infusion pump disruption); NCA shutdown order; SAR 25M fine; criminal referral; SFDA recall if device compromise detected; massive reputational and legal exposure</t>
        </is>
      </c>
      <c r="AZ411" s="80" t="inlineStr">
        <is>
          <t>Sector-specific — consult official source</t>
        </is>
      </c>
      <c r="BA411" s="41" t="inlineStr">
        <is>
          <t>Sector-Specific</t>
        </is>
      </c>
      <c r="BB411" s="591">
        <f>IF(E411="","",IF(ISNUMBER(SEARCH("Institutional theory and regulatory governance theory underpin",AI411)),"TEMPLATE",IF(LEN(AI411)&gt;100,"DEEP",IF(AI411="","SPARSE","SHALLOW"))))</f>
        <v/>
      </c>
      <c r="BC411" s="591">
        <f>IF(E411="","",D411&amp;"-"&amp;B411&amp;"-"&amp;E411)</f>
        <v/>
      </c>
      <c r="BD411" s="591">
        <f>IF(E411="","",SUBSTITUTE(SUBSTITUTE(B411&amp;"-"&amp;E411," ",""),":","-"))</f>
        <v/>
      </c>
      <c r="BE411" s="591">
        <f>IF(E411="","",IF(ISNUMBER(SEARCH("ECC",E411)),"NCA-ECC-2-2024",IF(ISNUMBER(SEARCH("OTCC",E411)),"NCA-ECC-2-2024",IF(ISNUMBER(SEARCH("CCC",E411)),"NCA-ECC-2-2024",IF(ISNUMBER(SEARCH("DCC",E411)),"NCA-ECC-2-2024",IF(ISNUMBER(SEARCH("CSCC",E411)),"NCA-ECC-2-2024",IF(ISNUMBER(SEARCH("PDPL-IR",E411)),"PDPL-2021",IF(ISNUMBER(SEARCH("PDPL-DTR",E411)),"PDPL-2021","NONE"))))))))</f>
        <v/>
      </c>
      <c r="BF411" s="594">
        <f>IF(E411="","",IF(BB411="DEEP",10,IF(BB411="SHALLOW",5,IF(BB411="TEMPLATE",3,1)))+IF(N411="HIGHEST",5,IF(N411="HIGH",3,IF(N411="MODERATE",1,0)))+IF(ISNUMBER(SEARCH("Mandatory",L411)),3,0))</f>
        <v/>
      </c>
    </row>
    <row r="412" ht="42" customHeight="1">
      <c r="A412" s="84" t="n">
        <v>363</v>
      </c>
      <c r="B412" s="411" t="inlineStr">
        <is>
          <t>EKHC</t>
        </is>
      </c>
      <c r="C412" s="70" t="inlineStr">
        <is>
          <t>Eastern Region Health Cluster</t>
        </is>
      </c>
      <c r="D412" s="70" t="inlineStr">
        <is>
          <t>17. Regional Health Clusters</t>
        </is>
      </c>
      <c r="E412" s="411" t="inlineStr">
        <is>
          <t>MOH-HIS</t>
        </is>
      </c>
      <c r="F412" s="72" t="inlineStr">
        <is>
          <t>Health Information System Standards</t>
        </is>
      </c>
      <c r="G412" s="70" t="inlineStr">
        <is>
          <t>معايير نظم المعلومات الصحية</t>
        </is>
      </c>
      <c r="H412" s="70" t="inlineStr">
        <is>
          <t>2024 update</t>
        </is>
      </c>
      <c r="I412" s="71" t="inlineStr">
        <is>
          <t>2010</t>
        </is>
      </c>
      <c r="J412" s="71" t="inlineStr">
        <is>
          <t>112</t>
        </is>
      </c>
      <c r="K412" s="70" t="inlineStr">
        <is>
          <t>MUST COMPLY WITH</t>
        </is>
      </c>
      <c r="L412" s="66" t="inlineStr">
        <is>
          <t>Mandatory Complier</t>
        </is>
      </c>
      <c r="M412" s="70" t="inlineStr">
        <is>
          <t>Eastern Region Health Cluster hospitals — mandatory HIS compliance</t>
        </is>
      </c>
      <c r="N412" s="86" t="inlineStr">
        <is>
          <t>HIGHEST</t>
        </is>
      </c>
      <c r="O412" s="87" t="inlineStr">
        <is>
          <t>https://www.moh.gov.sa/en/</t>
        </is>
      </c>
      <c r="P412" s="70" t="inlineStr">
        <is>
          <t>MOH official</t>
        </is>
      </c>
      <c r="Q412" s="70" t="inlineStr">
        <is>
          <t>First issued ~2010 → comprehensive update 2022 → mandatory EMR update 2024</t>
        </is>
      </c>
      <c r="R412" s="70" t="inlineStr">
        <is>
          <t>Progressive standards covering: 2010 (basic EHR requirements); 2015 (interoperability standards added); 2018 (NABIDH integration); 2020 (mobile health and telemedicine modules); 2022 (comprehensive 112-control update covering clinical systems, imaging, medication management, emergency, genomics, training); 2024 (mandatory EMR adoption for all MOH and private facilities aligned with NABIDH)</t>
        </is>
      </c>
      <c r="S412" s="71" t="inlineStr">
        <is>
          <t>First: 2010. Major update: 2022. EMR mandate: 2024</t>
        </is>
      </c>
      <c r="T412" s="70" t="inlineStr">
        <is>
          <t>Updated with NABIDH platform releases; typically annual minor updates</t>
        </is>
      </c>
      <c r="U412" s="25" t="inlineStr">
        <is>
          <t>CURRENT — 2024 version mandatory</t>
        </is>
      </c>
      <c r="V412" s="70" t="inlineStr">
        <is>
          <t>MOH facility licensing at risk; mandatory corrective action plan; financial penalties under Private Health Institutions Law; non-compliant systems barred from NABIDH connectivity</t>
        </is>
      </c>
      <c r="W412" s="72" t="inlineStr">
        <is>
          <t>MOH — Directorate of Health Information (DHI); regional health cluster inspection teams; NHIC for interoperability compliance</t>
        </is>
      </c>
      <c r="X412" s="70" t="inlineStr">
        <is>
          <t>Hospital; Clinic; Lab; Pharmacy (hospital); Government Health Entity</t>
        </is>
      </c>
      <c r="Y412" s="49" t="inlineStr">
        <is>
          <t>Both (mandatory for MOH facilities; mandatory for private facilities since 2024 PHILAW update)</t>
        </is>
      </c>
      <c r="Z412" s="70" t="inlineStr">
        <is>
          <t>MOH annual IT audit; NHIC interoperability assessment; CBAHI HIT standards review during accreditation</t>
        </is>
      </c>
      <c r="AA412" s="71" t="inlineStr">
        <is>
          <t>Annual MOH audit; NABIDH connectivity continuous monitoring</t>
        </is>
      </c>
      <c r="AB412" s="70" t="inlineStr">
        <is>
          <t>28 (medical device integration into HIS; alarm management; device data capture; IoMT workflow integration; remote monitoring data ingestion; device incident reporting to HIS)</t>
        </is>
      </c>
      <c r="AC412" s="70" t="inlineStr">
        <is>
          <t>HL7 FHIR R4 (interoperability); IHE profiles (integration); ISO 27799:2016 (health ISMS); DICOM (imaging)</t>
        </is>
      </c>
      <c r="AD412" s="49" t="inlineStr">
        <is>
          <t>Arabic (primary); English technical annexes</t>
        </is>
      </c>
      <c r="AE412" s="26" t="inlineStr">
        <is>
          <t>Layer 1: Governance; Layer 3: Technical Controls; Layer 4: Compliance</t>
        </is>
      </c>
      <c r="AF412" s="27" t="inlineStr">
        <is>
          <t>Yes — 4 implementation levels (Basic / Intermediate / Advanced / Optimised); MOH tracks facility scores</t>
        </is>
      </c>
      <c r="AG412" s="70" t="inlineStr">
        <is>
          <t>HSTP digital health; NABIDH national EHR; Vision 2030 healthcare quality targets</t>
        </is>
      </c>
      <c r="AH412" s="70" t="inlineStr">
        <is>
          <t>HIS system documentation; NABIDH connectivity certificate; interoperability test results; staff training records; system access audit logs; downtime contingency procedure</t>
        </is>
      </c>
      <c r="AI412" s="73" t="inlineStr">
        <is>
          <t>Health informatics systems theory (Shortliffe &amp; Cimino 2006): HIS as sociotechnical infrastructure. Interoperability theory (Kuperman 2011): semantic/syntactic/organisational interoperability levels. Technology adoption theory (TAM — Davis 1989): clinician adoption barriers to HIS.</t>
        </is>
      </c>
      <c r="AJ412" s="70" t="inlineStr">
        <is>
          <t>FOR: National standardisation essential for patient safety continuity (WHO 2019); NABIDH integration creates longitudinal patient record unavailable previously; IoMT data integration requirements push hospitals toward modern system architectures. AGAINST: Ajami &amp; Bagheri-Tadi (2013) and Aloudah et al. (2021) document implementation-reality gap in Saudi HIS — standards exist but compliance varies widely by facility tier; urban-rural HIS capacity gap poorly addressed; cybersecurity requirements within HIS standards historically weak (pre-NABIDH)</t>
        </is>
      </c>
      <c r="AK412" s="74" t="inlineStr">
        <is>
          <t>112 controls create compliance burden without proportionality guidance; small private clinics face disproportionate compliance cost; no formal HIS certification programme — self-declaration accepted; IoMT data standards not harmonised with international HL7 FHIR profiles; historical emphasis on data capture over data quality</t>
        </is>
      </c>
      <c r="AL412" s="75" t="inlineStr">
        <is>
          <t>MOH-HIS vs NHS Digital standards (UK): NHS has legally binding DCB standards with enforcement; MOH-HIS is ministerial directive with softer enforcement. MOH-HIS vs ONC Health IT Certification (US): US has federal certification; KSA moving toward certification (NABIDH conformance). MOH-HIS + NHIC-NABIDH = closest to ONC approach in KSA</t>
        </is>
      </c>
      <c r="AM412" s="76" t="inlineStr">
        <is>
          <t>Ajami S &amp; Bagheri-Tadi T (2013) 'Barriers for Adopting Electronic Health Records' MateriaSociomed 25(3); Aloudah N et al. (2021) 'Digital Health in Saudi Arabia' Sustainability 13(12); Shortliffe EH &amp; Cimino JJ (2006) Biomedical Informatics Springer; WHO (2019) Classification of Digital Interventions; Alotaibi YK &amp; Federico F (2017) 'Impact of Health IT on Patient Safety' Saudi Medical J 38(12)</t>
        </is>
      </c>
      <c r="AN412" s="50" t="inlineStr">
        <is>
          <t>Official: MOH website (moh.gov.sa). Training: CPHIMS (Certified Professional Health Informatics &amp; Information Management); HL7 FHIR Foundational (HL7.org); NHIC developer portal training (nhic.gov.sa). Language: Arabic primary. Estimated: 45 hours</t>
        </is>
      </c>
      <c r="AO412" s="77" t="inlineStr">
        <is>
          <t>GH-ICGA Layer 1 (Governance) + Layer 3 (Technical Controls) — MOH-HIS is the clinical data governance backbone that the preliminary GH-ICGA IoMT framework must integrate with. Thesis: GH-ICGA IoMT data model must align with HIS data standards to ensure IoMT device data flows into the national health record coherently</t>
        </is>
      </c>
      <c r="AP412" s="34" t="inlineStr">
        <is>
          <t>G + R + C (all three — clinical information governance foundation)</t>
        </is>
      </c>
      <c r="AQ412" s="78" t="inlineStr">
        <is>
          <t>Hospital CEO: accountable for HIS compliance. CIO/CMIO: responsible for HIS implementation and NABIDH connectivity. Clinical Informatics Committee: govern HIS standards adoption. Department Heads: responsible for clinical data quality in their systems</t>
        </is>
      </c>
      <c r="AR412" s="74" t="inlineStr">
        <is>
          <t>Operational Risk (HIS downtime = clinical risk); Patient Safety Risk; Data Quality Risk; Regulatory Risk (MOH non-compliance); Interoperability Risk (NABIDH disconnection)</t>
        </is>
      </c>
      <c r="AS412" s="61" t="inlineStr">
        <is>
          <t>REGULATORY — MOH ministerial directive. Mandatory for all licensed facilities. Non-compliance risks licensing. Enforced through MOH annual audit and NABIDH connectivity monitoring</t>
        </is>
      </c>
      <c r="AT412" s="75" t="inlineStr">
        <is>
          <t>Technical (T): 68 controls — system architecture; integration; security; availability; backup. Administrative (A): 28 controls — data governance; policies; training; documentation. Operational (O): 16 controls — downtime procedures; change management; vendor management</t>
        </is>
      </c>
      <c r="AU412" s="79" t="inlineStr">
        <is>
          <t>1. NABIDH connectivity status (connected/disconnected). 2. HIS downtime incidents per month (target &lt;4h/month). 3. Data quality score (completeness/accuracy) from NABIDH reports. 4. % clinical staff trained on HIS (target 100%). 5. Time-to-restore HIS after failure (target &lt;4h). 6. # HIS security incidents per quarter</t>
        </is>
      </c>
      <c r="AV412" s="80" t="inlineStr">
        <is>
          <t>Annual MOH HIS audit (documentation + system walk-through); NABIDH API conformance test (NHIC automated); data quality audit; HIS security assessment; downtime procedure simulation; user access review</t>
        </is>
      </c>
      <c r="AW412" s="81" t="inlineStr">
        <is>
          <t>Epic; Cerner (Oracle Health); Philips Tasy EMR; Meditech; InterSystems HealthShare — all NABIDH-integrated. For compliance: ServiceNow Healthcare; Qualio (quality management); NHIC developer portal for FHIR conformance testing</t>
        </is>
      </c>
      <c r="AX412" s="82" t="inlineStr">
        <is>
          <t>HIS vendors: must be MOH-approved/NABIDH-certified; contractual data protection obligations; source code escrow for critical systems; SLA for 99.9% uptime; mandatory SFDA notification if HIS failure affects medical devices; annual security assessment of HIS vendors</t>
        </is>
      </c>
      <c r="AY412" s="83" t="inlineStr">
        <is>
          <t>Non-compliance: MOH corrective action; facility licence conditions; NABIDH disconnection (loss of referrals, national patient record access); PHILAW 2024 penalties for private facilities. Clinical impact: patient safety risk from poor data quality or HIS unavailability</t>
        </is>
      </c>
      <c r="AZ412" s="80" t="inlineStr">
        <is>
          <t>Healthcare &amp; Life Sciences</t>
        </is>
      </c>
      <c r="BA412" s="41" t="inlineStr">
        <is>
          <t>Sector-Specific</t>
        </is>
      </c>
      <c r="BB412" s="591">
        <f>IF(E412="","",IF(ISNUMBER(SEARCH("Institutional theory and regulatory governance theory underpin",AI412)),"TEMPLATE",IF(LEN(AI412)&gt;100,"DEEP",IF(AI412="","SPARSE","SHALLOW"))))</f>
        <v/>
      </c>
      <c r="BC412" s="591">
        <f>IF(E412="","",D412&amp;"-"&amp;B412&amp;"-"&amp;E412)</f>
        <v/>
      </c>
      <c r="BD412" s="591">
        <f>IF(E412="","",SUBSTITUTE(SUBSTITUTE(B412&amp;"-"&amp;E412," ",""),":","-"))</f>
        <v/>
      </c>
      <c r="BE412" s="591">
        <f>IF(E412="","",IF(ISNUMBER(SEARCH("ECC",E412)),"NCA-ECC-2-2024",IF(ISNUMBER(SEARCH("OTCC",E412)),"NCA-ECC-2-2024",IF(ISNUMBER(SEARCH("CCC",E412)),"NCA-ECC-2-2024",IF(ISNUMBER(SEARCH("DCC",E412)),"NCA-ECC-2-2024",IF(ISNUMBER(SEARCH("CSCC",E412)),"NCA-ECC-2-2024",IF(ISNUMBER(SEARCH("PDPL-IR",E412)),"PDPL-2021",IF(ISNUMBER(SEARCH("PDPL-DTR",E412)),"PDPL-2021","NONE"))))))))</f>
        <v/>
      </c>
      <c r="BF412" s="594">
        <f>IF(E412="","",IF(BB412="DEEP",10,IF(BB412="SHALLOW",5,IF(BB412="TEMPLATE",3,1)))+IF(N412="HIGHEST",5,IF(N412="HIGH",3,IF(N412="MODERATE",1,0)))+IF(ISNUMBER(SEARCH("Mandatory",L412)),3,0))</f>
        <v/>
      </c>
    </row>
    <row r="413" ht="42" customHeight="1">
      <c r="A413" s="42" t="n">
        <v>364</v>
      </c>
      <c r="B413" s="412" t="inlineStr">
        <is>
          <t>EKHC</t>
        </is>
      </c>
      <c r="C413" s="44" t="inlineStr">
        <is>
          <t>Eastern Region Health Cluster</t>
        </is>
      </c>
      <c r="D413" s="44" t="inlineStr">
        <is>
          <t>17. Regional Health Clusters</t>
        </is>
      </c>
      <c r="E413" s="412" t="inlineStr">
        <is>
          <t>MOH-EMR-NABIDH</t>
        </is>
      </c>
      <c r="F413" s="45" t="inlineStr">
        <is>
          <t>EMR Standards / NABIDH</t>
        </is>
      </c>
      <c r="G413" s="44" t="inlineStr">
        <is>
          <t>معايير السجل الصحي الإلكتروني / نبض</t>
        </is>
      </c>
      <c r="H413" s="44" t="inlineStr">
        <is>
          <t>Mandatory 2024</t>
        </is>
      </c>
      <c r="I413" s="46" t="inlineStr">
        <is>
          <t>2010</t>
        </is>
      </c>
      <c r="J413" s="46" t="inlineStr">
        <is>
          <t>52</t>
        </is>
      </c>
      <c r="K413" s="44" t="inlineStr">
        <is>
          <t>MUST COMPLY WITH</t>
        </is>
      </c>
      <c r="L413" s="66" t="inlineStr">
        <is>
          <t>Mandatory Complier</t>
        </is>
      </c>
      <c r="M413" s="44" t="inlineStr">
        <is>
          <t>Eastern Region Health Cluster — mandatory NABIDH connectivity 2024</t>
        </is>
      </c>
      <c r="N413" s="47" t="inlineStr">
        <is>
          <t>HIGHEST</t>
        </is>
      </c>
      <c r="O413" s="48" t="inlineStr">
        <is>
          <t>https://www.moh.gov.sa/en/</t>
        </is>
      </c>
      <c r="P413" s="44" t="inlineStr">
        <is>
          <t>MOH/NHIC</t>
        </is>
      </c>
      <c r="Q413" s="70" t="inlineStr">
        <is>
          <t>NABIDH platform launched ~2018 → mandatory EMR adoption for all facilities 2024</t>
        </is>
      </c>
      <c r="R413" s="70" t="inlineStr">
        <is>
          <t>NABIDH (National Unified EHR Platform): v1 2018 (pilot MOH hospitals); 2019-2021 (rollout to health clusters); 2022 (private hospital voluntary integration); 2023 (API standards published based on FHIR R4); 2024 (mandatory for ALL healthcare facilities per Private Health Institutions Law update — complete patient longitudinal record across facilities). EMR standard covers 52 functional requirements including: CPOE, medication reconciliation, imaging integration, patient portal, audit logs</t>
        </is>
      </c>
      <c r="S413" s="71" t="inlineStr">
        <is>
          <t>NABIDH launched: 2018. Mandatory for all: 2024</t>
        </is>
      </c>
      <c r="T413" s="70" t="inlineStr">
        <is>
          <t>Continuously updated with NABIDH platform releases</t>
        </is>
      </c>
      <c r="U413" s="25" t="inlineStr">
        <is>
          <t>CURRENT — mandatory since 2024</t>
        </is>
      </c>
      <c r="V413" s="70" t="inlineStr">
        <is>
          <t>Facility licensing revocation; MOH enforcement action; barred from government referrals; penalties under PHILAW 2024</t>
        </is>
      </c>
      <c r="W413" s="72" t="inlineStr">
        <is>
          <t>MOH — NABIDH Programme Office; NHIC; regional health clusters monitor connectivity</t>
        </is>
      </c>
      <c r="X413" s="70" t="inlineStr">
        <is>
          <t>Hospital; Clinic; Lab; Pharmacy; Government Health Entity — ALL healthcare facilities mandatory</t>
        </is>
      </c>
      <c r="Y413" s="49" t="inlineStr">
        <is>
          <t>Both (mandatory since 2024 PHILAW update for all facilities)</t>
        </is>
      </c>
      <c r="Z413" s="70" t="inlineStr">
        <is>
          <t>NHIC connectivity assessment; NABIDH API conformance testing; MOH annual audit</t>
        </is>
      </c>
      <c r="AA413" s="71" t="inlineStr">
        <is>
          <t>Continuous (NABIDH connectivity monitored in real time); annual formal audit</t>
        </is>
      </c>
      <c r="AB413" s="70" t="inlineStr">
        <is>
          <t>22 (IoMT data integration to NABIDH: wearable data ingestion API; remote monitoring feeds; device-generated vital signs; medical device alerts to patient record; IoMT consent management in EHR)</t>
        </is>
      </c>
      <c r="AC413" s="70" t="inlineStr">
        <is>
          <t>HL7 FHIR R4; IHE (Integrating the Healthcare Enterprise); SNOMED CT; ICD-10; LOINC</t>
        </is>
      </c>
      <c r="AD413" s="49" t="inlineStr">
        <is>
          <t>Arabic + English (NABIDH technical specifications bilingual)</t>
        </is>
      </c>
      <c r="AE413" s="26" t="inlineStr">
        <is>
          <t>Layer 1: Governance; Layer 3: Technical Controls; Layer 4: Compliance; Layer 5: Assurance</t>
        </is>
      </c>
      <c r="AF413" s="27" t="inlineStr">
        <is>
          <t>Yes — NABIDH connectivity levels (1: Basic data exchange; 2: Full longitudinal record; 3: Advanced interoperability with IoMT); MOH tracks facility level</t>
        </is>
      </c>
      <c r="AG413" s="70" t="inlineStr">
        <is>
          <t>HSTP digital health transformation; NABIDH national EHR; NHIS claims integration</t>
        </is>
      </c>
      <c r="AH413" s="70" t="inlineStr">
        <is>
          <t>NABIDH connectivity certificate; API integration test reports; patient consent records for data sharing; EHR system validation; data quality reports</t>
        </is>
      </c>
      <c r="AI413" s="73" t="inlineStr">
        <is>
          <t>Institutional theory and regulatory governance theory underpin all KSA regulatory frameworks. Specific theoretical basis varies by framework — consult academic literature via Google Scholar using framework name as search term.</t>
        </is>
      </c>
      <c r="AJ413" s="70" t="inlineStr">
        <is>
          <t>Academic debate varies by framework maturity and international adoption. For KSA-specific debate, consult: Almohammad &amp; Wills (2021) J Cybersecurity; Al-Khater et al. (2020) IEEE Access; Baker McKenzie KSA regulatory updates.</t>
        </is>
      </c>
      <c r="AK413" s="74" t="inlineStr">
        <is>
          <t>Known criticisms include: implementation gap between standards and practice; resource constraints for smaller healthcare entities; rapid technology evolution outpacing regulation. Consult framework evaluation literature for specifics.</t>
        </is>
      </c>
      <c r="AL413" s="75" t="inlineStr">
        <is>
          <t>Framework comparison requires contextual analysis. Key comparators: NIST CSF 2.0 (international benchmark), ISO 27001 (certifiable standard), ECC-2 (KSA mandatory baseline). See main database for cross-framework mapping.</t>
        </is>
      </c>
      <c r="AM413"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13" s="50" t="inlineStr">
        <is>
          <t>Official: Consult the official source URL in the database for the primary document. Training: ISACA, ISC2, RAPS, IAPP, and HIMSS offer professional development covering most regulatory domains. Estimated hours vary by framework complexity.</t>
        </is>
      </c>
      <c r="AO413" s="77" t="inlineStr">
        <is>
          <t>Relevance to GH-ICGA framework varies by layer — see GH-ICGA Layer Mapping column. All KSA mandatory frameworks are compliance inputs to GH-ICGA Layer 4. Frameworks with IoMT-specific provisions directly inform Layers 2 and 3.</t>
        </is>
      </c>
      <c r="AP413" s="51" t="inlineStr">
        <is>
          <t>G + C (Governance + Compliance — standard regulatory framework positioning)</t>
        </is>
      </c>
      <c r="AQ413" s="78" t="inlineStr">
        <is>
          <t>Senior management: accountability for framework compliance. Designated compliance officer: monitor requirements. All staff: awareness of applicable obligations</t>
        </is>
      </c>
      <c r="AR413" s="74" t="inlineStr">
        <is>
          <t>Regulatory Risk; Operational Risk; Reputational Risk — specific domains determined by framework scope</t>
        </is>
      </c>
      <c r="AS413" s="22" t="inlineStr">
        <is>
          <t>See official source — legal obligation, regulatory requirement, or voluntary standard as applicable</t>
        </is>
      </c>
      <c r="AT413" s="75" t="inlineStr">
        <is>
          <t>Administrative; Technical; Operational — specific distribution determined by framework content</t>
        </is>
      </c>
      <c r="AU413" s="79" t="inlineStr">
        <is>
          <t>1. Compliance status (compliant/non-compliant). 2. # open findings from last assessment. 3. % controls implemented. 4. Time to remediate findings. 5. Incident rate in framework scope area</t>
        </is>
      </c>
      <c r="AV413" s="80" t="inlineStr">
        <is>
          <t>Self-assessment; internal audit; external assessment as specified by issuing authority</t>
        </is>
      </c>
      <c r="AW413" s="81" t="inlineStr">
        <is>
          <t>ServiceNow GRC; IBM OpenPages; RSA Archer; MetricStream — all major GRC platforms support custom framework import. Contact vendor for framework-specific module</t>
        </is>
      </c>
      <c r="AX413" s="82" t="inlineStr">
        <is>
          <t>Third parties in scope must demonstrate equivalent compliance. Contractual compliance obligations; right-to-audit clauses; annual third-party assessment</t>
        </is>
      </c>
      <c r="AY413" s="83" t="inlineStr">
        <is>
          <t>Non-compliance: regulatory action by issuing authority; fines and penalties as specified; operational and reputational consequences</t>
        </is>
      </c>
      <c r="AZ413" s="80" t="inlineStr">
        <is>
          <t>Healthcare &amp; Life Sciences</t>
        </is>
      </c>
      <c r="BA413" s="41" t="inlineStr">
        <is>
          <t>Sector-Specific</t>
        </is>
      </c>
      <c r="BB413" s="591">
        <f>IF(E413="","",IF(ISNUMBER(SEARCH("Institutional theory and regulatory governance theory underpin",AI413)),"TEMPLATE",IF(LEN(AI413)&gt;100,"DEEP",IF(AI413="","SPARSE","SHALLOW"))))</f>
        <v/>
      </c>
      <c r="BC413" s="591">
        <f>IF(E413="","",D413&amp;"-"&amp;B413&amp;"-"&amp;E413)</f>
        <v/>
      </c>
      <c r="BD413" s="591">
        <f>IF(E413="","",SUBSTITUTE(SUBSTITUTE(B413&amp;"-"&amp;E413," ",""),":","-"))</f>
        <v/>
      </c>
      <c r="BE413" s="591">
        <f>IF(E413="","",IF(ISNUMBER(SEARCH("ECC",E413)),"NCA-ECC-2-2024",IF(ISNUMBER(SEARCH("OTCC",E413)),"NCA-ECC-2-2024",IF(ISNUMBER(SEARCH("CCC",E413)),"NCA-ECC-2-2024",IF(ISNUMBER(SEARCH("DCC",E413)),"NCA-ECC-2-2024",IF(ISNUMBER(SEARCH("CSCC",E413)),"NCA-ECC-2-2024",IF(ISNUMBER(SEARCH("PDPL-IR",E413)),"PDPL-2021",IF(ISNUMBER(SEARCH("PDPL-DTR",E413)),"PDPL-2021","NONE"))))))))</f>
        <v/>
      </c>
      <c r="BF413" s="594">
        <f>IF(E413="","",IF(BB413="DEEP",10,IF(BB413="SHALLOW",5,IF(BB413="TEMPLATE",3,1)))+IF(N413="HIGHEST",5,IF(N413="HIGH",3,IF(N413="MODERATE",1,0)))+IF(ISNUMBER(SEARCH("Mandatory",L413)),3,0))</f>
        <v/>
      </c>
    </row>
    <row r="414" ht="42" customHeight="1">
      <c r="A414" s="84" t="n">
        <v>365</v>
      </c>
      <c r="B414" s="411" t="inlineStr">
        <is>
          <t>EKHC</t>
        </is>
      </c>
      <c r="C414" s="70" t="inlineStr">
        <is>
          <t>Eastern Region Health Cluster</t>
        </is>
      </c>
      <c r="D414" s="70" t="inlineStr">
        <is>
          <t>17. Regional Health Clusters</t>
        </is>
      </c>
      <c r="E414" s="411" t="inlineStr">
        <is>
          <t>MOH-PS</t>
        </is>
      </c>
      <c r="F414" s="72" t="inlineStr">
        <is>
          <t>Patient Safety Standards</t>
        </is>
      </c>
      <c r="G414" s="70" t="inlineStr">
        <is>
          <t>معايير سلامة المريض</t>
        </is>
      </c>
      <c r="H414" s="70" t="inlineStr">
        <is>
          <t>2024 update</t>
        </is>
      </c>
      <c r="I414" s="71" t="inlineStr">
        <is>
          <t>2015</t>
        </is>
      </c>
      <c r="J414" s="71" t="inlineStr">
        <is>
          <t>72</t>
        </is>
      </c>
      <c r="K414" s="70" t="inlineStr">
        <is>
          <t>MUST COMPLY WITH</t>
        </is>
      </c>
      <c r="L414" s="66" t="inlineStr">
        <is>
          <t>Mandatory Complier</t>
        </is>
      </c>
      <c r="M414" s="70" t="inlineStr">
        <is>
          <t>Eastern Region Health Cluster — patient safety compliance</t>
        </is>
      </c>
      <c r="N414" s="86" t="inlineStr">
        <is>
          <t>HIGHEST</t>
        </is>
      </c>
      <c r="O414" s="87" t="inlineStr">
        <is>
          <t>https://www.moh.gov.sa/en/</t>
        </is>
      </c>
      <c r="P414" s="70" t="inlineStr">
        <is>
          <t>MOH official</t>
        </is>
      </c>
      <c r="Q414" s="70" t="inlineStr">
        <is>
          <t>First issued ~2015 → updates 2020 → 2024 update</t>
        </is>
      </c>
      <c r="R414" s="70" t="inlineStr">
        <is>
          <t>Based on WHO and JCI patient safety frameworks. Covers: patient identification (minimum 2 identifiers), medication safety (high-alert medications protocol), surgical safety checklist, falls prevention, infection control, critical value reporting, handover communications (SBAR). 2020 update added COVID-19 IPC protocols. 2024 update adds IoMT device safety (alarm fatigue management, device connectivity requirements)</t>
        </is>
      </c>
      <c r="S414" s="71" t="inlineStr">
        <is>
          <t>First: ~2015. Updated: 2020, 2024</t>
        </is>
      </c>
      <c r="T414" s="70" t="inlineStr">
        <is>
          <t>Annual review with MOH patient safety incidents data</t>
        </is>
      </c>
      <c r="U414" s="25" t="inlineStr">
        <is>
          <t>CURRENT — 2024 version</t>
        </is>
      </c>
      <c r="V414" s="70" t="inlineStr">
        <is>
          <t>MOH corrective action order; facility licence conditions; public safety alert; criminal liability for gross negligence</t>
        </is>
      </c>
      <c r="W414" s="72" t="inlineStr">
        <is>
          <t>MOH — Patient Safety Centre; regional health cluster inspection; CBAHI (patient safety standards embedded in accreditation)</t>
        </is>
      </c>
      <c r="X414" s="70" t="inlineStr">
        <is>
          <t>Hospital; Clinic; Government Health Entity</t>
        </is>
      </c>
      <c r="Y414" s="22" t="inlineStr">
        <is>
          <t>Both</t>
        </is>
      </c>
      <c r="Z414" s="70" t="inlineStr">
        <is>
          <t>Annual MOH patient safety inspection; CBAHI survey (integrated); incident investigation</t>
        </is>
      </c>
      <c r="AA414" s="71" t="inlineStr">
        <is>
          <t>Annual; triggered by serious adverse event</t>
        </is>
      </c>
      <c r="AB414" s="70" t="inlineStr">
        <is>
          <t>14 (alarm fatigue management for IoMT devices; connected infusion pump safety; IV smart pump drug library governance; patient ID for IoMT devices; device failure response procedures; remote monitoring alert management)</t>
        </is>
      </c>
      <c r="AC414" s="70" t="inlineStr">
        <is>
          <t>WHO Patient Safety Challenges (Global Patient Safety Action Plan 2021-2030); JCI Patient Safety Goals; The Joint Commission NPSG</t>
        </is>
      </c>
      <c r="AD414" s="49" t="inlineStr">
        <is>
          <t>Arabic (primary); English reference</t>
        </is>
      </c>
      <c r="AE414" s="26" t="inlineStr">
        <is>
          <t>Layer 1: Governance; Layer 4: Compliance</t>
        </is>
      </c>
      <c r="AF414" s="27" t="inlineStr">
        <is>
          <t>Yes — patient safety maturity levels (Safety-I to Safety-III); MOH tracks facility scores</t>
        </is>
      </c>
      <c r="AG414" s="70" t="inlineStr">
        <is>
          <t>HSTP patient safety; Vision 2030 quality targets; National Patient Safety Centre</t>
        </is>
      </c>
      <c r="AH414" s="70" t="inlineStr">
        <is>
          <t>Incident reporting system data; patient safety walkround records; fall prevention audit; medication safety audit; CBAHI patient safety standards compliance</t>
        </is>
      </c>
      <c r="AI414" s="73" t="inlineStr">
        <is>
          <t>Institutional theory and regulatory governance theory underpin all KSA regulatory frameworks. Specific theoretical basis varies by framework — consult academic literature via Google Scholar using framework name as search term.</t>
        </is>
      </c>
      <c r="AJ414" s="70" t="inlineStr">
        <is>
          <t>Academic debate varies by framework maturity and international adoption. For KSA-specific debate, consult: Almohammad &amp; Wills (2021) J Cybersecurity; Al-Khater et al. (2020) IEEE Access; Baker McKenzie KSA regulatory updates.</t>
        </is>
      </c>
      <c r="AK414" s="74" t="inlineStr">
        <is>
          <t>Known criticisms include: implementation gap between standards and practice; resource constraints for smaller healthcare entities; rapid technology evolution outpacing regulation. Consult framework evaluation literature for specifics.</t>
        </is>
      </c>
      <c r="AL414" s="75" t="inlineStr">
        <is>
          <t>Framework comparison requires contextual analysis. Key comparators: NIST CSF 2.0 (international benchmark), ISO 27001 (certifiable standard), ECC-2 (KSA mandatory baseline). See main database for cross-framework mapping.</t>
        </is>
      </c>
      <c r="AM414"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14" s="50" t="inlineStr">
        <is>
          <t>Official: Consult the official source URL in the database for the primary document. Training: ISACA, ISC2, RAPS, IAPP, and HIMSS offer professional development covering most regulatory domains. Estimated hours vary by framework complexity.</t>
        </is>
      </c>
      <c r="AO414" s="77" t="inlineStr">
        <is>
          <t>Relevance to GH-ICGA framework varies by layer — see GH-ICGA Layer Mapping column. All KSA mandatory frameworks are compliance inputs to GH-ICGA Layer 4. Frameworks with IoMT-specific provisions directly inform Layers 2 and 3.</t>
        </is>
      </c>
      <c r="AP414" s="51" t="inlineStr">
        <is>
          <t>G + C (Governance + Compliance — standard regulatory framework positioning)</t>
        </is>
      </c>
      <c r="AQ414" s="78" t="inlineStr">
        <is>
          <t>Senior management: accountability for framework compliance. Designated compliance officer: monitor requirements. All staff: awareness of applicable obligations</t>
        </is>
      </c>
      <c r="AR414" s="74" t="inlineStr">
        <is>
          <t>Regulatory Risk; Operational Risk; Reputational Risk — specific domains determined by framework scope</t>
        </is>
      </c>
      <c r="AS414" s="22" t="inlineStr">
        <is>
          <t>See official source — legal obligation, regulatory requirement, or voluntary standard as applicable</t>
        </is>
      </c>
      <c r="AT414" s="75" t="inlineStr">
        <is>
          <t>Administrative; Technical; Operational — specific distribution determined by framework content</t>
        </is>
      </c>
      <c r="AU414" s="79" t="inlineStr">
        <is>
          <t>1. Compliance status (compliant/non-compliant). 2. # open findings from last assessment. 3. % controls implemented. 4. Time to remediate findings. 5. Incident rate in framework scope area</t>
        </is>
      </c>
      <c r="AV414" s="80" t="inlineStr">
        <is>
          <t>Self-assessment; internal audit; external assessment as specified by issuing authority</t>
        </is>
      </c>
      <c r="AW414" s="81" t="inlineStr">
        <is>
          <t>ServiceNow GRC; IBM OpenPages; RSA Archer; MetricStream — all major GRC platforms support custom framework import. Contact vendor for framework-specific module</t>
        </is>
      </c>
      <c r="AX414" s="82" t="inlineStr">
        <is>
          <t>Third parties in scope must demonstrate equivalent compliance. Contractual compliance obligations; right-to-audit clauses; annual third-party assessment</t>
        </is>
      </c>
      <c r="AY414" s="83" t="inlineStr">
        <is>
          <t>Non-compliance: regulatory action by issuing authority; fines and penalties as specified; operational and reputational consequences</t>
        </is>
      </c>
      <c r="AZ414" s="80" t="inlineStr">
        <is>
          <t>Healthcare &amp; Life Sciences</t>
        </is>
      </c>
      <c r="BA414" s="41" t="inlineStr">
        <is>
          <t>Sector-Specific</t>
        </is>
      </c>
      <c r="BB414" s="591">
        <f>IF(E414="","",IF(ISNUMBER(SEARCH("Institutional theory and regulatory governance theory underpin",AI414)),"TEMPLATE",IF(LEN(AI414)&gt;100,"DEEP",IF(AI414="","SPARSE","SHALLOW"))))</f>
        <v/>
      </c>
      <c r="BC414" s="591">
        <f>IF(E414="","",D414&amp;"-"&amp;B414&amp;"-"&amp;E414)</f>
        <v/>
      </c>
      <c r="BD414" s="591">
        <f>IF(E414="","",SUBSTITUTE(SUBSTITUTE(B414&amp;"-"&amp;E414," ",""),":","-"))</f>
        <v/>
      </c>
      <c r="BE414" s="591">
        <f>IF(E414="","",IF(ISNUMBER(SEARCH("ECC",E414)),"NCA-ECC-2-2024",IF(ISNUMBER(SEARCH("OTCC",E414)),"NCA-ECC-2-2024",IF(ISNUMBER(SEARCH("CCC",E414)),"NCA-ECC-2-2024",IF(ISNUMBER(SEARCH("DCC",E414)),"NCA-ECC-2-2024",IF(ISNUMBER(SEARCH("CSCC",E414)),"NCA-ECC-2-2024",IF(ISNUMBER(SEARCH("PDPL-IR",E414)),"PDPL-2021",IF(ISNUMBER(SEARCH("PDPL-DTR",E414)),"PDPL-2021","NONE"))))))))</f>
        <v/>
      </c>
      <c r="BF414" s="594">
        <f>IF(E414="","",IF(BB414="DEEP",10,IF(BB414="SHALLOW",5,IF(BB414="TEMPLATE",3,1)))+IF(N414="HIGHEST",5,IF(N414="HIGH",3,IF(N414="MODERATE",1,0)))+IF(ISNUMBER(SEARCH("Mandatory",L414)),3,0))</f>
        <v/>
      </c>
    </row>
    <row r="415" ht="42" customHeight="1">
      <c r="A415" s="42" t="n">
        <v>366</v>
      </c>
      <c r="B415" s="412" t="inlineStr">
        <is>
          <t>EKHC</t>
        </is>
      </c>
      <c r="C415" s="44" t="inlineStr">
        <is>
          <t>Eastern Region Health Cluster</t>
        </is>
      </c>
      <c r="D415" s="44" t="inlineStr">
        <is>
          <t>17. Regional Health Clusters</t>
        </is>
      </c>
      <c r="E415" s="412" t="inlineStr">
        <is>
          <t>MOH-PR</t>
        </is>
      </c>
      <c r="F415" s="45" t="inlineStr">
        <is>
          <t>Patient Rights Charter</t>
        </is>
      </c>
      <c r="G415" s="44" t="inlineStr">
        <is>
          <t>ميثاق حقوق المريض</t>
        </is>
      </c>
      <c r="H415" s="44" t="inlineStr">
        <is>
          <t>2019</t>
        </is>
      </c>
      <c r="I415" s="46" t="inlineStr">
        <is>
          <t>2012</t>
        </is>
      </c>
      <c r="J415" s="46" t="inlineStr">
        <is>
          <t>45</t>
        </is>
      </c>
      <c r="K415" s="44" t="inlineStr">
        <is>
          <t>MUST COMPLY WITH</t>
        </is>
      </c>
      <c r="L415" s="66" t="inlineStr">
        <is>
          <t>Mandatory Complier</t>
        </is>
      </c>
      <c r="M415" s="44" t="inlineStr">
        <is>
          <t>Eastern Region Health Cluster facilities</t>
        </is>
      </c>
      <c r="N415" s="54" t="inlineStr">
        <is>
          <t>HIGH</t>
        </is>
      </c>
      <c r="O415" s="48" t="inlineStr">
        <is>
          <t>https://www.moh.gov.sa/en/</t>
        </is>
      </c>
      <c r="P415" s="44" t="inlineStr">
        <is>
          <t>MOH official</t>
        </is>
      </c>
      <c r="Q415" s="70" t="inlineStr">
        <is>
          <t>First Charter ~2012 → updated 2019</t>
        </is>
      </c>
      <c r="R415" s="70" t="inlineStr">
        <is>
          <t>45 rights and obligations. Key provisions: informed consent (including electronic consent for telemedicine), right to access medical records (digital access through NABIDH patient portal), right to privacy of health information, right to refuse treatment, right to second opinion. 2019 update added digital health rights (right to data portability from health apps)</t>
        </is>
      </c>
      <c r="S415" s="71" t="inlineStr">
        <is>
          <t>First: ~2012. Updated: 2019</t>
        </is>
      </c>
      <c r="T415" s="70" t="inlineStr">
        <is>
          <t>Review 2024-2025 expected to add AI/algorithmic transparency rights</t>
        </is>
      </c>
      <c r="U415" s="25" t="inlineStr">
        <is>
          <t>CURRENT — 2019 version</t>
        </is>
      </c>
      <c r="V415" s="70" t="inlineStr">
        <is>
          <t>Penalties defined by issuing authority; consult official source. NCA ECC-2 penalties apply if relevant</t>
        </is>
      </c>
      <c r="W415" s="72" t="inlineStr">
        <is>
          <t>Issuing authority and/or designated inspection department</t>
        </is>
      </c>
      <c r="X415" s="70" t="inlineStr">
        <is>
          <t>As specified in framework scope — consult official document</t>
        </is>
      </c>
      <c r="Y415" s="49" t="inlineStr">
        <is>
          <t>Both (unless specified otherwise in official document)</t>
        </is>
      </c>
      <c r="Z415" s="70" t="inlineStr">
        <is>
          <t>As defined by issuing authority</t>
        </is>
      </c>
      <c r="AA415" s="71" t="inlineStr">
        <is>
          <t>As defined by issuing authority</t>
        </is>
      </c>
      <c r="AB415" s="70" t="inlineStr">
        <is>
          <t>To be determined from framework text — see official source</t>
        </is>
      </c>
      <c r="AC415" s="70" t="inlineStr">
        <is>
          <t>See framework preamble for international standard references</t>
        </is>
      </c>
      <c r="AD415" s="49" t="inlineStr">
        <is>
          <t>Arabic (primary in KSA); English may be available</t>
        </is>
      </c>
      <c r="AE415" s="58" t="inlineStr">
        <is>
          <t>Mapped to relevant GH-ICGA layer — requires manual assessment</t>
        </is>
      </c>
      <c r="AF415" s="56" t="inlineStr">
        <is>
          <t>See official framework for maturity model details</t>
        </is>
      </c>
      <c r="AG415" s="70" t="inlineStr">
        <is>
          <t>Aligned with relevant Vision 2030 programme — see framework context</t>
        </is>
      </c>
      <c r="AH415" s="70" t="inlineStr">
        <is>
          <t>As specified in framework compliance requirements</t>
        </is>
      </c>
      <c r="AI415" s="73" t="inlineStr">
        <is>
          <t>Institutional theory and regulatory governance theory underpin all KSA regulatory frameworks. Specific theoretical basis varies by framework — consult academic literature via Google Scholar using framework name as search term.</t>
        </is>
      </c>
      <c r="AJ415" s="70" t="inlineStr">
        <is>
          <t>Academic debate varies by framework maturity and international adoption. For KSA-specific debate, consult: Almohammad &amp; Wills (2021) J Cybersecurity; Al-Khater et al. (2020) IEEE Access; Baker McKenzie KSA regulatory updates.</t>
        </is>
      </c>
      <c r="AK415" s="74" t="inlineStr">
        <is>
          <t>Known criticisms include: implementation gap between standards and practice; resource constraints for smaller healthcare entities; rapid technology evolution outpacing regulation. Consult framework evaluation literature for specifics.</t>
        </is>
      </c>
      <c r="AL415" s="75" t="inlineStr">
        <is>
          <t>Framework comparison requires contextual analysis. Key comparators: NIST CSF 2.0 (international benchmark), ISO 27001 (certifiable standard), ECC-2 (KSA mandatory baseline). See main database for cross-framework mapping.</t>
        </is>
      </c>
      <c r="AM415"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15" s="50" t="inlineStr">
        <is>
          <t>Official: Consult the official source URL in the database for the primary document. Training: ISACA, ISC2, RAPS, IAPP, and HIMSS offer professional development covering most regulatory domains. Estimated hours vary by framework complexity.</t>
        </is>
      </c>
      <c r="AO415" s="77" t="inlineStr">
        <is>
          <t>Relevance to GH-ICGA framework varies by layer — see GH-ICGA Layer Mapping column. All KSA mandatory frameworks are compliance inputs to GH-ICGA Layer 4. Frameworks with IoMT-specific provisions directly inform Layers 2 and 3.</t>
        </is>
      </c>
      <c r="AP415" s="51" t="inlineStr">
        <is>
          <t>G + C (Governance + Compliance — standard regulatory framework positioning)</t>
        </is>
      </c>
      <c r="AQ415" s="78" t="inlineStr">
        <is>
          <t>Senior management: accountability for framework compliance. Designated compliance officer: monitor requirements. All staff: awareness of applicable obligations</t>
        </is>
      </c>
      <c r="AR415" s="74" t="inlineStr">
        <is>
          <t>Regulatory Risk; Operational Risk; Reputational Risk — specific domains determined by framework scope</t>
        </is>
      </c>
      <c r="AS415" s="22" t="inlineStr">
        <is>
          <t>See official source — legal obligation, regulatory requirement, or voluntary standard as applicable</t>
        </is>
      </c>
      <c r="AT415" s="75" t="inlineStr">
        <is>
          <t>Administrative; Technical; Operational — specific distribution determined by framework content</t>
        </is>
      </c>
      <c r="AU415" s="79" t="inlineStr">
        <is>
          <t>1. Compliance status (compliant/non-compliant). 2. # open findings from last assessment. 3. % controls implemented. 4. Time to remediate findings. 5. Incident rate in framework scope area</t>
        </is>
      </c>
      <c r="AV415" s="80" t="inlineStr">
        <is>
          <t>Self-assessment; internal audit; external assessment as specified by issuing authority</t>
        </is>
      </c>
      <c r="AW415" s="81" t="inlineStr">
        <is>
          <t>ServiceNow GRC; IBM OpenPages; RSA Archer; MetricStream — all major GRC platforms support custom framework import. Contact vendor for framework-specific module</t>
        </is>
      </c>
      <c r="AX415" s="82" t="inlineStr">
        <is>
          <t>Third parties in scope must demonstrate equivalent compliance. Contractual compliance obligations; right-to-audit clauses; annual third-party assessment</t>
        </is>
      </c>
      <c r="AY415" s="83" t="inlineStr">
        <is>
          <t>Non-compliance: regulatory action by issuing authority; fines and penalties as specified; operational and reputational consequences</t>
        </is>
      </c>
      <c r="AZ415" s="80" t="inlineStr">
        <is>
          <t>Healthcare &amp; Life Sciences</t>
        </is>
      </c>
      <c r="BA415" s="41" t="inlineStr">
        <is>
          <t>Sector-Specific</t>
        </is>
      </c>
      <c r="BB415" s="591">
        <f>IF(E415="","",IF(ISNUMBER(SEARCH("Institutional theory and regulatory governance theory underpin",AI415)),"TEMPLATE",IF(LEN(AI415)&gt;100,"DEEP",IF(AI415="","SPARSE","SHALLOW"))))</f>
        <v/>
      </c>
      <c r="BC415" s="591">
        <f>IF(E415="","",D415&amp;"-"&amp;B415&amp;"-"&amp;E415)</f>
        <v/>
      </c>
      <c r="BD415" s="591">
        <f>IF(E415="","",SUBSTITUTE(SUBSTITUTE(B415&amp;"-"&amp;E415," ",""),":","-"))</f>
        <v/>
      </c>
      <c r="BE415" s="591">
        <f>IF(E415="","",IF(ISNUMBER(SEARCH("ECC",E415)),"NCA-ECC-2-2024",IF(ISNUMBER(SEARCH("OTCC",E415)),"NCA-ECC-2-2024",IF(ISNUMBER(SEARCH("CCC",E415)),"NCA-ECC-2-2024",IF(ISNUMBER(SEARCH("DCC",E415)),"NCA-ECC-2-2024",IF(ISNUMBER(SEARCH("CSCC",E415)),"NCA-ECC-2-2024",IF(ISNUMBER(SEARCH("PDPL-IR",E415)),"PDPL-2021",IF(ISNUMBER(SEARCH("PDPL-DTR",E415)),"PDPL-2021","NONE"))))))))</f>
        <v/>
      </c>
      <c r="BF415" s="594">
        <f>IF(E415="","",IF(BB415="DEEP",10,IF(BB415="SHALLOW",5,IF(BB415="TEMPLATE",3,1)))+IF(N415="HIGHEST",5,IF(N415="HIGH",3,IF(N415="MODERATE",1,0)))+IF(ISNUMBER(SEARCH("Mandatory",L415)),3,0))</f>
        <v/>
      </c>
    </row>
    <row r="416" ht="42" customHeight="1">
      <c r="A416" s="84" t="n">
        <v>367</v>
      </c>
      <c r="B416" s="411" t="inlineStr">
        <is>
          <t>EKHC</t>
        </is>
      </c>
      <c r="C416" s="70" t="inlineStr">
        <is>
          <t>Eastern Region Health Cluster</t>
        </is>
      </c>
      <c r="D416" s="70" t="inlineStr">
        <is>
          <t>17. Regional Health Clusters</t>
        </is>
      </c>
      <c r="E416" s="411" t="inlineStr">
        <is>
          <t>CBAHI-HAS-H</t>
        </is>
      </c>
      <c r="F416" s="72" t="inlineStr">
        <is>
          <t>Hospital Accreditation Standards</t>
        </is>
      </c>
      <c r="G416" s="70" t="inlineStr">
        <is>
          <t>معايير اعتماد المستشفيات</t>
        </is>
      </c>
      <c r="H416" s="70" t="inlineStr">
        <is>
          <t>5th Ed. 2021</t>
        </is>
      </c>
      <c r="I416" s="71" t="inlineStr">
        <is>
          <t>2008</t>
        </is>
      </c>
      <c r="J416" s="71" t="inlineStr">
        <is>
          <t>298</t>
        </is>
      </c>
      <c r="K416" s="70" t="inlineStr">
        <is>
          <t>MUST COMPLY WITH</t>
        </is>
      </c>
      <c r="L416" s="92" t="inlineStr">
        <is>
          <t>Voluntary</t>
        </is>
      </c>
      <c r="M416" s="70" t="inlineStr">
        <is>
          <t>Eastern Region Health Cluster hospitals pursuing CBAHI accreditation</t>
        </is>
      </c>
      <c r="N416" s="86" t="inlineStr">
        <is>
          <t>HIGHEST</t>
        </is>
      </c>
      <c r="O416" s="87" t="inlineStr">
        <is>
          <t>https://www.cbahi.gov.sa/</t>
        </is>
      </c>
      <c r="P416" s="70" t="inlineStr">
        <is>
          <t>CBAHI official</t>
        </is>
      </c>
      <c r="Q416" s="70" t="inlineStr">
        <is>
          <t>1st Ed 2008 → 2nd Ed 2011 → 3rd Ed 2014 → 4th Ed 2017 → 5th Ed 2021</t>
        </is>
      </c>
      <c r="R416" s="70" t="inlineStr">
        <is>
          <t>5th Edition (2021, current): 298 standards across domains including Patient and Family Rights, Patient Assessment, Care of Patients, Patient Safety, Medication Management, Infection Prevention, Facility Management, Staff Qualifications, Quality Improvement, Governance, HIT (Health Information Technology). HIT standards require EMR, NABIDH connectivity, access control, audit trails, downtime procedures. IoMT requirements added in 5th Ed: medical device integration standards, alarm management policy. Benchmarked against JCI standards</t>
        </is>
      </c>
      <c r="S416" s="71" t="inlineStr">
        <is>
          <t>1st Ed: 2008. 2nd: 2011. 3rd: 2014. 4th: 2017. 5th: 2021</t>
        </is>
      </c>
      <c r="T416" s="70" t="inlineStr">
        <is>
          <t>6th Edition expected 2025-2026</t>
        </is>
      </c>
      <c r="U416" s="25" t="inlineStr">
        <is>
          <t>CURRENT — 5th Edition 2021</t>
        </is>
      </c>
      <c r="V416" s="70" t="inlineStr">
        <is>
          <t>Accreditation denial; accreditation suspension; accreditation withdrawal; MOH facility licensing risk (accreditation linked to licensing in practice)</t>
        </is>
      </c>
      <c r="W416" s="72" t="inlineStr">
        <is>
          <t>CBAHI — Accreditation Survey Teams (peer surveyors); MOH recognises CBAHI as national accreditor</t>
        </is>
      </c>
      <c r="X416" s="70" t="inlineStr">
        <is>
          <t>Hospital (primary scope); Teaching Hospital; Specialist Centre</t>
        </is>
      </c>
      <c r="Y416" s="49" t="inlineStr">
        <is>
          <t>Both (voluntary but operationally required)</t>
        </is>
      </c>
      <c r="Z416" s="70" t="inlineStr">
        <is>
          <t>Full survey every 3 years; midterm (focused) survey at 18 months; unannounced visits; corrective action follow-up</t>
        </is>
      </c>
      <c r="AA416" s="71" t="inlineStr">
        <is>
          <t>Full survey: 3-year cycle. Midterm: 18 months. Unannounced: possible at any time</t>
        </is>
      </c>
      <c r="AB416" s="70" t="inlineStr">
        <is>
          <t>22 (HIT standards: medical device integration; alarm management policy mandatory; device maintenance logs; remote monitoring governance; downtime procedures; device inventory; cybersecurity of clinical systems as patient safety issue)</t>
        </is>
      </c>
      <c r="AC416" s="70" t="inlineStr">
        <is>
          <t>JCI (Joint Commission International) — benchmarked; ISQua (accreditation body accreditor); WHO Safe Hospitals Framework</t>
        </is>
      </c>
      <c r="AD416" s="22" t="inlineStr">
        <is>
          <t>Arabic + English (official bilingual)</t>
        </is>
      </c>
      <c r="AE416" s="26" t="inlineStr">
        <is>
          <t>Layer 1: Governance; Layer 4: Compliance; Layer 5: Assurance</t>
        </is>
      </c>
      <c r="AF416" s="27" t="inlineStr">
        <is>
          <t>Yes — Met / Partially Met / Not Met / Not Applicable per standard; overall accreditation decision = scored threshold</t>
        </is>
      </c>
      <c r="AG416" s="70" t="inlineStr">
        <is>
          <t>HSTP quality transformation; Vision 2030 healthcare quality targets (JCI/CBAHI accreditation for all tertiary hospitals)</t>
        </is>
      </c>
      <c r="AH416" s="70" t="inlineStr">
        <is>
          <t>Survey self-assessment; policy documentation; staff credential files; patient safety incident log; HIT system audit; quality improvement data; patient satisfaction scores</t>
        </is>
      </c>
      <c r="AI416" s="73" t="inlineStr">
        <is>
          <t>Healthcare quality theory (Donabedian 1988): structure-process-outcome triad. Accreditation theory: third-party external validation as quality assurance mechanism. Institutional isomorphism: accreditation spreads best practices through mimetic pressure. Patient safety culture theory (Reason 2000): systems-based safety vs blame culture.</t>
        </is>
      </c>
      <c r="AJ416" s="70" t="inlineStr">
        <is>
          <t>FOR: Almutairi et al. (2015) and Alkhenizan &amp; Shaw (2011) find CBAHI-accredited hospitals show measurable quality improvements; national benchmark grounded in Saudi context unlike JCI (US-centric); patient safety improvements documented post-accreditation. AGAINST: Voluntariness undermines universal coverage — only ~40% of KSA hospitals accredited (WHO PHSSR 2025); Greenfield &amp; Braithwaite (2008) meta-analysis questions causal link between accreditation and patient outcomes; survey preparation creates compliance-oriented behaviours rather than genuine quality improvement (gaming risk)</t>
        </is>
      </c>
      <c r="AK416" s="74" t="inlineStr">
        <is>
          <t>3-year survey cycle too long for rapid IoMT deployment environment; HIT standards in 5th Ed still less specific than HIMSS EMRAM Stage 6/7 requirements; cybersecurity standards within CBAHI remain minimal compared to NCA ECC-2 requirements; no dedicated IoMT governance chapter despite medical device proliferation; rural and small facility accreditation rates critically low</t>
        </is>
      </c>
      <c r="AL416" s="75" t="inlineStr">
        <is>
          <t>CBAHI vs JCI: JCI globally recognised; CBAHI nationally recognised — JCI preferred for medical tourism attracting hospitals. CBAHI vs HIMSS EMRAM: CBAHI is broad clinical; HIMSS EMRAM is digital health maturity-specific. CBAHI vs DNV: CBAHI similar survey model. CBAHI + HIMSS EMRAM combined = most comprehensive digital health quality picture for KSA hospitals</t>
        </is>
      </c>
      <c r="AM416" s="76" t="inlineStr">
        <is>
          <t>Alkhenizan A &amp; Shaw C (2011) 'Impact of Accreditation' Ann Saudi Med 31(4); Almutairi AF et al. (2015) 'Perceptions of CBAHI Accreditation' BMC Health Services Research; Donabedian A (1988) 'Quality of Care' JAMA 260(12); Greenfield D &amp; Braithwaite J (2008) 'Health Sector Accreditation Research' Int J Quality Health Care 20(3); WHO (2025) PHSSR Saudi Arabia</t>
        </is>
      </c>
      <c r="AN416" s="50" t="inlineStr">
        <is>
          <t>Official: CBAHI website (cbahi.gov.sa) — standards available to purchase. Training: CBAHI education programmes; surveyor training; CPHQ (Certified Professional in Healthcare Quality). Estimated: 60 hours for surveyors; 20 hours for department leads</t>
        </is>
      </c>
      <c r="AO416" s="77" t="inlineStr">
        <is>
          <t>GH-ICGA Layer 5 (Assurance) — CBAHI accreditation is the primary assurance mechanism for hospital IoMT governance. Thesis argument: CBAHI-HAS-H 5th Ed HIT standards need a cybersecurity annex for IoMT — GH-ICGA Layer 5 Assurance proposes an IoMT-specific evaluation framework that could be adopted within CBAHI survey process</t>
        </is>
      </c>
      <c r="AP416" s="51" t="inlineStr">
        <is>
          <t>G + C (Governance through quality standards + voluntary compliance assurance)</t>
        </is>
      </c>
      <c r="AQ416" s="78" t="inlineStr">
        <is>
          <t>CEO: accountable for accreditation status. CMO: responsible for clinical quality chapter compliance. CNO: responsible for nursing quality. Quality/Patient Safety Director: coordinates accreditation programme. Department heads: responsible for chapter compliance in their domain. Accreditation Committee: cross-functional governance body</t>
        </is>
      </c>
      <c r="AR416" s="74" t="inlineStr">
        <is>
          <t>Quality Risk; Patient Safety Risk; Operational Risk (accreditation loss = licensing risk); Reputational Risk; Regulatory Risk (MOH links accreditation to licensing in practice)</t>
        </is>
      </c>
      <c r="AS416" s="92" t="inlineStr">
        <is>
          <t>VOLUNTARY — but operationally MANDATORY (MOH licensing increasingly linked to CBAHI in practice; required for JCI-referencing hospitals and private insurance network participation)</t>
        </is>
      </c>
      <c r="AT416" s="75" t="inlineStr">
        <is>
          <t>Administrative (A): 150 controls — policies; procedures; governance; quality committees. Technical (T): 48 controls — HIT; equipment maintenance; diagnostic systems. Operational (O): 100 controls — clinical procedures; patient safety practices; staff competencies</t>
        </is>
      </c>
      <c r="AU416" s="79" t="inlineStr">
        <is>
          <t>1. CBAHI survey score per chapter (target ≥90% Met). 2. # sentinel events per 1,000 admissions. 3. Falls rate per 1,000 patient days. 4. Hospital-acquired infection rate. 5. Patient satisfaction score (target &gt;90%). 6. Medication error rate. 7. HIT compliance score (CBAHI HIT chapter)</t>
        </is>
      </c>
      <c r="AV416" s="80" t="inlineStr">
        <is>
          <t>CBAHI full survey (3-year cycle — 2-3 day on-site assessment); midterm survey (18 months — focused chapters); unannounced visit (possible any time); tracer methodology; document review; staff interviews; facility inspection</t>
        </is>
      </c>
      <c r="AW416" s="81" t="inlineStr">
        <is>
          <t>Accreditation Manager (CBAHI online platform); EQUIP (quality management platform); PowerDMS; Quantros; Press Ganey (patient satisfaction); Meditech/Epic quality modules; RL6 (incident reporting)</t>
        </is>
      </c>
      <c r="AX416" s="82" t="inlineStr">
        <is>
          <t>Contractors and service providers in clinical areas must meet CBAHI competency requirements; credentialing of contracted physicians required; outsourced services (laundry, catering, security) must meet CBAHI environment chapter standards; medical device vendors: CBAHI biomedical equipment requirements</t>
        </is>
      </c>
      <c r="AY416" s="83" t="inlineStr">
        <is>
          <t>Accreditation denial: cannot be MOH referral centre; excluded from major insurance networks; reputational damage. Accreditation suspension: immediate revenue impact from insurance exclusion. MOH can condition facility licence on CBAHI compliance</t>
        </is>
      </c>
      <c r="AZ416" s="80" t="inlineStr">
        <is>
          <t>Healthcare &amp; Life Sciences</t>
        </is>
      </c>
      <c r="BA416" s="41" t="inlineStr">
        <is>
          <t>Sector-Specific</t>
        </is>
      </c>
      <c r="BB416" s="591">
        <f>IF(E416="","",IF(ISNUMBER(SEARCH("Institutional theory and regulatory governance theory underpin",AI416)),"TEMPLATE",IF(LEN(AI416)&gt;100,"DEEP",IF(AI416="","SPARSE","SHALLOW"))))</f>
        <v/>
      </c>
      <c r="BC416" s="591">
        <f>IF(E416="","",D416&amp;"-"&amp;B416&amp;"-"&amp;E416)</f>
        <v/>
      </c>
      <c r="BD416" s="591">
        <f>IF(E416="","",SUBSTITUTE(SUBSTITUTE(B416&amp;"-"&amp;E416," ",""),":","-"))</f>
        <v/>
      </c>
      <c r="BE416" s="591">
        <f>IF(E416="","",IF(ISNUMBER(SEARCH("ECC",E416)),"NCA-ECC-2-2024",IF(ISNUMBER(SEARCH("OTCC",E416)),"NCA-ECC-2-2024",IF(ISNUMBER(SEARCH("CCC",E416)),"NCA-ECC-2-2024",IF(ISNUMBER(SEARCH("DCC",E416)),"NCA-ECC-2-2024",IF(ISNUMBER(SEARCH("CSCC",E416)),"NCA-ECC-2-2024",IF(ISNUMBER(SEARCH("PDPL-IR",E416)),"PDPL-2021",IF(ISNUMBER(SEARCH("PDPL-DTR",E416)),"PDPL-2021","NONE"))))))))</f>
        <v/>
      </c>
      <c r="BF416" s="594">
        <f>IF(E416="","",IF(BB416="DEEP",10,IF(BB416="SHALLOW",5,IF(BB416="TEMPLATE",3,1)))+IF(N416="HIGHEST",5,IF(N416="HIGH",3,IF(N416="MODERATE",1,0)))+IF(ISNUMBER(SEARCH("Mandatory",L416)),3,0))</f>
        <v/>
      </c>
    </row>
    <row r="417" ht="42" customHeight="1">
      <c r="A417" s="42" t="n">
        <v>368</v>
      </c>
      <c r="B417" s="412" t="inlineStr">
        <is>
          <t>EKHC</t>
        </is>
      </c>
      <c r="C417" s="44" t="inlineStr">
        <is>
          <t>Eastern Region Health Cluster</t>
        </is>
      </c>
      <c r="D417" s="44" t="inlineStr">
        <is>
          <t>17. Regional Health Clusters</t>
        </is>
      </c>
      <c r="E417" s="412" t="inlineStr">
        <is>
          <t>NCA-ECC-2:2024</t>
        </is>
      </c>
      <c r="F417" s="45" t="inlineStr">
        <is>
          <t>Essential Cybersecurity Controls</t>
        </is>
      </c>
      <c r="G417" s="44" t="inlineStr">
        <is>
          <t>ضوابط الأمن السيبراني الأساسية</t>
        </is>
      </c>
      <c r="H417" s="44" t="inlineStr">
        <is>
          <t>ECC-2:2024</t>
        </is>
      </c>
      <c r="I417" s="46" t="inlineStr">
        <is>
          <t>2018</t>
        </is>
      </c>
      <c r="J417" s="46" t="inlineStr">
        <is>
          <t>108</t>
        </is>
      </c>
      <c r="K417" s="44" t="inlineStr">
        <is>
          <t>MUST COMPLY WITH</t>
        </is>
      </c>
      <c r="L417" s="66" t="inlineStr">
        <is>
          <t>Mandatory Complier</t>
        </is>
      </c>
      <c r="M417" s="44" t="inlineStr">
        <is>
          <t>Eastern Region Health Cluster as government entity — hospital networks</t>
        </is>
      </c>
      <c r="N417" s="47" t="inlineStr">
        <is>
          <t>HIGHEST</t>
        </is>
      </c>
      <c r="O417" s="48" t="inlineStr">
        <is>
          <t>https://nca.gov.sa/</t>
        </is>
      </c>
      <c r="P417" s="44" t="inlineStr">
        <is>
          <t>NCA ECC scope</t>
        </is>
      </c>
      <c r="Q417" s="70" t="inlineStr">
        <is>
          <t>See official source for version history</t>
        </is>
      </c>
      <c r="R417" s="70" t="inlineStr">
        <is>
          <t>Framework issued by the relevant authority. Version details available on the official website referenced in the source URL column. The framework has been updated periodically since first issuance.</t>
        </is>
      </c>
      <c r="S417" s="71" t="inlineStr">
        <is>
          <t>See official source</t>
        </is>
      </c>
      <c r="T417" s="70" t="inlineStr">
        <is>
          <t>Updated as needed by the issuing authority</t>
        </is>
      </c>
      <c r="U417" s="25" t="inlineStr">
        <is>
          <t>CURRENT — consult official source for latest version</t>
        </is>
      </c>
      <c r="V417" s="70" t="inlineStr">
        <is>
          <t>Penalties defined by issuing authority; consult official source. NCA ECC-2 penalties apply if relevant</t>
        </is>
      </c>
      <c r="W417" s="72" t="inlineStr">
        <is>
          <t>Issuing authority and/or designated inspection department</t>
        </is>
      </c>
      <c r="X417" s="70" t="inlineStr">
        <is>
          <t>As specified in framework scope — consult official document</t>
        </is>
      </c>
      <c r="Y417" s="49" t="inlineStr">
        <is>
          <t>Both (unless specified otherwise in official document)</t>
        </is>
      </c>
      <c r="Z417" s="70" t="inlineStr">
        <is>
          <t>As defined by issuing authority</t>
        </is>
      </c>
      <c r="AA417" s="71" t="inlineStr">
        <is>
          <t>As defined by issuing authority</t>
        </is>
      </c>
      <c r="AB417" s="70" t="inlineStr">
        <is>
          <t>To be determined from framework text — see official source</t>
        </is>
      </c>
      <c r="AC417" s="70" t="inlineStr">
        <is>
          <t>See framework preamble for international standard references</t>
        </is>
      </c>
      <c r="AD417" s="49" t="inlineStr">
        <is>
          <t>Arabic (primary in KSA); English may be available</t>
        </is>
      </c>
      <c r="AE417" s="58" t="inlineStr">
        <is>
          <t>Mapped to relevant GH-ICGA layer — requires manual assessment</t>
        </is>
      </c>
      <c r="AF417" s="56" t="inlineStr">
        <is>
          <t>See official framework for maturity model details</t>
        </is>
      </c>
      <c r="AG417" s="70" t="inlineStr">
        <is>
          <t>Aligned with relevant Vision 2030 programme — see framework context</t>
        </is>
      </c>
      <c r="AH417" s="70" t="inlineStr">
        <is>
          <t>As specified in framework compliance requirements</t>
        </is>
      </c>
      <c r="AI417" s="73" t="inlineStr">
        <is>
          <t>Institutional theory and regulatory governance theory underpin all KSA regulatory frameworks. Specific theoretical basis varies by framework — consult academic literature via Google Scholar using framework name as search term.</t>
        </is>
      </c>
      <c r="AJ417" s="70" t="inlineStr">
        <is>
          <t>Academic debate varies by framework maturity and international adoption. For KSA-specific debate, consult: Almohammad &amp; Wills (2021) J Cybersecurity; Al-Khater et al. (2020) IEEE Access; Baker McKenzie KSA regulatory updates.</t>
        </is>
      </c>
      <c r="AK417" s="74" t="inlineStr">
        <is>
          <t>Known criticisms include: implementation gap between standards and practice; resource constraints for smaller healthcare entities; rapid technology evolution outpacing regulation. Consult framework evaluation literature for specifics.</t>
        </is>
      </c>
      <c r="AL417" s="75" t="inlineStr">
        <is>
          <t>Framework comparison requires contextual analysis. Key comparators: NIST CSF 2.0 (international benchmark), ISO 27001 (certifiable standard), ECC-2 (KSA mandatory baseline). See main database for cross-framework mapping.</t>
        </is>
      </c>
      <c r="AM417"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17" s="50" t="inlineStr">
        <is>
          <t>Official: Consult the official source URL in the database for the primary document. Training: ISACA, ISC2, RAPS, IAPP, and HIMSS offer professional development covering most regulatory domains. Estimated hours vary by framework complexity.</t>
        </is>
      </c>
      <c r="AO417" s="77" t="inlineStr">
        <is>
          <t>Relevance to GH-ICGA framework varies by layer — see GH-ICGA Layer Mapping column. All KSA mandatory frameworks are compliance inputs to GH-ICGA Layer 4. Frameworks with IoMT-specific provisions directly inform Layers 2 and 3.</t>
        </is>
      </c>
      <c r="AP417" s="51" t="inlineStr">
        <is>
          <t>G + C (Governance + Compliance — standard regulatory framework positioning)</t>
        </is>
      </c>
      <c r="AQ417" s="78" t="inlineStr">
        <is>
          <t>Senior management: accountability for framework compliance. Designated compliance officer: monitor requirements. All staff: awareness of applicable obligations</t>
        </is>
      </c>
      <c r="AR417" s="74" t="inlineStr">
        <is>
          <t>Regulatory Risk; Operational Risk; Reputational Risk — specific domains determined by framework scope</t>
        </is>
      </c>
      <c r="AS417" s="22" t="inlineStr">
        <is>
          <t>See official source — legal obligation, regulatory requirement, or voluntary standard as applicable</t>
        </is>
      </c>
      <c r="AT417" s="75" t="inlineStr">
        <is>
          <t>Administrative; Technical; Operational — specific distribution determined by framework content</t>
        </is>
      </c>
      <c r="AU417" s="79" t="inlineStr">
        <is>
          <t>1. Compliance status (compliant/non-compliant). 2. # open findings from last assessment. 3. % controls implemented. 4. Time to remediate findings. 5. Incident rate in framework scope area</t>
        </is>
      </c>
      <c r="AV417" s="80" t="inlineStr">
        <is>
          <t>Self-assessment; internal audit; external assessment as specified by issuing authority</t>
        </is>
      </c>
      <c r="AW417" s="81" t="inlineStr">
        <is>
          <t>ServiceNow GRC; IBM OpenPages; RSA Archer; MetricStream — all major GRC platforms support custom framework import. Contact vendor for framework-specific module</t>
        </is>
      </c>
      <c r="AX417" s="82" t="inlineStr">
        <is>
          <t>Third parties in scope must demonstrate equivalent compliance. Contractual compliance obligations; right-to-audit clauses; annual third-party assessment</t>
        </is>
      </c>
      <c r="AY417" s="83" t="inlineStr">
        <is>
          <t>Non-compliance: regulatory action by issuing authority; fines and penalties as specified; operational and reputational consequences</t>
        </is>
      </c>
      <c r="AZ417" s="80" t="inlineStr">
        <is>
          <t>ALL 17 SECTORS</t>
        </is>
      </c>
      <c r="BA417" s="34" t="inlineStr">
        <is>
          <t>YES — ALL SECTORS</t>
        </is>
      </c>
      <c r="BB417" s="591">
        <f>IF(E417="","",IF(ISNUMBER(SEARCH("Institutional theory and regulatory governance theory underpin",AI417)),"TEMPLATE",IF(LEN(AI417)&gt;100,"DEEP",IF(AI417="","SPARSE","SHALLOW"))))</f>
        <v/>
      </c>
      <c r="BC417" s="591">
        <f>IF(E417="","",D417&amp;"-"&amp;B417&amp;"-"&amp;E417)</f>
        <v/>
      </c>
      <c r="BD417" s="591">
        <f>IF(E417="","",SUBSTITUTE(SUBSTITUTE(B417&amp;"-"&amp;E417," ",""),":","-"))</f>
        <v/>
      </c>
      <c r="BE417" s="591">
        <f>IF(E417="","",IF(ISNUMBER(SEARCH("ECC",E417)),"NCA-ECC-2-2024",IF(ISNUMBER(SEARCH("OTCC",E417)),"NCA-ECC-2-2024",IF(ISNUMBER(SEARCH("CCC",E417)),"NCA-ECC-2-2024",IF(ISNUMBER(SEARCH("DCC",E417)),"NCA-ECC-2-2024",IF(ISNUMBER(SEARCH("CSCC",E417)),"NCA-ECC-2-2024",IF(ISNUMBER(SEARCH("PDPL-IR",E417)),"PDPL-2021",IF(ISNUMBER(SEARCH("PDPL-DTR",E417)),"PDPL-2021","NONE"))))))))</f>
        <v/>
      </c>
      <c r="BF417" s="594">
        <f>IF(E417="","",IF(BB417="DEEP",10,IF(BB417="SHALLOW",5,IF(BB417="TEMPLATE",3,1)))+IF(N417="HIGHEST",5,IF(N417="HIGH",3,IF(N417="MODERATE",1,0)))+IF(ISNUMBER(SEARCH("Mandatory",L417)),3,0))</f>
        <v/>
      </c>
    </row>
    <row r="418" ht="42" customHeight="1">
      <c r="A418" s="84" t="n">
        <v>369</v>
      </c>
      <c r="B418" s="411" t="inlineStr">
        <is>
          <t>EKHC</t>
        </is>
      </c>
      <c r="C418" s="70" t="inlineStr">
        <is>
          <t>Eastern Region Health Cluster</t>
        </is>
      </c>
      <c r="D418" s="70" t="inlineStr">
        <is>
          <t>17. Regional Health Clusters</t>
        </is>
      </c>
      <c r="E418" s="411" t="inlineStr">
        <is>
          <t>PDPL-2021</t>
        </is>
      </c>
      <c r="F418" s="72" t="inlineStr">
        <is>
          <t>Personal Data Protection Law</t>
        </is>
      </c>
      <c r="G418" s="70" t="inlineStr">
        <is>
          <t>نظام حماية البيانات الشخصية</t>
        </is>
      </c>
      <c r="H418" s="70" t="inlineStr">
        <is>
          <t>2021+IR 2023</t>
        </is>
      </c>
      <c r="I418" s="71" t="inlineStr">
        <is>
          <t>2021</t>
        </is>
      </c>
      <c r="J418" s="71" t="inlineStr">
        <is>
          <t>45</t>
        </is>
      </c>
      <c r="K418" s="70" t="inlineStr">
        <is>
          <t>MUST COMPLY WITH</t>
        </is>
      </c>
      <c r="L418" s="66" t="inlineStr">
        <is>
          <t>Mandatory Complier</t>
        </is>
      </c>
      <c r="M418" s="70" t="inlineStr">
        <is>
          <t>Eastern Region Health Cluster processes patient personal data</t>
        </is>
      </c>
      <c r="N418" s="86" t="inlineStr">
        <is>
          <t>HIGHEST</t>
        </is>
      </c>
      <c r="O418" s="87" t="inlineStr">
        <is>
          <t>https://sdaia.gov.sa/</t>
        </is>
      </c>
      <c r="P418" s="70" t="inlineStr">
        <is>
          <t>SDAIA</t>
        </is>
      </c>
      <c r="Q418" s="70" t="inlineStr">
        <is>
          <t>Royal Decree M/19 (16 Sep 2021) → amended Apr 2023</t>
        </is>
      </c>
      <c r="R418" s="70" t="inlineStr">
        <is>
          <t>Original (2021): 19 articles covering consent, data subject rights, controller obligations, sensitive data (health = sensitive), cross-border transfer. Apr 2023 amendment: strengthened enforcement, clarified health data provisions, aligned with PDPL-IR-2023. Grace period for compliance ended Sep 14, 2024. Penalties: up to SAR 5 million fine + 2 years imprisonment for sensitive data breach</t>
        </is>
      </c>
      <c r="S418" s="71" t="inlineStr">
        <is>
          <t>Issued: Sep 2021. Amended: Apr 2023. Fully enforceable: Sep 14, 2024</t>
        </is>
      </c>
      <c r="T418" s="70" t="inlineStr">
        <is>
          <t>SDAIA reviews annually; amendments expected 2025-2026</t>
        </is>
      </c>
      <c r="U418" s="25" t="inlineStr">
        <is>
          <t>CURRENT — fully enforceable since Sep 2024</t>
        </is>
      </c>
      <c r="V418" s="70" t="inlineStr">
        <is>
          <t>Criminal offence: up to 2 years imprisonment + SAR 3M fine for disclosing sensitive data (health data = sensitive); administrative fine up to SAR 5M; mandatory breach notification to SDAIA within 72 hours; data subject compensation claims</t>
        </is>
      </c>
      <c r="W418" s="72" t="inlineStr">
        <is>
          <t>SDAIA — Data Protection Authority (DPA functions); NDMO for government entities; courts for criminal penalties</t>
        </is>
      </c>
      <c r="X418" s="70" t="inlineStr">
        <is>
          <t>Hospital; Clinic; Lab; Pharmacy; Health IT Vendor; Health Insurer; Government Health Entity; Medical Device Manufacturer (all processing patient data)</t>
        </is>
      </c>
      <c r="Y418" s="49" t="inlineStr">
        <is>
          <t>Both + foreign entities processing data of KSA residents</t>
        </is>
      </c>
      <c r="Z418" s="70" t="inlineStr">
        <is>
          <t>SDAIA audit; controller self-assessment; DPO oversight; data subject complaints trigger investigation</t>
        </is>
      </c>
      <c r="AA418" s="71" t="inlineStr">
        <is>
          <t>Continuous (breach notification: 72 hours); annual DPO report; SDAIA random audits</t>
        </is>
      </c>
      <c r="AB418" s="70" t="inlineStr">
        <is>
          <t>12 (IoMT data minimisation; purpose limitation; consent management for wearable data; automated decision-making; data subject rights for IoMT-generated health data; cross-border transfer of IoMT data)</t>
        </is>
      </c>
      <c r="AC418" s="70" t="inlineStr">
        <is>
          <t>GDPR (substantial alignment — adequate protection basis); APEC Privacy Framework; ISO 29100; ISO 27701</t>
        </is>
      </c>
      <c r="AD418" s="49" t="inlineStr">
        <is>
          <t>Arabic (official); English translation (unofficial)</t>
        </is>
      </c>
      <c r="AE418" s="50" t="inlineStr">
        <is>
          <t>Layer 4: Compliance; Layer 2: Risk Management</t>
        </is>
      </c>
      <c r="AF418" s="60" t="inlineStr">
        <is>
          <t>No formal maturity model; SDAIA publishes compliance guidance</t>
        </is>
      </c>
      <c r="AG418" s="70" t="inlineStr">
        <is>
          <t>National Data Strategy; Vision 2030 Digital Economy; Digital Government transformation</t>
        </is>
      </c>
      <c r="AH418" s="70" t="inlineStr">
        <is>
          <t>Privacy notices; consent records; DPO appointment letter; data mapping/flow diagrams; breach notification records; DPIA for health data processing; controller registration</t>
        </is>
      </c>
      <c r="AI418" s="73" t="inlineStr">
        <is>
          <t>Privacy as fundamental right (Warren &amp; Brandeis 1890; Westin 1967). Contextual integrity theory (Nissenbaum 2004): health data flows must match medical context norms. Regulatory theory: data protection authority independence and enforcement. Information asymmetry theory: patients cannot protect their own data without regulation.</t>
        </is>
      </c>
      <c r="AJ418" s="70" t="inlineStr">
        <is>
          <t>FOR: Long-overdue — KSA had no comprehensive data protection law until 2021; health data explicitly protected as sensitive category; aligns KSA with global adequacy standards. AGAINST: Alrawabdeh (2014) and Aldawood &amp; Skinner (2019) documented Saudi privacy culture gap — regulation without public awareness is ineffective; 'GDPR-lite' criticism: exemptions broader than GDPR, enforcement weaker; health data provisions in IR still less specific than UK GDPR Schedule 1 conditions</t>
        </is>
      </c>
      <c r="AK418" s="74" t="inlineStr">
        <is>
          <t>No independent supervisory authority (SDAIA is both promoter and regulator — conflict of interest noted by Baker McKenzie 2025); patient data portability rights weaker than GDPR Article 20; no explicit right to explanation for AI-automated health decisions; cross-border transfer rules changed twice in 12 months (regulatory instability); small healthcare providers lack capacity for DPO requirements</t>
        </is>
      </c>
      <c r="AL418" s="75" t="inlineStr">
        <is>
          <t>PDPL vs GDPR: PDPL penalty lower (SAR 5M vs €20M); PDPL broader government exemptions; GDPR has independent DPA, PDPL does not. PDPL vs HIPAA: PDPL = all personal data (broader); HIPAA = US-specific health data only. PDPL vs UK GDPR: PDPL misses explicit Schedule 1 health data conditions. PDPL ahead of HIPAA on consent granularity; behind GDPR on enforcement independence</t>
        </is>
      </c>
      <c r="AM418" s="76" t="inlineStr">
        <is>
          <t>Baker McKenzie (2025) Saudi Arabia PDPL Global Data &amp; Cyber Handbook; Alrawabdeh W (2014) 'Internet and Social Media Challenges in Arab World' EJSR; Westin AF (1967) Privacy and Freedom NY Atheneum; Nissenbaum H (2004) 'Privacy as Contextual Integrity' Washington Law Review 79(1); CMS Law (2025) Saudi Arabia Data Protection &amp; Cybersecurity Expert Guide Oct 2025</t>
        </is>
      </c>
      <c r="AN418" s="50" t="inlineStr">
        <is>
          <t>Official: SDAIA website (sdaia.gov.sa) — Arabic + English. Training: IAPP CIPM/CIPP/E (privacy certifications applicable); OneTrust PDPL compliance course; Baker McKenzie PDPL compliance guide. Language: Arabic primary — strong Arabic reading recommended. Estimated: 50 hours for health sector DPO competence</t>
        </is>
      </c>
      <c r="AO418" s="77" t="inlineStr">
        <is>
          <t>PRIMARY driver for GH-ICGA Layer 4 (Compliance) — PDPL is the legal foundation for patient data governance in the preliminary GH-ICGA framework. Thesis argument: GH-ICGA Layer 4 operationalises PDPL requirements into IoMT-specific controls (consent management for wearable data; purpose limitation for monitoring streams; breach response for connected device incidents)</t>
        </is>
      </c>
      <c r="AP418" s="51" t="inlineStr">
        <is>
          <t>G + C (Governance + Compliance — strong compliance driver; risk implicit)</t>
        </is>
      </c>
      <c r="AQ418" s="78" t="inlineStr">
        <is>
          <t>Board/CEO: ultimate accountability for PDPL compliance. DPO: mandatory for large-scale health data processors — reports to highest management level. Privacy Committee: cross-functional oversight. All staff processing personal data: mandatory privacy awareness training annually</t>
        </is>
      </c>
      <c r="AR418" s="74" t="inlineStr">
        <is>
          <t>Privacy Risk (PRIMARY); Legal/Regulatory Risk; Reputational Risk; Strategic Risk (data monetisation constraints); Cross-Border Risk (data transfer restrictions)</t>
        </is>
      </c>
      <c r="AS418" s="22" t="inlineStr">
        <is>
          <t>LEGAL — Royal Decree M/19 2021 + Implementing Regulations Sep 2023. Criminal: imprisonment up to 2 years + SAR 3M fine for sensitive data disclosure. Administrative: SAR 5M maximum fine. Civil: data subject compensation claims</t>
        </is>
      </c>
      <c r="AT418" s="75" t="inlineStr">
        <is>
          <t>Administrative (A): consent management; privacy notices; DPO appointment; DPIA process; breach notification procedure. Technical (T): data minimisation; pseudonymisation; access controls for personal data; encryption. Operational (O): data retention enforcement; data subject rights fulfilment process; cross-border transfer review</t>
        </is>
      </c>
      <c r="AU418" s="79" t="inlineStr">
        <is>
          <t>1. # data subject rights requests fulfilled on time (target: 100% within 30 days). 2. # data breaches notified to SDAIA within 72h (target: 100%). 3. % staff completed privacy training (target: 100%). 4. # DPIAs completed for high-risk processing activities. 5. Data retention compliance rate (% records within policy). 6. % third-party processors with DPA agreements</t>
        </is>
      </c>
      <c r="AV418" s="80" t="inlineStr">
        <is>
          <t>Annual DPIA review; data mapping audit (controller record validation); consent record audit; breach response simulation (tabletop); access control review for personal data systems; third-party processor audit; SDAIA compliance self-assessment</t>
        </is>
      </c>
      <c r="AW418" s="81" t="inlineStr">
        <is>
          <t>OneTrust (market leader for PDPL); TrustArc; Nymity; DataGrail; Varonis (data discovery); Microsoft Purview (data classification). SDAIA National Data Governance Platform for registration. Arabic-capable tools preferred</t>
        </is>
      </c>
      <c r="AX418" s="82" t="inlineStr">
        <is>
          <t>All third-party data processors must have Data Processing Agreement (DPA). Processors must demonstrate equivalent PDPL compliance. Cross-border transfers require adequacy assessment or appropriate safeguards. Sub-processor disclosure mandatory. Annual processor risk assessment required</t>
        </is>
      </c>
      <c r="AY418" s="83" t="inlineStr">
        <is>
          <t>Non-compliance: SAR 5M administrative fine; criminal prosecution for sensitive data breach; SDAIA investigation; mandatory breach public disclosure. Business disruption: SDAIA can order processing suspension. Reputational: patient trust damage. Market: EU adequate protection status depends on PDPL enforcement credibility</t>
        </is>
      </c>
      <c r="AZ418" s="80" t="inlineStr">
        <is>
          <t>ALL 17 SECTORS — any entity processing personal data</t>
        </is>
      </c>
      <c r="BA418" s="34" t="inlineStr">
        <is>
          <t>YES — ALL SECTORS</t>
        </is>
      </c>
      <c r="BB418" s="591">
        <f>IF(E418="","",IF(ISNUMBER(SEARCH("Institutional theory and regulatory governance theory underpin",AI418)),"TEMPLATE",IF(LEN(AI418)&gt;100,"DEEP",IF(AI418="","SPARSE","SHALLOW"))))</f>
        <v/>
      </c>
      <c r="BC418" s="591">
        <f>IF(E418="","",D418&amp;"-"&amp;B418&amp;"-"&amp;E418)</f>
        <v/>
      </c>
      <c r="BD418" s="591">
        <f>IF(E418="","",SUBSTITUTE(SUBSTITUTE(B418&amp;"-"&amp;E418," ",""),":","-"))</f>
        <v/>
      </c>
      <c r="BE418" s="591">
        <f>IF(E418="","",IF(ISNUMBER(SEARCH("ECC",E418)),"NCA-ECC-2-2024",IF(ISNUMBER(SEARCH("OTCC",E418)),"NCA-ECC-2-2024",IF(ISNUMBER(SEARCH("CCC",E418)),"NCA-ECC-2-2024",IF(ISNUMBER(SEARCH("DCC",E418)),"NCA-ECC-2-2024",IF(ISNUMBER(SEARCH("CSCC",E418)),"NCA-ECC-2-2024",IF(ISNUMBER(SEARCH("PDPL-IR",E418)),"PDPL-2021",IF(ISNUMBER(SEARCH("PDPL-DTR",E418)),"PDPL-2021","NONE"))))))))</f>
        <v/>
      </c>
      <c r="BF418" s="594">
        <f>IF(E418="","",IF(BB418="DEEP",10,IF(BB418="SHALLOW",5,IF(BB418="TEMPLATE",3,1)))+IF(N418="HIGHEST",5,IF(N418="HIGH",3,IF(N418="MODERATE",1,0)))+IF(ISNUMBER(SEARCH("Mandatory",L418)),3,0))</f>
        <v/>
      </c>
    </row>
    <row r="419" ht="42" customHeight="1">
      <c r="A419" s="42" t="n">
        <v>370</v>
      </c>
      <c r="B419" s="412" t="inlineStr">
        <is>
          <t>EKHC</t>
        </is>
      </c>
      <c r="C419" s="44" t="inlineStr">
        <is>
          <t>Eastern Region Health Cluster</t>
        </is>
      </c>
      <c r="D419" s="44" t="inlineStr">
        <is>
          <t>17. Regional Health Clusters</t>
        </is>
      </c>
      <c r="E419" s="412" t="inlineStr">
        <is>
          <t>MOH-TELE</t>
        </is>
      </c>
      <c r="F419" s="45" t="inlineStr">
        <is>
          <t>Telemedicine Regulations</t>
        </is>
      </c>
      <c r="G419" s="44" t="inlineStr">
        <is>
          <t>لائحة الرعاية الصحية عن بعد</t>
        </is>
      </c>
      <c r="H419" s="44" t="inlineStr">
        <is>
          <t>Late 2023</t>
        </is>
      </c>
      <c r="I419" s="46" t="inlineStr">
        <is>
          <t>2020</t>
        </is>
      </c>
      <c r="J419" s="46" t="inlineStr">
        <is>
          <t>38</t>
        </is>
      </c>
      <c r="K419" s="44" t="inlineStr">
        <is>
          <t>MUST COMPLY WITH</t>
        </is>
      </c>
      <c r="L419" s="66" t="inlineStr">
        <is>
          <t>Mandatory Complier</t>
        </is>
      </c>
      <c r="M419" s="44" t="inlineStr">
        <is>
          <t>Eastern Region Health Cluster offering telemedicine services</t>
        </is>
      </c>
      <c r="N419" s="54" t="inlineStr">
        <is>
          <t>HIGH</t>
        </is>
      </c>
      <c r="O419" s="48" t="inlineStr">
        <is>
          <t>https://www.moh.gov.sa/en/</t>
        </is>
      </c>
      <c r="P419" s="44" t="inlineStr">
        <is>
          <t>MOH; Hammad &amp; Al-Mehdar 2025</t>
        </is>
      </c>
      <c r="Q419" s="70" t="inlineStr">
        <is>
          <t>COVID-19 emergency 2020 → comprehensive regulations late 2023</t>
        </is>
      </c>
      <c r="R419" s="70" t="inlineStr">
        <is>
          <t>2020 (emergency COVID telehealth rules): basic platform licensing, identity verification, audio/video minimum standards. Late 2023 (comprehensive update, 38 controls): platform licensing requirements; patient identity verification; cross-border telemedicine restrictions; controlled substance prescribing rules (limited); data protection (PDPL alignment); patient consent requirements; clinical documentation standards; coverage by health insurance; quality assurance audit requirements</t>
        </is>
      </c>
      <c r="S419" s="71" t="inlineStr">
        <is>
          <t>Emergency 2020. Comprehensive: late 2023</t>
        </is>
      </c>
      <c r="T419" s="70" t="inlineStr">
        <is>
          <t>Annual update; cross-border rules under active development 2025</t>
        </is>
      </c>
      <c r="U419" s="25" t="inlineStr">
        <is>
          <t>CURRENT — late 2023 comprehensive version</t>
        </is>
      </c>
      <c r="V419" s="70" t="inlineStr">
        <is>
          <t>Platform licence revocation; SAR 1M–5M fine (scale by offence); clinical professional disciplinary action by SCFHS</t>
        </is>
      </c>
      <c r="W419" s="72" t="inlineStr">
        <is>
          <t>MOH — eHealth General Directorate; CST (platform technical licensing); CCHI (insurance coverage compliance); SCFHS (clinical standards)</t>
        </is>
      </c>
      <c r="X419" s="70" t="inlineStr">
        <is>
          <t>Hospital (outpatient teleconsultation); Clinic; Health IT Vendor (platform developers); Health Insurer (reimbursement compliance)</t>
        </is>
      </c>
      <c r="Y419" s="22" t="inlineStr">
        <is>
          <t>Both</t>
        </is>
      </c>
      <c r="Z419" s="70" t="inlineStr">
        <is>
          <t>MOH platform licence audit (annual); CCHI insurance compliance check; SCFHS clinical quality audit</t>
        </is>
      </c>
      <c r="AA419" s="71" t="inlineStr">
        <is>
          <t>Annual licence renewal; random clinical quality audit</t>
        </is>
      </c>
      <c r="AB419" s="70" t="inlineStr">
        <is>
          <t>15 (remote patient monitoring integration; wearable device data for teleconsultation; IoMT vital sign display during video consultation; remote device prescription; teleICU monitoring requirements)</t>
        </is>
      </c>
      <c r="AC419" s="70" t="inlineStr">
        <is>
          <t>WHO Telemedicine Guidelines (2010/updated); ISO 13131:2021 (Telehealth); ATA (American Telemedicine Association) standards (reference)</t>
        </is>
      </c>
      <c r="AD419" s="49" t="inlineStr">
        <is>
          <t>Arabic (primary); English technical guidance</t>
        </is>
      </c>
      <c r="AE419" s="26" t="inlineStr">
        <is>
          <t>Layer 1: Governance; Layer 4: Compliance</t>
        </is>
      </c>
      <c r="AF419" s="60" t="inlineStr">
        <is>
          <t>No formal maturity model; licence tiers (basic/advanced platform)</t>
        </is>
      </c>
      <c r="AG419" s="70" t="inlineStr">
        <is>
          <t>HSTP telemedicine targets (30% uptake); SEHA Virtual Hospital; Vision 2030 healthcare access targets</t>
        </is>
      </c>
      <c r="AH419" s="70" t="inlineStr">
        <is>
          <t>Platform licence certificate; patient consent records; clinical documentation standards compliance; identity verification log; prescription records; NABIDH integration evidence</t>
        </is>
      </c>
      <c r="AI419" s="73" t="inlineStr">
        <is>
          <t>Telehealth adoption theory (LeRouge &amp; Garfield 2013): patient acceptance + clinician integration. Access theory: geography-equity argument for remote care. Digital health governance theory: platform regulation vs clinical regulation tension.</t>
        </is>
      </c>
      <c r="AJ419" s="70" t="inlineStr">
        <is>
          <t>FOR: COVID-19 proved telehealth viability at scale in KSA (Al-Ataawi et al. 2022); Sehhaty platform shows government commitment; removes geographic barriers consistent with Vision 2030 equity goals; IoMT remote monitoring reimbursement framework emerging. AGAINST: Clinical quality in telehealth still debated (Hollander &amp; Sites 2020); data sovereignty for cross-border telehealth unresolved; prescription via teleconsultation remains restricted limiting scope; rural connectivity gaps undermine access equity goal</t>
        </is>
      </c>
      <c r="AK419" s="74" t="inlineStr">
        <is>
          <t>Regulations still lag technology — VR/AR clinical applications not addressed; AI-assisted teleconsultation regulatory pathway unclear; cross-border telehealth restrictions create market fragmentation; no minimum quality standards for audio/video equipment; liability for technical failure not yet codified in regulation</t>
        </is>
      </c>
      <c r="AL419" s="75" t="inlineStr">
        <is>
          <t>MOH-TELE vs NHS TECS (UK): NHS TECS has DTAC (Digital Technology Assessment Criteria) for all digital health tools — KSA equivalent absent. MOH-TELE vs FCC/CMS telehealth (US): US has federal reimbursement codes (CPT); KSA CCHI integration still developing. MOH-TELE vs WHO Telemedicine Guidelines: broadly aligned but KSA-specific cross-border rules more restrictive than WHO recommends</t>
        </is>
      </c>
      <c r="AM419" s="76" t="inlineStr">
        <is>
          <t>Al-Ataawi A et al. (2022) 'Telehealth in Saudi Arabia During COVID-19' J Healthcare Informatics Res; Hollander JE &amp; Sites FD (2020) 'Telehealth Beyond COVID-19' NEJM 2020; Hammad &amp; Al-Mehdar (2025) Saudi Healthcare Regulatory Update; WHO (2010) Telemedicine Opportunities and Developments; LeRouge C &amp; Garfield MJ (2013) 'Crossing the Telemedicine Chasm' JAMIA 20(6)</t>
        </is>
      </c>
      <c r="AN419" s="50" t="inlineStr">
        <is>
          <t>Official: MOH website. Training: American Telemedicine Association (ATA) online courses; SEHA Virtual Hospital training programme; WHO telehealth competency framework. Estimated: 25 hours</t>
        </is>
      </c>
      <c r="AO419" s="77" t="inlineStr">
        <is>
          <t>GH-ICGA Layer 1 (Governance) — telehealth regulation defines the governance boundary for remote IoMT monitoring. Thesis relevance: GH-ICGA must address the governance overlap between MOH-TELE (clinical platform regulation) and NCA-ECC (cybersecurity) and PDPL (patient data) for remote monitoring scenarios</t>
        </is>
      </c>
      <c r="AP419" s="51" t="inlineStr">
        <is>
          <t>G + C (platform governance + clinical compliance)</t>
        </is>
      </c>
      <c r="AQ419" s="78" t="inlineStr">
        <is>
          <t>CEO: platform licence accountability. Medical Director: clinical quality governance. DPO: PDPL compliance for patient data on platform. Technical Director: platform security. Pharmacy Director: prescription management compliance</t>
        </is>
      </c>
      <c r="AR419" s="74" t="inlineStr">
        <is>
          <t>Clinical Risk (misdiagnosis via teleconsultation); Regulatory Risk (licence breach); Privacy Risk (patient data); Operational Risk (platform availability); Cross-Border Risk (international teleconsultation restrictions)</t>
        </is>
      </c>
      <c r="AS419" s="61" t="inlineStr">
        <is>
          <t>REGULATORY — MOH licensing requirement. Non-compliance: platform licence revocation; SAR 1M–5M fine; SCFHS action against clinicians</t>
        </is>
      </c>
      <c r="AT419" s="75" t="inlineStr">
        <is>
          <t>Administrative (A): 20 controls — licensing; consent; documentation; clinical protocols. Technical (T): 12 controls — platform security; identity verification; audio/video standards. Operational (O): 6 controls — prescribing workflow; referral protocol; audit trail</t>
        </is>
      </c>
      <c r="AU419" s="79" t="inlineStr">
        <is>
          <t>1. Patient consent collection rate (target 100% before each session). 2. Platform availability SLA compliance (target &gt;99.5%). 3. Identity verification success rate. 4. # clinical complaints per 1,000 teleconsultations. 5. Documentation compliance rate (target 100% consultation notes in NABIDH). 6. Prescription audit pass rate</t>
        </is>
      </c>
      <c r="AV419" s="80" t="inlineStr">
        <is>
          <t>Annual MOH licence renewal audit; CCHI insurance coverage compliance check; patient record documentation audit; platform security assessment; identity verification system test; NABIDH integration test</t>
        </is>
      </c>
      <c r="AW419" s="81" t="inlineStr">
        <is>
          <t>Sehhaty / Mawid (MOH official platforms); Nabdh; Cura Health; Vezeeta; Nubaqraa — all require MOH licensing. Security tools: FortiWeb (WAF); Auth0/Okta (identity); TeleVisit security frameworks</t>
        </is>
      </c>
      <c r="AX419" s="82" t="inlineStr">
        <is>
          <t>Platform vendors: MOH-licensed telemedicine solution mandatory; PDPL DPA required; NABIDH API certification; patient data not to be shared with third-party analytics without consent; international teleconsultation providers must be MOH-approved</t>
        </is>
      </c>
      <c r="AY419" s="83" t="inlineStr">
        <is>
          <t>Unlicensed platform: immediate shutdown; SAR fine; clinical professional disciplinary action. Licence revocation: complete business cessation. Patient harm via telemedicine: malpractice liability; SCFHS investigation</t>
        </is>
      </c>
      <c r="AZ419" s="80" t="inlineStr">
        <is>
          <t>Healthcare &amp; Life Sciences; ICT/Digital (platform providers)</t>
        </is>
      </c>
      <c r="BA419" s="41" t="inlineStr">
        <is>
          <t>Sector-Specific</t>
        </is>
      </c>
      <c r="BB419" s="591">
        <f>IF(E419="","",IF(ISNUMBER(SEARCH("Institutional theory and regulatory governance theory underpin",AI419)),"TEMPLATE",IF(LEN(AI419)&gt;100,"DEEP",IF(AI419="","SPARSE","SHALLOW"))))</f>
        <v/>
      </c>
      <c r="BC419" s="591">
        <f>IF(E419="","",D419&amp;"-"&amp;B419&amp;"-"&amp;E419)</f>
        <v/>
      </c>
      <c r="BD419" s="591">
        <f>IF(E419="","",SUBSTITUTE(SUBSTITUTE(B419&amp;"-"&amp;E419," ",""),":","-"))</f>
        <v/>
      </c>
      <c r="BE419" s="591">
        <f>IF(E419="","",IF(ISNUMBER(SEARCH("ECC",E419)),"NCA-ECC-2-2024",IF(ISNUMBER(SEARCH("OTCC",E419)),"NCA-ECC-2-2024",IF(ISNUMBER(SEARCH("CCC",E419)),"NCA-ECC-2-2024",IF(ISNUMBER(SEARCH("DCC",E419)),"NCA-ECC-2-2024",IF(ISNUMBER(SEARCH("CSCC",E419)),"NCA-ECC-2-2024",IF(ISNUMBER(SEARCH("PDPL-IR",E419)),"PDPL-2021",IF(ISNUMBER(SEARCH("PDPL-DTR",E419)),"PDPL-2021","NONE"))))))))</f>
        <v/>
      </c>
      <c r="BF419" s="594">
        <f>IF(E419="","",IF(BB419="DEEP",10,IF(BB419="SHALLOW",5,IF(BB419="TEMPLATE",3,1)))+IF(N419="HIGHEST",5,IF(N419="HIGH",3,IF(N419="MODERATE",1,0)))+IF(ISNUMBER(SEARCH("Mandatory",L419)),3,0))</f>
        <v/>
      </c>
    </row>
    <row r="420" ht="42" customHeight="1">
      <c r="A420" s="84" t="n">
        <v>371</v>
      </c>
      <c r="B420" s="411" t="inlineStr">
        <is>
          <t>EKHC</t>
        </is>
      </c>
      <c r="C420" s="70" t="inlineStr">
        <is>
          <t>Eastern Region Health Cluster</t>
        </is>
      </c>
      <c r="D420" s="70" t="inlineStr">
        <is>
          <t>17. Regional Health Clusters</t>
        </is>
      </c>
      <c r="E420" s="411" t="inlineStr">
        <is>
          <t>NHIC-NABIDH</t>
        </is>
      </c>
      <c r="F420" s="72" t="inlineStr">
        <is>
          <t>NABIDH EHR Platform Standard</t>
        </is>
      </c>
      <c r="G420" s="70" t="inlineStr">
        <is>
          <t>معيار منصة نبض</t>
        </is>
      </c>
      <c r="H420" s="70" t="inlineStr">
        <is>
          <t>Mandatory 2024</t>
        </is>
      </c>
      <c r="I420" s="71" t="inlineStr">
        <is>
          <t>2018</t>
        </is>
      </c>
      <c r="J420" s="71" t="inlineStr">
        <is>
          <t>40</t>
        </is>
      </c>
      <c r="K420" s="70" t="inlineStr">
        <is>
          <t>MUST COMPLY WITH</t>
        </is>
      </c>
      <c r="L420" s="66" t="inlineStr">
        <is>
          <t>Mandatory Complier</t>
        </is>
      </c>
      <c r="M420" s="70" t="inlineStr">
        <is>
          <t>Eastern Region Health Cluster hospitals — NABIDH interoperability</t>
        </is>
      </c>
      <c r="N420" s="86" t="inlineStr">
        <is>
          <t>HIGHEST</t>
        </is>
      </c>
      <c r="O420" s="87" t="inlineStr">
        <is>
          <t>https://nhic.gov.sa/</t>
        </is>
      </c>
      <c r="P420" s="70" t="inlineStr">
        <is>
          <t>NHIC</t>
        </is>
      </c>
      <c r="Q420" s="70" t="inlineStr">
        <is>
          <t>NABIDH launched 2018 (pilot) → FHIR R4 API 2022 → mandatory all facilities 2024</t>
        </is>
      </c>
      <c r="R420" s="70" t="inlineStr">
        <is>
          <t>2018 (pilot): 10 MOH hospitals. 2019-2021: health cluster rollout. 2022: FHIR R4 API standards published; private hospitals voluntary integration. 2023: API developer portal opened; 40 technical requirements published. 2024: MANDATORY — all healthcare facilities must connect; Private Health Institutions Law updated; penalties for non-connection: facility licensing at risk. NABIDH now the central patient data repository — 45M+ patient records as of 2024</t>
        </is>
      </c>
      <c r="S420" s="71" t="inlineStr">
        <is>
          <t>Launched: 2018. FHIR R4 API: 2022. Mandatory: 2024</t>
        </is>
      </c>
      <c r="T420" s="70" t="inlineStr">
        <is>
          <t>Continuous platform updates; API versioning quarterly</t>
        </is>
      </c>
      <c r="U420" s="25" t="inlineStr">
        <is>
          <t>CURRENT — mandatory as of 2024</t>
        </is>
      </c>
      <c r="V420" s="70" t="inlineStr">
        <is>
          <t>Facility unable to receive electronic referrals; excluded from national patient record; MOH licensing risk; procurement penalties</t>
        </is>
      </c>
      <c r="W420" s="72" t="inlineStr">
        <is>
          <t>NHIC — NABIDH Programme Office; MOH General Directorate of Health Informatics; regional health clusters</t>
        </is>
      </c>
      <c r="X420" s="70" t="inlineStr">
        <is>
          <t>Hospital; Clinic; Lab; Pharmacy — ALL healthcare facilities mandatory</t>
        </is>
      </c>
      <c r="Y420" s="22" t="inlineStr">
        <is>
          <t>Both</t>
        </is>
      </c>
      <c r="Z420" s="70" t="inlineStr">
        <is>
          <t>NHIC API conformance test; connectivity monitoring (automated); annual technical review</t>
        </is>
      </c>
      <c r="AA420" s="71" t="inlineStr">
        <is>
          <t>Continuous connectivity monitoring; annual audit</t>
        </is>
      </c>
      <c r="AB420" s="70" t="inlineStr">
        <is>
          <t>16 (NABIDH IoMT data ingestion API; remote monitoring data submission; wearable vital signs standardisation; IoMT device data consent management; IoMT-generated observation resources in FHIR)</t>
        </is>
      </c>
      <c r="AC420" s="70" t="inlineStr">
        <is>
          <t>HL7 FHIR R4 (mandatory); IHE profiles; SNOMED CT; ICD-10-CM; LOINC; HL7 CDA</t>
        </is>
      </c>
      <c r="AD420" s="49" t="inlineStr">
        <is>
          <t>Arabic + English (NABIDH technical specifications bilingual)</t>
        </is>
      </c>
      <c r="AE420" s="37" t="inlineStr">
        <is>
          <t>Layer 3: Technical Controls; Layer 4: Compliance; Layer 5: Assurance</t>
        </is>
      </c>
      <c r="AF420" s="27" t="inlineStr">
        <is>
          <t>Yes — 3 connectivity levels (Basic data exchange / Full longitudinal record / Advanced IoMT integration)</t>
        </is>
      </c>
      <c r="AG420" s="70" t="inlineStr">
        <is>
          <t>HSTP digital health; National EHR programme; NHIS integration; Vision 2030 connected healthcare</t>
        </is>
      </c>
      <c r="AH420" s="70" t="inlineStr">
        <is>
          <t>NABIDH connectivity certificate; API test results; FHIR conformance statement; patient consent records; data quality dashboard reports</t>
        </is>
      </c>
      <c r="AI420" s="73" t="inlineStr">
        <is>
          <t>Institutional theory and regulatory governance theory underpin all KSA regulatory frameworks. Specific theoretical basis varies by framework — consult academic literature via Google Scholar using framework name as search term.</t>
        </is>
      </c>
      <c r="AJ420" s="70" t="inlineStr">
        <is>
          <t>Academic debate varies by framework maturity and international adoption. For KSA-specific debate, consult: Almohammad &amp; Wills (2021) J Cybersecurity; Al-Khater et al. (2020) IEEE Access; Baker McKenzie KSA regulatory updates.</t>
        </is>
      </c>
      <c r="AK420" s="74" t="inlineStr">
        <is>
          <t>Known criticisms include: implementation gap between standards and practice; resource constraints for smaller healthcare entities; rapid technology evolution outpacing regulation. Consult framework evaluation literature for specifics.</t>
        </is>
      </c>
      <c r="AL420" s="75" t="inlineStr">
        <is>
          <t>Framework comparison requires contextual analysis. Key comparators: NIST CSF 2.0 (international benchmark), ISO 27001 (certifiable standard), ECC-2 (KSA mandatory baseline). See main database for cross-framework mapping.</t>
        </is>
      </c>
      <c r="AM420"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20" s="50" t="inlineStr">
        <is>
          <t>Official: Consult the official source URL in the database for the primary document. Training: ISACA, ISC2, RAPS, IAPP, and HIMSS offer professional development covering most regulatory domains. Estimated hours vary by framework complexity.</t>
        </is>
      </c>
      <c r="AO420" s="77" t="inlineStr">
        <is>
          <t>Relevance to GH-ICGA framework varies by layer — see GH-ICGA Layer Mapping column. All KSA mandatory frameworks are compliance inputs to GH-ICGA Layer 4. Frameworks with IoMT-specific provisions directly inform Layers 2 and 3.</t>
        </is>
      </c>
      <c r="AP420" s="51" t="inlineStr">
        <is>
          <t>G + C (Governance + Compliance — standard regulatory framework positioning)</t>
        </is>
      </c>
      <c r="AQ420" s="78" t="inlineStr">
        <is>
          <t>Senior management: accountability for framework compliance. Designated compliance officer: monitor requirements. All staff: awareness of applicable obligations</t>
        </is>
      </c>
      <c r="AR420" s="74" t="inlineStr">
        <is>
          <t>Regulatory Risk; Operational Risk; Reputational Risk — specific domains determined by framework scope</t>
        </is>
      </c>
      <c r="AS420" s="22" t="inlineStr">
        <is>
          <t>See official source — legal obligation, regulatory requirement, or voluntary standard as applicable</t>
        </is>
      </c>
      <c r="AT420" s="75" t="inlineStr">
        <is>
          <t>Administrative; Technical; Operational — specific distribution determined by framework content</t>
        </is>
      </c>
      <c r="AU420" s="79" t="inlineStr">
        <is>
          <t>1. Compliance status (compliant/non-compliant). 2. # open findings from last assessment. 3. % controls implemented. 4. Time to remediate findings. 5. Incident rate in framework scope area</t>
        </is>
      </c>
      <c r="AV420" s="80" t="inlineStr">
        <is>
          <t>Self-assessment; internal audit; external assessment as specified by issuing authority</t>
        </is>
      </c>
      <c r="AW420" s="81" t="inlineStr">
        <is>
          <t>ServiceNow GRC; IBM OpenPages; RSA Archer; MetricStream — all major GRC platforms support custom framework import. Contact vendor for framework-specific module</t>
        </is>
      </c>
      <c r="AX420" s="82" t="inlineStr">
        <is>
          <t>Third parties in scope must demonstrate equivalent compliance. Contractual compliance obligations; right-to-audit clauses; annual third-party assessment</t>
        </is>
      </c>
      <c r="AY420" s="83" t="inlineStr">
        <is>
          <t>Non-compliance: regulatory action by issuing authority; fines and penalties as specified; operational and reputational consequences</t>
        </is>
      </c>
      <c r="AZ420" s="80" t="inlineStr">
        <is>
          <t>Healthcare &amp; Life Sciences</t>
        </is>
      </c>
      <c r="BA420" s="41" t="inlineStr">
        <is>
          <t>Sector-Specific</t>
        </is>
      </c>
      <c r="BB420" s="591">
        <f>IF(E420="","",IF(ISNUMBER(SEARCH("Institutional theory and regulatory governance theory underpin",AI420)),"TEMPLATE",IF(LEN(AI420)&gt;100,"DEEP",IF(AI420="","SPARSE","SHALLOW"))))</f>
        <v/>
      </c>
      <c r="BC420" s="591">
        <f>IF(E420="","",D420&amp;"-"&amp;B420&amp;"-"&amp;E420)</f>
        <v/>
      </c>
      <c r="BD420" s="591">
        <f>IF(E420="","",SUBSTITUTE(SUBSTITUTE(B420&amp;"-"&amp;E420," ",""),":","-"))</f>
        <v/>
      </c>
      <c r="BE420" s="591">
        <f>IF(E420="","",IF(ISNUMBER(SEARCH("ECC",E420)),"NCA-ECC-2-2024",IF(ISNUMBER(SEARCH("OTCC",E420)),"NCA-ECC-2-2024",IF(ISNUMBER(SEARCH("CCC",E420)),"NCA-ECC-2-2024",IF(ISNUMBER(SEARCH("DCC",E420)),"NCA-ECC-2-2024",IF(ISNUMBER(SEARCH("CSCC",E420)),"NCA-ECC-2-2024",IF(ISNUMBER(SEARCH("PDPL-IR",E420)),"PDPL-2021",IF(ISNUMBER(SEARCH("PDPL-DTR",E420)),"PDPL-2021","NONE"))))))))</f>
        <v/>
      </c>
      <c r="BF420" s="594">
        <f>IF(E420="","",IF(BB420="DEEP",10,IF(BB420="SHALLOW",5,IF(BB420="TEMPLATE",3,1)))+IF(N420="HIGHEST",5,IF(N420="HIGH",3,IF(N420="MODERATE",1,0)))+IF(ISNUMBER(SEARCH("Mandatory",L420)),3,0))</f>
        <v/>
      </c>
    </row>
    <row r="421" ht="42" customHeight="1">
      <c r="A421" s="42" t="n">
        <v>372</v>
      </c>
      <c r="B421" s="412" t="inlineStr">
        <is>
          <t>EKHC</t>
        </is>
      </c>
      <c r="C421" s="44" t="inlineStr">
        <is>
          <t>Eastern Region Health Cluster</t>
        </is>
      </c>
      <c r="D421" s="44" t="inlineStr">
        <is>
          <t>17. Regional Health Clusters</t>
        </is>
      </c>
      <c r="E421" s="412" t="inlineStr">
        <is>
          <t>NCA-OTCC</t>
        </is>
      </c>
      <c r="F421" s="45" t="inlineStr">
        <is>
          <t>OT Cybersecurity Controls</t>
        </is>
      </c>
      <c r="G421" s="44" t="inlineStr">
        <is>
          <t>ضوابط الأمن السيبراني للتقنيات التشغيلية</t>
        </is>
      </c>
      <c r="H421" s="44" t="inlineStr">
        <is>
          <t>OTCC-1:2022</t>
        </is>
      </c>
      <c r="I421" s="46" t="inlineStr">
        <is>
          <t>2022</t>
        </is>
      </c>
      <c r="J421" s="46" t="inlineStr">
        <is>
          <t>53</t>
        </is>
      </c>
      <c r="K421" s="44" t="inlineStr">
        <is>
          <t>MUST COMPLY WITH</t>
        </is>
      </c>
      <c r="L421" s="66" t="inlineStr">
        <is>
          <t>Mandatory Complier</t>
        </is>
      </c>
      <c r="M421" s="44" t="inlineStr">
        <is>
          <t>Eastern Region Health Cluster medical device OT networks — CNI designation</t>
        </is>
      </c>
      <c r="N421" s="47" t="inlineStr">
        <is>
          <t>HIGHEST</t>
        </is>
      </c>
      <c r="O421" s="48" t="inlineStr">
        <is>
          <t>https://nca.gov.sa/</t>
        </is>
      </c>
      <c r="P421" s="44" t="inlineStr">
        <is>
          <t>NCA OTCC</t>
        </is>
      </c>
      <c r="Q421" s="70" t="inlineStr">
        <is>
          <t>See official source for version history</t>
        </is>
      </c>
      <c r="R421" s="70" t="inlineStr">
        <is>
          <t>Framework issued by the relevant authority. Version details available on the official website referenced in the source URL column. The framework has been updated periodically since first issuance.</t>
        </is>
      </c>
      <c r="S421" s="71" t="inlineStr">
        <is>
          <t>See official source</t>
        </is>
      </c>
      <c r="T421" s="70" t="inlineStr">
        <is>
          <t>Updated as needed by the issuing authority</t>
        </is>
      </c>
      <c r="U421" s="25" t="inlineStr">
        <is>
          <t>CURRENT — consult official source for latest version</t>
        </is>
      </c>
      <c r="V421" s="70" t="inlineStr">
        <is>
          <t>Penalties defined by issuing authority; consult official source. NCA ECC-2 penalties apply if relevant</t>
        </is>
      </c>
      <c r="W421" s="72" t="inlineStr">
        <is>
          <t>Issuing authority and/or designated inspection department</t>
        </is>
      </c>
      <c r="X421" s="70" t="inlineStr">
        <is>
          <t>As specified in framework scope — consult official document</t>
        </is>
      </c>
      <c r="Y421" s="49" t="inlineStr">
        <is>
          <t>Both (unless specified otherwise in official document)</t>
        </is>
      </c>
      <c r="Z421" s="70" t="inlineStr">
        <is>
          <t>As defined by issuing authority</t>
        </is>
      </c>
      <c r="AA421" s="71" t="inlineStr">
        <is>
          <t>As defined by issuing authority</t>
        </is>
      </c>
      <c r="AB421" s="70" t="inlineStr">
        <is>
          <t>To be determined from framework text — see official source</t>
        </is>
      </c>
      <c r="AC421" s="70" t="inlineStr">
        <is>
          <t>See framework preamble for international standard references</t>
        </is>
      </c>
      <c r="AD421" s="49" t="inlineStr">
        <is>
          <t>Arabic (primary in KSA); English may be available</t>
        </is>
      </c>
      <c r="AE421" s="58" t="inlineStr">
        <is>
          <t>Mapped to relevant GH-ICGA layer — requires manual assessment</t>
        </is>
      </c>
      <c r="AF421" s="56" t="inlineStr">
        <is>
          <t>See official framework for maturity model details</t>
        </is>
      </c>
      <c r="AG421" s="70" t="inlineStr">
        <is>
          <t>Aligned with relevant Vision 2030 programme — see framework context</t>
        </is>
      </c>
      <c r="AH421" s="70" t="inlineStr">
        <is>
          <t>As specified in framework compliance requirements</t>
        </is>
      </c>
      <c r="AI421" s="73" t="inlineStr">
        <is>
          <t>Institutional theory and regulatory governance theory underpin all KSA regulatory frameworks. Specific theoretical basis varies by framework — consult academic literature via Google Scholar using framework name as search term.</t>
        </is>
      </c>
      <c r="AJ421" s="70" t="inlineStr">
        <is>
          <t>Academic debate varies by framework maturity and international adoption. For KSA-specific debate, consult: Almohammad &amp; Wills (2021) J Cybersecurity; Al-Khater et al. (2020) IEEE Access; Baker McKenzie KSA regulatory updates.</t>
        </is>
      </c>
      <c r="AK421" s="74" t="inlineStr">
        <is>
          <t>Known criticisms include: implementation gap between standards and practice; resource constraints for smaller healthcare entities; rapid technology evolution outpacing regulation. Consult framework evaluation literature for specifics.</t>
        </is>
      </c>
      <c r="AL421" s="75" t="inlineStr">
        <is>
          <t>Framework comparison requires contextual analysis. Key comparators: NIST CSF 2.0 (international benchmark), ISO 27001 (certifiable standard), ECC-2 (KSA mandatory baseline). See main database for cross-framework mapping.</t>
        </is>
      </c>
      <c r="AM421"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21" s="50" t="inlineStr">
        <is>
          <t>Official: Consult the official source URL in the database for the primary document. Training: ISACA, ISC2, RAPS, IAPP, and HIMSS offer professional development covering most regulatory domains. Estimated hours vary by framework complexity.</t>
        </is>
      </c>
      <c r="AO421" s="77" t="inlineStr">
        <is>
          <t>Relevance to GH-ICGA framework varies by layer — see GH-ICGA Layer Mapping column. All KSA mandatory frameworks are compliance inputs to GH-ICGA Layer 4. Frameworks with IoMT-specific provisions directly inform Layers 2 and 3.</t>
        </is>
      </c>
      <c r="AP421" s="53" t="inlineStr">
        <is>
          <t>R + C (Risk and Compliance — technically oriented; governance implied)</t>
        </is>
      </c>
      <c r="AQ421" s="78" t="inlineStr">
        <is>
          <t>CISO/OT Security Manager: own OTCC compliance. Clinical Engineering/Biomedical Engineering: co-responsible for medical device OT compliance. CTO: responsible for OT architecture. Board: informed of OT risk posture annually. OT security roles: Saudi nationals required per ECC-2 Saudisation mandate</t>
        </is>
      </c>
      <c r="AR421" s="74" t="inlineStr">
        <is>
          <t>Cyber Risk (OT/ICS); Operational Risk (process disruption); Physical Safety Risk (clinical impact of OT compromise); Supply Chain Risk (OT vendor remote access); Availability Risk (OT always-on requirement)</t>
        </is>
      </c>
      <c r="AS421" s="22" t="inlineStr">
        <is>
          <t>LEGAL — Mandatory for CNI OT operators under NCA-REG-2024. Hospitals as CNI: healthcare OT networks are in scope. Penalties: NCA-REG-2024 (SAR 25M max) + potential operational shutdown of non-compliant OT systems</t>
        </is>
      </c>
      <c r="AT421" s="75" t="inlineStr">
        <is>
          <t>Technical (T): 40 controls — OT network segmentation; secure remote access; OT monitoring; patch management for ICS. Administrative (A): 8 controls — OT governance; vendor management; OT incident response. Operational (O): 5 controls — OT change management; OT BCP</t>
        </is>
      </c>
      <c r="AU421" s="79" t="inlineStr">
        <is>
          <t>1. % OT assets inventoried (target 100%). 2. % OT systems with current patches within defined window. 3. # OT network zone violations detected. 4. % third-party OT vendor accesses logged. 5. OT system availability rate (target &gt;99.9% for life-critical). 6. Time-to-detect OT anomaly (target &lt;15 min for CNI)</t>
        </is>
      </c>
      <c r="AV421" s="80" t="inlineStr">
        <is>
          <t>OT vulnerability scan (passive — non-disruptive tools: Claroty, Nozomi, Dragos); OT network traffic analysis; OT penetration test (annual — must not disrupt clinical operations); vendor remote access audit; zone/conduit diagram validation</t>
        </is>
      </c>
      <c r="AW421" s="81" t="inlineStr">
        <is>
          <t>Claroty (medical IoT OT visibility); Nozomi Networks; Dragos; Tenable.ot; Fortinet OT; Medigate (healthcare-specific OT). For GRC integration: ServiceNow OT module; IBM QRadar SIEM with OT signatures</t>
        </is>
      </c>
      <c r="AX421" s="82" t="inlineStr">
        <is>
          <t>All OT vendors with remote access: mandatory access logging; time-limited access; multi-factor authentication; vendor security assessment before engagement; NDA for OT architecture access; OT vendor incident notification within 4 hours</t>
        </is>
      </c>
      <c r="AY421" s="83" t="inlineStr">
        <is>
          <t>OT breach in hospital: potential life-critical impact (ventilator, infusion pump disruption); NCA shutdown order; SAR 25M fine; criminal referral; SFDA recall if device compromise detected; massive reputational and legal exposure</t>
        </is>
      </c>
      <c r="AZ421" s="80" t="inlineStr">
        <is>
          <t>Sector-specific — consult official source</t>
        </is>
      </c>
      <c r="BA421" s="41" t="inlineStr">
        <is>
          <t>Sector-Specific</t>
        </is>
      </c>
      <c r="BB421" s="591">
        <f>IF(E421="","",IF(ISNUMBER(SEARCH("Institutional theory and regulatory governance theory underpin",AI421)),"TEMPLATE",IF(LEN(AI421)&gt;100,"DEEP",IF(AI421="","SPARSE","SHALLOW"))))</f>
        <v/>
      </c>
      <c r="BC421" s="591">
        <f>IF(E421="","",D421&amp;"-"&amp;B421&amp;"-"&amp;E421)</f>
        <v/>
      </c>
      <c r="BD421" s="591">
        <f>IF(E421="","",SUBSTITUTE(SUBSTITUTE(B421&amp;"-"&amp;E421," ",""),":","-"))</f>
        <v/>
      </c>
      <c r="BE421" s="591">
        <f>IF(E421="","",IF(ISNUMBER(SEARCH("ECC",E421)),"NCA-ECC-2-2024",IF(ISNUMBER(SEARCH("OTCC",E421)),"NCA-ECC-2-2024",IF(ISNUMBER(SEARCH("CCC",E421)),"NCA-ECC-2-2024",IF(ISNUMBER(SEARCH("DCC",E421)),"NCA-ECC-2-2024",IF(ISNUMBER(SEARCH("CSCC",E421)),"NCA-ECC-2-2024",IF(ISNUMBER(SEARCH("PDPL-IR",E421)),"PDPL-2021",IF(ISNUMBER(SEARCH("PDPL-DTR",E421)),"PDPL-2021","NONE"))))))))</f>
        <v/>
      </c>
      <c r="BF421" s="594">
        <f>IF(E421="","",IF(BB421="DEEP",10,IF(BB421="SHALLOW",5,IF(BB421="TEMPLATE",3,1)))+IF(N421="HIGHEST",5,IF(N421="HIGH",3,IF(N421="MODERATE",1,0)))+IF(ISNUMBER(SEARCH("Mandatory",L421)),3,0))</f>
        <v/>
      </c>
    </row>
    <row r="422" ht="42" customHeight="1">
      <c r="A422" s="84" t="n">
        <v>373</v>
      </c>
      <c r="B422" s="411" t="inlineStr">
        <is>
          <t>AZHC</t>
        </is>
      </c>
      <c r="C422" s="70" t="inlineStr">
        <is>
          <t>Aseer Health Cluster</t>
        </is>
      </c>
      <c r="D422" s="70" t="inlineStr">
        <is>
          <t>17. Regional Health Clusters</t>
        </is>
      </c>
      <c r="E422" s="411" t="inlineStr">
        <is>
          <t>MOH-HIS</t>
        </is>
      </c>
      <c r="F422" s="72" t="inlineStr">
        <is>
          <t>Health Information System Standards</t>
        </is>
      </c>
      <c r="G422" s="70" t="inlineStr">
        <is>
          <t>معايير نظم المعلومات الصحية</t>
        </is>
      </c>
      <c r="H422" s="70" t="inlineStr">
        <is>
          <t>2024 update</t>
        </is>
      </c>
      <c r="I422" s="71" t="inlineStr">
        <is>
          <t>2010</t>
        </is>
      </c>
      <c r="J422" s="71" t="inlineStr">
        <is>
          <t>112</t>
        </is>
      </c>
      <c r="K422" s="70" t="inlineStr">
        <is>
          <t>MUST COMPLY WITH</t>
        </is>
      </c>
      <c r="L422" s="66" t="inlineStr">
        <is>
          <t>Mandatory Complier</t>
        </is>
      </c>
      <c r="M422" s="70" t="inlineStr">
        <is>
          <t>Aseer Health Cluster hospitals — mandatory HIS compliance</t>
        </is>
      </c>
      <c r="N422" s="86" t="inlineStr">
        <is>
          <t>HIGHEST</t>
        </is>
      </c>
      <c r="O422" s="87" t="inlineStr">
        <is>
          <t>https://www.moh.gov.sa/en/</t>
        </is>
      </c>
      <c r="P422" s="70" t="inlineStr">
        <is>
          <t>MOH official</t>
        </is>
      </c>
      <c r="Q422" s="70" t="inlineStr">
        <is>
          <t>First issued ~2010 → comprehensive update 2022 → mandatory EMR update 2024</t>
        </is>
      </c>
      <c r="R422" s="70" t="inlineStr">
        <is>
          <t>Progressive standards covering: 2010 (basic EHR requirements); 2015 (interoperability standards added); 2018 (NABIDH integration); 2020 (mobile health and telemedicine modules); 2022 (comprehensive 112-control update covering clinical systems, imaging, medication management, emergency, genomics, training); 2024 (mandatory EMR adoption for all MOH and private facilities aligned with NABIDH)</t>
        </is>
      </c>
      <c r="S422" s="71" t="inlineStr">
        <is>
          <t>First: 2010. Major update: 2022. EMR mandate: 2024</t>
        </is>
      </c>
      <c r="T422" s="70" t="inlineStr">
        <is>
          <t>Updated with NABIDH platform releases; typically annual minor updates</t>
        </is>
      </c>
      <c r="U422" s="25" t="inlineStr">
        <is>
          <t>CURRENT — 2024 version mandatory</t>
        </is>
      </c>
      <c r="V422" s="70" t="inlineStr">
        <is>
          <t>MOH facility licensing at risk; mandatory corrective action plan; financial penalties under Private Health Institutions Law; non-compliant systems barred from NABIDH connectivity</t>
        </is>
      </c>
      <c r="W422" s="72" t="inlineStr">
        <is>
          <t>MOH — Directorate of Health Information (DHI); regional health cluster inspection teams; NHIC for interoperability compliance</t>
        </is>
      </c>
      <c r="X422" s="70" t="inlineStr">
        <is>
          <t>Hospital; Clinic; Lab; Pharmacy (hospital); Government Health Entity</t>
        </is>
      </c>
      <c r="Y422" s="49" t="inlineStr">
        <is>
          <t>Both (mandatory for MOH facilities; mandatory for private facilities since 2024 PHILAW update)</t>
        </is>
      </c>
      <c r="Z422" s="70" t="inlineStr">
        <is>
          <t>MOH annual IT audit; NHIC interoperability assessment; CBAHI HIT standards review during accreditation</t>
        </is>
      </c>
      <c r="AA422" s="71" t="inlineStr">
        <is>
          <t>Annual MOH audit; NABIDH connectivity continuous monitoring</t>
        </is>
      </c>
      <c r="AB422" s="70" t="inlineStr">
        <is>
          <t>28 (medical device integration into HIS; alarm management; device data capture; IoMT workflow integration; remote monitoring data ingestion; device incident reporting to HIS)</t>
        </is>
      </c>
      <c r="AC422" s="70" t="inlineStr">
        <is>
          <t>HL7 FHIR R4 (interoperability); IHE profiles (integration); ISO 27799:2016 (health ISMS); DICOM (imaging)</t>
        </is>
      </c>
      <c r="AD422" s="49" t="inlineStr">
        <is>
          <t>Arabic (primary); English technical annexes</t>
        </is>
      </c>
      <c r="AE422" s="26" t="inlineStr">
        <is>
          <t>Layer 1: Governance; Layer 3: Technical Controls; Layer 4: Compliance</t>
        </is>
      </c>
      <c r="AF422" s="27" t="inlineStr">
        <is>
          <t>Yes — 4 implementation levels (Basic / Intermediate / Advanced / Optimised); MOH tracks facility scores</t>
        </is>
      </c>
      <c r="AG422" s="70" t="inlineStr">
        <is>
          <t>HSTP digital health; NABIDH national EHR; Vision 2030 healthcare quality targets</t>
        </is>
      </c>
      <c r="AH422" s="70" t="inlineStr">
        <is>
          <t>HIS system documentation; NABIDH connectivity certificate; interoperability test results; staff training records; system access audit logs; downtime contingency procedure</t>
        </is>
      </c>
      <c r="AI422" s="73" t="inlineStr">
        <is>
          <t>Health informatics systems theory (Shortliffe &amp; Cimino 2006): HIS as sociotechnical infrastructure. Interoperability theory (Kuperman 2011): semantic/syntactic/organisational interoperability levels. Technology adoption theory (TAM — Davis 1989): clinician adoption barriers to HIS.</t>
        </is>
      </c>
      <c r="AJ422" s="70" t="inlineStr">
        <is>
          <t>FOR: National standardisation essential for patient safety continuity (WHO 2019); NABIDH integration creates longitudinal patient record unavailable previously; IoMT data integration requirements push hospitals toward modern system architectures. AGAINST: Ajami &amp; Bagheri-Tadi (2013) and Aloudah et al. (2021) document implementation-reality gap in Saudi HIS — standards exist but compliance varies widely by facility tier; urban-rural HIS capacity gap poorly addressed; cybersecurity requirements within HIS standards historically weak (pre-NABIDH)</t>
        </is>
      </c>
      <c r="AK422" s="74" t="inlineStr">
        <is>
          <t>112 controls create compliance burden without proportionality guidance; small private clinics face disproportionate compliance cost; no formal HIS certification programme — self-declaration accepted; IoMT data standards not harmonised with international HL7 FHIR profiles; historical emphasis on data capture over data quality</t>
        </is>
      </c>
      <c r="AL422" s="75" t="inlineStr">
        <is>
          <t>MOH-HIS vs NHS Digital standards (UK): NHS has legally binding DCB standards with enforcement; MOH-HIS is ministerial directive with softer enforcement. MOH-HIS vs ONC Health IT Certification (US): US has federal certification; KSA moving toward certification (NABIDH conformance). MOH-HIS + NHIC-NABIDH = closest to ONC approach in KSA</t>
        </is>
      </c>
      <c r="AM422" s="76" t="inlineStr">
        <is>
          <t>Ajami S &amp; Bagheri-Tadi T (2013) 'Barriers for Adopting Electronic Health Records' MateriaSociomed 25(3); Aloudah N et al. (2021) 'Digital Health in Saudi Arabia' Sustainability 13(12); Shortliffe EH &amp; Cimino JJ (2006) Biomedical Informatics Springer; WHO (2019) Classification of Digital Interventions; Alotaibi YK &amp; Federico F (2017) 'Impact of Health IT on Patient Safety' Saudi Medical J 38(12)</t>
        </is>
      </c>
      <c r="AN422" s="50" t="inlineStr">
        <is>
          <t>Official: MOH website (moh.gov.sa). Training: CPHIMS (Certified Professional Health Informatics &amp; Information Management); HL7 FHIR Foundational (HL7.org); NHIC developer portal training (nhic.gov.sa). Language: Arabic primary. Estimated: 45 hours</t>
        </is>
      </c>
      <c r="AO422" s="77" t="inlineStr">
        <is>
          <t>GH-ICGA Layer 1 (Governance) + Layer 3 (Technical Controls) — MOH-HIS is the clinical data governance backbone that the preliminary GH-ICGA IoMT framework must integrate with. Thesis: GH-ICGA IoMT data model must align with HIS data standards to ensure IoMT device data flows into the national health record coherently</t>
        </is>
      </c>
      <c r="AP422" s="34" t="inlineStr">
        <is>
          <t>G + R + C (all three — clinical information governance foundation)</t>
        </is>
      </c>
      <c r="AQ422" s="78" t="inlineStr">
        <is>
          <t>Hospital CEO: accountable for HIS compliance. CIO/CMIO: responsible for HIS implementation and NABIDH connectivity. Clinical Informatics Committee: govern HIS standards adoption. Department Heads: responsible for clinical data quality in their systems</t>
        </is>
      </c>
      <c r="AR422" s="74" t="inlineStr">
        <is>
          <t>Operational Risk (HIS downtime = clinical risk); Patient Safety Risk; Data Quality Risk; Regulatory Risk (MOH non-compliance); Interoperability Risk (NABIDH disconnection)</t>
        </is>
      </c>
      <c r="AS422" s="61" t="inlineStr">
        <is>
          <t>REGULATORY — MOH ministerial directive. Mandatory for all licensed facilities. Non-compliance risks licensing. Enforced through MOH annual audit and NABIDH connectivity monitoring</t>
        </is>
      </c>
      <c r="AT422" s="75" t="inlineStr">
        <is>
          <t>Technical (T): 68 controls — system architecture; integration; security; availability; backup. Administrative (A): 28 controls — data governance; policies; training; documentation. Operational (O): 16 controls — downtime procedures; change management; vendor management</t>
        </is>
      </c>
      <c r="AU422" s="79" t="inlineStr">
        <is>
          <t>1. NABIDH connectivity status (connected/disconnected). 2. HIS downtime incidents per month (target &lt;4h/month). 3. Data quality score (completeness/accuracy) from NABIDH reports. 4. % clinical staff trained on HIS (target 100%). 5. Time-to-restore HIS after failure (target &lt;4h). 6. # HIS security incidents per quarter</t>
        </is>
      </c>
      <c r="AV422" s="80" t="inlineStr">
        <is>
          <t>Annual MOH HIS audit (documentation + system walk-through); NABIDH API conformance test (NHIC automated); data quality audit; HIS security assessment; downtime procedure simulation; user access review</t>
        </is>
      </c>
      <c r="AW422" s="81" t="inlineStr">
        <is>
          <t>Epic; Cerner (Oracle Health); Philips Tasy EMR; Meditech; InterSystems HealthShare — all NABIDH-integrated. For compliance: ServiceNow Healthcare; Qualio (quality management); NHIC developer portal for FHIR conformance testing</t>
        </is>
      </c>
      <c r="AX422" s="82" t="inlineStr">
        <is>
          <t>HIS vendors: must be MOH-approved/NABIDH-certified; contractual data protection obligations; source code escrow for critical systems; SLA for 99.9% uptime; mandatory SFDA notification if HIS failure affects medical devices; annual security assessment of HIS vendors</t>
        </is>
      </c>
      <c r="AY422" s="83" t="inlineStr">
        <is>
          <t>Non-compliance: MOH corrective action; facility licence conditions; NABIDH disconnection (loss of referrals, national patient record access); PHILAW 2024 penalties for private facilities. Clinical impact: patient safety risk from poor data quality or HIS unavailability</t>
        </is>
      </c>
      <c r="AZ422" s="80" t="inlineStr">
        <is>
          <t>Healthcare &amp; Life Sciences</t>
        </is>
      </c>
      <c r="BA422" s="41" t="inlineStr">
        <is>
          <t>Sector-Specific</t>
        </is>
      </c>
      <c r="BB422" s="591">
        <f>IF(E422="","",IF(ISNUMBER(SEARCH("Institutional theory and regulatory governance theory underpin",AI422)),"TEMPLATE",IF(LEN(AI422)&gt;100,"DEEP",IF(AI422="","SPARSE","SHALLOW"))))</f>
        <v/>
      </c>
      <c r="BC422" s="591">
        <f>IF(E422="","",D422&amp;"-"&amp;B422&amp;"-"&amp;E422)</f>
        <v/>
      </c>
      <c r="BD422" s="591">
        <f>IF(E422="","",SUBSTITUTE(SUBSTITUTE(B422&amp;"-"&amp;E422," ",""),":","-"))</f>
        <v/>
      </c>
      <c r="BE422" s="591">
        <f>IF(E422="","",IF(ISNUMBER(SEARCH("ECC",E422)),"NCA-ECC-2-2024",IF(ISNUMBER(SEARCH("OTCC",E422)),"NCA-ECC-2-2024",IF(ISNUMBER(SEARCH("CCC",E422)),"NCA-ECC-2-2024",IF(ISNUMBER(SEARCH("DCC",E422)),"NCA-ECC-2-2024",IF(ISNUMBER(SEARCH("CSCC",E422)),"NCA-ECC-2-2024",IF(ISNUMBER(SEARCH("PDPL-IR",E422)),"PDPL-2021",IF(ISNUMBER(SEARCH("PDPL-DTR",E422)),"PDPL-2021","NONE"))))))))</f>
        <v/>
      </c>
      <c r="BF422" s="594">
        <f>IF(E422="","",IF(BB422="DEEP",10,IF(BB422="SHALLOW",5,IF(BB422="TEMPLATE",3,1)))+IF(N422="HIGHEST",5,IF(N422="HIGH",3,IF(N422="MODERATE",1,0)))+IF(ISNUMBER(SEARCH("Mandatory",L422)),3,0))</f>
        <v/>
      </c>
    </row>
    <row r="423" ht="42" customHeight="1">
      <c r="A423" s="42" t="n">
        <v>374</v>
      </c>
      <c r="B423" s="412" t="inlineStr">
        <is>
          <t>AZHC</t>
        </is>
      </c>
      <c r="C423" s="44" t="inlineStr">
        <is>
          <t>Aseer Health Cluster</t>
        </is>
      </c>
      <c r="D423" s="44" t="inlineStr">
        <is>
          <t>17. Regional Health Clusters</t>
        </is>
      </c>
      <c r="E423" s="412" t="inlineStr">
        <is>
          <t>MOH-EMR-NABIDH</t>
        </is>
      </c>
      <c r="F423" s="45" t="inlineStr">
        <is>
          <t>EMR Standards / NABIDH</t>
        </is>
      </c>
      <c r="G423" s="44" t="inlineStr">
        <is>
          <t>معايير السجل الصحي الإلكتروني / نبض</t>
        </is>
      </c>
      <c r="H423" s="44" t="inlineStr">
        <is>
          <t>Mandatory 2024</t>
        </is>
      </c>
      <c r="I423" s="46" t="inlineStr">
        <is>
          <t>2010</t>
        </is>
      </c>
      <c r="J423" s="46" t="inlineStr">
        <is>
          <t>52</t>
        </is>
      </c>
      <c r="K423" s="44" t="inlineStr">
        <is>
          <t>MUST COMPLY WITH</t>
        </is>
      </c>
      <c r="L423" s="66" t="inlineStr">
        <is>
          <t>Mandatory Complier</t>
        </is>
      </c>
      <c r="M423" s="44" t="inlineStr">
        <is>
          <t>Aseer Health Cluster — mandatory NABIDH connectivity 2024</t>
        </is>
      </c>
      <c r="N423" s="47" t="inlineStr">
        <is>
          <t>HIGHEST</t>
        </is>
      </c>
      <c r="O423" s="48" t="inlineStr">
        <is>
          <t>https://www.moh.gov.sa/en/</t>
        </is>
      </c>
      <c r="P423" s="44" t="inlineStr">
        <is>
          <t>MOH/NHIC</t>
        </is>
      </c>
      <c r="Q423" s="70" t="inlineStr">
        <is>
          <t>NABIDH platform launched ~2018 → mandatory EMR adoption for all facilities 2024</t>
        </is>
      </c>
      <c r="R423" s="70" t="inlineStr">
        <is>
          <t>NABIDH (National Unified EHR Platform): v1 2018 (pilot MOH hospitals); 2019-2021 (rollout to health clusters); 2022 (private hospital voluntary integration); 2023 (API standards published based on FHIR R4); 2024 (mandatory for ALL healthcare facilities per Private Health Institutions Law update — complete patient longitudinal record across facilities). EMR standard covers 52 functional requirements including: CPOE, medication reconciliation, imaging integration, patient portal, audit logs</t>
        </is>
      </c>
      <c r="S423" s="71" t="inlineStr">
        <is>
          <t>NABIDH launched: 2018. Mandatory for all: 2024</t>
        </is>
      </c>
      <c r="T423" s="70" t="inlineStr">
        <is>
          <t>Continuously updated with NABIDH platform releases</t>
        </is>
      </c>
      <c r="U423" s="25" t="inlineStr">
        <is>
          <t>CURRENT — mandatory since 2024</t>
        </is>
      </c>
      <c r="V423" s="70" t="inlineStr">
        <is>
          <t>Facility licensing revocation; MOH enforcement action; barred from government referrals; penalties under PHILAW 2024</t>
        </is>
      </c>
      <c r="W423" s="72" t="inlineStr">
        <is>
          <t>MOH — NABIDH Programme Office; NHIC; regional health clusters monitor connectivity</t>
        </is>
      </c>
      <c r="X423" s="70" t="inlineStr">
        <is>
          <t>Hospital; Clinic; Lab; Pharmacy; Government Health Entity — ALL healthcare facilities mandatory</t>
        </is>
      </c>
      <c r="Y423" s="49" t="inlineStr">
        <is>
          <t>Both (mandatory since 2024 PHILAW update for all facilities)</t>
        </is>
      </c>
      <c r="Z423" s="70" t="inlineStr">
        <is>
          <t>NHIC connectivity assessment; NABIDH API conformance testing; MOH annual audit</t>
        </is>
      </c>
      <c r="AA423" s="71" t="inlineStr">
        <is>
          <t>Continuous (NABIDH connectivity monitored in real time); annual formal audit</t>
        </is>
      </c>
      <c r="AB423" s="70" t="inlineStr">
        <is>
          <t>22 (IoMT data integration to NABIDH: wearable data ingestion API; remote monitoring feeds; device-generated vital signs; medical device alerts to patient record; IoMT consent management in EHR)</t>
        </is>
      </c>
      <c r="AC423" s="70" t="inlineStr">
        <is>
          <t>HL7 FHIR R4; IHE (Integrating the Healthcare Enterprise); SNOMED CT; ICD-10; LOINC</t>
        </is>
      </c>
      <c r="AD423" s="49" t="inlineStr">
        <is>
          <t>Arabic + English (NABIDH technical specifications bilingual)</t>
        </is>
      </c>
      <c r="AE423" s="26" t="inlineStr">
        <is>
          <t>Layer 1: Governance; Layer 3: Technical Controls; Layer 4: Compliance; Layer 5: Assurance</t>
        </is>
      </c>
      <c r="AF423" s="27" t="inlineStr">
        <is>
          <t>Yes — NABIDH connectivity levels (1: Basic data exchange; 2: Full longitudinal record; 3: Advanced interoperability with IoMT); MOH tracks facility level</t>
        </is>
      </c>
      <c r="AG423" s="70" t="inlineStr">
        <is>
          <t>HSTP digital health transformation; NABIDH national EHR; NHIS claims integration</t>
        </is>
      </c>
      <c r="AH423" s="70" t="inlineStr">
        <is>
          <t>NABIDH connectivity certificate; API integration test reports; patient consent records for data sharing; EHR system validation; data quality reports</t>
        </is>
      </c>
      <c r="AI423" s="73" t="inlineStr">
        <is>
          <t>Institutional theory and regulatory governance theory underpin all KSA regulatory frameworks. Specific theoretical basis varies by framework — consult academic literature via Google Scholar using framework name as search term.</t>
        </is>
      </c>
      <c r="AJ423" s="70" t="inlineStr">
        <is>
          <t>Academic debate varies by framework maturity and international adoption. For KSA-specific debate, consult: Almohammad &amp; Wills (2021) J Cybersecurity; Al-Khater et al. (2020) IEEE Access; Baker McKenzie KSA regulatory updates.</t>
        </is>
      </c>
      <c r="AK423" s="74" t="inlineStr">
        <is>
          <t>Known criticisms include: implementation gap between standards and practice; resource constraints for smaller healthcare entities; rapid technology evolution outpacing regulation. Consult framework evaluation literature for specifics.</t>
        </is>
      </c>
      <c r="AL423" s="75" t="inlineStr">
        <is>
          <t>Framework comparison requires contextual analysis. Key comparators: NIST CSF 2.0 (international benchmark), ISO 27001 (certifiable standard), ECC-2 (KSA mandatory baseline). See main database for cross-framework mapping.</t>
        </is>
      </c>
      <c r="AM423"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23" s="50" t="inlineStr">
        <is>
          <t>Official: Consult the official source URL in the database for the primary document. Training: ISACA, ISC2, RAPS, IAPP, and HIMSS offer professional development covering most regulatory domains. Estimated hours vary by framework complexity.</t>
        </is>
      </c>
      <c r="AO423" s="77" t="inlineStr">
        <is>
          <t>Relevance to GH-ICGA framework varies by layer — see GH-ICGA Layer Mapping column. All KSA mandatory frameworks are compliance inputs to GH-ICGA Layer 4. Frameworks with IoMT-specific provisions directly inform Layers 2 and 3.</t>
        </is>
      </c>
      <c r="AP423" s="51" t="inlineStr">
        <is>
          <t>G + C (Governance + Compliance — standard regulatory framework positioning)</t>
        </is>
      </c>
      <c r="AQ423" s="78" t="inlineStr">
        <is>
          <t>Senior management: accountability for framework compliance. Designated compliance officer: monitor requirements. All staff: awareness of applicable obligations</t>
        </is>
      </c>
      <c r="AR423" s="74" t="inlineStr">
        <is>
          <t>Regulatory Risk; Operational Risk; Reputational Risk — specific domains determined by framework scope</t>
        </is>
      </c>
      <c r="AS423" s="22" t="inlineStr">
        <is>
          <t>See official source — legal obligation, regulatory requirement, or voluntary standard as applicable</t>
        </is>
      </c>
      <c r="AT423" s="75" t="inlineStr">
        <is>
          <t>Administrative; Technical; Operational — specific distribution determined by framework content</t>
        </is>
      </c>
      <c r="AU423" s="79" t="inlineStr">
        <is>
          <t>1. Compliance status (compliant/non-compliant). 2. # open findings from last assessment. 3. % controls implemented. 4. Time to remediate findings. 5. Incident rate in framework scope area</t>
        </is>
      </c>
      <c r="AV423" s="80" t="inlineStr">
        <is>
          <t>Self-assessment; internal audit; external assessment as specified by issuing authority</t>
        </is>
      </c>
      <c r="AW423" s="81" t="inlineStr">
        <is>
          <t>ServiceNow GRC; IBM OpenPages; RSA Archer; MetricStream — all major GRC platforms support custom framework import. Contact vendor for framework-specific module</t>
        </is>
      </c>
      <c r="AX423" s="82" t="inlineStr">
        <is>
          <t>Third parties in scope must demonstrate equivalent compliance. Contractual compliance obligations; right-to-audit clauses; annual third-party assessment</t>
        </is>
      </c>
      <c r="AY423" s="83" t="inlineStr">
        <is>
          <t>Non-compliance: regulatory action by issuing authority; fines and penalties as specified; operational and reputational consequences</t>
        </is>
      </c>
      <c r="AZ423" s="80" t="inlineStr">
        <is>
          <t>Healthcare &amp; Life Sciences</t>
        </is>
      </c>
      <c r="BA423" s="41" t="inlineStr">
        <is>
          <t>Sector-Specific</t>
        </is>
      </c>
      <c r="BB423" s="591">
        <f>IF(E423="","",IF(ISNUMBER(SEARCH("Institutional theory and regulatory governance theory underpin",AI423)),"TEMPLATE",IF(LEN(AI423)&gt;100,"DEEP",IF(AI423="","SPARSE","SHALLOW"))))</f>
        <v/>
      </c>
      <c r="BC423" s="591">
        <f>IF(E423="","",D423&amp;"-"&amp;B423&amp;"-"&amp;E423)</f>
        <v/>
      </c>
      <c r="BD423" s="591">
        <f>IF(E423="","",SUBSTITUTE(SUBSTITUTE(B423&amp;"-"&amp;E423," ",""),":","-"))</f>
        <v/>
      </c>
      <c r="BE423" s="591">
        <f>IF(E423="","",IF(ISNUMBER(SEARCH("ECC",E423)),"NCA-ECC-2-2024",IF(ISNUMBER(SEARCH("OTCC",E423)),"NCA-ECC-2-2024",IF(ISNUMBER(SEARCH("CCC",E423)),"NCA-ECC-2-2024",IF(ISNUMBER(SEARCH("DCC",E423)),"NCA-ECC-2-2024",IF(ISNUMBER(SEARCH("CSCC",E423)),"NCA-ECC-2-2024",IF(ISNUMBER(SEARCH("PDPL-IR",E423)),"PDPL-2021",IF(ISNUMBER(SEARCH("PDPL-DTR",E423)),"PDPL-2021","NONE"))))))))</f>
        <v/>
      </c>
      <c r="BF423" s="594">
        <f>IF(E423="","",IF(BB423="DEEP",10,IF(BB423="SHALLOW",5,IF(BB423="TEMPLATE",3,1)))+IF(N423="HIGHEST",5,IF(N423="HIGH",3,IF(N423="MODERATE",1,0)))+IF(ISNUMBER(SEARCH("Mandatory",L423)),3,0))</f>
        <v/>
      </c>
    </row>
    <row r="424" ht="42" customHeight="1">
      <c r="A424" s="84" t="n">
        <v>375</v>
      </c>
      <c r="B424" s="411" t="inlineStr">
        <is>
          <t>AZHC</t>
        </is>
      </c>
      <c r="C424" s="70" t="inlineStr">
        <is>
          <t>Aseer Health Cluster</t>
        </is>
      </c>
      <c r="D424" s="70" t="inlineStr">
        <is>
          <t>17. Regional Health Clusters</t>
        </is>
      </c>
      <c r="E424" s="411" t="inlineStr">
        <is>
          <t>MOH-PS</t>
        </is>
      </c>
      <c r="F424" s="72" t="inlineStr">
        <is>
          <t>Patient Safety Standards</t>
        </is>
      </c>
      <c r="G424" s="70" t="inlineStr">
        <is>
          <t>معايير سلامة المريض</t>
        </is>
      </c>
      <c r="H424" s="70" t="inlineStr">
        <is>
          <t>2024 update</t>
        </is>
      </c>
      <c r="I424" s="71" t="inlineStr">
        <is>
          <t>2015</t>
        </is>
      </c>
      <c r="J424" s="71" t="inlineStr">
        <is>
          <t>72</t>
        </is>
      </c>
      <c r="K424" s="70" t="inlineStr">
        <is>
          <t>MUST COMPLY WITH</t>
        </is>
      </c>
      <c r="L424" s="66" t="inlineStr">
        <is>
          <t>Mandatory Complier</t>
        </is>
      </c>
      <c r="M424" s="70" t="inlineStr">
        <is>
          <t>Aseer Health Cluster — patient safety compliance</t>
        </is>
      </c>
      <c r="N424" s="86" t="inlineStr">
        <is>
          <t>HIGHEST</t>
        </is>
      </c>
      <c r="O424" s="87" t="inlineStr">
        <is>
          <t>https://www.moh.gov.sa/en/</t>
        </is>
      </c>
      <c r="P424" s="70" t="inlineStr">
        <is>
          <t>MOH official</t>
        </is>
      </c>
      <c r="Q424" s="70" t="inlineStr">
        <is>
          <t>First issued ~2015 → updates 2020 → 2024 update</t>
        </is>
      </c>
      <c r="R424" s="70" t="inlineStr">
        <is>
          <t>Based on WHO and JCI patient safety frameworks. Covers: patient identification (minimum 2 identifiers), medication safety (high-alert medications protocol), surgical safety checklist, falls prevention, infection control, critical value reporting, handover communications (SBAR). 2020 update added COVID-19 IPC protocols. 2024 update adds IoMT device safety (alarm fatigue management, device connectivity requirements)</t>
        </is>
      </c>
      <c r="S424" s="71" t="inlineStr">
        <is>
          <t>First: ~2015. Updated: 2020, 2024</t>
        </is>
      </c>
      <c r="T424" s="70" t="inlineStr">
        <is>
          <t>Annual review with MOH patient safety incidents data</t>
        </is>
      </c>
      <c r="U424" s="25" t="inlineStr">
        <is>
          <t>CURRENT — 2024 version</t>
        </is>
      </c>
      <c r="V424" s="70" t="inlineStr">
        <is>
          <t>MOH corrective action order; facility licence conditions; public safety alert; criminal liability for gross negligence</t>
        </is>
      </c>
      <c r="W424" s="72" t="inlineStr">
        <is>
          <t>MOH — Patient Safety Centre; regional health cluster inspection; CBAHI (patient safety standards embedded in accreditation)</t>
        </is>
      </c>
      <c r="X424" s="70" t="inlineStr">
        <is>
          <t>Hospital; Clinic; Government Health Entity</t>
        </is>
      </c>
      <c r="Y424" s="22" t="inlineStr">
        <is>
          <t>Both</t>
        </is>
      </c>
      <c r="Z424" s="70" t="inlineStr">
        <is>
          <t>Annual MOH patient safety inspection; CBAHI survey (integrated); incident investigation</t>
        </is>
      </c>
      <c r="AA424" s="71" t="inlineStr">
        <is>
          <t>Annual; triggered by serious adverse event</t>
        </is>
      </c>
      <c r="AB424" s="70" t="inlineStr">
        <is>
          <t>14 (alarm fatigue management for IoMT devices; connected infusion pump safety; IV smart pump drug library governance; patient ID for IoMT devices; device failure response procedures; remote monitoring alert management)</t>
        </is>
      </c>
      <c r="AC424" s="70" t="inlineStr">
        <is>
          <t>WHO Patient Safety Challenges (Global Patient Safety Action Plan 2021-2030); JCI Patient Safety Goals; The Joint Commission NPSG</t>
        </is>
      </c>
      <c r="AD424" s="49" t="inlineStr">
        <is>
          <t>Arabic (primary); English reference</t>
        </is>
      </c>
      <c r="AE424" s="26" t="inlineStr">
        <is>
          <t>Layer 1: Governance; Layer 4: Compliance</t>
        </is>
      </c>
      <c r="AF424" s="27" t="inlineStr">
        <is>
          <t>Yes — patient safety maturity levels (Safety-I to Safety-III); MOH tracks facility scores</t>
        </is>
      </c>
      <c r="AG424" s="70" t="inlineStr">
        <is>
          <t>HSTP patient safety; Vision 2030 quality targets; National Patient Safety Centre</t>
        </is>
      </c>
      <c r="AH424" s="70" t="inlineStr">
        <is>
          <t>Incident reporting system data; patient safety walkround records; fall prevention audit; medication safety audit; CBAHI patient safety standards compliance</t>
        </is>
      </c>
      <c r="AI424" s="73" t="inlineStr">
        <is>
          <t>Institutional theory and regulatory governance theory underpin all KSA regulatory frameworks. Specific theoretical basis varies by framework — consult academic literature via Google Scholar using framework name as search term.</t>
        </is>
      </c>
      <c r="AJ424" s="70" t="inlineStr">
        <is>
          <t>Academic debate varies by framework maturity and international adoption. For KSA-specific debate, consult: Almohammad &amp; Wills (2021) J Cybersecurity; Al-Khater et al. (2020) IEEE Access; Baker McKenzie KSA regulatory updates.</t>
        </is>
      </c>
      <c r="AK424" s="74" t="inlineStr">
        <is>
          <t>Known criticisms include: implementation gap between standards and practice; resource constraints for smaller healthcare entities; rapid technology evolution outpacing regulation. Consult framework evaluation literature for specifics.</t>
        </is>
      </c>
      <c r="AL424" s="75" t="inlineStr">
        <is>
          <t>Framework comparison requires contextual analysis. Key comparators: NIST CSF 2.0 (international benchmark), ISO 27001 (certifiable standard), ECC-2 (KSA mandatory baseline). See main database for cross-framework mapping.</t>
        </is>
      </c>
      <c r="AM424"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24" s="50" t="inlineStr">
        <is>
          <t>Official: Consult the official source URL in the database for the primary document. Training: ISACA, ISC2, RAPS, IAPP, and HIMSS offer professional development covering most regulatory domains. Estimated hours vary by framework complexity.</t>
        </is>
      </c>
      <c r="AO424" s="77" t="inlineStr">
        <is>
          <t>Relevance to GH-ICGA framework varies by layer — see GH-ICGA Layer Mapping column. All KSA mandatory frameworks are compliance inputs to GH-ICGA Layer 4. Frameworks with IoMT-specific provisions directly inform Layers 2 and 3.</t>
        </is>
      </c>
      <c r="AP424" s="51" t="inlineStr">
        <is>
          <t>G + C (Governance + Compliance — standard regulatory framework positioning)</t>
        </is>
      </c>
      <c r="AQ424" s="78" t="inlineStr">
        <is>
          <t>Senior management: accountability for framework compliance. Designated compliance officer: monitor requirements. All staff: awareness of applicable obligations</t>
        </is>
      </c>
      <c r="AR424" s="74" t="inlineStr">
        <is>
          <t>Regulatory Risk; Operational Risk; Reputational Risk — specific domains determined by framework scope</t>
        </is>
      </c>
      <c r="AS424" s="22" t="inlineStr">
        <is>
          <t>See official source — legal obligation, regulatory requirement, or voluntary standard as applicable</t>
        </is>
      </c>
      <c r="AT424" s="75" t="inlineStr">
        <is>
          <t>Administrative; Technical; Operational — specific distribution determined by framework content</t>
        </is>
      </c>
      <c r="AU424" s="79" t="inlineStr">
        <is>
          <t>1. Compliance status (compliant/non-compliant). 2. # open findings from last assessment. 3. % controls implemented. 4. Time to remediate findings. 5. Incident rate in framework scope area</t>
        </is>
      </c>
      <c r="AV424" s="80" t="inlineStr">
        <is>
          <t>Self-assessment; internal audit; external assessment as specified by issuing authority</t>
        </is>
      </c>
      <c r="AW424" s="81" t="inlineStr">
        <is>
          <t>ServiceNow GRC; IBM OpenPages; RSA Archer; MetricStream — all major GRC platforms support custom framework import. Contact vendor for framework-specific module</t>
        </is>
      </c>
      <c r="AX424" s="82" t="inlineStr">
        <is>
          <t>Third parties in scope must demonstrate equivalent compliance. Contractual compliance obligations; right-to-audit clauses; annual third-party assessment</t>
        </is>
      </c>
      <c r="AY424" s="83" t="inlineStr">
        <is>
          <t>Non-compliance: regulatory action by issuing authority; fines and penalties as specified; operational and reputational consequences</t>
        </is>
      </c>
      <c r="AZ424" s="80" t="inlineStr">
        <is>
          <t>Healthcare &amp; Life Sciences</t>
        </is>
      </c>
      <c r="BA424" s="41" t="inlineStr">
        <is>
          <t>Sector-Specific</t>
        </is>
      </c>
      <c r="BB424" s="591">
        <f>IF(E424="","",IF(ISNUMBER(SEARCH("Institutional theory and regulatory governance theory underpin",AI424)),"TEMPLATE",IF(LEN(AI424)&gt;100,"DEEP",IF(AI424="","SPARSE","SHALLOW"))))</f>
        <v/>
      </c>
      <c r="BC424" s="591">
        <f>IF(E424="","",D424&amp;"-"&amp;B424&amp;"-"&amp;E424)</f>
        <v/>
      </c>
      <c r="BD424" s="591">
        <f>IF(E424="","",SUBSTITUTE(SUBSTITUTE(B424&amp;"-"&amp;E424," ",""),":","-"))</f>
        <v/>
      </c>
      <c r="BE424" s="591">
        <f>IF(E424="","",IF(ISNUMBER(SEARCH("ECC",E424)),"NCA-ECC-2-2024",IF(ISNUMBER(SEARCH("OTCC",E424)),"NCA-ECC-2-2024",IF(ISNUMBER(SEARCH("CCC",E424)),"NCA-ECC-2-2024",IF(ISNUMBER(SEARCH("DCC",E424)),"NCA-ECC-2-2024",IF(ISNUMBER(SEARCH("CSCC",E424)),"NCA-ECC-2-2024",IF(ISNUMBER(SEARCH("PDPL-IR",E424)),"PDPL-2021",IF(ISNUMBER(SEARCH("PDPL-DTR",E424)),"PDPL-2021","NONE"))))))))</f>
        <v/>
      </c>
      <c r="BF424" s="594">
        <f>IF(E424="","",IF(BB424="DEEP",10,IF(BB424="SHALLOW",5,IF(BB424="TEMPLATE",3,1)))+IF(N424="HIGHEST",5,IF(N424="HIGH",3,IF(N424="MODERATE",1,0)))+IF(ISNUMBER(SEARCH("Mandatory",L424)),3,0))</f>
        <v/>
      </c>
    </row>
    <row r="425" ht="42" customHeight="1">
      <c r="A425" s="42" t="n">
        <v>376</v>
      </c>
      <c r="B425" s="412" t="inlineStr">
        <is>
          <t>AZHC</t>
        </is>
      </c>
      <c r="C425" s="44" t="inlineStr">
        <is>
          <t>Aseer Health Cluster</t>
        </is>
      </c>
      <c r="D425" s="44" t="inlineStr">
        <is>
          <t>17. Regional Health Clusters</t>
        </is>
      </c>
      <c r="E425" s="412" t="inlineStr">
        <is>
          <t>MOH-PR</t>
        </is>
      </c>
      <c r="F425" s="45" t="inlineStr">
        <is>
          <t>Patient Rights Charter</t>
        </is>
      </c>
      <c r="G425" s="44" t="inlineStr">
        <is>
          <t>ميثاق حقوق المريض</t>
        </is>
      </c>
      <c r="H425" s="44" t="inlineStr">
        <is>
          <t>2019</t>
        </is>
      </c>
      <c r="I425" s="46" t="inlineStr">
        <is>
          <t>2012</t>
        </is>
      </c>
      <c r="J425" s="46" t="inlineStr">
        <is>
          <t>45</t>
        </is>
      </c>
      <c r="K425" s="44" t="inlineStr">
        <is>
          <t>MUST COMPLY WITH</t>
        </is>
      </c>
      <c r="L425" s="66" t="inlineStr">
        <is>
          <t>Mandatory Complier</t>
        </is>
      </c>
      <c r="M425" s="44" t="inlineStr">
        <is>
          <t>Aseer Health Cluster facilities</t>
        </is>
      </c>
      <c r="N425" s="54" t="inlineStr">
        <is>
          <t>HIGH</t>
        </is>
      </c>
      <c r="O425" s="48" t="inlineStr">
        <is>
          <t>https://www.moh.gov.sa/en/</t>
        </is>
      </c>
      <c r="P425" s="44" t="inlineStr">
        <is>
          <t>MOH official</t>
        </is>
      </c>
      <c r="Q425" s="70" t="inlineStr">
        <is>
          <t>First Charter ~2012 → updated 2019</t>
        </is>
      </c>
      <c r="R425" s="70" t="inlineStr">
        <is>
          <t>45 rights and obligations. Key provisions: informed consent (including electronic consent for telemedicine), right to access medical records (digital access through NABIDH patient portal), right to privacy of health information, right to refuse treatment, right to second opinion. 2019 update added digital health rights (right to data portability from health apps)</t>
        </is>
      </c>
      <c r="S425" s="71" t="inlineStr">
        <is>
          <t>First: ~2012. Updated: 2019</t>
        </is>
      </c>
      <c r="T425" s="70" t="inlineStr">
        <is>
          <t>Review 2024-2025 expected to add AI/algorithmic transparency rights</t>
        </is>
      </c>
      <c r="U425" s="25" t="inlineStr">
        <is>
          <t>CURRENT — 2019 version</t>
        </is>
      </c>
      <c r="V425" s="70" t="inlineStr">
        <is>
          <t>Penalties defined by issuing authority; consult official source. NCA ECC-2 penalties apply if relevant</t>
        </is>
      </c>
      <c r="W425" s="72" t="inlineStr">
        <is>
          <t>Issuing authority and/or designated inspection department</t>
        </is>
      </c>
      <c r="X425" s="70" t="inlineStr">
        <is>
          <t>As specified in framework scope — consult official document</t>
        </is>
      </c>
      <c r="Y425" s="49" t="inlineStr">
        <is>
          <t>Both (unless specified otherwise in official document)</t>
        </is>
      </c>
      <c r="Z425" s="70" t="inlineStr">
        <is>
          <t>As defined by issuing authority</t>
        </is>
      </c>
      <c r="AA425" s="71" t="inlineStr">
        <is>
          <t>As defined by issuing authority</t>
        </is>
      </c>
      <c r="AB425" s="70" t="inlineStr">
        <is>
          <t>To be determined from framework text — see official source</t>
        </is>
      </c>
      <c r="AC425" s="70" t="inlineStr">
        <is>
          <t>See framework preamble for international standard references</t>
        </is>
      </c>
      <c r="AD425" s="49" t="inlineStr">
        <is>
          <t>Arabic (primary in KSA); English may be available</t>
        </is>
      </c>
      <c r="AE425" s="58" t="inlineStr">
        <is>
          <t>Mapped to relevant GH-ICGA layer — requires manual assessment</t>
        </is>
      </c>
      <c r="AF425" s="56" t="inlineStr">
        <is>
          <t>See official framework for maturity model details</t>
        </is>
      </c>
      <c r="AG425" s="70" t="inlineStr">
        <is>
          <t>Aligned with relevant Vision 2030 programme — see framework context</t>
        </is>
      </c>
      <c r="AH425" s="70" t="inlineStr">
        <is>
          <t>As specified in framework compliance requirements</t>
        </is>
      </c>
      <c r="AI425" s="73" t="inlineStr">
        <is>
          <t>Institutional theory and regulatory governance theory underpin all KSA regulatory frameworks. Specific theoretical basis varies by framework — consult academic literature via Google Scholar using framework name as search term.</t>
        </is>
      </c>
      <c r="AJ425" s="70" t="inlineStr">
        <is>
          <t>Academic debate varies by framework maturity and international adoption. For KSA-specific debate, consult: Almohammad &amp; Wills (2021) J Cybersecurity; Al-Khater et al. (2020) IEEE Access; Baker McKenzie KSA regulatory updates.</t>
        </is>
      </c>
      <c r="AK425" s="74" t="inlineStr">
        <is>
          <t>Known criticisms include: implementation gap between standards and practice; resource constraints for smaller healthcare entities; rapid technology evolution outpacing regulation. Consult framework evaluation literature for specifics.</t>
        </is>
      </c>
      <c r="AL425" s="75" t="inlineStr">
        <is>
          <t>Framework comparison requires contextual analysis. Key comparators: NIST CSF 2.0 (international benchmark), ISO 27001 (certifiable standard), ECC-2 (KSA mandatory baseline). See main database for cross-framework mapping.</t>
        </is>
      </c>
      <c r="AM425"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25" s="50" t="inlineStr">
        <is>
          <t>Official: Consult the official source URL in the database for the primary document. Training: ISACA, ISC2, RAPS, IAPP, and HIMSS offer professional development covering most regulatory domains. Estimated hours vary by framework complexity.</t>
        </is>
      </c>
      <c r="AO425" s="77" t="inlineStr">
        <is>
          <t>Relevance to GH-ICGA framework varies by layer — see GH-ICGA Layer Mapping column. All KSA mandatory frameworks are compliance inputs to GH-ICGA Layer 4. Frameworks with IoMT-specific provisions directly inform Layers 2 and 3.</t>
        </is>
      </c>
      <c r="AP425" s="51" t="inlineStr">
        <is>
          <t>G + C (Governance + Compliance — standard regulatory framework positioning)</t>
        </is>
      </c>
      <c r="AQ425" s="78" t="inlineStr">
        <is>
          <t>Senior management: accountability for framework compliance. Designated compliance officer: monitor requirements. All staff: awareness of applicable obligations</t>
        </is>
      </c>
      <c r="AR425" s="74" t="inlineStr">
        <is>
          <t>Regulatory Risk; Operational Risk; Reputational Risk — specific domains determined by framework scope</t>
        </is>
      </c>
      <c r="AS425" s="22" t="inlineStr">
        <is>
          <t>See official source — legal obligation, regulatory requirement, or voluntary standard as applicable</t>
        </is>
      </c>
      <c r="AT425" s="75" t="inlineStr">
        <is>
          <t>Administrative; Technical; Operational — specific distribution determined by framework content</t>
        </is>
      </c>
      <c r="AU425" s="79" t="inlineStr">
        <is>
          <t>1. Compliance status (compliant/non-compliant). 2. # open findings from last assessment. 3. % controls implemented. 4. Time to remediate findings. 5. Incident rate in framework scope area</t>
        </is>
      </c>
      <c r="AV425" s="80" t="inlineStr">
        <is>
          <t>Self-assessment; internal audit; external assessment as specified by issuing authority</t>
        </is>
      </c>
      <c r="AW425" s="81" t="inlineStr">
        <is>
          <t>ServiceNow GRC; IBM OpenPages; RSA Archer; MetricStream — all major GRC platforms support custom framework import. Contact vendor for framework-specific module</t>
        </is>
      </c>
      <c r="AX425" s="82" t="inlineStr">
        <is>
          <t>Third parties in scope must demonstrate equivalent compliance. Contractual compliance obligations; right-to-audit clauses; annual third-party assessment</t>
        </is>
      </c>
      <c r="AY425" s="83" t="inlineStr">
        <is>
          <t>Non-compliance: regulatory action by issuing authority; fines and penalties as specified; operational and reputational consequences</t>
        </is>
      </c>
      <c r="AZ425" s="80" t="inlineStr">
        <is>
          <t>Healthcare &amp; Life Sciences</t>
        </is>
      </c>
      <c r="BA425" s="41" t="inlineStr">
        <is>
          <t>Sector-Specific</t>
        </is>
      </c>
      <c r="BB425" s="591">
        <f>IF(E425="","",IF(ISNUMBER(SEARCH("Institutional theory and regulatory governance theory underpin",AI425)),"TEMPLATE",IF(LEN(AI425)&gt;100,"DEEP",IF(AI425="","SPARSE","SHALLOW"))))</f>
        <v/>
      </c>
      <c r="BC425" s="591">
        <f>IF(E425="","",D425&amp;"-"&amp;B425&amp;"-"&amp;E425)</f>
        <v/>
      </c>
      <c r="BD425" s="591">
        <f>IF(E425="","",SUBSTITUTE(SUBSTITUTE(B425&amp;"-"&amp;E425," ",""),":","-"))</f>
        <v/>
      </c>
      <c r="BE425" s="591">
        <f>IF(E425="","",IF(ISNUMBER(SEARCH("ECC",E425)),"NCA-ECC-2-2024",IF(ISNUMBER(SEARCH("OTCC",E425)),"NCA-ECC-2-2024",IF(ISNUMBER(SEARCH("CCC",E425)),"NCA-ECC-2-2024",IF(ISNUMBER(SEARCH("DCC",E425)),"NCA-ECC-2-2024",IF(ISNUMBER(SEARCH("CSCC",E425)),"NCA-ECC-2-2024",IF(ISNUMBER(SEARCH("PDPL-IR",E425)),"PDPL-2021",IF(ISNUMBER(SEARCH("PDPL-DTR",E425)),"PDPL-2021","NONE"))))))))</f>
        <v/>
      </c>
      <c r="BF425" s="594">
        <f>IF(E425="","",IF(BB425="DEEP",10,IF(BB425="SHALLOW",5,IF(BB425="TEMPLATE",3,1)))+IF(N425="HIGHEST",5,IF(N425="HIGH",3,IF(N425="MODERATE",1,0)))+IF(ISNUMBER(SEARCH("Mandatory",L425)),3,0))</f>
        <v/>
      </c>
    </row>
    <row r="426" ht="42" customHeight="1">
      <c r="A426" s="84" t="n">
        <v>377</v>
      </c>
      <c r="B426" s="411" t="inlineStr">
        <is>
          <t>AZHC</t>
        </is>
      </c>
      <c r="C426" s="70" t="inlineStr">
        <is>
          <t>Aseer Health Cluster</t>
        </is>
      </c>
      <c r="D426" s="70" t="inlineStr">
        <is>
          <t>17. Regional Health Clusters</t>
        </is>
      </c>
      <c r="E426" s="411" t="inlineStr">
        <is>
          <t>CBAHI-HAS-H</t>
        </is>
      </c>
      <c r="F426" s="72" t="inlineStr">
        <is>
          <t>Hospital Accreditation Standards</t>
        </is>
      </c>
      <c r="G426" s="70" t="inlineStr">
        <is>
          <t>معايير اعتماد المستشفيات</t>
        </is>
      </c>
      <c r="H426" s="70" t="inlineStr">
        <is>
          <t>5th Ed. 2021</t>
        </is>
      </c>
      <c r="I426" s="71" t="inlineStr">
        <is>
          <t>2008</t>
        </is>
      </c>
      <c r="J426" s="71" t="inlineStr">
        <is>
          <t>298</t>
        </is>
      </c>
      <c r="K426" s="70" t="inlineStr">
        <is>
          <t>MUST COMPLY WITH</t>
        </is>
      </c>
      <c r="L426" s="92" t="inlineStr">
        <is>
          <t>Voluntary</t>
        </is>
      </c>
      <c r="M426" s="70" t="inlineStr">
        <is>
          <t>Aseer Health Cluster hospitals pursuing CBAHI accreditation</t>
        </is>
      </c>
      <c r="N426" s="86" t="inlineStr">
        <is>
          <t>HIGHEST</t>
        </is>
      </c>
      <c r="O426" s="87" t="inlineStr">
        <is>
          <t>https://www.cbahi.gov.sa/</t>
        </is>
      </c>
      <c r="P426" s="70" t="inlineStr">
        <is>
          <t>CBAHI official</t>
        </is>
      </c>
      <c r="Q426" s="70" t="inlineStr">
        <is>
          <t>1st Ed 2008 → 2nd Ed 2011 → 3rd Ed 2014 → 4th Ed 2017 → 5th Ed 2021</t>
        </is>
      </c>
      <c r="R426" s="70" t="inlineStr">
        <is>
          <t>5th Edition (2021, current): 298 standards across domains including Patient and Family Rights, Patient Assessment, Care of Patients, Patient Safety, Medication Management, Infection Prevention, Facility Management, Staff Qualifications, Quality Improvement, Governance, HIT (Health Information Technology). HIT standards require EMR, NABIDH connectivity, access control, audit trails, downtime procedures. IoMT requirements added in 5th Ed: medical device integration standards, alarm management policy. Benchmarked against JCI standards</t>
        </is>
      </c>
      <c r="S426" s="71" t="inlineStr">
        <is>
          <t>1st Ed: 2008. 2nd: 2011. 3rd: 2014. 4th: 2017. 5th: 2021</t>
        </is>
      </c>
      <c r="T426" s="70" t="inlineStr">
        <is>
          <t>6th Edition expected 2025-2026</t>
        </is>
      </c>
      <c r="U426" s="25" t="inlineStr">
        <is>
          <t>CURRENT — 5th Edition 2021</t>
        </is>
      </c>
      <c r="V426" s="70" t="inlineStr">
        <is>
          <t>Accreditation denial; accreditation suspension; accreditation withdrawal; MOH facility licensing risk (accreditation linked to licensing in practice)</t>
        </is>
      </c>
      <c r="W426" s="72" t="inlineStr">
        <is>
          <t>CBAHI — Accreditation Survey Teams (peer surveyors); MOH recognises CBAHI as national accreditor</t>
        </is>
      </c>
      <c r="X426" s="70" t="inlineStr">
        <is>
          <t>Hospital (primary scope); Teaching Hospital; Specialist Centre</t>
        </is>
      </c>
      <c r="Y426" s="49" t="inlineStr">
        <is>
          <t>Both (voluntary but operationally required)</t>
        </is>
      </c>
      <c r="Z426" s="70" t="inlineStr">
        <is>
          <t>Full survey every 3 years; midterm (focused) survey at 18 months; unannounced visits; corrective action follow-up</t>
        </is>
      </c>
      <c r="AA426" s="71" t="inlineStr">
        <is>
          <t>Full survey: 3-year cycle. Midterm: 18 months. Unannounced: possible at any time</t>
        </is>
      </c>
      <c r="AB426" s="70" t="inlineStr">
        <is>
          <t>22 (HIT standards: medical device integration; alarm management policy mandatory; device maintenance logs; remote monitoring governance; downtime procedures; device inventory; cybersecurity of clinical systems as patient safety issue)</t>
        </is>
      </c>
      <c r="AC426" s="70" t="inlineStr">
        <is>
          <t>JCI (Joint Commission International) — benchmarked; ISQua (accreditation body accreditor); WHO Safe Hospitals Framework</t>
        </is>
      </c>
      <c r="AD426" s="22" t="inlineStr">
        <is>
          <t>Arabic + English (official bilingual)</t>
        </is>
      </c>
      <c r="AE426" s="26" t="inlineStr">
        <is>
          <t>Layer 1: Governance; Layer 4: Compliance; Layer 5: Assurance</t>
        </is>
      </c>
      <c r="AF426" s="27" t="inlineStr">
        <is>
          <t>Yes — Met / Partially Met / Not Met / Not Applicable per standard; overall accreditation decision = scored threshold</t>
        </is>
      </c>
      <c r="AG426" s="70" t="inlineStr">
        <is>
          <t>HSTP quality transformation; Vision 2030 healthcare quality targets (JCI/CBAHI accreditation for all tertiary hospitals)</t>
        </is>
      </c>
      <c r="AH426" s="70" t="inlineStr">
        <is>
          <t>Survey self-assessment; policy documentation; staff credential files; patient safety incident log; HIT system audit; quality improvement data; patient satisfaction scores</t>
        </is>
      </c>
      <c r="AI426" s="73" t="inlineStr">
        <is>
          <t>Healthcare quality theory (Donabedian 1988): structure-process-outcome triad. Accreditation theory: third-party external validation as quality assurance mechanism. Institutional isomorphism: accreditation spreads best practices through mimetic pressure. Patient safety culture theory (Reason 2000): systems-based safety vs blame culture.</t>
        </is>
      </c>
      <c r="AJ426" s="70" t="inlineStr">
        <is>
          <t>FOR: Almutairi et al. (2015) and Alkhenizan &amp; Shaw (2011) find CBAHI-accredited hospitals show measurable quality improvements; national benchmark grounded in Saudi context unlike JCI (US-centric); patient safety improvements documented post-accreditation. AGAINST: Voluntariness undermines universal coverage — only ~40% of KSA hospitals accredited (WHO PHSSR 2025); Greenfield &amp; Braithwaite (2008) meta-analysis questions causal link between accreditation and patient outcomes; survey preparation creates compliance-oriented behaviours rather than genuine quality improvement (gaming risk)</t>
        </is>
      </c>
      <c r="AK426" s="74" t="inlineStr">
        <is>
          <t>3-year survey cycle too long for rapid IoMT deployment environment; HIT standards in 5th Ed still less specific than HIMSS EMRAM Stage 6/7 requirements; cybersecurity standards within CBAHI remain minimal compared to NCA ECC-2 requirements; no dedicated IoMT governance chapter despite medical device proliferation; rural and small facility accreditation rates critically low</t>
        </is>
      </c>
      <c r="AL426" s="75" t="inlineStr">
        <is>
          <t>CBAHI vs JCI: JCI globally recognised; CBAHI nationally recognised — JCI preferred for medical tourism attracting hospitals. CBAHI vs HIMSS EMRAM: CBAHI is broad clinical; HIMSS EMRAM is digital health maturity-specific. CBAHI vs DNV: CBAHI similar survey model. CBAHI + HIMSS EMRAM combined = most comprehensive digital health quality picture for KSA hospitals</t>
        </is>
      </c>
      <c r="AM426" s="76" t="inlineStr">
        <is>
          <t>Alkhenizan A &amp; Shaw C (2011) 'Impact of Accreditation' Ann Saudi Med 31(4); Almutairi AF et al. (2015) 'Perceptions of CBAHI Accreditation' BMC Health Services Research; Donabedian A (1988) 'Quality of Care' JAMA 260(12); Greenfield D &amp; Braithwaite J (2008) 'Health Sector Accreditation Research' Int J Quality Health Care 20(3); WHO (2025) PHSSR Saudi Arabia</t>
        </is>
      </c>
      <c r="AN426" s="50" t="inlineStr">
        <is>
          <t>Official: CBAHI website (cbahi.gov.sa) — standards available to purchase. Training: CBAHI education programmes; surveyor training; CPHQ (Certified Professional in Healthcare Quality). Estimated: 60 hours for surveyors; 20 hours for department leads</t>
        </is>
      </c>
      <c r="AO426" s="77" t="inlineStr">
        <is>
          <t>GH-ICGA Layer 5 (Assurance) — CBAHI accreditation is the primary assurance mechanism for hospital IoMT governance. Thesis argument: CBAHI-HAS-H 5th Ed HIT standards need a cybersecurity annex for IoMT — GH-ICGA Layer 5 Assurance proposes an IoMT-specific evaluation framework that could be adopted within CBAHI survey process</t>
        </is>
      </c>
      <c r="AP426" s="51" t="inlineStr">
        <is>
          <t>G + C (Governance through quality standards + voluntary compliance assurance)</t>
        </is>
      </c>
      <c r="AQ426" s="78" t="inlineStr">
        <is>
          <t>CEO: accountable for accreditation status. CMO: responsible for clinical quality chapter compliance. CNO: responsible for nursing quality. Quality/Patient Safety Director: coordinates accreditation programme. Department heads: responsible for chapter compliance in their domain. Accreditation Committee: cross-functional governance body</t>
        </is>
      </c>
      <c r="AR426" s="74" t="inlineStr">
        <is>
          <t>Quality Risk; Patient Safety Risk; Operational Risk (accreditation loss = licensing risk); Reputational Risk; Regulatory Risk (MOH links accreditation to licensing in practice)</t>
        </is>
      </c>
      <c r="AS426" s="92" t="inlineStr">
        <is>
          <t>VOLUNTARY — but operationally MANDATORY (MOH licensing increasingly linked to CBAHI in practice; required for JCI-referencing hospitals and private insurance network participation)</t>
        </is>
      </c>
      <c r="AT426" s="75" t="inlineStr">
        <is>
          <t>Administrative (A): 150 controls — policies; procedures; governance; quality committees. Technical (T): 48 controls — HIT; equipment maintenance; diagnostic systems. Operational (O): 100 controls — clinical procedures; patient safety practices; staff competencies</t>
        </is>
      </c>
      <c r="AU426" s="79" t="inlineStr">
        <is>
          <t>1. CBAHI survey score per chapter (target ≥90% Met). 2. # sentinel events per 1,000 admissions. 3. Falls rate per 1,000 patient days. 4. Hospital-acquired infection rate. 5. Patient satisfaction score (target &gt;90%). 6. Medication error rate. 7. HIT compliance score (CBAHI HIT chapter)</t>
        </is>
      </c>
      <c r="AV426" s="80" t="inlineStr">
        <is>
          <t>CBAHI full survey (3-year cycle — 2-3 day on-site assessment); midterm survey (18 months — focused chapters); unannounced visit (possible any time); tracer methodology; document review; staff interviews; facility inspection</t>
        </is>
      </c>
      <c r="AW426" s="81" t="inlineStr">
        <is>
          <t>Accreditation Manager (CBAHI online platform); EQUIP (quality management platform); PowerDMS; Quantros; Press Ganey (patient satisfaction); Meditech/Epic quality modules; RL6 (incident reporting)</t>
        </is>
      </c>
      <c r="AX426" s="82" t="inlineStr">
        <is>
          <t>Contractors and service providers in clinical areas must meet CBAHI competency requirements; credentialing of contracted physicians required; outsourced services (laundry, catering, security) must meet CBAHI environment chapter standards; medical device vendors: CBAHI biomedical equipment requirements</t>
        </is>
      </c>
      <c r="AY426" s="83" t="inlineStr">
        <is>
          <t>Accreditation denial: cannot be MOH referral centre; excluded from major insurance networks; reputational damage. Accreditation suspension: immediate revenue impact from insurance exclusion. MOH can condition facility licence on CBAHI compliance</t>
        </is>
      </c>
      <c r="AZ426" s="80" t="inlineStr">
        <is>
          <t>Healthcare &amp; Life Sciences</t>
        </is>
      </c>
      <c r="BA426" s="41" t="inlineStr">
        <is>
          <t>Sector-Specific</t>
        </is>
      </c>
      <c r="BB426" s="591">
        <f>IF(E426="","",IF(ISNUMBER(SEARCH("Institutional theory and regulatory governance theory underpin",AI426)),"TEMPLATE",IF(LEN(AI426)&gt;100,"DEEP",IF(AI426="","SPARSE","SHALLOW"))))</f>
        <v/>
      </c>
      <c r="BC426" s="591">
        <f>IF(E426="","",D426&amp;"-"&amp;B426&amp;"-"&amp;E426)</f>
        <v/>
      </c>
      <c r="BD426" s="591">
        <f>IF(E426="","",SUBSTITUTE(SUBSTITUTE(B426&amp;"-"&amp;E426," ",""),":","-"))</f>
        <v/>
      </c>
      <c r="BE426" s="591">
        <f>IF(E426="","",IF(ISNUMBER(SEARCH("ECC",E426)),"NCA-ECC-2-2024",IF(ISNUMBER(SEARCH("OTCC",E426)),"NCA-ECC-2-2024",IF(ISNUMBER(SEARCH("CCC",E426)),"NCA-ECC-2-2024",IF(ISNUMBER(SEARCH("DCC",E426)),"NCA-ECC-2-2024",IF(ISNUMBER(SEARCH("CSCC",E426)),"NCA-ECC-2-2024",IF(ISNUMBER(SEARCH("PDPL-IR",E426)),"PDPL-2021",IF(ISNUMBER(SEARCH("PDPL-DTR",E426)),"PDPL-2021","NONE"))))))))</f>
        <v/>
      </c>
      <c r="BF426" s="594">
        <f>IF(E426="","",IF(BB426="DEEP",10,IF(BB426="SHALLOW",5,IF(BB426="TEMPLATE",3,1)))+IF(N426="HIGHEST",5,IF(N426="HIGH",3,IF(N426="MODERATE",1,0)))+IF(ISNUMBER(SEARCH("Mandatory",L426)),3,0))</f>
        <v/>
      </c>
    </row>
    <row r="427" ht="42" customHeight="1">
      <c r="A427" s="42" t="n">
        <v>378</v>
      </c>
      <c r="B427" s="412" t="inlineStr">
        <is>
          <t>AZHC</t>
        </is>
      </c>
      <c r="C427" s="44" t="inlineStr">
        <is>
          <t>Aseer Health Cluster</t>
        </is>
      </c>
      <c r="D427" s="44" t="inlineStr">
        <is>
          <t>17. Regional Health Clusters</t>
        </is>
      </c>
      <c r="E427" s="412" t="inlineStr">
        <is>
          <t>NCA-ECC-2:2024</t>
        </is>
      </c>
      <c r="F427" s="45" t="inlineStr">
        <is>
          <t>Essential Cybersecurity Controls</t>
        </is>
      </c>
      <c r="G427" s="44" t="inlineStr">
        <is>
          <t>ضوابط الأمن السيبراني الأساسية</t>
        </is>
      </c>
      <c r="H427" s="44" t="inlineStr">
        <is>
          <t>ECC-2:2024</t>
        </is>
      </c>
      <c r="I427" s="46" t="inlineStr">
        <is>
          <t>2018</t>
        </is>
      </c>
      <c r="J427" s="46" t="inlineStr">
        <is>
          <t>108</t>
        </is>
      </c>
      <c r="K427" s="44" t="inlineStr">
        <is>
          <t>MUST COMPLY WITH</t>
        </is>
      </c>
      <c r="L427" s="66" t="inlineStr">
        <is>
          <t>Mandatory Complier</t>
        </is>
      </c>
      <c r="M427" s="44" t="inlineStr">
        <is>
          <t>Aseer Health Cluster as government entity — hospital networks</t>
        </is>
      </c>
      <c r="N427" s="47" t="inlineStr">
        <is>
          <t>HIGHEST</t>
        </is>
      </c>
      <c r="O427" s="48" t="inlineStr">
        <is>
          <t>https://nca.gov.sa/</t>
        </is>
      </c>
      <c r="P427" s="44" t="inlineStr">
        <is>
          <t>NCA ECC scope</t>
        </is>
      </c>
      <c r="Q427" s="70" t="inlineStr">
        <is>
          <t>See official source for version history</t>
        </is>
      </c>
      <c r="R427" s="70" t="inlineStr">
        <is>
          <t>Framework issued by the relevant authority. Version details available on the official website referenced in the source URL column. The framework has been updated periodically since first issuance.</t>
        </is>
      </c>
      <c r="S427" s="71" t="inlineStr">
        <is>
          <t>See official source</t>
        </is>
      </c>
      <c r="T427" s="70" t="inlineStr">
        <is>
          <t>Updated as needed by the issuing authority</t>
        </is>
      </c>
      <c r="U427" s="25" t="inlineStr">
        <is>
          <t>CURRENT — consult official source for latest version</t>
        </is>
      </c>
      <c r="V427" s="70" t="inlineStr">
        <is>
          <t>Penalties defined by issuing authority; consult official source. NCA ECC-2 penalties apply if relevant</t>
        </is>
      </c>
      <c r="W427" s="72" t="inlineStr">
        <is>
          <t>Issuing authority and/or designated inspection department</t>
        </is>
      </c>
      <c r="X427" s="70" t="inlineStr">
        <is>
          <t>As specified in framework scope — consult official document</t>
        </is>
      </c>
      <c r="Y427" s="49" t="inlineStr">
        <is>
          <t>Both (unless specified otherwise in official document)</t>
        </is>
      </c>
      <c r="Z427" s="70" t="inlineStr">
        <is>
          <t>As defined by issuing authority</t>
        </is>
      </c>
      <c r="AA427" s="71" t="inlineStr">
        <is>
          <t>As defined by issuing authority</t>
        </is>
      </c>
      <c r="AB427" s="70" t="inlineStr">
        <is>
          <t>To be determined from framework text — see official source</t>
        </is>
      </c>
      <c r="AC427" s="70" t="inlineStr">
        <is>
          <t>See framework preamble for international standard references</t>
        </is>
      </c>
      <c r="AD427" s="49" t="inlineStr">
        <is>
          <t>Arabic (primary in KSA); English may be available</t>
        </is>
      </c>
      <c r="AE427" s="58" t="inlineStr">
        <is>
          <t>Mapped to relevant GH-ICGA layer — requires manual assessment</t>
        </is>
      </c>
      <c r="AF427" s="56" t="inlineStr">
        <is>
          <t>See official framework for maturity model details</t>
        </is>
      </c>
      <c r="AG427" s="70" t="inlineStr">
        <is>
          <t>Aligned with relevant Vision 2030 programme — see framework context</t>
        </is>
      </c>
      <c r="AH427" s="70" t="inlineStr">
        <is>
          <t>As specified in framework compliance requirements</t>
        </is>
      </c>
      <c r="AI427" s="73" t="inlineStr">
        <is>
          <t>Institutional theory and regulatory governance theory underpin all KSA regulatory frameworks. Specific theoretical basis varies by framework — consult academic literature via Google Scholar using framework name as search term.</t>
        </is>
      </c>
      <c r="AJ427" s="70" t="inlineStr">
        <is>
          <t>Academic debate varies by framework maturity and international adoption. For KSA-specific debate, consult: Almohammad &amp; Wills (2021) J Cybersecurity; Al-Khater et al. (2020) IEEE Access; Baker McKenzie KSA regulatory updates.</t>
        </is>
      </c>
      <c r="AK427" s="74" t="inlineStr">
        <is>
          <t>Known criticisms include: implementation gap between standards and practice; resource constraints for smaller healthcare entities; rapid technology evolution outpacing regulation. Consult framework evaluation literature for specifics.</t>
        </is>
      </c>
      <c r="AL427" s="75" t="inlineStr">
        <is>
          <t>Framework comparison requires contextual analysis. Key comparators: NIST CSF 2.0 (international benchmark), ISO 27001 (certifiable standard), ECC-2 (KSA mandatory baseline). See main database for cross-framework mapping.</t>
        </is>
      </c>
      <c r="AM427"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27" s="50" t="inlineStr">
        <is>
          <t>Official: Consult the official source URL in the database for the primary document. Training: ISACA, ISC2, RAPS, IAPP, and HIMSS offer professional development covering most regulatory domains. Estimated hours vary by framework complexity.</t>
        </is>
      </c>
      <c r="AO427" s="77" t="inlineStr">
        <is>
          <t>Relevance to GH-ICGA framework varies by layer — see GH-ICGA Layer Mapping column. All KSA mandatory frameworks are compliance inputs to GH-ICGA Layer 4. Frameworks with IoMT-specific provisions directly inform Layers 2 and 3.</t>
        </is>
      </c>
      <c r="AP427" s="51" t="inlineStr">
        <is>
          <t>G + C (Governance + Compliance — standard regulatory framework positioning)</t>
        </is>
      </c>
      <c r="AQ427" s="78" t="inlineStr">
        <is>
          <t>Senior management: accountability for framework compliance. Designated compliance officer: monitor requirements. All staff: awareness of applicable obligations</t>
        </is>
      </c>
      <c r="AR427" s="74" t="inlineStr">
        <is>
          <t>Regulatory Risk; Operational Risk; Reputational Risk — specific domains determined by framework scope</t>
        </is>
      </c>
      <c r="AS427" s="22" t="inlineStr">
        <is>
          <t>See official source — legal obligation, regulatory requirement, or voluntary standard as applicable</t>
        </is>
      </c>
      <c r="AT427" s="75" t="inlineStr">
        <is>
          <t>Administrative; Technical; Operational — specific distribution determined by framework content</t>
        </is>
      </c>
      <c r="AU427" s="79" t="inlineStr">
        <is>
          <t>1. Compliance status (compliant/non-compliant). 2. # open findings from last assessment. 3. % controls implemented. 4. Time to remediate findings. 5. Incident rate in framework scope area</t>
        </is>
      </c>
      <c r="AV427" s="80" t="inlineStr">
        <is>
          <t>Self-assessment; internal audit; external assessment as specified by issuing authority</t>
        </is>
      </c>
      <c r="AW427" s="81" t="inlineStr">
        <is>
          <t>ServiceNow GRC; IBM OpenPages; RSA Archer; MetricStream — all major GRC platforms support custom framework import. Contact vendor for framework-specific module</t>
        </is>
      </c>
      <c r="AX427" s="82" t="inlineStr">
        <is>
          <t>Third parties in scope must demonstrate equivalent compliance. Contractual compliance obligations; right-to-audit clauses; annual third-party assessment</t>
        </is>
      </c>
      <c r="AY427" s="83" t="inlineStr">
        <is>
          <t>Non-compliance: regulatory action by issuing authority; fines and penalties as specified; operational and reputational consequences</t>
        </is>
      </c>
      <c r="AZ427" s="80" t="inlineStr">
        <is>
          <t>ALL 17 SECTORS</t>
        </is>
      </c>
      <c r="BA427" s="34" t="inlineStr">
        <is>
          <t>YES — ALL SECTORS</t>
        </is>
      </c>
      <c r="BB427" s="591">
        <f>IF(E427="","",IF(ISNUMBER(SEARCH("Institutional theory and regulatory governance theory underpin",AI427)),"TEMPLATE",IF(LEN(AI427)&gt;100,"DEEP",IF(AI427="","SPARSE","SHALLOW"))))</f>
        <v/>
      </c>
      <c r="BC427" s="591">
        <f>IF(E427="","",D427&amp;"-"&amp;B427&amp;"-"&amp;E427)</f>
        <v/>
      </c>
      <c r="BD427" s="591">
        <f>IF(E427="","",SUBSTITUTE(SUBSTITUTE(B427&amp;"-"&amp;E427," ",""),":","-"))</f>
        <v/>
      </c>
      <c r="BE427" s="591">
        <f>IF(E427="","",IF(ISNUMBER(SEARCH("ECC",E427)),"NCA-ECC-2-2024",IF(ISNUMBER(SEARCH("OTCC",E427)),"NCA-ECC-2-2024",IF(ISNUMBER(SEARCH("CCC",E427)),"NCA-ECC-2-2024",IF(ISNUMBER(SEARCH("DCC",E427)),"NCA-ECC-2-2024",IF(ISNUMBER(SEARCH("CSCC",E427)),"NCA-ECC-2-2024",IF(ISNUMBER(SEARCH("PDPL-IR",E427)),"PDPL-2021",IF(ISNUMBER(SEARCH("PDPL-DTR",E427)),"PDPL-2021","NONE"))))))))</f>
        <v/>
      </c>
      <c r="BF427" s="594">
        <f>IF(E427="","",IF(BB427="DEEP",10,IF(BB427="SHALLOW",5,IF(BB427="TEMPLATE",3,1)))+IF(N427="HIGHEST",5,IF(N427="HIGH",3,IF(N427="MODERATE",1,0)))+IF(ISNUMBER(SEARCH("Mandatory",L427)),3,0))</f>
        <v/>
      </c>
    </row>
    <row r="428" ht="42" customHeight="1">
      <c r="A428" s="84" t="n">
        <v>379</v>
      </c>
      <c r="B428" s="411" t="inlineStr">
        <is>
          <t>AZHC</t>
        </is>
      </c>
      <c r="C428" s="70" t="inlineStr">
        <is>
          <t>Aseer Health Cluster</t>
        </is>
      </c>
      <c r="D428" s="70" t="inlineStr">
        <is>
          <t>17. Regional Health Clusters</t>
        </is>
      </c>
      <c r="E428" s="411" t="inlineStr">
        <is>
          <t>PDPL-2021</t>
        </is>
      </c>
      <c r="F428" s="72" t="inlineStr">
        <is>
          <t>Personal Data Protection Law</t>
        </is>
      </c>
      <c r="G428" s="70" t="inlineStr">
        <is>
          <t>نظام حماية البيانات الشخصية</t>
        </is>
      </c>
      <c r="H428" s="70" t="inlineStr">
        <is>
          <t>2021+IR 2023</t>
        </is>
      </c>
      <c r="I428" s="71" t="inlineStr">
        <is>
          <t>2021</t>
        </is>
      </c>
      <c r="J428" s="71" t="inlineStr">
        <is>
          <t>45</t>
        </is>
      </c>
      <c r="K428" s="70" t="inlineStr">
        <is>
          <t>MUST COMPLY WITH</t>
        </is>
      </c>
      <c r="L428" s="66" t="inlineStr">
        <is>
          <t>Mandatory Complier</t>
        </is>
      </c>
      <c r="M428" s="70" t="inlineStr">
        <is>
          <t>Aseer Health Cluster processes patient personal data</t>
        </is>
      </c>
      <c r="N428" s="86" t="inlineStr">
        <is>
          <t>HIGHEST</t>
        </is>
      </c>
      <c r="O428" s="87" t="inlineStr">
        <is>
          <t>https://sdaia.gov.sa/</t>
        </is>
      </c>
      <c r="P428" s="70" t="inlineStr">
        <is>
          <t>SDAIA</t>
        </is>
      </c>
      <c r="Q428" s="70" t="inlineStr">
        <is>
          <t>Royal Decree M/19 (16 Sep 2021) → amended Apr 2023</t>
        </is>
      </c>
      <c r="R428" s="70" t="inlineStr">
        <is>
          <t>Original (2021): 19 articles covering consent, data subject rights, controller obligations, sensitive data (health = sensitive), cross-border transfer. Apr 2023 amendment: strengthened enforcement, clarified health data provisions, aligned with PDPL-IR-2023. Grace period for compliance ended Sep 14, 2024. Penalties: up to SAR 5 million fine + 2 years imprisonment for sensitive data breach</t>
        </is>
      </c>
      <c r="S428" s="71" t="inlineStr">
        <is>
          <t>Issued: Sep 2021. Amended: Apr 2023. Fully enforceable: Sep 14, 2024</t>
        </is>
      </c>
      <c r="T428" s="70" t="inlineStr">
        <is>
          <t>SDAIA reviews annually; amendments expected 2025-2026</t>
        </is>
      </c>
      <c r="U428" s="25" t="inlineStr">
        <is>
          <t>CURRENT — fully enforceable since Sep 2024</t>
        </is>
      </c>
      <c r="V428" s="70" t="inlineStr">
        <is>
          <t>Criminal offence: up to 2 years imprisonment + SAR 3M fine for disclosing sensitive data (health data = sensitive); administrative fine up to SAR 5M; mandatory breach notification to SDAIA within 72 hours; data subject compensation claims</t>
        </is>
      </c>
      <c r="W428" s="72" t="inlineStr">
        <is>
          <t>SDAIA — Data Protection Authority (DPA functions); NDMO for government entities; courts for criminal penalties</t>
        </is>
      </c>
      <c r="X428" s="70" t="inlineStr">
        <is>
          <t>Hospital; Clinic; Lab; Pharmacy; Health IT Vendor; Health Insurer; Government Health Entity; Medical Device Manufacturer (all processing patient data)</t>
        </is>
      </c>
      <c r="Y428" s="49" t="inlineStr">
        <is>
          <t>Both + foreign entities processing data of KSA residents</t>
        </is>
      </c>
      <c r="Z428" s="70" t="inlineStr">
        <is>
          <t>SDAIA audit; controller self-assessment; DPO oversight; data subject complaints trigger investigation</t>
        </is>
      </c>
      <c r="AA428" s="71" t="inlineStr">
        <is>
          <t>Continuous (breach notification: 72 hours); annual DPO report; SDAIA random audits</t>
        </is>
      </c>
      <c r="AB428" s="70" t="inlineStr">
        <is>
          <t>12 (IoMT data minimisation; purpose limitation; consent management for wearable data; automated decision-making; data subject rights for IoMT-generated health data; cross-border transfer of IoMT data)</t>
        </is>
      </c>
      <c r="AC428" s="70" t="inlineStr">
        <is>
          <t>GDPR (substantial alignment — adequate protection basis); APEC Privacy Framework; ISO 29100; ISO 27701</t>
        </is>
      </c>
      <c r="AD428" s="49" t="inlineStr">
        <is>
          <t>Arabic (official); English translation (unofficial)</t>
        </is>
      </c>
      <c r="AE428" s="50" t="inlineStr">
        <is>
          <t>Layer 4: Compliance; Layer 2: Risk Management</t>
        </is>
      </c>
      <c r="AF428" s="60" t="inlineStr">
        <is>
          <t>No formal maturity model; SDAIA publishes compliance guidance</t>
        </is>
      </c>
      <c r="AG428" s="70" t="inlineStr">
        <is>
          <t>National Data Strategy; Vision 2030 Digital Economy; Digital Government transformation</t>
        </is>
      </c>
      <c r="AH428" s="70" t="inlineStr">
        <is>
          <t>Privacy notices; consent records; DPO appointment letter; data mapping/flow diagrams; breach notification records; DPIA for health data processing; controller registration</t>
        </is>
      </c>
      <c r="AI428" s="73" t="inlineStr">
        <is>
          <t>Privacy as fundamental right (Warren &amp; Brandeis 1890; Westin 1967). Contextual integrity theory (Nissenbaum 2004): health data flows must match medical context norms. Regulatory theory: data protection authority independence and enforcement. Information asymmetry theory: patients cannot protect their own data without regulation.</t>
        </is>
      </c>
      <c r="AJ428" s="70" t="inlineStr">
        <is>
          <t>FOR: Long-overdue — KSA had no comprehensive data protection law until 2021; health data explicitly protected as sensitive category; aligns KSA with global adequacy standards. AGAINST: Alrawabdeh (2014) and Aldawood &amp; Skinner (2019) documented Saudi privacy culture gap — regulation without public awareness is ineffective; 'GDPR-lite' criticism: exemptions broader than GDPR, enforcement weaker; health data provisions in IR still less specific than UK GDPR Schedule 1 conditions</t>
        </is>
      </c>
      <c r="AK428" s="74" t="inlineStr">
        <is>
          <t>No independent supervisory authority (SDAIA is both promoter and regulator — conflict of interest noted by Baker McKenzie 2025); patient data portability rights weaker than GDPR Article 20; no explicit right to explanation for AI-automated health decisions; cross-border transfer rules changed twice in 12 months (regulatory instability); small healthcare providers lack capacity for DPO requirements</t>
        </is>
      </c>
      <c r="AL428" s="75" t="inlineStr">
        <is>
          <t>PDPL vs GDPR: PDPL penalty lower (SAR 5M vs €20M); PDPL broader government exemptions; GDPR has independent DPA, PDPL does not. PDPL vs HIPAA: PDPL = all personal data (broader); HIPAA = US-specific health data only. PDPL vs UK GDPR: PDPL misses explicit Schedule 1 health data conditions. PDPL ahead of HIPAA on consent granularity; behind GDPR on enforcement independence</t>
        </is>
      </c>
      <c r="AM428" s="76" t="inlineStr">
        <is>
          <t>Baker McKenzie (2025) Saudi Arabia PDPL Global Data &amp; Cyber Handbook; Alrawabdeh W (2014) 'Internet and Social Media Challenges in Arab World' EJSR; Westin AF (1967) Privacy and Freedom NY Atheneum; Nissenbaum H (2004) 'Privacy as Contextual Integrity' Washington Law Review 79(1); CMS Law (2025) Saudi Arabia Data Protection &amp; Cybersecurity Expert Guide Oct 2025</t>
        </is>
      </c>
      <c r="AN428" s="50" t="inlineStr">
        <is>
          <t>Official: SDAIA website (sdaia.gov.sa) — Arabic + English. Training: IAPP CIPM/CIPP/E (privacy certifications applicable); OneTrust PDPL compliance course; Baker McKenzie PDPL compliance guide. Language: Arabic primary — strong Arabic reading recommended. Estimated: 50 hours for health sector DPO competence</t>
        </is>
      </c>
      <c r="AO428" s="77" t="inlineStr">
        <is>
          <t>PRIMARY driver for GH-ICGA Layer 4 (Compliance) — PDPL is the legal foundation for patient data governance in the preliminary GH-ICGA framework. Thesis argument: GH-ICGA Layer 4 operationalises PDPL requirements into IoMT-specific controls (consent management for wearable data; purpose limitation for monitoring streams; breach response for connected device incidents)</t>
        </is>
      </c>
      <c r="AP428" s="51" t="inlineStr">
        <is>
          <t>G + C (Governance + Compliance — strong compliance driver; risk implicit)</t>
        </is>
      </c>
      <c r="AQ428" s="78" t="inlineStr">
        <is>
          <t>Board/CEO: ultimate accountability for PDPL compliance. DPO: mandatory for large-scale health data processors — reports to highest management level. Privacy Committee: cross-functional oversight. All staff processing personal data: mandatory privacy awareness training annually</t>
        </is>
      </c>
      <c r="AR428" s="74" t="inlineStr">
        <is>
          <t>Privacy Risk (PRIMARY); Legal/Regulatory Risk; Reputational Risk; Strategic Risk (data monetisation constraints); Cross-Border Risk (data transfer restrictions)</t>
        </is>
      </c>
      <c r="AS428" s="22" t="inlineStr">
        <is>
          <t>LEGAL — Royal Decree M/19 2021 + Implementing Regulations Sep 2023. Criminal: imprisonment up to 2 years + SAR 3M fine for sensitive data disclosure. Administrative: SAR 5M maximum fine. Civil: data subject compensation claims</t>
        </is>
      </c>
      <c r="AT428" s="75" t="inlineStr">
        <is>
          <t>Administrative (A): consent management; privacy notices; DPO appointment; DPIA process; breach notification procedure. Technical (T): data minimisation; pseudonymisation; access controls for personal data; encryption. Operational (O): data retention enforcement; data subject rights fulfilment process; cross-border transfer review</t>
        </is>
      </c>
      <c r="AU428" s="79" t="inlineStr">
        <is>
          <t>1. # data subject rights requests fulfilled on time (target: 100% within 30 days). 2. # data breaches notified to SDAIA within 72h (target: 100%). 3. % staff completed privacy training (target: 100%). 4. # DPIAs completed for high-risk processing activities. 5. Data retention compliance rate (% records within policy). 6. % third-party processors with DPA agreements</t>
        </is>
      </c>
      <c r="AV428" s="80" t="inlineStr">
        <is>
          <t>Annual DPIA review; data mapping audit (controller record validation); consent record audit; breach response simulation (tabletop); access control review for personal data systems; third-party processor audit; SDAIA compliance self-assessment</t>
        </is>
      </c>
      <c r="AW428" s="81" t="inlineStr">
        <is>
          <t>OneTrust (market leader for PDPL); TrustArc; Nymity; DataGrail; Varonis (data discovery); Microsoft Purview (data classification). SDAIA National Data Governance Platform for registration. Arabic-capable tools preferred</t>
        </is>
      </c>
      <c r="AX428" s="82" t="inlineStr">
        <is>
          <t>All third-party data processors must have Data Processing Agreement (DPA). Processors must demonstrate equivalent PDPL compliance. Cross-border transfers require adequacy assessment or appropriate safeguards. Sub-processor disclosure mandatory. Annual processor risk assessment required</t>
        </is>
      </c>
      <c r="AY428" s="83" t="inlineStr">
        <is>
          <t>Non-compliance: SAR 5M administrative fine; criminal prosecution for sensitive data breach; SDAIA investigation; mandatory breach public disclosure. Business disruption: SDAIA can order processing suspension. Reputational: patient trust damage. Market: EU adequate protection status depends on PDPL enforcement credibility</t>
        </is>
      </c>
      <c r="AZ428" s="80" t="inlineStr">
        <is>
          <t>ALL 17 SECTORS — any entity processing personal data</t>
        </is>
      </c>
      <c r="BA428" s="34" t="inlineStr">
        <is>
          <t>YES — ALL SECTORS</t>
        </is>
      </c>
      <c r="BB428" s="591">
        <f>IF(E428="","",IF(ISNUMBER(SEARCH("Institutional theory and regulatory governance theory underpin",AI428)),"TEMPLATE",IF(LEN(AI428)&gt;100,"DEEP",IF(AI428="","SPARSE","SHALLOW"))))</f>
        <v/>
      </c>
      <c r="BC428" s="591">
        <f>IF(E428="","",D428&amp;"-"&amp;B428&amp;"-"&amp;E428)</f>
        <v/>
      </c>
      <c r="BD428" s="591">
        <f>IF(E428="","",SUBSTITUTE(SUBSTITUTE(B428&amp;"-"&amp;E428," ",""),":","-"))</f>
        <v/>
      </c>
      <c r="BE428" s="591">
        <f>IF(E428="","",IF(ISNUMBER(SEARCH("ECC",E428)),"NCA-ECC-2-2024",IF(ISNUMBER(SEARCH("OTCC",E428)),"NCA-ECC-2-2024",IF(ISNUMBER(SEARCH("CCC",E428)),"NCA-ECC-2-2024",IF(ISNUMBER(SEARCH("DCC",E428)),"NCA-ECC-2-2024",IF(ISNUMBER(SEARCH("CSCC",E428)),"NCA-ECC-2-2024",IF(ISNUMBER(SEARCH("PDPL-IR",E428)),"PDPL-2021",IF(ISNUMBER(SEARCH("PDPL-DTR",E428)),"PDPL-2021","NONE"))))))))</f>
        <v/>
      </c>
      <c r="BF428" s="594">
        <f>IF(E428="","",IF(BB428="DEEP",10,IF(BB428="SHALLOW",5,IF(BB428="TEMPLATE",3,1)))+IF(N428="HIGHEST",5,IF(N428="HIGH",3,IF(N428="MODERATE",1,0)))+IF(ISNUMBER(SEARCH("Mandatory",L428)),3,0))</f>
        <v/>
      </c>
    </row>
    <row r="429" ht="42" customHeight="1">
      <c r="A429" s="42" t="n">
        <v>380</v>
      </c>
      <c r="B429" s="412" t="inlineStr">
        <is>
          <t>AZHC</t>
        </is>
      </c>
      <c r="C429" s="44" t="inlineStr">
        <is>
          <t>Aseer Health Cluster</t>
        </is>
      </c>
      <c r="D429" s="44" t="inlineStr">
        <is>
          <t>17. Regional Health Clusters</t>
        </is>
      </c>
      <c r="E429" s="412" t="inlineStr">
        <is>
          <t>MOH-TELE</t>
        </is>
      </c>
      <c r="F429" s="45" t="inlineStr">
        <is>
          <t>Telemedicine Regulations</t>
        </is>
      </c>
      <c r="G429" s="44" t="inlineStr">
        <is>
          <t>لائحة الرعاية الصحية عن بعد</t>
        </is>
      </c>
      <c r="H429" s="44" t="inlineStr">
        <is>
          <t>Late 2023</t>
        </is>
      </c>
      <c r="I429" s="46" t="inlineStr">
        <is>
          <t>2020</t>
        </is>
      </c>
      <c r="J429" s="46" t="inlineStr">
        <is>
          <t>38</t>
        </is>
      </c>
      <c r="K429" s="44" t="inlineStr">
        <is>
          <t>MUST COMPLY WITH</t>
        </is>
      </c>
      <c r="L429" s="66" t="inlineStr">
        <is>
          <t>Mandatory Complier</t>
        </is>
      </c>
      <c r="M429" s="44" t="inlineStr">
        <is>
          <t>Aseer Health Cluster offering telemedicine services</t>
        </is>
      </c>
      <c r="N429" s="54" t="inlineStr">
        <is>
          <t>HIGH</t>
        </is>
      </c>
      <c r="O429" s="48" t="inlineStr">
        <is>
          <t>https://www.moh.gov.sa/en/</t>
        </is>
      </c>
      <c r="P429" s="44" t="inlineStr">
        <is>
          <t>MOH; Hammad &amp; Al-Mehdar 2025</t>
        </is>
      </c>
      <c r="Q429" s="70" t="inlineStr">
        <is>
          <t>COVID-19 emergency 2020 → comprehensive regulations late 2023</t>
        </is>
      </c>
      <c r="R429" s="70" t="inlineStr">
        <is>
          <t>2020 (emergency COVID telehealth rules): basic platform licensing, identity verification, audio/video minimum standards. Late 2023 (comprehensive update, 38 controls): platform licensing requirements; patient identity verification; cross-border telemedicine restrictions; controlled substance prescribing rules (limited); data protection (PDPL alignment); patient consent requirements; clinical documentation standards; coverage by health insurance; quality assurance audit requirements</t>
        </is>
      </c>
      <c r="S429" s="71" t="inlineStr">
        <is>
          <t>Emergency 2020. Comprehensive: late 2023</t>
        </is>
      </c>
      <c r="T429" s="70" t="inlineStr">
        <is>
          <t>Annual update; cross-border rules under active development 2025</t>
        </is>
      </c>
      <c r="U429" s="25" t="inlineStr">
        <is>
          <t>CURRENT — late 2023 comprehensive version</t>
        </is>
      </c>
      <c r="V429" s="70" t="inlineStr">
        <is>
          <t>Platform licence revocation; SAR 1M–5M fine (scale by offence); clinical professional disciplinary action by SCFHS</t>
        </is>
      </c>
      <c r="W429" s="72" t="inlineStr">
        <is>
          <t>MOH — eHealth General Directorate; CST (platform technical licensing); CCHI (insurance coverage compliance); SCFHS (clinical standards)</t>
        </is>
      </c>
      <c r="X429" s="70" t="inlineStr">
        <is>
          <t>Hospital (outpatient teleconsultation); Clinic; Health IT Vendor (platform developers); Health Insurer (reimbursement compliance)</t>
        </is>
      </c>
      <c r="Y429" s="22" t="inlineStr">
        <is>
          <t>Both</t>
        </is>
      </c>
      <c r="Z429" s="70" t="inlineStr">
        <is>
          <t>MOH platform licence audit (annual); CCHI insurance compliance check; SCFHS clinical quality audit</t>
        </is>
      </c>
      <c r="AA429" s="71" t="inlineStr">
        <is>
          <t>Annual licence renewal; random clinical quality audit</t>
        </is>
      </c>
      <c r="AB429" s="70" t="inlineStr">
        <is>
          <t>15 (remote patient monitoring integration; wearable device data for teleconsultation; IoMT vital sign display during video consultation; remote device prescription; teleICU monitoring requirements)</t>
        </is>
      </c>
      <c r="AC429" s="70" t="inlineStr">
        <is>
          <t>WHO Telemedicine Guidelines (2010/updated); ISO 13131:2021 (Telehealth); ATA (American Telemedicine Association) standards (reference)</t>
        </is>
      </c>
      <c r="AD429" s="49" t="inlineStr">
        <is>
          <t>Arabic (primary); English technical guidance</t>
        </is>
      </c>
      <c r="AE429" s="26" t="inlineStr">
        <is>
          <t>Layer 1: Governance; Layer 4: Compliance</t>
        </is>
      </c>
      <c r="AF429" s="60" t="inlineStr">
        <is>
          <t>No formal maturity model; licence tiers (basic/advanced platform)</t>
        </is>
      </c>
      <c r="AG429" s="70" t="inlineStr">
        <is>
          <t>HSTP telemedicine targets (30% uptake); SEHA Virtual Hospital; Vision 2030 healthcare access targets</t>
        </is>
      </c>
      <c r="AH429" s="70" t="inlineStr">
        <is>
          <t>Platform licence certificate; patient consent records; clinical documentation standards compliance; identity verification log; prescription records; NABIDH integration evidence</t>
        </is>
      </c>
      <c r="AI429" s="73" t="inlineStr">
        <is>
          <t>Telehealth adoption theory (LeRouge &amp; Garfield 2013): patient acceptance + clinician integration. Access theory: geography-equity argument for remote care. Digital health governance theory: platform regulation vs clinical regulation tension.</t>
        </is>
      </c>
      <c r="AJ429" s="70" t="inlineStr">
        <is>
          <t>FOR: COVID-19 proved telehealth viability at scale in KSA (Al-Ataawi et al. 2022); Sehhaty platform shows government commitment; removes geographic barriers consistent with Vision 2030 equity goals; IoMT remote monitoring reimbursement framework emerging. AGAINST: Clinical quality in telehealth still debated (Hollander &amp; Sites 2020); data sovereignty for cross-border telehealth unresolved; prescription via teleconsultation remains restricted limiting scope; rural connectivity gaps undermine access equity goal</t>
        </is>
      </c>
      <c r="AK429" s="74" t="inlineStr">
        <is>
          <t>Regulations still lag technology — VR/AR clinical applications not addressed; AI-assisted teleconsultation regulatory pathway unclear; cross-border telehealth restrictions create market fragmentation; no minimum quality standards for audio/video equipment; liability for technical failure not yet codified in regulation</t>
        </is>
      </c>
      <c r="AL429" s="75" t="inlineStr">
        <is>
          <t>MOH-TELE vs NHS TECS (UK): NHS TECS has DTAC (Digital Technology Assessment Criteria) for all digital health tools — KSA equivalent absent. MOH-TELE vs FCC/CMS telehealth (US): US has federal reimbursement codes (CPT); KSA CCHI integration still developing. MOH-TELE vs WHO Telemedicine Guidelines: broadly aligned but KSA-specific cross-border rules more restrictive than WHO recommends</t>
        </is>
      </c>
      <c r="AM429" s="76" t="inlineStr">
        <is>
          <t>Al-Ataawi A et al. (2022) 'Telehealth in Saudi Arabia During COVID-19' J Healthcare Informatics Res; Hollander JE &amp; Sites FD (2020) 'Telehealth Beyond COVID-19' NEJM 2020; Hammad &amp; Al-Mehdar (2025) Saudi Healthcare Regulatory Update; WHO (2010) Telemedicine Opportunities and Developments; LeRouge C &amp; Garfield MJ (2013) 'Crossing the Telemedicine Chasm' JAMIA 20(6)</t>
        </is>
      </c>
      <c r="AN429" s="50" t="inlineStr">
        <is>
          <t>Official: MOH website. Training: American Telemedicine Association (ATA) online courses; SEHA Virtual Hospital training programme; WHO telehealth competency framework. Estimated: 25 hours</t>
        </is>
      </c>
      <c r="AO429" s="77" t="inlineStr">
        <is>
          <t>GH-ICGA Layer 1 (Governance) — telehealth regulation defines the governance boundary for remote IoMT monitoring. Thesis relevance: GH-ICGA must address the governance overlap between MOH-TELE (clinical platform regulation) and NCA-ECC (cybersecurity) and PDPL (patient data) for remote monitoring scenarios</t>
        </is>
      </c>
      <c r="AP429" s="51" t="inlineStr">
        <is>
          <t>G + C (platform governance + clinical compliance)</t>
        </is>
      </c>
      <c r="AQ429" s="78" t="inlineStr">
        <is>
          <t>CEO: platform licence accountability. Medical Director: clinical quality governance. DPO: PDPL compliance for patient data on platform. Technical Director: platform security. Pharmacy Director: prescription management compliance</t>
        </is>
      </c>
      <c r="AR429" s="74" t="inlineStr">
        <is>
          <t>Clinical Risk (misdiagnosis via teleconsultation); Regulatory Risk (licence breach); Privacy Risk (patient data); Operational Risk (platform availability); Cross-Border Risk (international teleconsultation restrictions)</t>
        </is>
      </c>
      <c r="AS429" s="61" t="inlineStr">
        <is>
          <t>REGULATORY — MOH licensing requirement. Non-compliance: platform licence revocation; SAR 1M–5M fine; SCFHS action against clinicians</t>
        </is>
      </c>
      <c r="AT429" s="75" t="inlineStr">
        <is>
          <t>Administrative (A): 20 controls — licensing; consent; documentation; clinical protocols. Technical (T): 12 controls — platform security; identity verification; audio/video standards. Operational (O): 6 controls — prescribing workflow; referral protocol; audit trail</t>
        </is>
      </c>
      <c r="AU429" s="79" t="inlineStr">
        <is>
          <t>1. Patient consent collection rate (target 100% before each session). 2. Platform availability SLA compliance (target &gt;99.5%). 3. Identity verification success rate. 4. # clinical complaints per 1,000 teleconsultations. 5. Documentation compliance rate (target 100% consultation notes in NABIDH). 6. Prescription audit pass rate</t>
        </is>
      </c>
      <c r="AV429" s="80" t="inlineStr">
        <is>
          <t>Annual MOH licence renewal audit; CCHI insurance coverage compliance check; patient record documentation audit; platform security assessment; identity verification system test; NABIDH integration test</t>
        </is>
      </c>
      <c r="AW429" s="81" t="inlineStr">
        <is>
          <t>Sehhaty / Mawid (MOH official platforms); Nabdh; Cura Health; Vezeeta; Nubaqraa — all require MOH licensing. Security tools: FortiWeb (WAF); Auth0/Okta (identity); TeleVisit security frameworks</t>
        </is>
      </c>
      <c r="AX429" s="82" t="inlineStr">
        <is>
          <t>Platform vendors: MOH-licensed telemedicine solution mandatory; PDPL DPA required; NABIDH API certification; patient data not to be shared with third-party analytics without consent; international teleconsultation providers must be MOH-approved</t>
        </is>
      </c>
      <c r="AY429" s="83" t="inlineStr">
        <is>
          <t>Unlicensed platform: immediate shutdown; SAR fine; clinical professional disciplinary action. Licence revocation: complete business cessation. Patient harm via telemedicine: malpractice liability; SCFHS investigation</t>
        </is>
      </c>
      <c r="AZ429" s="80" t="inlineStr">
        <is>
          <t>Healthcare &amp; Life Sciences; ICT/Digital (platform providers)</t>
        </is>
      </c>
      <c r="BA429" s="41" t="inlineStr">
        <is>
          <t>Sector-Specific</t>
        </is>
      </c>
      <c r="BB429" s="591">
        <f>IF(E429="","",IF(ISNUMBER(SEARCH("Institutional theory and regulatory governance theory underpin",AI429)),"TEMPLATE",IF(LEN(AI429)&gt;100,"DEEP",IF(AI429="","SPARSE","SHALLOW"))))</f>
        <v/>
      </c>
      <c r="BC429" s="591">
        <f>IF(E429="","",D429&amp;"-"&amp;B429&amp;"-"&amp;E429)</f>
        <v/>
      </c>
      <c r="BD429" s="591">
        <f>IF(E429="","",SUBSTITUTE(SUBSTITUTE(B429&amp;"-"&amp;E429," ",""),":","-"))</f>
        <v/>
      </c>
      <c r="BE429" s="591">
        <f>IF(E429="","",IF(ISNUMBER(SEARCH("ECC",E429)),"NCA-ECC-2-2024",IF(ISNUMBER(SEARCH("OTCC",E429)),"NCA-ECC-2-2024",IF(ISNUMBER(SEARCH("CCC",E429)),"NCA-ECC-2-2024",IF(ISNUMBER(SEARCH("DCC",E429)),"NCA-ECC-2-2024",IF(ISNUMBER(SEARCH("CSCC",E429)),"NCA-ECC-2-2024",IF(ISNUMBER(SEARCH("PDPL-IR",E429)),"PDPL-2021",IF(ISNUMBER(SEARCH("PDPL-DTR",E429)),"PDPL-2021","NONE"))))))))</f>
        <v/>
      </c>
      <c r="BF429" s="594">
        <f>IF(E429="","",IF(BB429="DEEP",10,IF(BB429="SHALLOW",5,IF(BB429="TEMPLATE",3,1)))+IF(N429="HIGHEST",5,IF(N429="HIGH",3,IF(N429="MODERATE",1,0)))+IF(ISNUMBER(SEARCH("Mandatory",L429)),3,0))</f>
        <v/>
      </c>
    </row>
    <row r="430" ht="42" customHeight="1">
      <c r="A430" s="84" t="n">
        <v>381</v>
      </c>
      <c r="B430" s="411" t="inlineStr">
        <is>
          <t>AZHC</t>
        </is>
      </c>
      <c r="C430" s="70" t="inlineStr">
        <is>
          <t>Aseer Health Cluster</t>
        </is>
      </c>
      <c r="D430" s="70" t="inlineStr">
        <is>
          <t>17. Regional Health Clusters</t>
        </is>
      </c>
      <c r="E430" s="411" t="inlineStr">
        <is>
          <t>NHIC-NABIDH</t>
        </is>
      </c>
      <c r="F430" s="72" t="inlineStr">
        <is>
          <t>NABIDH EHR Platform Standard</t>
        </is>
      </c>
      <c r="G430" s="70" t="inlineStr">
        <is>
          <t>معيار منصة نبض</t>
        </is>
      </c>
      <c r="H430" s="70" t="inlineStr">
        <is>
          <t>Mandatory 2024</t>
        </is>
      </c>
      <c r="I430" s="71" t="inlineStr">
        <is>
          <t>2018</t>
        </is>
      </c>
      <c r="J430" s="71" t="inlineStr">
        <is>
          <t>40</t>
        </is>
      </c>
      <c r="K430" s="70" t="inlineStr">
        <is>
          <t>MUST COMPLY WITH</t>
        </is>
      </c>
      <c r="L430" s="66" t="inlineStr">
        <is>
          <t>Mandatory Complier</t>
        </is>
      </c>
      <c r="M430" s="70" t="inlineStr">
        <is>
          <t>Aseer Health Cluster hospitals — NABIDH interoperability</t>
        </is>
      </c>
      <c r="N430" s="86" t="inlineStr">
        <is>
          <t>HIGHEST</t>
        </is>
      </c>
      <c r="O430" s="87" t="inlineStr">
        <is>
          <t>https://nhic.gov.sa/</t>
        </is>
      </c>
      <c r="P430" s="70" t="inlineStr">
        <is>
          <t>NHIC</t>
        </is>
      </c>
      <c r="Q430" s="70" t="inlineStr">
        <is>
          <t>NABIDH launched 2018 (pilot) → FHIR R4 API 2022 → mandatory all facilities 2024</t>
        </is>
      </c>
      <c r="R430" s="70" t="inlineStr">
        <is>
          <t>2018 (pilot): 10 MOH hospitals. 2019-2021: health cluster rollout. 2022: FHIR R4 API standards published; private hospitals voluntary integration. 2023: API developer portal opened; 40 technical requirements published. 2024: MANDATORY — all healthcare facilities must connect; Private Health Institutions Law updated; penalties for non-connection: facility licensing at risk. NABIDH now the central patient data repository — 45M+ patient records as of 2024</t>
        </is>
      </c>
      <c r="S430" s="71" t="inlineStr">
        <is>
          <t>Launched: 2018. FHIR R4 API: 2022. Mandatory: 2024</t>
        </is>
      </c>
      <c r="T430" s="70" t="inlineStr">
        <is>
          <t>Continuous platform updates; API versioning quarterly</t>
        </is>
      </c>
      <c r="U430" s="25" t="inlineStr">
        <is>
          <t>CURRENT — mandatory as of 2024</t>
        </is>
      </c>
      <c r="V430" s="70" t="inlineStr">
        <is>
          <t>Facility unable to receive electronic referrals; excluded from national patient record; MOH licensing risk; procurement penalties</t>
        </is>
      </c>
      <c r="W430" s="72" t="inlineStr">
        <is>
          <t>NHIC — NABIDH Programme Office; MOH General Directorate of Health Informatics; regional health clusters</t>
        </is>
      </c>
      <c r="X430" s="70" t="inlineStr">
        <is>
          <t>Hospital; Clinic; Lab; Pharmacy — ALL healthcare facilities mandatory</t>
        </is>
      </c>
      <c r="Y430" s="22" t="inlineStr">
        <is>
          <t>Both</t>
        </is>
      </c>
      <c r="Z430" s="70" t="inlineStr">
        <is>
          <t>NHIC API conformance test; connectivity monitoring (automated); annual technical review</t>
        </is>
      </c>
      <c r="AA430" s="71" t="inlineStr">
        <is>
          <t>Continuous connectivity monitoring; annual audit</t>
        </is>
      </c>
      <c r="AB430" s="70" t="inlineStr">
        <is>
          <t>16 (NABIDH IoMT data ingestion API; remote monitoring data submission; wearable vital signs standardisation; IoMT device data consent management; IoMT-generated observation resources in FHIR)</t>
        </is>
      </c>
      <c r="AC430" s="70" t="inlineStr">
        <is>
          <t>HL7 FHIR R4 (mandatory); IHE profiles; SNOMED CT; ICD-10-CM; LOINC; HL7 CDA</t>
        </is>
      </c>
      <c r="AD430" s="49" t="inlineStr">
        <is>
          <t>Arabic + English (NABIDH technical specifications bilingual)</t>
        </is>
      </c>
      <c r="AE430" s="37" t="inlineStr">
        <is>
          <t>Layer 3: Technical Controls; Layer 4: Compliance; Layer 5: Assurance</t>
        </is>
      </c>
      <c r="AF430" s="27" t="inlineStr">
        <is>
          <t>Yes — 3 connectivity levels (Basic data exchange / Full longitudinal record / Advanced IoMT integration)</t>
        </is>
      </c>
      <c r="AG430" s="70" t="inlineStr">
        <is>
          <t>HSTP digital health; National EHR programme; NHIS integration; Vision 2030 connected healthcare</t>
        </is>
      </c>
      <c r="AH430" s="70" t="inlineStr">
        <is>
          <t>NABIDH connectivity certificate; API test results; FHIR conformance statement; patient consent records; data quality dashboard reports</t>
        </is>
      </c>
      <c r="AI430" s="73" t="inlineStr">
        <is>
          <t>Institutional theory and regulatory governance theory underpin all KSA regulatory frameworks. Specific theoretical basis varies by framework — consult academic literature via Google Scholar using framework name as search term.</t>
        </is>
      </c>
      <c r="AJ430" s="70" t="inlineStr">
        <is>
          <t>Academic debate varies by framework maturity and international adoption. For KSA-specific debate, consult: Almohammad &amp; Wills (2021) J Cybersecurity; Al-Khater et al. (2020) IEEE Access; Baker McKenzie KSA regulatory updates.</t>
        </is>
      </c>
      <c r="AK430" s="74" t="inlineStr">
        <is>
          <t>Known criticisms include: implementation gap between standards and practice; resource constraints for smaller healthcare entities; rapid technology evolution outpacing regulation. Consult framework evaluation literature for specifics.</t>
        </is>
      </c>
      <c r="AL430" s="75" t="inlineStr">
        <is>
          <t>Framework comparison requires contextual analysis. Key comparators: NIST CSF 2.0 (international benchmark), ISO 27001 (certifiable standard), ECC-2 (KSA mandatory baseline). See main database for cross-framework mapping.</t>
        </is>
      </c>
      <c r="AM430"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30" s="50" t="inlineStr">
        <is>
          <t>Official: Consult the official source URL in the database for the primary document. Training: ISACA, ISC2, RAPS, IAPP, and HIMSS offer professional development covering most regulatory domains. Estimated hours vary by framework complexity.</t>
        </is>
      </c>
      <c r="AO430" s="77" t="inlineStr">
        <is>
          <t>Relevance to GH-ICGA framework varies by layer — see GH-ICGA Layer Mapping column. All KSA mandatory frameworks are compliance inputs to GH-ICGA Layer 4. Frameworks with IoMT-specific provisions directly inform Layers 2 and 3.</t>
        </is>
      </c>
      <c r="AP430" s="51" t="inlineStr">
        <is>
          <t>G + C (Governance + Compliance — standard regulatory framework positioning)</t>
        </is>
      </c>
      <c r="AQ430" s="78" t="inlineStr">
        <is>
          <t>Senior management: accountability for framework compliance. Designated compliance officer: monitor requirements. All staff: awareness of applicable obligations</t>
        </is>
      </c>
      <c r="AR430" s="74" t="inlineStr">
        <is>
          <t>Regulatory Risk; Operational Risk; Reputational Risk — specific domains determined by framework scope</t>
        </is>
      </c>
      <c r="AS430" s="22" t="inlineStr">
        <is>
          <t>See official source — legal obligation, regulatory requirement, or voluntary standard as applicable</t>
        </is>
      </c>
      <c r="AT430" s="75" t="inlineStr">
        <is>
          <t>Administrative; Technical; Operational — specific distribution determined by framework content</t>
        </is>
      </c>
      <c r="AU430" s="79" t="inlineStr">
        <is>
          <t>1. Compliance status (compliant/non-compliant). 2. # open findings from last assessment. 3. % controls implemented. 4. Time to remediate findings. 5. Incident rate in framework scope area</t>
        </is>
      </c>
      <c r="AV430" s="80" t="inlineStr">
        <is>
          <t>Self-assessment; internal audit; external assessment as specified by issuing authority</t>
        </is>
      </c>
      <c r="AW430" s="81" t="inlineStr">
        <is>
          <t>ServiceNow GRC; IBM OpenPages; RSA Archer; MetricStream — all major GRC platforms support custom framework import. Contact vendor for framework-specific module</t>
        </is>
      </c>
      <c r="AX430" s="82" t="inlineStr">
        <is>
          <t>Third parties in scope must demonstrate equivalent compliance. Contractual compliance obligations; right-to-audit clauses; annual third-party assessment</t>
        </is>
      </c>
      <c r="AY430" s="83" t="inlineStr">
        <is>
          <t>Non-compliance: regulatory action by issuing authority; fines and penalties as specified; operational and reputational consequences</t>
        </is>
      </c>
      <c r="AZ430" s="80" t="inlineStr">
        <is>
          <t>Healthcare &amp; Life Sciences</t>
        </is>
      </c>
      <c r="BA430" s="41" t="inlineStr">
        <is>
          <t>Sector-Specific</t>
        </is>
      </c>
      <c r="BB430" s="591">
        <f>IF(E430="","",IF(ISNUMBER(SEARCH("Institutional theory and regulatory governance theory underpin",AI430)),"TEMPLATE",IF(LEN(AI430)&gt;100,"DEEP",IF(AI430="","SPARSE","SHALLOW"))))</f>
        <v/>
      </c>
      <c r="BC430" s="591">
        <f>IF(E430="","",D430&amp;"-"&amp;B430&amp;"-"&amp;E430)</f>
        <v/>
      </c>
      <c r="BD430" s="591">
        <f>IF(E430="","",SUBSTITUTE(SUBSTITUTE(B430&amp;"-"&amp;E430," ",""),":","-"))</f>
        <v/>
      </c>
      <c r="BE430" s="591">
        <f>IF(E430="","",IF(ISNUMBER(SEARCH("ECC",E430)),"NCA-ECC-2-2024",IF(ISNUMBER(SEARCH("OTCC",E430)),"NCA-ECC-2-2024",IF(ISNUMBER(SEARCH("CCC",E430)),"NCA-ECC-2-2024",IF(ISNUMBER(SEARCH("DCC",E430)),"NCA-ECC-2-2024",IF(ISNUMBER(SEARCH("CSCC",E430)),"NCA-ECC-2-2024",IF(ISNUMBER(SEARCH("PDPL-IR",E430)),"PDPL-2021",IF(ISNUMBER(SEARCH("PDPL-DTR",E430)),"PDPL-2021","NONE"))))))))</f>
        <v/>
      </c>
      <c r="BF430" s="594">
        <f>IF(E430="","",IF(BB430="DEEP",10,IF(BB430="SHALLOW",5,IF(BB430="TEMPLATE",3,1)))+IF(N430="HIGHEST",5,IF(N430="HIGH",3,IF(N430="MODERATE",1,0)))+IF(ISNUMBER(SEARCH("Mandatory",L430)),3,0))</f>
        <v/>
      </c>
    </row>
    <row r="431" ht="42" customHeight="1">
      <c r="A431" s="42" t="n">
        <v>382</v>
      </c>
      <c r="B431" s="412" t="inlineStr">
        <is>
          <t>AZHC</t>
        </is>
      </c>
      <c r="C431" s="44" t="inlineStr">
        <is>
          <t>Aseer Health Cluster</t>
        </is>
      </c>
      <c r="D431" s="44" t="inlineStr">
        <is>
          <t>17. Regional Health Clusters</t>
        </is>
      </c>
      <c r="E431" s="412" t="inlineStr">
        <is>
          <t>NCA-OTCC</t>
        </is>
      </c>
      <c r="F431" s="45" t="inlineStr">
        <is>
          <t>OT Cybersecurity Controls</t>
        </is>
      </c>
      <c r="G431" s="44" t="inlineStr">
        <is>
          <t>ضوابط الأمن السيبراني للتقنيات التشغيلية</t>
        </is>
      </c>
      <c r="H431" s="44" t="inlineStr">
        <is>
          <t>OTCC-1:2022</t>
        </is>
      </c>
      <c r="I431" s="46" t="inlineStr">
        <is>
          <t>2022</t>
        </is>
      </c>
      <c r="J431" s="46" t="inlineStr">
        <is>
          <t>53</t>
        </is>
      </c>
      <c r="K431" s="44" t="inlineStr">
        <is>
          <t>MUST COMPLY WITH</t>
        </is>
      </c>
      <c r="L431" s="66" t="inlineStr">
        <is>
          <t>Mandatory Complier</t>
        </is>
      </c>
      <c r="M431" s="44" t="inlineStr">
        <is>
          <t>Aseer Health Cluster medical device OT networks — CNI designation</t>
        </is>
      </c>
      <c r="N431" s="47" t="inlineStr">
        <is>
          <t>HIGHEST</t>
        </is>
      </c>
      <c r="O431" s="48" t="inlineStr">
        <is>
          <t>https://nca.gov.sa/</t>
        </is>
      </c>
      <c r="P431" s="44" t="inlineStr">
        <is>
          <t>NCA OTCC</t>
        </is>
      </c>
      <c r="Q431" s="70" t="inlineStr">
        <is>
          <t>See official source for version history</t>
        </is>
      </c>
      <c r="R431" s="70" t="inlineStr">
        <is>
          <t>Framework issued by the relevant authority. Version details available on the official website referenced in the source URL column. The framework has been updated periodically since first issuance.</t>
        </is>
      </c>
      <c r="S431" s="71" t="inlineStr">
        <is>
          <t>See official source</t>
        </is>
      </c>
      <c r="T431" s="70" t="inlineStr">
        <is>
          <t>Updated as needed by the issuing authority</t>
        </is>
      </c>
      <c r="U431" s="25" t="inlineStr">
        <is>
          <t>CURRENT — consult official source for latest version</t>
        </is>
      </c>
      <c r="V431" s="70" t="inlineStr">
        <is>
          <t>Penalties defined by issuing authority; consult official source. NCA ECC-2 penalties apply if relevant</t>
        </is>
      </c>
      <c r="W431" s="72" t="inlineStr">
        <is>
          <t>Issuing authority and/or designated inspection department</t>
        </is>
      </c>
      <c r="X431" s="70" t="inlineStr">
        <is>
          <t>As specified in framework scope — consult official document</t>
        </is>
      </c>
      <c r="Y431" s="49" t="inlineStr">
        <is>
          <t>Both (unless specified otherwise in official document)</t>
        </is>
      </c>
      <c r="Z431" s="70" t="inlineStr">
        <is>
          <t>As defined by issuing authority</t>
        </is>
      </c>
      <c r="AA431" s="71" t="inlineStr">
        <is>
          <t>As defined by issuing authority</t>
        </is>
      </c>
      <c r="AB431" s="70" t="inlineStr">
        <is>
          <t>To be determined from framework text — see official source</t>
        </is>
      </c>
      <c r="AC431" s="70" t="inlineStr">
        <is>
          <t>See framework preamble for international standard references</t>
        </is>
      </c>
      <c r="AD431" s="49" t="inlineStr">
        <is>
          <t>Arabic (primary in KSA); English may be available</t>
        </is>
      </c>
      <c r="AE431" s="58" t="inlineStr">
        <is>
          <t>Mapped to relevant GH-ICGA layer — requires manual assessment</t>
        </is>
      </c>
      <c r="AF431" s="56" t="inlineStr">
        <is>
          <t>See official framework for maturity model details</t>
        </is>
      </c>
      <c r="AG431" s="70" t="inlineStr">
        <is>
          <t>Aligned with relevant Vision 2030 programme — see framework context</t>
        </is>
      </c>
      <c r="AH431" s="70" t="inlineStr">
        <is>
          <t>As specified in framework compliance requirements</t>
        </is>
      </c>
      <c r="AI431" s="73" t="inlineStr">
        <is>
          <t>Institutional theory and regulatory governance theory underpin all KSA regulatory frameworks. Specific theoretical basis varies by framework — consult academic literature via Google Scholar using framework name as search term.</t>
        </is>
      </c>
      <c r="AJ431" s="70" t="inlineStr">
        <is>
          <t>Academic debate varies by framework maturity and international adoption. For KSA-specific debate, consult: Almohammad &amp; Wills (2021) J Cybersecurity; Al-Khater et al. (2020) IEEE Access; Baker McKenzie KSA regulatory updates.</t>
        </is>
      </c>
      <c r="AK431" s="74" t="inlineStr">
        <is>
          <t>Known criticisms include: implementation gap between standards and practice; resource constraints for smaller healthcare entities; rapid technology evolution outpacing regulation. Consult framework evaluation literature for specifics.</t>
        </is>
      </c>
      <c r="AL431" s="75" t="inlineStr">
        <is>
          <t>Framework comparison requires contextual analysis. Key comparators: NIST CSF 2.0 (international benchmark), ISO 27001 (certifiable standard), ECC-2 (KSA mandatory baseline). See main database for cross-framework mapping.</t>
        </is>
      </c>
      <c r="AM431"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31" s="50" t="inlineStr">
        <is>
          <t>Official: Consult the official source URL in the database for the primary document. Training: ISACA, ISC2, RAPS, IAPP, and HIMSS offer professional development covering most regulatory domains. Estimated hours vary by framework complexity.</t>
        </is>
      </c>
      <c r="AO431" s="77" t="inlineStr">
        <is>
          <t>Relevance to GH-ICGA framework varies by layer — see GH-ICGA Layer Mapping column. All KSA mandatory frameworks are compliance inputs to GH-ICGA Layer 4. Frameworks with IoMT-specific provisions directly inform Layers 2 and 3.</t>
        </is>
      </c>
      <c r="AP431" s="53" t="inlineStr">
        <is>
          <t>R + C (Risk and Compliance — technically oriented; governance implied)</t>
        </is>
      </c>
      <c r="AQ431" s="78" t="inlineStr">
        <is>
          <t>CISO/OT Security Manager: own OTCC compliance. Clinical Engineering/Biomedical Engineering: co-responsible for medical device OT compliance. CTO: responsible for OT architecture. Board: informed of OT risk posture annually. OT security roles: Saudi nationals required per ECC-2 Saudisation mandate</t>
        </is>
      </c>
      <c r="AR431" s="74" t="inlineStr">
        <is>
          <t>Cyber Risk (OT/ICS); Operational Risk (process disruption); Physical Safety Risk (clinical impact of OT compromise); Supply Chain Risk (OT vendor remote access); Availability Risk (OT always-on requirement)</t>
        </is>
      </c>
      <c r="AS431" s="22" t="inlineStr">
        <is>
          <t>LEGAL — Mandatory for CNI OT operators under NCA-REG-2024. Hospitals as CNI: healthcare OT networks are in scope. Penalties: NCA-REG-2024 (SAR 25M max) + potential operational shutdown of non-compliant OT systems</t>
        </is>
      </c>
      <c r="AT431" s="75" t="inlineStr">
        <is>
          <t>Technical (T): 40 controls — OT network segmentation; secure remote access; OT monitoring; patch management for ICS. Administrative (A): 8 controls — OT governance; vendor management; OT incident response. Operational (O): 5 controls — OT change management; OT BCP</t>
        </is>
      </c>
      <c r="AU431" s="79" t="inlineStr">
        <is>
          <t>1. % OT assets inventoried (target 100%). 2. % OT systems with current patches within defined window. 3. # OT network zone violations detected. 4. % third-party OT vendor accesses logged. 5. OT system availability rate (target &gt;99.9% for life-critical). 6. Time-to-detect OT anomaly (target &lt;15 min for CNI)</t>
        </is>
      </c>
      <c r="AV431" s="80" t="inlineStr">
        <is>
          <t>OT vulnerability scan (passive — non-disruptive tools: Claroty, Nozomi, Dragos); OT network traffic analysis; OT penetration test (annual — must not disrupt clinical operations); vendor remote access audit; zone/conduit diagram validation</t>
        </is>
      </c>
      <c r="AW431" s="81" t="inlineStr">
        <is>
          <t>Claroty (medical IoT OT visibility); Nozomi Networks; Dragos; Tenable.ot; Fortinet OT; Medigate (healthcare-specific OT). For GRC integration: ServiceNow OT module; IBM QRadar SIEM with OT signatures</t>
        </is>
      </c>
      <c r="AX431" s="82" t="inlineStr">
        <is>
          <t>All OT vendors with remote access: mandatory access logging; time-limited access; multi-factor authentication; vendor security assessment before engagement; NDA for OT architecture access; OT vendor incident notification within 4 hours</t>
        </is>
      </c>
      <c r="AY431" s="83" t="inlineStr">
        <is>
          <t>OT breach in hospital: potential life-critical impact (ventilator, infusion pump disruption); NCA shutdown order; SAR 25M fine; criminal referral; SFDA recall if device compromise detected; massive reputational and legal exposure</t>
        </is>
      </c>
      <c r="AZ431" s="80" t="inlineStr">
        <is>
          <t>Sector-specific — consult official source</t>
        </is>
      </c>
      <c r="BA431" s="41" t="inlineStr">
        <is>
          <t>Sector-Specific</t>
        </is>
      </c>
      <c r="BB431" s="591">
        <f>IF(E431="","",IF(ISNUMBER(SEARCH("Institutional theory and regulatory governance theory underpin",AI431)),"TEMPLATE",IF(LEN(AI431)&gt;100,"DEEP",IF(AI431="","SPARSE","SHALLOW"))))</f>
        <v/>
      </c>
      <c r="BC431" s="591">
        <f>IF(E431="","",D431&amp;"-"&amp;B431&amp;"-"&amp;E431)</f>
        <v/>
      </c>
      <c r="BD431" s="591">
        <f>IF(E431="","",SUBSTITUTE(SUBSTITUTE(B431&amp;"-"&amp;E431," ",""),":","-"))</f>
        <v/>
      </c>
      <c r="BE431" s="591">
        <f>IF(E431="","",IF(ISNUMBER(SEARCH("ECC",E431)),"NCA-ECC-2-2024",IF(ISNUMBER(SEARCH("OTCC",E431)),"NCA-ECC-2-2024",IF(ISNUMBER(SEARCH("CCC",E431)),"NCA-ECC-2-2024",IF(ISNUMBER(SEARCH("DCC",E431)),"NCA-ECC-2-2024",IF(ISNUMBER(SEARCH("CSCC",E431)),"NCA-ECC-2-2024",IF(ISNUMBER(SEARCH("PDPL-IR",E431)),"PDPL-2021",IF(ISNUMBER(SEARCH("PDPL-DTR",E431)),"PDPL-2021","NONE"))))))))</f>
        <v/>
      </c>
      <c r="BF431" s="594">
        <f>IF(E431="","",IF(BB431="DEEP",10,IF(BB431="SHALLOW",5,IF(BB431="TEMPLATE",3,1)))+IF(N431="HIGHEST",5,IF(N431="HIGH",3,IF(N431="MODERATE",1,0)))+IF(ISNUMBER(SEARCH("Mandatory",L431)),3,0))</f>
        <v/>
      </c>
    </row>
    <row r="432" ht="42" customHeight="1">
      <c r="A432" s="84" t="n">
        <v>383</v>
      </c>
      <c r="B432" s="411" t="inlineStr">
        <is>
          <t>JZHC</t>
        </is>
      </c>
      <c r="C432" s="70" t="inlineStr">
        <is>
          <t>Jazan Health Cluster</t>
        </is>
      </c>
      <c r="D432" s="70" t="inlineStr">
        <is>
          <t>17. Regional Health Clusters</t>
        </is>
      </c>
      <c r="E432" s="411" t="inlineStr">
        <is>
          <t>MOH-HIS</t>
        </is>
      </c>
      <c r="F432" s="72" t="inlineStr">
        <is>
          <t>Health Information System Standards</t>
        </is>
      </c>
      <c r="G432" s="70" t="inlineStr">
        <is>
          <t>معايير نظم المعلومات الصحية</t>
        </is>
      </c>
      <c r="H432" s="70" t="inlineStr">
        <is>
          <t>2024 update</t>
        </is>
      </c>
      <c r="I432" s="71" t="inlineStr">
        <is>
          <t>2010</t>
        </is>
      </c>
      <c r="J432" s="71" t="inlineStr">
        <is>
          <t>112</t>
        </is>
      </c>
      <c r="K432" s="70" t="inlineStr">
        <is>
          <t>MUST COMPLY WITH</t>
        </is>
      </c>
      <c r="L432" s="66" t="inlineStr">
        <is>
          <t>Mandatory Complier</t>
        </is>
      </c>
      <c r="M432" s="70" t="inlineStr">
        <is>
          <t>Jazan Health Cluster hospitals — mandatory HIS compliance</t>
        </is>
      </c>
      <c r="N432" s="86" t="inlineStr">
        <is>
          <t>HIGHEST</t>
        </is>
      </c>
      <c r="O432" s="87" t="inlineStr">
        <is>
          <t>https://www.moh.gov.sa/en/</t>
        </is>
      </c>
      <c r="P432" s="70" t="inlineStr">
        <is>
          <t>MOH official</t>
        </is>
      </c>
      <c r="Q432" s="70" t="inlineStr">
        <is>
          <t>First issued ~2010 → comprehensive update 2022 → mandatory EMR update 2024</t>
        </is>
      </c>
      <c r="R432" s="70" t="inlineStr">
        <is>
          <t>Progressive standards covering: 2010 (basic EHR requirements); 2015 (interoperability standards added); 2018 (NABIDH integration); 2020 (mobile health and telemedicine modules); 2022 (comprehensive 112-control update covering clinical systems, imaging, medication management, emergency, genomics, training); 2024 (mandatory EMR adoption for all MOH and private facilities aligned with NABIDH)</t>
        </is>
      </c>
      <c r="S432" s="71" t="inlineStr">
        <is>
          <t>First: 2010. Major update: 2022. EMR mandate: 2024</t>
        </is>
      </c>
      <c r="T432" s="70" t="inlineStr">
        <is>
          <t>Updated with NABIDH platform releases; typically annual minor updates</t>
        </is>
      </c>
      <c r="U432" s="25" t="inlineStr">
        <is>
          <t>CURRENT — 2024 version mandatory</t>
        </is>
      </c>
      <c r="V432" s="70" t="inlineStr">
        <is>
          <t>MOH facility licensing at risk; mandatory corrective action plan; financial penalties under Private Health Institutions Law; non-compliant systems barred from NABIDH connectivity</t>
        </is>
      </c>
      <c r="W432" s="72" t="inlineStr">
        <is>
          <t>MOH — Directorate of Health Information (DHI); regional health cluster inspection teams; NHIC for interoperability compliance</t>
        </is>
      </c>
      <c r="X432" s="70" t="inlineStr">
        <is>
          <t>Hospital; Clinic; Lab; Pharmacy (hospital); Government Health Entity</t>
        </is>
      </c>
      <c r="Y432" s="49" t="inlineStr">
        <is>
          <t>Both (mandatory for MOH facilities; mandatory for private facilities since 2024 PHILAW update)</t>
        </is>
      </c>
      <c r="Z432" s="70" t="inlineStr">
        <is>
          <t>MOH annual IT audit; NHIC interoperability assessment; CBAHI HIT standards review during accreditation</t>
        </is>
      </c>
      <c r="AA432" s="71" t="inlineStr">
        <is>
          <t>Annual MOH audit; NABIDH connectivity continuous monitoring</t>
        </is>
      </c>
      <c r="AB432" s="70" t="inlineStr">
        <is>
          <t>28 (medical device integration into HIS; alarm management; device data capture; IoMT workflow integration; remote monitoring data ingestion; device incident reporting to HIS)</t>
        </is>
      </c>
      <c r="AC432" s="70" t="inlineStr">
        <is>
          <t>HL7 FHIR R4 (interoperability); IHE profiles (integration); ISO 27799:2016 (health ISMS); DICOM (imaging)</t>
        </is>
      </c>
      <c r="AD432" s="49" t="inlineStr">
        <is>
          <t>Arabic (primary); English technical annexes</t>
        </is>
      </c>
      <c r="AE432" s="26" t="inlineStr">
        <is>
          <t>Layer 1: Governance; Layer 3: Technical Controls; Layer 4: Compliance</t>
        </is>
      </c>
      <c r="AF432" s="27" t="inlineStr">
        <is>
          <t>Yes — 4 implementation levels (Basic / Intermediate / Advanced / Optimised); MOH tracks facility scores</t>
        </is>
      </c>
      <c r="AG432" s="70" t="inlineStr">
        <is>
          <t>HSTP digital health; NABIDH national EHR; Vision 2030 healthcare quality targets</t>
        </is>
      </c>
      <c r="AH432" s="70" t="inlineStr">
        <is>
          <t>HIS system documentation; NABIDH connectivity certificate; interoperability test results; staff training records; system access audit logs; downtime contingency procedure</t>
        </is>
      </c>
      <c r="AI432" s="73" t="inlineStr">
        <is>
          <t>Health informatics systems theory (Shortliffe &amp; Cimino 2006): HIS as sociotechnical infrastructure. Interoperability theory (Kuperman 2011): semantic/syntactic/organisational interoperability levels. Technology adoption theory (TAM — Davis 1989): clinician adoption barriers to HIS.</t>
        </is>
      </c>
      <c r="AJ432" s="70" t="inlineStr">
        <is>
          <t>FOR: National standardisation essential for patient safety continuity (WHO 2019); NABIDH integration creates longitudinal patient record unavailable previously; IoMT data integration requirements push hospitals toward modern system architectures. AGAINST: Ajami &amp; Bagheri-Tadi (2013) and Aloudah et al. (2021) document implementation-reality gap in Saudi HIS — standards exist but compliance varies widely by facility tier; urban-rural HIS capacity gap poorly addressed; cybersecurity requirements within HIS standards historically weak (pre-NABIDH)</t>
        </is>
      </c>
      <c r="AK432" s="74" t="inlineStr">
        <is>
          <t>112 controls create compliance burden without proportionality guidance; small private clinics face disproportionate compliance cost; no formal HIS certification programme — self-declaration accepted; IoMT data standards not harmonised with international HL7 FHIR profiles; historical emphasis on data capture over data quality</t>
        </is>
      </c>
      <c r="AL432" s="75" t="inlineStr">
        <is>
          <t>MOH-HIS vs NHS Digital standards (UK): NHS has legally binding DCB standards with enforcement; MOH-HIS is ministerial directive with softer enforcement. MOH-HIS vs ONC Health IT Certification (US): US has federal certification; KSA moving toward certification (NABIDH conformance). MOH-HIS + NHIC-NABIDH = closest to ONC approach in KSA</t>
        </is>
      </c>
      <c r="AM432" s="76" t="inlineStr">
        <is>
          <t>Ajami S &amp; Bagheri-Tadi T (2013) 'Barriers for Adopting Electronic Health Records' MateriaSociomed 25(3); Aloudah N et al. (2021) 'Digital Health in Saudi Arabia' Sustainability 13(12); Shortliffe EH &amp; Cimino JJ (2006) Biomedical Informatics Springer; WHO (2019) Classification of Digital Interventions; Alotaibi YK &amp; Federico F (2017) 'Impact of Health IT on Patient Safety' Saudi Medical J 38(12)</t>
        </is>
      </c>
      <c r="AN432" s="50" t="inlineStr">
        <is>
          <t>Official: MOH website (moh.gov.sa). Training: CPHIMS (Certified Professional Health Informatics &amp; Information Management); HL7 FHIR Foundational (HL7.org); NHIC developer portal training (nhic.gov.sa). Language: Arabic primary. Estimated: 45 hours</t>
        </is>
      </c>
      <c r="AO432" s="77" t="inlineStr">
        <is>
          <t>GH-ICGA Layer 1 (Governance) + Layer 3 (Technical Controls) — MOH-HIS is the clinical data governance backbone that the preliminary GH-ICGA IoMT framework must integrate with. Thesis: GH-ICGA IoMT data model must align with HIS data standards to ensure IoMT device data flows into the national health record coherently</t>
        </is>
      </c>
      <c r="AP432" s="34" t="inlineStr">
        <is>
          <t>G + R + C (all three — clinical information governance foundation)</t>
        </is>
      </c>
      <c r="AQ432" s="78" t="inlineStr">
        <is>
          <t>Hospital CEO: accountable for HIS compliance. CIO/CMIO: responsible for HIS implementation and NABIDH connectivity. Clinical Informatics Committee: govern HIS standards adoption. Department Heads: responsible for clinical data quality in their systems</t>
        </is>
      </c>
      <c r="AR432" s="74" t="inlineStr">
        <is>
          <t>Operational Risk (HIS downtime = clinical risk); Patient Safety Risk; Data Quality Risk; Regulatory Risk (MOH non-compliance); Interoperability Risk (NABIDH disconnection)</t>
        </is>
      </c>
      <c r="AS432" s="61" t="inlineStr">
        <is>
          <t>REGULATORY — MOH ministerial directive. Mandatory for all licensed facilities. Non-compliance risks licensing. Enforced through MOH annual audit and NABIDH connectivity monitoring</t>
        </is>
      </c>
      <c r="AT432" s="75" t="inlineStr">
        <is>
          <t>Technical (T): 68 controls — system architecture; integration; security; availability; backup. Administrative (A): 28 controls — data governance; policies; training; documentation. Operational (O): 16 controls — downtime procedures; change management; vendor management</t>
        </is>
      </c>
      <c r="AU432" s="79" t="inlineStr">
        <is>
          <t>1. NABIDH connectivity status (connected/disconnected). 2. HIS downtime incidents per month (target &lt;4h/month). 3. Data quality score (completeness/accuracy) from NABIDH reports. 4. % clinical staff trained on HIS (target 100%). 5. Time-to-restore HIS after failure (target &lt;4h). 6. # HIS security incidents per quarter</t>
        </is>
      </c>
      <c r="AV432" s="80" t="inlineStr">
        <is>
          <t>Annual MOH HIS audit (documentation + system walk-through); NABIDH API conformance test (NHIC automated); data quality audit; HIS security assessment; downtime procedure simulation; user access review</t>
        </is>
      </c>
      <c r="AW432" s="81" t="inlineStr">
        <is>
          <t>Epic; Cerner (Oracle Health); Philips Tasy EMR; Meditech; InterSystems HealthShare — all NABIDH-integrated. For compliance: ServiceNow Healthcare; Qualio (quality management); NHIC developer portal for FHIR conformance testing</t>
        </is>
      </c>
      <c r="AX432" s="82" t="inlineStr">
        <is>
          <t>HIS vendors: must be MOH-approved/NABIDH-certified; contractual data protection obligations; source code escrow for critical systems; SLA for 99.9% uptime; mandatory SFDA notification if HIS failure affects medical devices; annual security assessment of HIS vendors</t>
        </is>
      </c>
      <c r="AY432" s="83" t="inlineStr">
        <is>
          <t>Non-compliance: MOH corrective action; facility licence conditions; NABIDH disconnection (loss of referrals, national patient record access); PHILAW 2024 penalties for private facilities. Clinical impact: patient safety risk from poor data quality or HIS unavailability</t>
        </is>
      </c>
      <c r="AZ432" s="80" t="inlineStr">
        <is>
          <t>Healthcare &amp; Life Sciences</t>
        </is>
      </c>
      <c r="BA432" s="41" t="inlineStr">
        <is>
          <t>Sector-Specific</t>
        </is>
      </c>
      <c r="BB432" s="591">
        <f>IF(E432="","",IF(ISNUMBER(SEARCH("Institutional theory and regulatory governance theory underpin",AI432)),"TEMPLATE",IF(LEN(AI432)&gt;100,"DEEP",IF(AI432="","SPARSE","SHALLOW"))))</f>
        <v/>
      </c>
      <c r="BC432" s="591">
        <f>IF(E432="","",D432&amp;"-"&amp;B432&amp;"-"&amp;E432)</f>
        <v/>
      </c>
      <c r="BD432" s="591">
        <f>IF(E432="","",SUBSTITUTE(SUBSTITUTE(B432&amp;"-"&amp;E432," ",""),":","-"))</f>
        <v/>
      </c>
      <c r="BE432" s="591">
        <f>IF(E432="","",IF(ISNUMBER(SEARCH("ECC",E432)),"NCA-ECC-2-2024",IF(ISNUMBER(SEARCH("OTCC",E432)),"NCA-ECC-2-2024",IF(ISNUMBER(SEARCH("CCC",E432)),"NCA-ECC-2-2024",IF(ISNUMBER(SEARCH("DCC",E432)),"NCA-ECC-2-2024",IF(ISNUMBER(SEARCH("CSCC",E432)),"NCA-ECC-2-2024",IF(ISNUMBER(SEARCH("PDPL-IR",E432)),"PDPL-2021",IF(ISNUMBER(SEARCH("PDPL-DTR",E432)),"PDPL-2021","NONE"))))))))</f>
        <v/>
      </c>
      <c r="BF432" s="594">
        <f>IF(E432="","",IF(BB432="DEEP",10,IF(BB432="SHALLOW",5,IF(BB432="TEMPLATE",3,1)))+IF(N432="HIGHEST",5,IF(N432="HIGH",3,IF(N432="MODERATE",1,0)))+IF(ISNUMBER(SEARCH("Mandatory",L432)),3,0))</f>
        <v/>
      </c>
    </row>
    <row r="433" ht="42" customHeight="1">
      <c r="A433" s="42" t="n">
        <v>384</v>
      </c>
      <c r="B433" s="412" t="inlineStr">
        <is>
          <t>JZHC</t>
        </is>
      </c>
      <c r="C433" s="44" t="inlineStr">
        <is>
          <t>Jazan Health Cluster</t>
        </is>
      </c>
      <c r="D433" s="44" t="inlineStr">
        <is>
          <t>17. Regional Health Clusters</t>
        </is>
      </c>
      <c r="E433" s="412" t="inlineStr">
        <is>
          <t>MOH-EMR-NABIDH</t>
        </is>
      </c>
      <c r="F433" s="45" t="inlineStr">
        <is>
          <t>EMR Standards / NABIDH</t>
        </is>
      </c>
      <c r="G433" s="44" t="inlineStr">
        <is>
          <t>معايير السجل الصحي الإلكتروني / نبض</t>
        </is>
      </c>
      <c r="H433" s="44" t="inlineStr">
        <is>
          <t>Mandatory 2024</t>
        </is>
      </c>
      <c r="I433" s="46" t="inlineStr">
        <is>
          <t>2010</t>
        </is>
      </c>
      <c r="J433" s="46" t="inlineStr">
        <is>
          <t>52</t>
        </is>
      </c>
      <c r="K433" s="44" t="inlineStr">
        <is>
          <t>MUST COMPLY WITH</t>
        </is>
      </c>
      <c r="L433" s="66" t="inlineStr">
        <is>
          <t>Mandatory Complier</t>
        </is>
      </c>
      <c r="M433" s="44" t="inlineStr">
        <is>
          <t>Jazan Health Cluster — mandatory NABIDH connectivity 2024</t>
        </is>
      </c>
      <c r="N433" s="47" t="inlineStr">
        <is>
          <t>HIGHEST</t>
        </is>
      </c>
      <c r="O433" s="48" t="inlineStr">
        <is>
          <t>https://www.moh.gov.sa/en/</t>
        </is>
      </c>
      <c r="P433" s="44" t="inlineStr">
        <is>
          <t>MOH/NHIC</t>
        </is>
      </c>
      <c r="Q433" s="70" t="inlineStr">
        <is>
          <t>NABIDH platform launched ~2018 → mandatory EMR adoption for all facilities 2024</t>
        </is>
      </c>
      <c r="R433" s="70" t="inlineStr">
        <is>
          <t>NABIDH (National Unified EHR Platform): v1 2018 (pilot MOH hospitals); 2019-2021 (rollout to health clusters); 2022 (private hospital voluntary integration); 2023 (API standards published based on FHIR R4); 2024 (mandatory for ALL healthcare facilities per Private Health Institutions Law update — complete patient longitudinal record across facilities). EMR standard covers 52 functional requirements including: CPOE, medication reconciliation, imaging integration, patient portal, audit logs</t>
        </is>
      </c>
      <c r="S433" s="71" t="inlineStr">
        <is>
          <t>NABIDH launched: 2018. Mandatory for all: 2024</t>
        </is>
      </c>
      <c r="T433" s="70" t="inlineStr">
        <is>
          <t>Continuously updated with NABIDH platform releases</t>
        </is>
      </c>
      <c r="U433" s="25" t="inlineStr">
        <is>
          <t>CURRENT — mandatory since 2024</t>
        </is>
      </c>
      <c r="V433" s="70" t="inlineStr">
        <is>
          <t>Facility licensing revocation; MOH enforcement action; barred from government referrals; penalties under PHILAW 2024</t>
        </is>
      </c>
      <c r="W433" s="72" t="inlineStr">
        <is>
          <t>MOH — NABIDH Programme Office; NHIC; regional health clusters monitor connectivity</t>
        </is>
      </c>
      <c r="X433" s="70" t="inlineStr">
        <is>
          <t>Hospital; Clinic; Lab; Pharmacy; Government Health Entity — ALL healthcare facilities mandatory</t>
        </is>
      </c>
      <c r="Y433" s="49" t="inlineStr">
        <is>
          <t>Both (mandatory since 2024 PHILAW update for all facilities)</t>
        </is>
      </c>
      <c r="Z433" s="70" t="inlineStr">
        <is>
          <t>NHIC connectivity assessment; NABIDH API conformance testing; MOH annual audit</t>
        </is>
      </c>
      <c r="AA433" s="71" t="inlineStr">
        <is>
          <t>Continuous (NABIDH connectivity monitored in real time); annual formal audit</t>
        </is>
      </c>
      <c r="AB433" s="70" t="inlineStr">
        <is>
          <t>22 (IoMT data integration to NABIDH: wearable data ingestion API; remote monitoring feeds; device-generated vital signs; medical device alerts to patient record; IoMT consent management in EHR)</t>
        </is>
      </c>
      <c r="AC433" s="70" t="inlineStr">
        <is>
          <t>HL7 FHIR R4; IHE (Integrating the Healthcare Enterprise); SNOMED CT; ICD-10; LOINC</t>
        </is>
      </c>
      <c r="AD433" s="49" t="inlineStr">
        <is>
          <t>Arabic + English (NABIDH technical specifications bilingual)</t>
        </is>
      </c>
      <c r="AE433" s="26" t="inlineStr">
        <is>
          <t>Layer 1: Governance; Layer 3: Technical Controls; Layer 4: Compliance; Layer 5: Assurance</t>
        </is>
      </c>
      <c r="AF433" s="27" t="inlineStr">
        <is>
          <t>Yes — NABIDH connectivity levels (1: Basic data exchange; 2: Full longitudinal record; 3: Advanced interoperability with IoMT); MOH tracks facility level</t>
        </is>
      </c>
      <c r="AG433" s="70" t="inlineStr">
        <is>
          <t>HSTP digital health transformation; NABIDH national EHR; NHIS claims integration</t>
        </is>
      </c>
      <c r="AH433" s="70" t="inlineStr">
        <is>
          <t>NABIDH connectivity certificate; API integration test reports; patient consent records for data sharing; EHR system validation; data quality reports</t>
        </is>
      </c>
      <c r="AI433" s="73" t="inlineStr">
        <is>
          <t>Institutional theory and regulatory governance theory underpin all KSA regulatory frameworks. Specific theoretical basis varies by framework — consult academic literature via Google Scholar using framework name as search term.</t>
        </is>
      </c>
      <c r="AJ433" s="70" t="inlineStr">
        <is>
          <t>Academic debate varies by framework maturity and international adoption. For KSA-specific debate, consult: Almohammad &amp; Wills (2021) J Cybersecurity; Al-Khater et al. (2020) IEEE Access; Baker McKenzie KSA regulatory updates.</t>
        </is>
      </c>
      <c r="AK433" s="74" t="inlineStr">
        <is>
          <t>Known criticisms include: implementation gap between standards and practice; resource constraints for smaller healthcare entities; rapid technology evolution outpacing regulation. Consult framework evaluation literature for specifics.</t>
        </is>
      </c>
      <c r="AL433" s="75" t="inlineStr">
        <is>
          <t>Framework comparison requires contextual analysis. Key comparators: NIST CSF 2.0 (international benchmark), ISO 27001 (certifiable standard), ECC-2 (KSA mandatory baseline). See main database for cross-framework mapping.</t>
        </is>
      </c>
      <c r="AM433"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33" s="50" t="inlineStr">
        <is>
          <t>Official: Consult the official source URL in the database for the primary document. Training: ISACA, ISC2, RAPS, IAPP, and HIMSS offer professional development covering most regulatory domains. Estimated hours vary by framework complexity.</t>
        </is>
      </c>
      <c r="AO433" s="77" t="inlineStr">
        <is>
          <t>Relevance to GH-ICGA framework varies by layer — see GH-ICGA Layer Mapping column. All KSA mandatory frameworks are compliance inputs to GH-ICGA Layer 4. Frameworks with IoMT-specific provisions directly inform Layers 2 and 3.</t>
        </is>
      </c>
      <c r="AP433" s="51" t="inlineStr">
        <is>
          <t>G + C (Governance + Compliance — standard regulatory framework positioning)</t>
        </is>
      </c>
      <c r="AQ433" s="78" t="inlineStr">
        <is>
          <t>Senior management: accountability for framework compliance. Designated compliance officer: monitor requirements. All staff: awareness of applicable obligations</t>
        </is>
      </c>
      <c r="AR433" s="74" t="inlineStr">
        <is>
          <t>Regulatory Risk; Operational Risk; Reputational Risk — specific domains determined by framework scope</t>
        </is>
      </c>
      <c r="AS433" s="22" t="inlineStr">
        <is>
          <t>See official source — legal obligation, regulatory requirement, or voluntary standard as applicable</t>
        </is>
      </c>
      <c r="AT433" s="75" t="inlineStr">
        <is>
          <t>Administrative; Technical; Operational — specific distribution determined by framework content</t>
        </is>
      </c>
      <c r="AU433" s="79" t="inlineStr">
        <is>
          <t>1. Compliance status (compliant/non-compliant). 2. # open findings from last assessment. 3. % controls implemented. 4. Time to remediate findings. 5. Incident rate in framework scope area</t>
        </is>
      </c>
      <c r="AV433" s="80" t="inlineStr">
        <is>
          <t>Self-assessment; internal audit; external assessment as specified by issuing authority</t>
        </is>
      </c>
      <c r="AW433" s="81" t="inlineStr">
        <is>
          <t>ServiceNow GRC; IBM OpenPages; RSA Archer; MetricStream — all major GRC platforms support custom framework import. Contact vendor for framework-specific module</t>
        </is>
      </c>
      <c r="AX433" s="82" t="inlineStr">
        <is>
          <t>Third parties in scope must demonstrate equivalent compliance. Contractual compliance obligations; right-to-audit clauses; annual third-party assessment</t>
        </is>
      </c>
      <c r="AY433" s="83" t="inlineStr">
        <is>
          <t>Non-compliance: regulatory action by issuing authority; fines and penalties as specified; operational and reputational consequences</t>
        </is>
      </c>
      <c r="AZ433" s="80" t="inlineStr">
        <is>
          <t>Healthcare &amp; Life Sciences</t>
        </is>
      </c>
      <c r="BA433" s="41" t="inlineStr">
        <is>
          <t>Sector-Specific</t>
        </is>
      </c>
      <c r="BB433" s="591">
        <f>IF(E433="","",IF(ISNUMBER(SEARCH("Institutional theory and regulatory governance theory underpin",AI433)),"TEMPLATE",IF(LEN(AI433)&gt;100,"DEEP",IF(AI433="","SPARSE","SHALLOW"))))</f>
        <v/>
      </c>
      <c r="BC433" s="591">
        <f>IF(E433="","",D433&amp;"-"&amp;B433&amp;"-"&amp;E433)</f>
        <v/>
      </c>
      <c r="BD433" s="591">
        <f>IF(E433="","",SUBSTITUTE(SUBSTITUTE(B433&amp;"-"&amp;E433," ",""),":","-"))</f>
        <v/>
      </c>
      <c r="BE433" s="591">
        <f>IF(E433="","",IF(ISNUMBER(SEARCH("ECC",E433)),"NCA-ECC-2-2024",IF(ISNUMBER(SEARCH("OTCC",E433)),"NCA-ECC-2-2024",IF(ISNUMBER(SEARCH("CCC",E433)),"NCA-ECC-2-2024",IF(ISNUMBER(SEARCH("DCC",E433)),"NCA-ECC-2-2024",IF(ISNUMBER(SEARCH("CSCC",E433)),"NCA-ECC-2-2024",IF(ISNUMBER(SEARCH("PDPL-IR",E433)),"PDPL-2021",IF(ISNUMBER(SEARCH("PDPL-DTR",E433)),"PDPL-2021","NONE"))))))))</f>
        <v/>
      </c>
      <c r="BF433" s="594">
        <f>IF(E433="","",IF(BB433="DEEP",10,IF(BB433="SHALLOW",5,IF(BB433="TEMPLATE",3,1)))+IF(N433="HIGHEST",5,IF(N433="HIGH",3,IF(N433="MODERATE",1,0)))+IF(ISNUMBER(SEARCH("Mandatory",L433)),3,0))</f>
        <v/>
      </c>
    </row>
    <row r="434" ht="42" customHeight="1">
      <c r="A434" s="84" t="n">
        <v>385</v>
      </c>
      <c r="B434" s="411" t="inlineStr">
        <is>
          <t>JZHC</t>
        </is>
      </c>
      <c r="C434" s="70" t="inlineStr">
        <is>
          <t>Jazan Health Cluster</t>
        </is>
      </c>
      <c r="D434" s="70" t="inlineStr">
        <is>
          <t>17. Regional Health Clusters</t>
        </is>
      </c>
      <c r="E434" s="411" t="inlineStr">
        <is>
          <t>MOH-PS</t>
        </is>
      </c>
      <c r="F434" s="72" t="inlineStr">
        <is>
          <t>Patient Safety Standards</t>
        </is>
      </c>
      <c r="G434" s="70" t="inlineStr">
        <is>
          <t>معايير سلامة المريض</t>
        </is>
      </c>
      <c r="H434" s="70" t="inlineStr">
        <is>
          <t>2024 update</t>
        </is>
      </c>
      <c r="I434" s="71" t="inlineStr">
        <is>
          <t>2015</t>
        </is>
      </c>
      <c r="J434" s="71" t="inlineStr">
        <is>
          <t>72</t>
        </is>
      </c>
      <c r="K434" s="70" t="inlineStr">
        <is>
          <t>MUST COMPLY WITH</t>
        </is>
      </c>
      <c r="L434" s="66" t="inlineStr">
        <is>
          <t>Mandatory Complier</t>
        </is>
      </c>
      <c r="M434" s="70" t="inlineStr">
        <is>
          <t>Jazan Health Cluster — patient safety compliance</t>
        </is>
      </c>
      <c r="N434" s="86" t="inlineStr">
        <is>
          <t>HIGHEST</t>
        </is>
      </c>
      <c r="O434" s="87" t="inlineStr">
        <is>
          <t>https://www.moh.gov.sa/en/</t>
        </is>
      </c>
      <c r="P434" s="70" t="inlineStr">
        <is>
          <t>MOH official</t>
        </is>
      </c>
      <c r="Q434" s="70" t="inlineStr">
        <is>
          <t>First issued ~2015 → updates 2020 → 2024 update</t>
        </is>
      </c>
      <c r="R434" s="70" t="inlineStr">
        <is>
          <t>Based on WHO and JCI patient safety frameworks. Covers: patient identification (minimum 2 identifiers), medication safety (high-alert medications protocol), surgical safety checklist, falls prevention, infection control, critical value reporting, handover communications (SBAR). 2020 update added COVID-19 IPC protocols. 2024 update adds IoMT device safety (alarm fatigue management, device connectivity requirements)</t>
        </is>
      </c>
      <c r="S434" s="71" t="inlineStr">
        <is>
          <t>First: ~2015. Updated: 2020, 2024</t>
        </is>
      </c>
      <c r="T434" s="70" t="inlineStr">
        <is>
          <t>Annual review with MOH patient safety incidents data</t>
        </is>
      </c>
      <c r="U434" s="25" t="inlineStr">
        <is>
          <t>CURRENT — 2024 version</t>
        </is>
      </c>
      <c r="V434" s="70" t="inlineStr">
        <is>
          <t>MOH corrective action order; facility licence conditions; public safety alert; criminal liability for gross negligence</t>
        </is>
      </c>
      <c r="W434" s="72" t="inlineStr">
        <is>
          <t>MOH — Patient Safety Centre; regional health cluster inspection; CBAHI (patient safety standards embedded in accreditation)</t>
        </is>
      </c>
      <c r="X434" s="70" t="inlineStr">
        <is>
          <t>Hospital; Clinic; Government Health Entity</t>
        </is>
      </c>
      <c r="Y434" s="22" t="inlineStr">
        <is>
          <t>Both</t>
        </is>
      </c>
      <c r="Z434" s="70" t="inlineStr">
        <is>
          <t>Annual MOH patient safety inspection; CBAHI survey (integrated); incident investigation</t>
        </is>
      </c>
      <c r="AA434" s="71" t="inlineStr">
        <is>
          <t>Annual; triggered by serious adverse event</t>
        </is>
      </c>
      <c r="AB434" s="70" t="inlineStr">
        <is>
          <t>14 (alarm fatigue management for IoMT devices; connected infusion pump safety; IV smart pump drug library governance; patient ID for IoMT devices; device failure response procedures; remote monitoring alert management)</t>
        </is>
      </c>
      <c r="AC434" s="70" t="inlineStr">
        <is>
          <t>WHO Patient Safety Challenges (Global Patient Safety Action Plan 2021-2030); JCI Patient Safety Goals; The Joint Commission NPSG</t>
        </is>
      </c>
      <c r="AD434" s="49" t="inlineStr">
        <is>
          <t>Arabic (primary); English reference</t>
        </is>
      </c>
      <c r="AE434" s="26" t="inlineStr">
        <is>
          <t>Layer 1: Governance; Layer 4: Compliance</t>
        </is>
      </c>
      <c r="AF434" s="27" t="inlineStr">
        <is>
          <t>Yes — patient safety maturity levels (Safety-I to Safety-III); MOH tracks facility scores</t>
        </is>
      </c>
      <c r="AG434" s="70" t="inlineStr">
        <is>
          <t>HSTP patient safety; Vision 2030 quality targets; National Patient Safety Centre</t>
        </is>
      </c>
      <c r="AH434" s="70" t="inlineStr">
        <is>
          <t>Incident reporting system data; patient safety walkround records; fall prevention audit; medication safety audit; CBAHI patient safety standards compliance</t>
        </is>
      </c>
      <c r="AI434" s="73" t="inlineStr">
        <is>
          <t>Institutional theory and regulatory governance theory underpin all KSA regulatory frameworks. Specific theoretical basis varies by framework — consult academic literature via Google Scholar using framework name as search term.</t>
        </is>
      </c>
      <c r="AJ434" s="70" t="inlineStr">
        <is>
          <t>Academic debate varies by framework maturity and international adoption. For KSA-specific debate, consult: Almohammad &amp; Wills (2021) J Cybersecurity; Al-Khater et al. (2020) IEEE Access; Baker McKenzie KSA regulatory updates.</t>
        </is>
      </c>
      <c r="AK434" s="74" t="inlineStr">
        <is>
          <t>Known criticisms include: implementation gap between standards and practice; resource constraints for smaller healthcare entities; rapid technology evolution outpacing regulation. Consult framework evaluation literature for specifics.</t>
        </is>
      </c>
      <c r="AL434" s="75" t="inlineStr">
        <is>
          <t>Framework comparison requires contextual analysis. Key comparators: NIST CSF 2.0 (international benchmark), ISO 27001 (certifiable standard), ECC-2 (KSA mandatory baseline). See main database for cross-framework mapping.</t>
        </is>
      </c>
      <c r="AM434"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34" s="50" t="inlineStr">
        <is>
          <t>Official: Consult the official source URL in the database for the primary document. Training: ISACA, ISC2, RAPS, IAPP, and HIMSS offer professional development covering most regulatory domains. Estimated hours vary by framework complexity.</t>
        </is>
      </c>
      <c r="AO434" s="77" t="inlineStr">
        <is>
          <t>Relevance to GH-ICGA framework varies by layer — see GH-ICGA Layer Mapping column. All KSA mandatory frameworks are compliance inputs to GH-ICGA Layer 4. Frameworks with IoMT-specific provisions directly inform Layers 2 and 3.</t>
        </is>
      </c>
      <c r="AP434" s="51" t="inlineStr">
        <is>
          <t>G + C (Governance + Compliance — standard regulatory framework positioning)</t>
        </is>
      </c>
      <c r="AQ434" s="78" t="inlineStr">
        <is>
          <t>Senior management: accountability for framework compliance. Designated compliance officer: monitor requirements. All staff: awareness of applicable obligations</t>
        </is>
      </c>
      <c r="AR434" s="74" t="inlineStr">
        <is>
          <t>Regulatory Risk; Operational Risk; Reputational Risk — specific domains determined by framework scope</t>
        </is>
      </c>
      <c r="AS434" s="22" t="inlineStr">
        <is>
          <t>See official source — legal obligation, regulatory requirement, or voluntary standard as applicable</t>
        </is>
      </c>
      <c r="AT434" s="75" t="inlineStr">
        <is>
          <t>Administrative; Technical; Operational — specific distribution determined by framework content</t>
        </is>
      </c>
      <c r="AU434" s="79" t="inlineStr">
        <is>
          <t>1. Compliance status (compliant/non-compliant). 2. # open findings from last assessment. 3. % controls implemented. 4. Time to remediate findings. 5. Incident rate in framework scope area</t>
        </is>
      </c>
      <c r="AV434" s="80" t="inlineStr">
        <is>
          <t>Self-assessment; internal audit; external assessment as specified by issuing authority</t>
        </is>
      </c>
      <c r="AW434" s="81" t="inlineStr">
        <is>
          <t>ServiceNow GRC; IBM OpenPages; RSA Archer; MetricStream — all major GRC platforms support custom framework import. Contact vendor for framework-specific module</t>
        </is>
      </c>
      <c r="AX434" s="82" t="inlineStr">
        <is>
          <t>Third parties in scope must demonstrate equivalent compliance. Contractual compliance obligations; right-to-audit clauses; annual third-party assessment</t>
        </is>
      </c>
      <c r="AY434" s="83" t="inlineStr">
        <is>
          <t>Non-compliance: regulatory action by issuing authority; fines and penalties as specified; operational and reputational consequences</t>
        </is>
      </c>
      <c r="AZ434" s="80" t="inlineStr">
        <is>
          <t>Healthcare &amp; Life Sciences</t>
        </is>
      </c>
      <c r="BA434" s="41" t="inlineStr">
        <is>
          <t>Sector-Specific</t>
        </is>
      </c>
      <c r="BB434" s="591">
        <f>IF(E434="","",IF(ISNUMBER(SEARCH("Institutional theory and regulatory governance theory underpin",AI434)),"TEMPLATE",IF(LEN(AI434)&gt;100,"DEEP",IF(AI434="","SPARSE","SHALLOW"))))</f>
        <v/>
      </c>
      <c r="BC434" s="591">
        <f>IF(E434="","",D434&amp;"-"&amp;B434&amp;"-"&amp;E434)</f>
        <v/>
      </c>
      <c r="BD434" s="591">
        <f>IF(E434="","",SUBSTITUTE(SUBSTITUTE(B434&amp;"-"&amp;E434," ",""),":","-"))</f>
        <v/>
      </c>
      <c r="BE434" s="591">
        <f>IF(E434="","",IF(ISNUMBER(SEARCH("ECC",E434)),"NCA-ECC-2-2024",IF(ISNUMBER(SEARCH("OTCC",E434)),"NCA-ECC-2-2024",IF(ISNUMBER(SEARCH("CCC",E434)),"NCA-ECC-2-2024",IF(ISNUMBER(SEARCH("DCC",E434)),"NCA-ECC-2-2024",IF(ISNUMBER(SEARCH("CSCC",E434)),"NCA-ECC-2-2024",IF(ISNUMBER(SEARCH("PDPL-IR",E434)),"PDPL-2021",IF(ISNUMBER(SEARCH("PDPL-DTR",E434)),"PDPL-2021","NONE"))))))))</f>
        <v/>
      </c>
      <c r="BF434" s="594">
        <f>IF(E434="","",IF(BB434="DEEP",10,IF(BB434="SHALLOW",5,IF(BB434="TEMPLATE",3,1)))+IF(N434="HIGHEST",5,IF(N434="HIGH",3,IF(N434="MODERATE",1,0)))+IF(ISNUMBER(SEARCH("Mandatory",L434)),3,0))</f>
        <v/>
      </c>
    </row>
    <row r="435" ht="42" customHeight="1">
      <c r="A435" s="42" t="n">
        <v>386</v>
      </c>
      <c r="B435" s="412" t="inlineStr">
        <is>
          <t>JZHC</t>
        </is>
      </c>
      <c r="C435" s="44" t="inlineStr">
        <is>
          <t>Jazan Health Cluster</t>
        </is>
      </c>
      <c r="D435" s="44" t="inlineStr">
        <is>
          <t>17. Regional Health Clusters</t>
        </is>
      </c>
      <c r="E435" s="412" t="inlineStr">
        <is>
          <t>MOH-PR</t>
        </is>
      </c>
      <c r="F435" s="45" t="inlineStr">
        <is>
          <t>Patient Rights Charter</t>
        </is>
      </c>
      <c r="G435" s="44" t="inlineStr">
        <is>
          <t>ميثاق حقوق المريض</t>
        </is>
      </c>
      <c r="H435" s="44" t="inlineStr">
        <is>
          <t>2019</t>
        </is>
      </c>
      <c r="I435" s="46" t="inlineStr">
        <is>
          <t>2012</t>
        </is>
      </c>
      <c r="J435" s="46" t="inlineStr">
        <is>
          <t>45</t>
        </is>
      </c>
      <c r="K435" s="44" t="inlineStr">
        <is>
          <t>MUST COMPLY WITH</t>
        </is>
      </c>
      <c r="L435" s="66" t="inlineStr">
        <is>
          <t>Mandatory Complier</t>
        </is>
      </c>
      <c r="M435" s="44" t="inlineStr">
        <is>
          <t>Jazan Health Cluster facilities</t>
        </is>
      </c>
      <c r="N435" s="54" t="inlineStr">
        <is>
          <t>HIGH</t>
        </is>
      </c>
      <c r="O435" s="48" t="inlineStr">
        <is>
          <t>https://www.moh.gov.sa/en/</t>
        </is>
      </c>
      <c r="P435" s="44" t="inlineStr">
        <is>
          <t>MOH official</t>
        </is>
      </c>
      <c r="Q435" s="70" t="inlineStr">
        <is>
          <t>First Charter ~2012 → updated 2019</t>
        </is>
      </c>
      <c r="R435" s="70" t="inlineStr">
        <is>
          <t>45 rights and obligations. Key provisions: informed consent (including electronic consent for telemedicine), right to access medical records (digital access through NABIDH patient portal), right to privacy of health information, right to refuse treatment, right to second opinion. 2019 update added digital health rights (right to data portability from health apps)</t>
        </is>
      </c>
      <c r="S435" s="71" t="inlineStr">
        <is>
          <t>First: ~2012. Updated: 2019</t>
        </is>
      </c>
      <c r="T435" s="70" t="inlineStr">
        <is>
          <t>Review 2024-2025 expected to add AI/algorithmic transparency rights</t>
        </is>
      </c>
      <c r="U435" s="25" t="inlineStr">
        <is>
          <t>CURRENT — 2019 version</t>
        </is>
      </c>
      <c r="V435" s="70" t="inlineStr">
        <is>
          <t>Penalties defined by issuing authority; consult official source. NCA ECC-2 penalties apply if relevant</t>
        </is>
      </c>
      <c r="W435" s="72" t="inlineStr">
        <is>
          <t>Issuing authority and/or designated inspection department</t>
        </is>
      </c>
      <c r="X435" s="70" t="inlineStr">
        <is>
          <t>As specified in framework scope — consult official document</t>
        </is>
      </c>
      <c r="Y435" s="49" t="inlineStr">
        <is>
          <t>Both (unless specified otherwise in official document)</t>
        </is>
      </c>
      <c r="Z435" s="70" t="inlineStr">
        <is>
          <t>As defined by issuing authority</t>
        </is>
      </c>
      <c r="AA435" s="71" t="inlineStr">
        <is>
          <t>As defined by issuing authority</t>
        </is>
      </c>
      <c r="AB435" s="70" t="inlineStr">
        <is>
          <t>To be determined from framework text — see official source</t>
        </is>
      </c>
      <c r="AC435" s="70" t="inlineStr">
        <is>
          <t>See framework preamble for international standard references</t>
        </is>
      </c>
      <c r="AD435" s="49" t="inlineStr">
        <is>
          <t>Arabic (primary in KSA); English may be available</t>
        </is>
      </c>
      <c r="AE435" s="58" t="inlineStr">
        <is>
          <t>Mapped to relevant GH-ICGA layer — requires manual assessment</t>
        </is>
      </c>
      <c r="AF435" s="56" t="inlineStr">
        <is>
          <t>See official framework for maturity model details</t>
        </is>
      </c>
      <c r="AG435" s="70" t="inlineStr">
        <is>
          <t>Aligned with relevant Vision 2030 programme — see framework context</t>
        </is>
      </c>
      <c r="AH435" s="70" t="inlineStr">
        <is>
          <t>As specified in framework compliance requirements</t>
        </is>
      </c>
      <c r="AI435" s="73" t="inlineStr">
        <is>
          <t>Institutional theory and regulatory governance theory underpin all KSA regulatory frameworks. Specific theoretical basis varies by framework — consult academic literature via Google Scholar using framework name as search term.</t>
        </is>
      </c>
      <c r="AJ435" s="70" t="inlineStr">
        <is>
          <t>Academic debate varies by framework maturity and international adoption. For KSA-specific debate, consult: Almohammad &amp; Wills (2021) J Cybersecurity; Al-Khater et al. (2020) IEEE Access; Baker McKenzie KSA regulatory updates.</t>
        </is>
      </c>
      <c r="AK435" s="74" t="inlineStr">
        <is>
          <t>Known criticisms include: implementation gap between standards and practice; resource constraints for smaller healthcare entities; rapid technology evolution outpacing regulation. Consult framework evaluation literature for specifics.</t>
        </is>
      </c>
      <c r="AL435" s="75" t="inlineStr">
        <is>
          <t>Framework comparison requires contextual analysis. Key comparators: NIST CSF 2.0 (international benchmark), ISO 27001 (certifiable standard), ECC-2 (KSA mandatory baseline). See main database for cross-framework mapping.</t>
        </is>
      </c>
      <c r="AM435"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35" s="50" t="inlineStr">
        <is>
          <t>Official: Consult the official source URL in the database for the primary document. Training: ISACA, ISC2, RAPS, IAPP, and HIMSS offer professional development covering most regulatory domains. Estimated hours vary by framework complexity.</t>
        </is>
      </c>
      <c r="AO435" s="77" t="inlineStr">
        <is>
          <t>Relevance to GH-ICGA framework varies by layer — see GH-ICGA Layer Mapping column. All KSA mandatory frameworks are compliance inputs to GH-ICGA Layer 4. Frameworks with IoMT-specific provisions directly inform Layers 2 and 3.</t>
        </is>
      </c>
      <c r="AP435" s="51" t="inlineStr">
        <is>
          <t>G + C (Governance + Compliance — standard regulatory framework positioning)</t>
        </is>
      </c>
      <c r="AQ435" s="78" t="inlineStr">
        <is>
          <t>Senior management: accountability for framework compliance. Designated compliance officer: monitor requirements. All staff: awareness of applicable obligations</t>
        </is>
      </c>
      <c r="AR435" s="74" t="inlineStr">
        <is>
          <t>Regulatory Risk; Operational Risk; Reputational Risk — specific domains determined by framework scope</t>
        </is>
      </c>
      <c r="AS435" s="22" t="inlineStr">
        <is>
          <t>See official source — legal obligation, regulatory requirement, or voluntary standard as applicable</t>
        </is>
      </c>
      <c r="AT435" s="75" t="inlineStr">
        <is>
          <t>Administrative; Technical; Operational — specific distribution determined by framework content</t>
        </is>
      </c>
      <c r="AU435" s="79" t="inlineStr">
        <is>
          <t>1. Compliance status (compliant/non-compliant). 2. # open findings from last assessment. 3. % controls implemented. 4. Time to remediate findings. 5. Incident rate in framework scope area</t>
        </is>
      </c>
      <c r="AV435" s="80" t="inlineStr">
        <is>
          <t>Self-assessment; internal audit; external assessment as specified by issuing authority</t>
        </is>
      </c>
      <c r="AW435" s="81" t="inlineStr">
        <is>
          <t>ServiceNow GRC; IBM OpenPages; RSA Archer; MetricStream — all major GRC platforms support custom framework import. Contact vendor for framework-specific module</t>
        </is>
      </c>
      <c r="AX435" s="82" t="inlineStr">
        <is>
          <t>Third parties in scope must demonstrate equivalent compliance. Contractual compliance obligations; right-to-audit clauses; annual third-party assessment</t>
        </is>
      </c>
      <c r="AY435" s="83" t="inlineStr">
        <is>
          <t>Non-compliance: regulatory action by issuing authority; fines and penalties as specified; operational and reputational consequences</t>
        </is>
      </c>
      <c r="AZ435" s="80" t="inlineStr">
        <is>
          <t>Healthcare &amp; Life Sciences</t>
        </is>
      </c>
      <c r="BA435" s="41" t="inlineStr">
        <is>
          <t>Sector-Specific</t>
        </is>
      </c>
      <c r="BB435" s="591">
        <f>IF(E435="","",IF(ISNUMBER(SEARCH("Institutional theory and regulatory governance theory underpin",AI435)),"TEMPLATE",IF(LEN(AI435)&gt;100,"DEEP",IF(AI435="","SPARSE","SHALLOW"))))</f>
        <v/>
      </c>
      <c r="BC435" s="591">
        <f>IF(E435="","",D435&amp;"-"&amp;B435&amp;"-"&amp;E435)</f>
        <v/>
      </c>
      <c r="BD435" s="591">
        <f>IF(E435="","",SUBSTITUTE(SUBSTITUTE(B435&amp;"-"&amp;E435," ",""),":","-"))</f>
        <v/>
      </c>
      <c r="BE435" s="591">
        <f>IF(E435="","",IF(ISNUMBER(SEARCH("ECC",E435)),"NCA-ECC-2-2024",IF(ISNUMBER(SEARCH("OTCC",E435)),"NCA-ECC-2-2024",IF(ISNUMBER(SEARCH("CCC",E435)),"NCA-ECC-2-2024",IF(ISNUMBER(SEARCH("DCC",E435)),"NCA-ECC-2-2024",IF(ISNUMBER(SEARCH("CSCC",E435)),"NCA-ECC-2-2024",IF(ISNUMBER(SEARCH("PDPL-IR",E435)),"PDPL-2021",IF(ISNUMBER(SEARCH("PDPL-DTR",E435)),"PDPL-2021","NONE"))))))))</f>
        <v/>
      </c>
      <c r="BF435" s="594">
        <f>IF(E435="","",IF(BB435="DEEP",10,IF(BB435="SHALLOW",5,IF(BB435="TEMPLATE",3,1)))+IF(N435="HIGHEST",5,IF(N435="HIGH",3,IF(N435="MODERATE",1,0)))+IF(ISNUMBER(SEARCH("Mandatory",L435)),3,0))</f>
        <v/>
      </c>
    </row>
    <row r="436" ht="42" customHeight="1">
      <c r="A436" s="84" t="n">
        <v>387</v>
      </c>
      <c r="B436" s="411" t="inlineStr">
        <is>
          <t>JZHC</t>
        </is>
      </c>
      <c r="C436" s="70" t="inlineStr">
        <is>
          <t>Jazan Health Cluster</t>
        </is>
      </c>
      <c r="D436" s="70" t="inlineStr">
        <is>
          <t>17. Regional Health Clusters</t>
        </is>
      </c>
      <c r="E436" s="411" t="inlineStr">
        <is>
          <t>CBAHI-HAS-H</t>
        </is>
      </c>
      <c r="F436" s="72" t="inlineStr">
        <is>
          <t>Hospital Accreditation Standards</t>
        </is>
      </c>
      <c r="G436" s="70" t="inlineStr">
        <is>
          <t>معايير اعتماد المستشفيات</t>
        </is>
      </c>
      <c r="H436" s="70" t="inlineStr">
        <is>
          <t>5th Ed. 2021</t>
        </is>
      </c>
      <c r="I436" s="71" t="inlineStr">
        <is>
          <t>2008</t>
        </is>
      </c>
      <c r="J436" s="71" t="inlineStr">
        <is>
          <t>298</t>
        </is>
      </c>
      <c r="K436" s="70" t="inlineStr">
        <is>
          <t>MUST COMPLY WITH</t>
        </is>
      </c>
      <c r="L436" s="92" t="inlineStr">
        <is>
          <t>Voluntary</t>
        </is>
      </c>
      <c r="M436" s="70" t="inlineStr">
        <is>
          <t>Jazan Health Cluster hospitals pursuing CBAHI accreditation</t>
        </is>
      </c>
      <c r="N436" s="86" t="inlineStr">
        <is>
          <t>HIGHEST</t>
        </is>
      </c>
      <c r="O436" s="87" t="inlineStr">
        <is>
          <t>https://www.cbahi.gov.sa/</t>
        </is>
      </c>
      <c r="P436" s="70" t="inlineStr">
        <is>
          <t>CBAHI official</t>
        </is>
      </c>
      <c r="Q436" s="70" t="inlineStr">
        <is>
          <t>1st Ed 2008 → 2nd Ed 2011 → 3rd Ed 2014 → 4th Ed 2017 → 5th Ed 2021</t>
        </is>
      </c>
      <c r="R436" s="70" t="inlineStr">
        <is>
          <t>5th Edition (2021, current): 298 standards across domains including Patient and Family Rights, Patient Assessment, Care of Patients, Patient Safety, Medication Management, Infection Prevention, Facility Management, Staff Qualifications, Quality Improvement, Governance, HIT (Health Information Technology). HIT standards require EMR, NABIDH connectivity, access control, audit trails, downtime procedures. IoMT requirements added in 5th Ed: medical device integration standards, alarm management policy. Benchmarked against JCI standards</t>
        </is>
      </c>
      <c r="S436" s="71" t="inlineStr">
        <is>
          <t>1st Ed: 2008. 2nd: 2011. 3rd: 2014. 4th: 2017. 5th: 2021</t>
        </is>
      </c>
      <c r="T436" s="70" t="inlineStr">
        <is>
          <t>6th Edition expected 2025-2026</t>
        </is>
      </c>
      <c r="U436" s="25" t="inlineStr">
        <is>
          <t>CURRENT — 5th Edition 2021</t>
        </is>
      </c>
      <c r="V436" s="70" t="inlineStr">
        <is>
          <t>Accreditation denial; accreditation suspension; accreditation withdrawal; MOH facility licensing risk (accreditation linked to licensing in practice)</t>
        </is>
      </c>
      <c r="W436" s="72" t="inlineStr">
        <is>
          <t>CBAHI — Accreditation Survey Teams (peer surveyors); MOH recognises CBAHI as national accreditor</t>
        </is>
      </c>
      <c r="X436" s="70" t="inlineStr">
        <is>
          <t>Hospital (primary scope); Teaching Hospital; Specialist Centre</t>
        </is>
      </c>
      <c r="Y436" s="49" t="inlineStr">
        <is>
          <t>Both (voluntary but operationally required)</t>
        </is>
      </c>
      <c r="Z436" s="70" t="inlineStr">
        <is>
          <t>Full survey every 3 years; midterm (focused) survey at 18 months; unannounced visits; corrective action follow-up</t>
        </is>
      </c>
      <c r="AA436" s="71" t="inlineStr">
        <is>
          <t>Full survey: 3-year cycle. Midterm: 18 months. Unannounced: possible at any time</t>
        </is>
      </c>
      <c r="AB436" s="70" t="inlineStr">
        <is>
          <t>22 (HIT standards: medical device integration; alarm management policy mandatory; device maintenance logs; remote monitoring governance; downtime procedures; device inventory; cybersecurity of clinical systems as patient safety issue)</t>
        </is>
      </c>
      <c r="AC436" s="70" t="inlineStr">
        <is>
          <t>JCI (Joint Commission International) — benchmarked; ISQua (accreditation body accreditor); WHO Safe Hospitals Framework</t>
        </is>
      </c>
      <c r="AD436" s="22" t="inlineStr">
        <is>
          <t>Arabic + English (official bilingual)</t>
        </is>
      </c>
      <c r="AE436" s="26" t="inlineStr">
        <is>
          <t>Layer 1: Governance; Layer 4: Compliance; Layer 5: Assurance</t>
        </is>
      </c>
      <c r="AF436" s="27" t="inlineStr">
        <is>
          <t>Yes — Met / Partially Met / Not Met / Not Applicable per standard; overall accreditation decision = scored threshold</t>
        </is>
      </c>
      <c r="AG436" s="70" t="inlineStr">
        <is>
          <t>HSTP quality transformation; Vision 2030 healthcare quality targets (JCI/CBAHI accreditation for all tertiary hospitals)</t>
        </is>
      </c>
      <c r="AH436" s="70" t="inlineStr">
        <is>
          <t>Survey self-assessment; policy documentation; staff credential files; patient safety incident log; HIT system audit; quality improvement data; patient satisfaction scores</t>
        </is>
      </c>
      <c r="AI436" s="73" t="inlineStr">
        <is>
          <t>Healthcare quality theory (Donabedian 1988): structure-process-outcome triad. Accreditation theory: third-party external validation as quality assurance mechanism. Institutional isomorphism: accreditation spreads best practices through mimetic pressure. Patient safety culture theory (Reason 2000): systems-based safety vs blame culture.</t>
        </is>
      </c>
      <c r="AJ436" s="70" t="inlineStr">
        <is>
          <t>FOR: Almutairi et al. (2015) and Alkhenizan &amp; Shaw (2011) find CBAHI-accredited hospitals show measurable quality improvements; national benchmark grounded in Saudi context unlike JCI (US-centric); patient safety improvements documented post-accreditation. AGAINST: Voluntariness undermines universal coverage — only ~40% of KSA hospitals accredited (WHO PHSSR 2025); Greenfield &amp; Braithwaite (2008) meta-analysis questions causal link between accreditation and patient outcomes; survey preparation creates compliance-oriented behaviours rather than genuine quality improvement (gaming risk)</t>
        </is>
      </c>
      <c r="AK436" s="74" t="inlineStr">
        <is>
          <t>3-year survey cycle too long for rapid IoMT deployment environment; HIT standards in 5th Ed still less specific than HIMSS EMRAM Stage 6/7 requirements; cybersecurity standards within CBAHI remain minimal compared to NCA ECC-2 requirements; no dedicated IoMT governance chapter despite medical device proliferation; rural and small facility accreditation rates critically low</t>
        </is>
      </c>
      <c r="AL436" s="75" t="inlineStr">
        <is>
          <t>CBAHI vs JCI: JCI globally recognised; CBAHI nationally recognised — JCI preferred for medical tourism attracting hospitals. CBAHI vs HIMSS EMRAM: CBAHI is broad clinical; HIMSS EMRAM is digital health maturity-specific. CBAHI vs DNV: CBAHI similar survey model. CBAHI + HIMSS EMRAM combined = most comprehensive digital health quality picture for KSA hospitals</t>
        </is>
      </c>
      <c r="AM436" s="76" t="inlineStr">
        <is>
          <t>Alkhenizan A &amp; Shaw C (2011) 'Impact of Accreditation' Ann Saudi Med 31(4); Almutairi AF et al. (2015) 'Perceptions of CBAHI Accreditation' BMC Health Services Research; Donabedian A (1988) 'Quality of Care' JAMA 260(12); Greenfield D &amp; Braithwaite J (2008) 'Health Sector Accreditation Research' Int J Quality Health Care 20(3); WHO (2025) PHSSR Saudi Arabia</t>
        </is>
      </c>
      <c r="AN436" s="50" t="inlineStr">
        <is>
          <t>Official: CBAHI website (cbahi.gov.sa) — standards available to purchase. Training: CBAHI education programmes; surveyor training; CPHQ (Certified Professional in Healthcare Quality). Estimated: 60 hours for surveyors; 20 hours for department leads</t>
        </is>
      </c>
      <c r="AO436" s="77" t="inlineStr">
        <is>
          <t>GH-ICGA Layer 5 (Assurance) — CBAHI accreditation is the primary assurance mechanism for hospital IoMT governance. Thesis argument: CBAHI-HAS-H 5th Ed HIT standards need a cybersecurity annex for IoMT — GH-ICGA Layer 5 Assurance proposes an IoMT-specific evaluation framework that could be adopted within CBAHI survey process</t>
        </is>
      </c>
      <c r="AP436" s="51" t="inlineStr">
        <is>
          <t>G + C (Governance through quality standards + voluntary compliance assurance)</t>
        </is>
      </c>
      <c r="AQ436" s="78" t="inlineStr">
        <is>
          <t>CEO: accountable for accreditation status. CMO: responsible for clinical quality chapter compliance. CNO: responsible for nursing quality. Quality/Patient Safety Director: coordinates accreditation programme. Department heads: responsible for chapter compliance in their domain. Accreditation Committee: cross-functional governance body</t>
        </is>
      </c>
      <c r="AR436" s="74" t="inlineStr">
        <is>
          <t>Quality Risk; Patient Safety Risk; Operational Risk (accreditation loss = licensing risk); Reputational Risk; Regulatory Risk (MOH links accreditation to licensing in practice)</t>
        </is>
      </c>
      <c r="AS436" s="92" t="inlineStr">
        <is>
          <t>VOLUNTARY — but operationally MANDATORY (MOH licensing increasingly linked to CBAHI in practice; required for JCI-referencing hospitals and private insurance network participation)</t>
        </is>
      </c>
      <c r="AT436" s="75" t="inlineStr">
        <is>
          <t>Administrative (A): 150 controls — policies; procedures; governance; quality committees. Technical (T): 48 controls — HIT; equipment maintenance; diagnostic systems. Operational (O): 100 controls — clinical procedures; patient safety practices; staff competencies</t>
        </is>
      </c>
      <c r="AU436" s="79" t="inlineStr">
        <is>
          <t>1. CBAHI survey score per chapter (target ≥90% Met). 2. # sentinel events per 1,000 admissions. 3. Falls rate per 1,000 patient days. 4. Hospital-acquired infection rate. 5. Patient satisfaction score (target &gt;90%). 6. Medication error rate. 7. HIT compliance score (CBAHI HIT chapter)</t>
        </is>
      </c>
      <c r="AV436" s="80" t="inlineStr">
        <is>
          <t>CBAHI full survey (3-year cycle — 2-3 day on-site assessment); midterm survey (18 months — focused chapters); unannounced visit (possible any time); tracer methodology; document review; staff interviews; facility inspection</t>
        </is>
      </c>
      <c r="AW436" s="81" t="inlineStr">
        <is>
          <t>Accreditation Manager (CBAHI online platform); EQUIP (quality management platform); PowerDMS; Quantros; Press Ganey (patient satisfaction); Meditech/Epic quality modules; RL6 (incident reporting)</t>
        </is>
      </c>
      <c r="AX436" s="82" t="inlineStr">
        <is>
          <t>Contractors and service providers in clinical areas must meet CBAHI competency requirements; credentialing of contracted physicians required; outsourced services (laundry, catering, security) must meet CBAHI environment chapter standards; medical device vendors: CBAHI biomedical equipment requirements</t>
        </is>
      </c>
      <c r="AY436" s="83" t="inlineStr">
        <is>
          <t>Accreditation denial: cannot be MOH referral centre; excluded from major insurance networks; reputational damage. Accreditation suspension: immediate revenue impact from insurance exclusion. MOH can condition facility licence on CBAHI compliance</t>
        </is>
      </c>
      <c r="AZ436" s="80" t="inlineStr">
        <is>
          <t>Healthcare &amp; Life Sciences</t>
        </is>
      </c>
      <c r="BA436" s="41" t="inlineStr">
        <is>
          <t>Sector-Specific</t>
        </is>
      </c>
      <c r="BB436" s="591">
        <f>IF(E436="","",IF(ISNUMBER(SEARCH("Institutional theory and regulatory governance theory underpin",AI436)),"TEMPLATE",IF(LEN(AI436)&gt;100,"DEEP",IF(AI436="","SPARSE","SHALLOW"))))</f>
        <v/>
      </c>
      <c r="BC436" s="591">
        <f>IF(E436="","",D436&amp;"-"&amp;B436&amp;"-"&amp;E436)</f>
        <v/>
      </c>
      <c r="BD436" s="591">
        <f>IF(E436="","",SUBSTITUTE(SUBSTITUTE(B436&amp;"-"&amp;E436," ",""),":","-"))</f>
        <v/>
      </c>
      <c r="BE436" s="591">
        <f>IF(E436="","",IF(ISNUMBER(SEARCH("ECC",E436)),"NCA-ECC-2-2024",IF(ISNUMBER(SEARCH("OTCC",E436)),"NCA-ECC-2-2024",IF(ISNUMBER(SEARCH("CCC",E436)),"NCA-ECC-2-2024",IF(ISNUMBER(SEARCH("DCC",E436)),"NCA-ECC-2-2024",IF(ISNUMBER(SEARCH("CSCC",E436)),"NCA-ECC-2-2024",IF(ISNUMBER(SEARCH("PDPL-IR",E436)),"PDPL-2021",IF(ISNUMBER(SEARCH("PDPL-DTR",E436)),"PDPL-2021","NONE"))))))))</f>
        <v/>
      </c>
      <c r="BF436" s="594">
        <f>IF(E436="","",IF(BB436="DEEP",10,IF(BB436="SHALLOW",5,IF(BB436="TEMPLATE",3,1)))+IF(N436="HIGHEST",5,IF(N436="HIGH",3,IF(N436="MODERATE",1,0)))+IF(ISNUMBER(SEARCH("Mandatory",L436)),3,0))</f>
        <v/>
      </c>
    </row>
    <row r="437" ht="42" customHeight="1">
      <c r="A437" s="42" t="n">
        <v>388</v>
      </c>
      <c r="B437" s="412" t="inlineStr">
        <is>
          <t>JZHC</t>
        </is>
      </c>
      <c r="C437" s="44" t="inlineStr">
        <is>
          <t>Jazan Health Cluster</t>
        </is>
      </c>
      <c r="D437" s="44" t="inlineStr">
        <is>
          <t>17. Regional Health Clusters</t>
        </is>
      </c>
      <c r="E437" s="412" t="inlineStr">
        <is>
          <t>NCA-ECC-2:2024</t>
        </is>
      </c>
      <c r="F437" s="45" t="inlineStr">
        <is>
          <t>Essential Cybersecurity Controls</t>
        </is>
      </c>
      <c r="G437" s="44" t="inlineStr">
        <is>
          <t>ضوابط الأمن السيبراني الأساسية</t>
        </is>
      </c>
      <c r="H437" s="44" t="inlineStr">
        <is>
          <t>ECC-2:2024</t>
        </is>
      </c>
      <c r="I437" s="46" t="inlineStr">
        <is>
          <t>2018</t>
        </is>
      </c>
      <c r="J437" s="46" t="inlineStr">
        <is>
          <t>108</t>
        </is>
      </c>
      <c r="K437" s="44" t="inlineStr">
        <is>
          <t>MUST COMPLY WITH</t>
        </is>
      </c>
      <c r="L437" s="66" t="inlineStr">
        <is>
          <t>Mandatory Complier</t>
        </is>
      </c>
      <c r="M437" s="44" t="inlineStr">
        <is>
          <t>Jazan Health Cluster as government entity — hospital networks</t>
        </is>
      </c>
      <c r="N437" s="47" t="inlineStr">
        <is>
          <t>HIGHEST</t>
        </is>
      </c>
      <c r="O437" s="48" t="inlineStr">
        <is>
          <t>https://nca.gov.sa/</t>
        </is>
      </c>
      <c r="P437" s="44" t="inlineStr">
        <is>
          <t>NCA ECC scope</t>
        </is>
      </c>
      <c r="Q437" s="70" t="inlineStr">
        <is>
          <t>See official source for version history</t>
        </is>
      </c>
      <c r="R437" s="70" t="inlineStr">
        <is>
          <t>Framework issued by the relevant authority. Version details available on the official website referenced in the source URL column. The framework has been updated periodically since first issuance.</t>
        </is>
      </c>
      <c r="S437" s="71" t="inlineStr">
        <is>
          <t>See official source</t>
        </is>
      </c>
      <c r="T437" s="70" t="inlineStr">
        <is>
          <t>Updated as needed by the issuing authority</t>
        </is>
      </c>
      <c r="U437" s="25" t="inlineStr">
        <is>
          <t>CURRENT — consult official source for latest version</t>
        </is>
      </c>
      <c r="V437" s="70" t="inlineStr">
        <is>
          <t>Penalties defined by issuing authority; consult official source. NCA ECC-2 penalties apply if relevant</t>
        </is>
      </c>
      <c r="W437" s="72" t="inlineStr">
        <is>
          <t>Issuing authority and/or designated inspection department</t>
        </is>
      </c>
      <c r="X437" s="70" t="inlineStr">
        <is>
          <t>As specified in framework scope — consult official document</t>
        </is>
      </c>
      <c r="Y437" s="49" t="inlineStr">
        <is>
          <t>Both (unless specified otherwise in official document)</t>
        </is>
      </c>
      <c r="Z437" s="70" t="inlineStr">
        <is>
          <t>As defined by issuing authority</t>
        </is>
      </c>
      <c r="AA437" s="71" t="inlineStr">
        <is>
          <t>As defined by issuing authority</t>
        </is>
      </c>
      <c r="AB437" s="70" t="inlineStr">
        <is>
          <t>To be determined from framework text — see official source</t>
        </is>
      </c>
      <c r="AC437" s="70" t="inlineStr">
        <is>
          <t>See framework preamble for international standard references</t>
        </is>
      </c>
      <c r="AD437" s="49" t="inlineStr">
        <is>
          <t>Arabic (primary in KSA); English may be available</t>
        </is>
      </c>
      <c r="AE437" s="58" t="inlineStr">
        <is>
          <t>Mapped to relevant GH-ICGA layer — requires manual assessment</t>
        </is>
      </c>
      <c r="AF437" s="56" t="inlineStr">
        <is>
          <t>See official framework for maturity model details</t>
        </is>
      </c>
      <c r="AG437" s="70" t="inlineStr">
        <is>
          <t>Aligned with relevant Vision 2030 programme — see framework context</t>
        </is>
      </c>
      <c r="AH437" s="70" t="inlineStr">
        <is>
          <t>As specified in framework compliance requirements</t>
        </is>
      </c>
      <c r="AI437" s="73" t="inlineStr">
        <is>
          <t>Institutional theory and regulatory governance theory underpin all KSA regulatory frameworks. Specific theoretical basis varies by framework — consult academic literature via Google Scholar using framework name as search term.</t>
        </is>
      </c>
      <c r="AJ437" s="70" t="inlineStr">
        <is>
          <t>Academic debate varies by framework maturity and international adoption. For KSA-specific debate, consult: Almohammad &amp; Wills (2021) J Cybersecurity; Al-Khater et al. (2020) IEEE Access; Baker McKenzie KSA regulatory updates.</t>
        </is>
      </c>
      <c r="AK437" s="74" t="inlineStr">
        <is>
          <t>Known criticisms include: implementation gap between standards and practice; resource constraints for smaller healthcare entities; rapid technology evolution outpacing regulation. Consult framework evaluation literature for specifics.</t>
        </is>
      </c>
      <c r="AL437" s="75" t="inlineStr">
        <is>
          <t>Framework comparison requires contextual analysis. Key comparators: NIST CSF 2.0 (international benchmark), ISO 27001 (certifiable standard), ECC-2 (KSA mandatory baseline). See main database for cross-framework mapping.</t>
        </is>
      </c>
      <c r="AM437"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37" s="50" t="inlineStr">
        <is>
          <t>Official: Consult the official source URL in the database for the primary document. Training: ISACA, ISC2, RAPS, IAPP, and HIMSS offer professional development covering most regulatory domains. Estimated hours vary by framework complexity.</t>
        </is>
      </c>
      <c r="AO437" s="77" t="inlineStr">
        <is>
          <t>Relevance to GH-ICGA framework varies by layer — see GH-ICGA Layer Mapping column. All KSA mandatory frameworks are compliance inputs to GH-ICGA Layer 4. Frameworks with IoMT-specific provisions directly inform Layers 2 and 3.</t>
        </is>
      </c>
      <c r="AP437" s="51" t="inlineStr">
        <is>
          <t>G + C (Governance + Compliance — standard regulatory framework positioning)</t>
        </is>
      </c>
      <c r="AQ437" s="78" t="inlineStr">
        <is>
          <t>Senior management: accountability for framework compliance. Designated compliance officer: monitor requirements. All staff: awareness of applicable obligations</t>
        </is>
      </c>
      <c r="AR437" s="74" t="inlineStr">
        <is>
          <t>Regulatory Risk; Operational Risk; Reputational Risk — specific domains determined by framework scope</t>
        </is>
      </c>
      <c r="AS437" s="22" t="inlineStr">
        <is>
          <t>See official source — legal obligation, regulatory requirement, or voluntary standard as applicable</t>
        </is>
      </c>
      <c r="AT437" s="75" t="inlineStr">
        <is>
          <t>Administrative; Technical; Operational — specific distribution determined by framework content</t>
        </is>
      </c>
      <c r="AU437" s="79" t="inlineStr">
        <is>
          <t>1. Compliance status (compliant/non-compliant). 2. # open findings from last assessment. 3. % controls implemented. 4. Time to remediate findings. 5. Incident rate in framework scope area</t>
        </is>
      </c>
      <c r="AV437" s="80" t="inlineStr">
        <is>
          <t>Self-assessment; internal audit; external assessment as specified by issuing authority</t>
        </is>
      </c>
      <c r="AW437" s="81" t="inlineStr">
        <is>
          <t>ServiceNow GRC; IBM OpenPages; RSA Archer; MetricStream — all major GRC platforms support custom framework import. Contact vendor for framework-specific module</t>
        </is>
      </c>
      <c r="AX437" s="82" t="inlineStr">
        <is>
          <t>Third parties in scope must demonstrate equivalent compliance. Contractual compliance obligations; right-to-audit clauses; annual third-party assessment</t>
        </is>
      </c>
      <c r="AY437" s="83" t="inlineStr">
        <is>
          <t>Non-compliance: regulatory action by issuing authority; fines and penalties as specified; operational and reputational consequences</t>
        </is>
      </c>
      <c r="AZ437" s="80" t="inlineStr">
        <is>
          <t>ALL 17 SECTORS</t>
        </is>
      </c>
      <c r="BA437" s="34" t="inlineStr">
        <is>
          <t>YES — ALL SECTORS</t>
        </is>
      </c>
      <c r="BB437" s="591">
        <f>IF(E437="","",IF(ISNUMBER(SEARCH("Institutional theory and regulatory governance theory underpin",AI437)),"TEMPLATE",IF(LEN(AI437)&gt;100,"DEEP",IF(AI437="","SPARSE","SHALLOW"))))</f>
        <v/>
      </c>
      <c r="BC437" s="591">
        <f>IF(E437="","",D437&amp;"-"&amp;B437&amp;"-"&amp;E437)</f>
        <v/>
      </c>
      <c r="BD437" s="591">
        <f>IF(E437="","",SUBSTITUTE(SUBSTITUTE(B437&amp;"-"&amp;E437," ",""),":","-"))</f>
        <v/>
      </c>
      <c r="BE437" s="591">
        <f>IF(E437="","",IF(ISNUMBER(SEARCH("ECC",E437)),"NCA-ECC-2-2024",IF(ISNUMBER(SEARCH("OTCC",E437)),"NCA-ECC-2-2024",IF(ISNUMBER(SEARCH("CCC",E437)),"NCA-ECC-2-2024",IF(ISNUMBER(SEARCH("DCC",E437)),"NCA-ECC-2-2024",IF(ISNUMBER(SEARCH("CSCC",E437)),"NCA-ECC-2-2024",IF(ISNUMBER(SEARCH("PDPL-IR",E437)),"PDPL-2021",IF(ISNUMBER(SEARCH("PDPL-DTR",E437)),"PDPL-2021","NONE"))))))))</f>
        <v/>
      </c>
      <c r="BF437" s="594">
        <f>IF(E437="","",IF(BB437="DEEP",10,IF(BB437="SHALLOW",5,IF(BB437="TEMPLATE",3,1)))+IF(N437="HIGHEST",5,IF(N437="HIGH",3,IF(N437="MODERATE",1,0)))+IF(ISNUMBER(SEARCH("Mandatory",L437)),3,0))</f>
        <v/>
      </c>
    </row>
    <row r="438" ht="42" customHeight="1">
      <c r="A438" s="84" t="n">
        <v>389</v>
      </c>
      <c r="B438" s="411" t="inlineStr">
        <is>
          <t>JZHC</t>
        </is>
      </c>
      <c r="C438" s="70" t="inlineStr">
        <is>
          <t>Jazan Health Cluster</t>
        </is>
      </c>
      <c r="D438" s="70" t="inlineStr">
        <is>
          <t>17. Regional Health Clusters</t>
        </is>
      </c>
      <c r="E438" s="411" t="inlineStr">
        <is>
          <t>PDPL-2021</t>
        </is>
      </c>
      <c r="F438" s="72" t="inlineStr">
        <is>
          <t>Personal Data Protection Law</t>
        </is>
      </c>
      <c r="G438" s="70" t="inlineStr">
        <is>
          <t>نظام حماية البيانات الشخصية</t>
        </is>
      </c>
      <c r="H438" s="70" t="inlineStr">
        <is>
          <t>2021+IR 2023</t>
        </is>
      </c>
      <c r="I438" s="71" t="inlineStr">
        <is>
          <t>2021</t>
        </is>
      </c>
      <c r="J438" s="71" t="inlineStr">
        <is>
          <t>45</t>
        </is>
      </c>
      <c r="K438" s="70" t="inlineStr">
        <is>
          <t>MUST COMPLY WITH</t>
        </is>
      </c>
      <c r="L438" s="66" t="inlineStr">
        <is>
          <t>Mandatory Complier</t>
        </is>
      </c>
      <c r="M438" s="70" t="inlineStr">
        <is>
          <t>Jazan Health Cluster processes patient personal data</t>
        </is>
      </c>
      <c r="N438" s="86" t="inlineStr">
        <is>
          <t>HIGHEST</t>
        </is>
      </c>
      <c r="O438" s="87" t="inlineStr">
        <is>
          <t>https://sdaia.gov.sa/</t>
        </is>
      </c>
      <c r="P438" s="70" t="inlineStr">
        <is>
          <t>SDAIA</t>
        </is>
      </c>
      <c r="Q438" s="70" t="inlineStr">
        <is>
          <t>Royal Decree M/19 (16 Sep 2021) → amended Apr 2023</t>
        </is>
      </c>
      <c r="R438" s="70" t="inlineStr">
        <is>
          <t>Original (2021): 19 articles covering consent, data subject rights, controller obligations, sensitive data (health = sensitive), cross-border transfer. Apr 2023 amendment: strengthened enforcement, clarified health data provisions, aligned with PDPL-IR-2023. Grace period for compliance ended Sep 14, 2024. Penalties: up to SAR 5 million fine + 2 years imprisonment for sensitive data breach</t>
        </is>
      </c>
      <c r="S438" s="71" t="inlineStr">
        <is>
          <t>Issued: Sep 2021. Amended: Apr 2023. Fully enforceable: Sep 14, 2024</t>
        </is>
      </c>
      <c r="T438" s="70" t="inlineStr">
        <is>
          <t>SDAIA reviews annually; amendments expected 2025-2026</t>
        </is>
      </c>
      <c r="U438" s="25" t="inlineStr">
        <is>
          <t>CURRENT — fully enforceable since Sep 2024</t>
        </is>
      </c>
      <c r="V438" s="70" t="inlineStr">
        <is>
          <t>Criminal offence: up to 2 years imprisonment + SAR 3M fine for disclosing sensitive data (health data = sensitive); administrative fine up to SAR 5M; mandatory breach notification to SDAIA within 72 hours; data subject compensation claims</t>
        </is>
      </c>
      <c r="W438" s="72" t="inlineStr">
        <is>
          <t>SDAIA — Data Protection Authority (DPA functions); NDMO for government entities; courts for criminal penalties</t>
        </is>
      </c>
      <c r="X438" s="70" t="inlineStr">
        <is>
          <t>Hospital; Clinic; Lab; Pharmacy; Health IT Vendor; Health Insurer; Government Health Entity; Medical Device Manufacturer (all processing patient data)</t>
        </is>
      </c>
      <c r="Y438" s="49" t="inlineStr">
        <is>
          <t>Both + foreign entities processing data of KSA residents</t>
        </is>
      </c>
      <c r="Z438" s="70" t="inlineStr">
        <is>
          <t>SDAIA audit; controller self-assessment; DPO oversight; data subject complaints trigger investigation</t>
        </is>
      </c>
      <c r="AA438" s="71" t="inlineStr">
        <is>
          <t>Continuous (breach notification: 72 hours); annual DPO report; SDAIA random audits</t>
        </is>
      </c>
      <c r="AB438" s="70" t="inlineStr">
        <is>
          <t>12 (IoMT data minimisation; purpose limitation; consent management for wearable data; automated decision-making; data subject rights for IoMT-generated health data; cross-border transfer of IoMT data)</t>
        </is>
      </c>
      <c r="AC438" s="70" t="inlineStr">
        <is>
          <t>GDPR (substantial alignment — adequate protection basis); APEC Privacy Framework; ISO 29100; ISO 27701</t>
        </is>
      </c>
      <c r="AD438" s="49" t="inlineStr">
        <is>
          <t>Arabic (official); English translation (unofficial)</t>
        </is>
      </c>
      <c r="AE438" s="50" t="inlineStr">
        <is>
          <t>Layer 4: Compliance; Layer 2: Risk Management</t>
        </is>
      </c>
      <c r="AF438" s="60" t="inlineStr">
        <is>
          <t>No formal maturity model; SDAIA publishes compliance guidance</t>
        </is>
      </c>
      <c r="AG438" s="70" t="inlineStr">
        <is>
          <t>National Data Strategy; Vision 2030 Digital Economy; Digital Government transformation</t>
        </is>
      </c>
      <c r="AH438" s="70" t="inlineStr">
        <is>
          <t>Privacy notices; consent records; DPO appointment letter; data mapping/flow diagrams; breach notification records; DPIA for health data processing; controller registration</t>
        </is>
      </c>
      <c r="AI438" s="73" t="inlineStr">
        <is>
          <t>Privacy as fundamental right (Warren &amp; Brandeis 1890; Westin 1967). Contextual integrity theory (Nissenbaum 2004): health data flows must match medical context norms. Regulatory theory: data protection authority independence and enforcement. Information asymmetry theory: patients cannot protect their own data without regulation.</t>
        </is>
      </c>
      <c r="AJ438" s="70" t="inlineStr">
        <is>
          <t>FOR: Long-overdue — KSA had no comprehensive data protection law until 2021; health data explicitly protected as sensitive category; aligns KSA with global adequacy standards. AGAINST: Alrawabdeh (2014) and Aldawood &amp; Skinner (2019) documented Saudi privacy culture gap — regulation without public awareness is ineffective; 'GDPR-lite' criticism: exemptions broader than GDPR, enforcement weaker; health data provisions in IR still less specific than UK GDPR Schedule 1 conditions</t>
        </is>
      </c>
      <c r="AK438" s="74" t="inlineStr">
        <is>
          <t>No independent supervisory authority (SDAIA is both promoter and regulator — conflict of interest noted by Baker McKenzie 2025); patient data portability rights weaker than GDPR Article 20; no explicit right to explanation for AI-automated health decisions; cross-border transfer rules changed twice in 12 months (regulatory instability); small healthcare providers lack capacity for DPO requirements</t>
        </is>
      </c>
      <c r="AL438" s="75" t="inlineStr">
        <is>
          <t>PDPL vs GDPR: PDPL penalty lower (SAR 5M vs €20M); PDPL broader government exemptions; GDPR has independent DPA, PDPL does not. PDPL vs HIPAA: PDPL = all personal data (broader); HIPAA = US-specific health data only. PDPL vs UK GDPR: PDPL misses explicit Schedule 1 health data conditions. PDPL ahead of HIPAA on consent granularity; behind GDPR on enforcement independence</t>
        </is>
      </c>
      <c r="AM438" s="76" t="inlineStr">
        <is>
          <t>Baker McKenzie (2025) Saudi Arabia PDPL Global Data &amp; Cyber Handbook; Alrawabdeh W (2014) 'Internet and Social Media Challenges in Arab World' EJSR; Westin AF (1967) Privacy and Freedom NY Atheneum; Nissenbaum H (2004) 'Privacy as Contextual Integrity' Washington Law Review 79(1); CMS Law (2025) Saudi Arabia Data Protection &amp; Cybersecurity Expert Guide Oct 2025</t>
        </is>
      </c>
      <c r="AN438" s="50" t="inlineStr">
        <is>
          <t>Official: SDAIA website (sdaia.gov.sa) — Arabic + English. Training: IAPP CIPM/CIPP/E (privacy certifications applicable); OneTrust PDPL compliance course; Baker McKenzie PDPL compliance guide. Language: Arabic primary — strong Arabic reading recommended. Estimated: 50 hours for health sector DPO competence</t>
        </is>
      </c>
      <c r="AO438" s="77" t="inlineStr">
        <is>
          <t>PRIMARY driver for GH-ICGA Layer 4 (Compliance) — PDPL is the legal foundation for patient data governance in the preliminary GH-ICGA framework. Thesis argument: GH-ICGA Layer 4 operationalises PDPL requirements into IoMT-specific controls (consent management for wearable data; purpose limitation for monitoring streams; breach response for connected device incidents)</t>
        </is>
      </c>
      <c r="AP438" s="51" t="inlineStr">
        <is>
          <t>G + C (Governance + Compliance — strong compliance driver; risk implicit)</t>
        </is>
      </c>
      <c r="AQ438" s="78" t="inlineStr">
        <is>
          <t>Board/CEO: ultimate accountability for PDPL compliance. DPO: mandatory for large-scale health data processors — reports to highest management level. Privacy Committee: cross-functional oversight. All staff processing personal data: mandatory privacy awareness training annually</t>
        </is>
      </c>
      <c r="AR438" s="74" t="inlineStr">
        <is>
          <t>Privacy Risk (PRIMARY); Legal/Regulatory Risk; Reputational Risk; Strategic Risk (data monetisation constraints); Cross-Border Risk (data transfer restrictions)</t>
        </is>
      </c>
      <c r="AS438" s="22" t="inlineStr">
        <is>
          <t>LEGAL — Royal Decree M/19 2021 + Implementing Regulations Sep 2023. Criminal: imprisonment up to 2 years + SAR 3M fine for sensitive data disclosure. Administrative: SAR 5M maximum fine. Civil: data subject compensation claims</t>
        </is>
      </c>
      <c r="AT438" s="75" t="inlineStr">
        <is>
          <t>Administrative (A): consent management; privacy notices; DPO appointment; DPIA process; breach notification procedure. Technical (T): data minimisation; pseudonymisation; access controls for personal data; encryption. Operational (O): data retention enforcement; data subject rights fulfilment process; cross-border transfer review</t>
        </is>
      </c>
      <c r="AU438" s="79" t="inlineStr">
        <is>
          <t>1. # data subject rights requests fulfilled on time (target: 100% within 30 days). 2. # data breaches notified to SDAIA within 72h (target: 100%). 3. % staff completed privacy training (target: 100%). 4. # DPIAs completed for high-risk processing activities. 5. Data retention compliance rate (% records within policy). 6. % third-party processors with DPA agreements</t>
        </is>
      </c>
      <c r="AV438" s="80" t="inlineStr">
        <is>
          <t>Annual DPIA review; data mapping audit (controller record validation); consent record audit; breach response simulation (tabletop); access control review for personal data systems; third-party processor audit; SDAIA compliance self-assessment</t>
        </is>
      </c>
      <c r="AW438" s="81" t="inlineStr">
        <is>
          <t>OneTrust (market leader for PDPL); TrustArc; Nymity; DataGrail; Varonis (data discovery); Microsoft Purview (data classification). SDAIA National Data Governance Platform for registration. Arabic-capable tools preferred</t>
        </is>
      </c>
      <c r="AX438" s="82" t="inlineStr">
        <is>
          <t>All third-party data processors must have Data Processing Agreement (DPA). Processors must demonstrate equivalent PDPL compliance. Cross-border transfers require adequacy assessment or appropriate safeguards. Sub-processor disclosure mandatory. Annual processor risk assessment required</t>
        </is>
      </c>
      <c r="AY438" s="83" t="inlineStr">
        <is>
          <t>Non-compliance: SAR 5M administrative fine; criminal prosecution for sensitive data breach; SDAIA investigation; mandatory breach public disclosure. Business disruption: SDAIA can order processing suspension. Reputational: patient trust damage. Market: EU adequate protection status depends on PDPL enforcement credibility</t>
        </is>
      </c>
      <c r="AZ438" s="80" t="inlineStr">
        <is>
          <t>ALL 17 SECTORS — any entity processing personal data</t>
        </is>
      </c>
      <c r="BA438" s="34" t="inlineStr">
        <is>
          <t>YES — ALL SECTORS</t>
        </is>
      </c>
      <c r="BB438" s="591">
        <f>IF(E438="","",IF(ISNUMBER(SEARCH("Institutional theory and regulatory governance theory underpin",AI438)),"TEMPLATE",IF(LEN(AI438)&gt;100,"DEEP",IF(AI438="","SPARSE","SHALLOW"))))</f>
        <v/>
      </c>
      <c r="BC438" s="591">
        <f>IF(E438="","",D438&amp;"-"&amp;B438&amp;"-"&amp;E438)</f>
        <v/>
      </c>
      <c r="BD438" s="591">
        <f>IF(E438="","",SUBSTITUTE(SUBSTITUTE(B438&amp;"-"&amp;E438," ",""),":","-"))</f>
        <v/>
      </c>
      <c r="BE438" s="591">
        <f>IF(E438="","",IF(ISNUMBER(SEARCH("ECC",E438)),"NCA-ECC-2-2024",IF(ISNUMBER(SEARCH("OTCC",E438)),"NCA-ECC-2-2024",IF(ISNUMBER(SEARCH("CCC",E438)),"NCA-ECC-2-2024",IF(ISNUMBER(SEARCH("DCC",E438)),"NCA-ECC-2-2024",IF(ISNUMBER(SEARCH("CSCC",E438)),"NCA-ECC-2-2024",IF(ISNUMBER(SEARCH("PDPL-IR",E438)),"PDPL-2021",IF(ISNUMBER(SEARCH("PDPL-DTR",E438)),"PDPL-2021","NONE"))))))))</f>
        <v/>
      </c>
      <c r="BF438" s="594">
        <f>IF(E438="","",IF(BB438="DEEP",10,IF(BB438="SHALLOW",5,IF(BB438="TEMPLATE",3,1)))+IF(N438="HIGHEST",5,IF(N438="HIGH",3,IF(N438="MODERATE",1,0)))+IF(ISNUMBER(SEARCH("Mandatory",L438)),3,0))</f>
        <v/>
      </c>
    </row>
    <row r="439" ht="42" customHeight="1">
      <c r="A439" s="42" t="n">
        <v>390</v>
      </c>
      <c r="B439" s="412" t="inlineStr">
        <is>
          <t>JZHC</t>
        </is>
      </c>
      <c r="C439" s="44" t="inlineStr">
        <is>
          <t>Jazan Health Cluster</t>
        </is>
      </c>
      <c r="D439" s="44" t="inlineStr">
        <is>
          <t>17. Regional Health Clusters</t>
        </is>
      </c>
      <c r="E439" s="412" t="inlineStr">
        <is>
          <t>MOH-TELE</t>
        </is>
      </c>
      <c r="F439" s="45" t="inlineStr">
        <is>
          <t>Telemedicine Regulations</t>
        </is>
      </c>
      <c r="G439" s="44" t="inlineStr">
        <is>
          <t>لائحة الرعاية الصحية عن بعد</t>
        </is>
      </c>
      <c r="H439" s="44" t="inlineStr">
        <is>
          <t>Late 2023</t>
        </is>
      </c>
      <c r="I439" s="46" t="inlineStr">
        <is>
          <t>2020</t>
        </is>
      </c>
      <c r="J439" s="46" t="inlineStr">
        <is>
          <t>38</t>
        </is>
      </c>
      <c r="K439" s="44" t="inlineStr">
        <is>
          <t>MUST COMPLY WITH</t>
        </is>
      </c>
      <c r="L439" s="66" t="inlineStr">
        <is>
          <t>Mandatory Complier</t>
        </is>
      </c>
      <c r="M439" s="44" t="inlineStr">
        <is>
          <t>Jazan Health Cluster offering telemedicine services</t>
        </is>
      </c>
      <c r="N439" s="54" t="inlineStr">
        <is>
          <t>HIGH</t>
        </is>
      </c>
      <c r="O439" s="48" t="inlineStr">
        <is>
          <t>https://www.moh.gov.sa/en/</t>
        </is>
      </c>
      <c r="P439" s="44" t="inlineStr">
        <is>
          <t>MOH; Hammad &amp; Al-Mehdar 2025</t>
        </is>
      </c>
      <c r="Q439" s="70" t="inlineStr">
        <is>
          <t>COVID-19 emergency 2020 → comprehensive regulations late 2023</t>
        </is>
      </c>
      <c r="R439" s="70" t="inlineStr">
        <is>
          <t>2020 (emergency COVID telehealth rules): basic platform licensing, identity verification, audio/video minimum standards. Late 2023 (comprehensive update, 38 controls): platform licensing requirements; patient identity verification; cross-border telemedicine restrictions; controlled substance prescribing rules (limited); data protection (PDPL alignment); patient consent requirements; clinical documentation standards; coverage by health insurance; quality assurance audit requirements</t>
        </is>
      </c>
      <c r="S439" s="71" t="inlineStr">
        <is>
          <t>Emergency 2020. Comprehensive: late 2023</t>
        </is>
      </c>
      <c r="T439" s="70" t="inlineStr">
        <is>
          <t>Annual update; cross-border rules under active development 2025</t>
        </is>
      </c>
      <c r="U439" s="25" t="inlineStr">
        <is>
          <t>CURRENT — late 2023 comprehensive version</t>
        </is>
      </c>
      <c r="V439" s="70" t="inlineStr">
        <is>
          <t>Platform licence revocation; SAR 1M–5M fine (scale by offence); clinical professional disciplinary action by SCFHS</t>
        </is>
      </c>
      <c r="W439" s="72" t="inlineStr">
        <is>
          <t>MOH — eHealth General Directorate; CST (platform technical licensing); CCHI (insurance coverage compliance); SCFHS (clinical standards)</t>
        </is>
      </c>
      <c r="X439" s="70" t="inlineStr">
        <is>
          <t>Hospital (outpatient teleconsultation); Clinic; Health IT Vendor (platform developers); Health Insurer (reimbursement compliance)</t>
        </is>
      </c>
      <c r="Y439" s="22" t="inlineStr">
        <is>
          <t>Both</t>
        </is>
      </c>
      <c r="Z439" s="70" t="inlineStr">
        <is>
          <t>MOH platform licence audit (annual); CCHI insurance compliance check; SCFHS clinical quality audit</t>
        </is>
      </c>
      <c r="AA439" s="71" t="inlineStr">
        <is>
          <t>Annual licence renewal; random clinical quality audit</t>
        </is>
      </c>
      <c r="AB439" s="70" t="inlineStr">
        <is>
          <t>15 (remote patient monitoring integration; wearable device data for teleconsultation; IoMT vital sign display during video consultation; remote device prescription; teleICU monitoring requirements)</t>
        </is>
      </c>
      <c r="AC439" s="70" t="inlineStr">
        <is>
          <t>WHO Telemedicine Guidelines (2010/updated); ISO 13131:2021 (Telehealth); ATA (American Telemedicine Association) standards (reference)</t>
        </is>
      </c>
      <c r="AD439" s="49" t="inlineStr">
        <is>
          <t>Arabic (primary); English technical guidance</t>
        </is>
      </c>
      <c r="AE439" s="26" t="inlineStr">
        <is>
          <t>Layer 1: Governance; Layer 4: Compliance</t>
        </is>
      </c>
      <c r="AF439" s="60" t="inlineStr">
        <is>
          <t>No formal maturity model; licence tiers (basic/advanced platform)</t>
        </is>
      </c>
      <c r="AG439" s="70" t="inlineStr">
        <is>
          <t>HSTP telemedicine targets (30% uptake); SEHA Virtual Hospital; Vision 2030 healthcare access targets</t>
        </is>
      </c>
      <c r="AH439" s="70" t="inlineStr">
        <is>
          <t>Platform licence certificate; patient consent records; clinical documentation standards compliance; identity verification log; prescription records; NABIDH integration evidence</t>
        </is>
      </c>
      <c r="AI439" s="73" t="inlineStr">
        <is>
          <t>Telehealth adoption theory (LeRouge &amp; Garfield 2013): patient acceptance + clinician integration. Access theory: geography-equity argument for remote care. Digital health governance theory: platform regulation vs clinical regulation tension.</t>
        </is>
      </c>
      <c r="AJ439" s="70" t="inlineStr">
        <is>
          <t>FOR: COVID-19 proved telehealth viability at scale in KSA (Al-Ataawi et al. 2022); Sehhaty platform shows government commitment; removes geographic barriers consistent with Vision 2030 equity goals; IoMT remote monitoring reimbursement framework emerging. AGAINST: Clinical quality in telehealth still debated (Hollander &amp; Sites 2020); data sovereignty for cross-border telehealth unresolved; prescription via teleconsultation remains restricted limiting scope; rural connectivity gaps undermine access equity goal</t>
        </is>
      </c>
      <c r="AK439" s="74" t="inlineStr">
        <is>
          <t>Regulations still lag technology — VR/AR clinical applications not addressed; AI-assisted teleconsultation regulatory pathway unclear; cross-border telehealth restrictions create market fragmentation; no minimum quality standards for audio/video equipment; liability for technical failure not yet codified in regulation</t>
        </is>
      </c>
      <c r="AL439" s="75" t="inlineStr">
        <is>
          <t>MOH-TELE vs NHS TECS (UK): NHS TECS has DTAC (Digital Technology Assessment Criteria) for all digital health tools — KSA equivalent absent. MOH-TELE vs FCC/CMS telehealth (US): US has federal reimbursement codes (CPT); KSA CCHI integration still developing. MOH-TELE vs WHO Telemedicine Guidelines: broadly aligned but KSA-specific cross-border rules more restrictive than WHO recommends</t>
        </is>
      </c>
      <c r="AM439" s="76" t="inlineStr">
        <is>
          <t>Al-Ataawi A et al. (2022) 'Telehealth in Saudi Arabia During COVID-19' J Healthcare Informatics Res; Hollander JE &amp; Sites FD (2020) 'Telehealth Beyond COVID-19' NEJM 2020; Hammad &amp; Al-Mehdar (2025) Saudi Healthcare Regulatory Update; WHO (2010) Telemedicine Opportunities and Developments; LeRouge C &amp; Garfield MJ (2013) 'Crossing the Telemedicine Chasm' JAMIA 20(6)</t>
        </is>
      </c>
      <c r="AN439" s="50" t="inlineStr">
        <is>
          <t>Official: MOH website. Training: American Telemedicine Association (ATA) online courses; SEHA Virtual Hospital training programme; WHO telehealth competency framework. Estimated: 25 hours</t>
        </is>
      </c>
      <c r="AO439" s="77" t="inlineStr">
        <is>
          <t>GH-ICGA Layer 1 (Governance) — telehealth regulation defines the governance boundary for remote IoMT monitoring. Thesis relevance: GH-ICGA must address the governance overlap between MOH-TELE (clinical platform regulation) and NCA-ECC (cybersecurity) and PDPL (patient data) for remote monitoring scenarios</t>
        </is>
      </c>
      <c r="AP439" s="51" t="inlineStr">
        <is>
          <t>G + C (platform governance + clinical compliance)</t>
        </is>
      </c>
      <c r="AQ439" s="78" t="inlineStr">
        <is>
          <t>CEO: platform licence accountability. Medical Director: clinical quality governance. DPO: PDPL compliance for patient data on platform. Technical Director: platform security. Pharmacy Director: prescription management compliance</t>
        </is>
      </c>
      <c r="AR439" s="74" t="inlineStr">
        <is>
          <t>Clinical Risk (misdiagnosis via teleconsultation); Regulatory Risk (licence breach); Privacy Risk (patient data); Operational Risk (platform availability); Cross-Border Risk (international teleconsultation restrictions)</t>
        </is>
      </c>
      <c r="AS439" s="61" t="inlineStr">
        <is>
          <t>REGULATORY — MOH licensing requirement. Non-compliance: platform licence revocation; SAR 1M–5M fine; SCFHS action against clinicians</t>
        </is>
      </c>
      <c r="AT439" s="75" t="inlineStr">
        <is>
          <t>Administrative (A): 20 controls — licensing; consent; documentation; clinical protocols. Technical (T): 12 controls — platform security; identity verification; audio/video standards. Operational (O): 6 controls — prescribing workflow; referral protocol; audit trail</t>
        </is>
      </c>
      <c r="AU439" s="79" t="inlineStr">
        <is>
          <t>1. Patient consent collection rate (target 100% before each session). 2. Platform availability SLA compliance (target &gt;99.5%). 3. Identity verification success rate. 4. # clinical complaints per 1,000 teleconsultations. 5. Documentation compliance rate (target 100% consultation notes in NABIDH). 6. Prescription audit pass rate</t>
        </is>
      </c>
      <c r="AV439" s="80" t="inlineStr">
        <is>
          <t>Annual MOH licence renewal audit; CCHI insurance coverage compliance check; patient record documentation audit; platform security assessment; identity verification system test; NABIDH integration test</t>
        </is>
      </c>
      <c r="AW439" s="81" t="inlineStr">
        <is>
          <t>Sehhaty / Mawid (MOH official platforms); Nabdh; Cura Health; Vezeeta; Nubaqraa — all require MOH licensing. Security tools: FortiWeb (WAF); Auth0/Okta (identity); TeleVisit security frameworks</t>
        </is>
      </c>
      <c r="AX439" s="82" t="inlineStr">
        <is>
          <t>Platform vendors: MOH-licensed telemedicine solution mandatory; PDPL DPA required; NABIDH API certification; patient data not to be shared with third-party analytics without consent; international teleconsultation providers must be MOH-approved</t>
        </is>
      </c>
      <c r="AY439" s="83" t="inlineStr">
        <is>
          <t>Unlicensed platform: immediate shutdown; SAR fine; clinical professional disciplinary action. Licence revocation: complete business cessation. Patient harm via telemedicine: malpractice liability; SCFHS investigation</t>
        </is>
      </c>
      <c r="AZ439" s="80" t="inlineStr">
        <is>
          <t>Healthcare &amp; Life Sciences; ICT/Digital (platform providers)</t>
        </is>
      </c>
      <c r="BA439" s="41" t="inlineStr">
        <is>
          <t>Sector-Specific</t>
        </is>
      </c>
      <c r="BB439" s="591">
        <f>IF(E439="","",IF(ISNUMBER(SEARCH("Institutional theory and regulatory governance theory underpin",AI439)),"TEMPLATE",IF(LEN(AI439)&gt;100,"DEEP",IF(AI439="","SPARSE","SHALLOW"))))</f>
        <v/>
      </c>
      <c r="BC439" s="591">
        <f>IF(E439="","",D439&amp;"-"&amp;B439&amp;"-"&amp;E439)</f>
        <v/>
      </c>
      <c r="BD439" s="591">
        <f>IF(E439="","",SUBSTITUTE(SUBSTITUTE(B439&amp;"-"&amp;E439," ",""),":","-"))</f>
        <v/>
      </c>
      <c r="BE439" s="591">
        <f>IF(E439="","",IF(ISNUMBER(SEARCH("ECC",E439)),"NCA-ECC-2-2024",IF(ISNUMBER(SEARCH("OTCC",E439)),"NCA-ECC-2-2024",IF(ISNUMBER(SEARCH("CCC",E439)),"NCA-ECC-2-2024",IF(ISNUMBER(SEARCH("DCC",E439)),"NCA-ECC-2-2024",IF(ISNUMBER(SEARCH("CSCC",E439)),"NCA-ECC-2-2024",IF(ISNUMBER(SEARCH("PDPL-IR",E439)),"PDPL-2021",IF(ISNUMBER(SEARCH("PDPL-DTR",E439)),"PDPL-2021","NONE"))))))))</f>
        <v/>
      </c>
      <c r="BF439" s="594">
        <f>IF(E439="","",IF(BB439="DEEP",10,IF(BB439="SHALLOW",5,IF(BB439="TEMPLATE",3,1)))+IF(N439="HIGHEST",5,IF(N439="HIGH",3,IF(N439="MODERATE",1,0)))+IF(ISNUMBER(SEARCH("Mandatory",L439)),3,0))</f>
        <v/>
      </c>
    </row>
    <row r="440" ht="42" customHeight="1">
      <c r="A440" s="84" t="n">
        <v>391</v>
      </c>
      <c r="B440" s="411" t="inlineStr">
        <is>
          <t>JZHC</t>
        </is>
      </c>
      <c r="C440" s="70" t="inlineStr">
        <is>
          <t>Jazan Health Cluster</t>
        </is>
      </c>
      <c r="D440" s="70" t="inlineStr">
        <is>
          <t>17. Regional Health Clusters</t>
        </is>
      </c>
      <c r="E440" s="411" t="inlineStr">
        <is>
          <t>NHIC-NABIDH</t>
        </is>
      </c>
      <c r="F440" s="72" t="inlineStr">
        <is>
          <t>NABIDH EHR Platform Standard</t>
        </is>
      </c>
      <c r="G440" s="70" t="inlineStr">
        <is>
          <t>معيار منصة نبض</t>
        </is>
      </c>
      <c r="H440" s="70" t="inlineStr">
        <is>
          <t>Mandatory 2024</t>
        </is>
      </c>
      <c r="I440" s="71" t="inlineStr">
        <is>
          <t>2018</t>
        </is>
      </c>
      <c r="J440" s="71" t="inlineStr">
        <is>
          <t>40</t>
        </is>
      </c>
      <c r="K440" s="70" t="inlineStr">
        <is>
          <t>MUST COMPLY WITH</t>
        </is>
      </c>
      <c r="L440" s="66" t="inlineStr">
        <is>
          <t>Mandatory Complier</t>
        </is>
      </c>
      <c r="M440" s="70" t="inlineStr">
        <is>
          <t>Jazan Health Cluster hospitals — NABIDH interoperability</t>
        </is>
      </c>
      <c r="N440" s="86" t="inlineStr">
        <is>
          <t>HIGHEST</t>
        </is>
      </c>
      <c r="O440" s="87" t="inlineStr">
        <is>
          <t>https://nhic.gov.sa/</t>
        </is>
      </c>
      <c r="P440" s="70" t="inlineStr">
        <is>
          <t>NHIC</t>
        </is>
      </c>
      <c r="Q440" s="70" t="inlineStr">
        <is>
          <t>NABIDH launched 2018 (pilot) → FHIR R4 API 2022 → mandatory all facilities 2024</t>
        </is>
      </c>
      <c r="R440" s="70" t="inlineStr">
        <is>
          <t>2018 (pilot): 10 MOH hospitals. 2019-2021: health cluster rollout. 2022: FHIR R4 API standards published; private hospitals voluntary integration. 2023: API developer portal opened; 40 technical requirements published. 2024: MANDATORY — all healthcare facilities must connect; Private Health Institutions Law updated; penalties for non-connection: facility licensing at risk. NABIDH now the central patient data repository — 45M+ patient records as of 2024</t>
        </is>
      </c>
      <c r="S440" s="71" t="inlineStr">
        <is>
          <t>Launched: 2018. FHIR R4 API: 2022. Mandatory: 2024</t>
        </is>
      </c>
      <c r="T440" s="70" t="inlineStr">
        <is>
          <t>Continuous platform updates; API versioning quarterly</t>
        </is>
      </c>
      <c r="U440" s="25" t="inlineStr">
        <is>
          <t>CURRENT — mandatory as of 2024</t>
        </is>
      </c>
      <c r="V440" s="70" t="inlineStr">
        <is>
          <t>Facility unable to receive electronic referrals; excluded from national patient record; MOH licensing risk; procurement penalties</t>
        </is>
      </c>
      <c r="W440" s="72" t="inlineStr">
        <is>
          <t>NHIC — NABIDH Programme Office; MOH General Directorate of Health Informatics; regional health clusters</t>
        </is>
      </c>
      <c r="X440" s="70" t="inlineStr">
        <is>
          <t>Hospital; Clinic; Lab; Pharmacy — ALL healthcare facilities mandatory</t>
        </is>
      </c>
      <c r="Y440" s="22" t="inlineStr">
        <is>
          <t>Both</t>
        </is>
      </c>
      <c r="Z440" s="70" t="inlineStr">
        <is>
          <t>NHIC API conformance test; connectivity monitoring (automated); annual technical review</t>
        </is>
      </c>
      <c r="AA440" s="71" t="inlineStr">
        <is>
          <t>Continuous connectivity monitoring; annual audit</t>
        </is>
      </c>
      <c r="AB440" s="70" t="inlineStr">
        <is>
          <t>16 (NABIDH IoMT data ingestion API; remote monitoring data submission; wearable vital signs standardisation; IoMT device data consent management; IoMT-generated observation resources in FHIR)</t>
        </is>
      </c>
      <c r="AC440" s="70" t="inlineStr">
        <is>
          <t>HL7 FHIR R4 (mandatory); IHE profiles; SNOMED CT; ICD-10-CM; LOINC; HL7 CDA</t>
        </is>
      </c>
      <c r="AD440" s="49" t="inlineStr">
        <is>
          <t>Arabic + English (NABIDH technical specifications bilingual)</t>
        </is>
      </c>
      <c r="AE440" s="37" t="inlineStr">
        <is>
          <t>Layer 3: Technical Controls; Layer 4: Compliance; Layer 5: Assurance</t>
        </is>
      </c>
      <c r="AF440" s="27" t="inlineStr">
        <is>
          <t>Yes — 3 connectivity levels (Basic data exchange / Full longitudinal record / Advanced IoMT integration)</t>
        </is>
      </c>
      <c r="AG440" s="70" t="inlineStr">
        <is>
          <t>HSTP digital health; National EHR programme; NHIS integration; Vision 2030 connected healthcare</t>
        </is>
      </c>
      <c r="AH440" s="70" t="inlineStr">
        <is>
          <t>NABIDH connectivity certificate; API test results; FHIR conformance statement; patient consent records; data quality dashboard reports</t>
        </is>
      </c>
      <c r="AI440" s="73" t="inlineStr">
        <is>
          <t>Institutional theory and regulatory governance theory underpin all KSA regulatory frameworks. Specific theoretical basis varies by framework — consult academic literature via Google Scholar using framework name as search term.</t>
        </is>
      </c>
      <c r="AJ440" s="70" t="inlineStr">
        <is>
          <t>Academic debate varies by framework maturity and international adoption. For KSA-specific debate, consult: Almohammad &amp; Wills (2021) J Cybersecurity; Al-Khater et al. (2020) IEEE Access; Baker McKenzie KSA regulatory updates.</t>
        </is>
      </c>
      <c r="AK440" s="74" t="inlineStr">
        <is>
          <t>Known criticisms include: implementation gap between standards and practice; resource constraints for smaller healthcare entities; rapid technology evolution outpacing regulation. Consult framework evaluation literature for specifics.</t>
        </is>
      </c>
      <c r="AL440" s="75" t="inlineStr">
        <is>
          <t>Framework comparison requires contextual analysis. Key comparators: NIST CSF 2.0 (international benchmark), ISO 27001 (certifiable standard), ECC-2 (KSA mandatory baseline). See main database for cross-framework mapping.</t>
        </is>
      </c>
      <c r="AM440"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40" s="50" t="inlineStr">
        <is>
          <t>Official: Consult the official source URL in the database for the primary document. Training: ISACA, ISC2, RAPS, IAPP, and HIMSS offer professional development covering most regulatory domains. Estimated hours vary by framework complexity.</t>
        </is>
      </c>
      <c r="AO440" s="77" t="inlineStr">
        <is>
          <t>Relevance to GH-ICGA framework varies by layer — see GH-ICGA Layer Mapping column. All KSA mandatory frameworks are compliance inputs to GH-ICGA Layer 4. Frameworks with IoMT-specific provisions directly inform Layers 2 and 3.</t>
        </is>
      </c>
      <c r="AP440" s="51" t="inlineStr">
        <is>
          <t>G + C (Governance + Compliance — standard regulatory framework positioning)</t>
        </is>
      </c>
      <c r="AQ440" s="78" t="inlineStr">
        <is>
          <t>Senior management: accountability for framework compliance. Designated compliance officer: monitor requirements. All staff: awareness of applicable obligations</t>
        </is>
      </c>
      <c r="AR440" s="74" t="inlineStr">
        <is>
          <t>Regulatory Risk; Operational Risk; Reputational Risk — specific domains determined by framework scope</t>
        </is>
      </c>
      <c r="AS440" s="22" t="inlineStr">
        <is>
          <t>See official source — legal obligation, regulatory requirement, or voluntary standard as applicable</t>
        </is>
      </c>
      <c r="AT440" s="75" t="inlineStr">
        <is>
          <t>Administrative; Technical; Operational — specific distribution determined by framework content</t>
        </is>
      </c>
      <c r="AU440" s="79" t="inlineStr">
        <is>
          <t>1. Compliance status (compliant/non-compliant). 2. # open findings from last assessment. 3. % controls implemented. 4. Time to remediate findings. 5. Incident rate in framework scope area</t>
        </is>
      </c>
      <c r="AV440" s="80" t="inlineStr">
        <is>
          <t>Self-assessment; internal audit; external assessment as specified by issuing authority</t>
        </is>
      </c>
      <c r="AW440" s="81" t="inlineStr">
        <is>
          <t>ServiceNow GRC; IBM OpenPages; RSA Archer; MetricStream — all major GRC platforms support custom framework import. Contact vendor for framework-specific module</t>
        </is>
      </c>
      <c r="AX440" s="82" t="inlineStr">
        <is>
          <t>Third parties in scope must demonstrate equivalent compliance. Contractual compliance obligations; right-to-audit clauses; annual third-party assessment</t>
        </is>
      </c>
      <c r="AY440" s="83" t="inlineStr">
        <is>
          <t>Non-compliance: regulatory action by issuing authority; fines and penalties as specified; operational and reputational consequences</t>
        </is>
      </c>
      <c r="AZ440" s="80" t="inlineStr">
        <is>
          <t>Healthcare &amp; Life Sciences</t>
        </is>
      </c>
      <c r="BA440" s="41" t="inlineStr">
        <is>
          <t>Sector-Specific</t>
        </is>
      </c>
      <c r="BB440" s="591">
        <f>IF(E440="","",IF(ISNUMBER(SEARCH("Institutional theory and regulatory governance theory underpin",AI440)),"TEMPLATE",IF(LEN(AI440)&gt;100,"DEEP",IF(AI440="","SPARSE","SHALLOW"))))</f>
        <v/>
      </c>
      <c r="BC440" s="591">
        <f>IF(E440="","",D440&amp;"-"&amp;B440&amp;"-"&amp;E440)</f>
        <v/>
      </c>
      <c r="BD440" s="591">
        <f>IF(E440="","",SUBSTITUTE(SUBSTITUTE(B440&amp;"-"&amp;E440," ",""),":","-"))</f>
        <v/>
      </c>
      <c r="BE440" s="591">
        <f>IF(E440="","",IF(ISNUMBER(SEARCH("ECC",E440)),"NCA-ECC-2-2024",IF(ISNUMBER(SEARCH("OTCC",E440)),"NCA-ECC-2-2024",IF(ISNUMBER(SEARCH("CCC",E440)),"NCA-ECC-2-2024",IF(ISNUMBER(SEARCH("DCC",E440)),"NCA-ECC-2-2024",IF(ISNUMBER(SEARCH("CSCC",E440)),"NCA-ECC-2-2024",IF(ISNUMBER(SEARCH("PDPL-IR",E440)),"PDPL-2021",IF(ISNUMBER(SEARCH("PDPL-DTR",E440)),"PDPL-2021","NONE"))))))))</f>
        <v/>
      </c>
      <c r="BF440" s="594">
        <f>IF(E440="","",IF(BB440="DEEP",10,IF(BB440="SHALLOW",5,IF(BB440="TEMPLATE",3,1)))+IF(N440="HIGHEST",5,IF(N440="HIGH",3,IF(N440="MODERATE",1,0)))+IF(ISNUMBER(SEARCH("Mandatory",L440)),3,0))</f>
        <v/>
      </c>
    </row>
    <row r="441" ht="42" customHeight="1">
      <c r="A441" s="42" t="n">
        <v>392</v>
      </c>
      <c r="B441" s="412" t="inlineStr">
        <is>
          <t>JZHC</t>
        </is>
      </c>
      <c r="C441" s="44" t="inlineStr">
        <is>
          <t>Jazan Health Cluster</t>
        </is>
      </c>
      <c r="D441" s="44" t="inlineStr">
        <is>
          <t>17. Regional Health Clusters</t>
        </is>
      </c>
      <c r="E441" s="412" t="inlineStr">
        <is>
          <t>NCA-OTCC</t>
        </is>
      </c>
      <c r="F441" s="45" t="inlineStr">
        <is>
          <t>OT Cybersecurity Controls</t>
        </is>
      </c>
      <c r="G441" s="44" t="inlineStr">
        <is>
          <t>ضوابط الأمن السيبراني للتقنيات التشغيلية</t>
        </is>
      </c>
      <c r="H441" s="44" t="inlineStr">
        <is>
          <t>OTCC-1:2022</t>
        </is>
      </c>
      <c r="I441" s="46" t="inlineStr">
        <is>
          <t>2022</t>
        </is>
      </c>
      <c r="J441" s="46" t="inlineStr">
        <is>
          <t>53</t>
        </is>
      </c>
      <c r="K441" s="44" t="inlineStr">
        <is>
          <t>MUST COMPLY WITH</t>
        </is>
      </c>
      <c r="L441" s="66" t="inlineStr">
        <is>
          <t>Mandatory Complier</t>
        </is>
      </c>
      <c r="M441" s="44" t="inlineStr">
        <is>
          <t>Jazan Health Cluster medical device OT networks — CNI designation</t>
        </is>
      </c>
      <c r="N441" s="47" t="inlineStr">
        <is>
          <t>HIGHEST</t>
        </is>
      </c>
      <c r="O441" s="48" t="inlineStr">
        <is>
          <t>https://nca.gov.sa/</t>
        </is>
      </c>
      <c r="P441" s="44" t="inlineStr">
        <is>
          <t>NCA OTCC</t>
        </is>
      </c>
      <c r="Q441" s="70" t="inlineStr">
        <is>
          <t>See official source for version history</t>
        </is>
      </c>
      <c r="R441" s="70" t="inlineStr">
        <is>
          <t>Framework issued by the relevant authority. Version details available on the official website referenced in the source URL column. The framework has been updated periodically since first issuance.</t>
        </is>
      </c>
      <c r="S441" s="71" t="inlineStr">
        <is>
          <t>See official source</t>
        </is>
      </c>
      <c r="T441" s="70" t="inlineStr">
        <is>
          <t>Updated as needed by the issuing authority</t>
        </is>
      </c>
      <c r="U441" s="25" t="inlineStr">
        <is>
          <t>CURRENT — consult official source for latest version</t>
        </is>
      </c>
      <c r="V441" s="70" t="inlineStr">
        <is>
          <t>Penalties defined by issuing authority; consult official source. NCA ECC-2 penalties apply if relevant</t>
        </is>
      </c>
      <c r="W441" s="72" t="inlineStr">
        <is>
          <t>Issuing authority and/or designated inspection department</t>
        </is>
      </c>
      <c r="X441" s="70" t="inlineStr">
        <is>
          <t>As specified in framework scope — consult official document</t>
        </is>
      </c>
      <c r="Y441" s="49" t="inlineStr">
        <is>
          <t>Both (unless specified otherwise in official document)</t>
        </is>
      </c>
      <c r="Z441" s="70" t="inlineStr">
        <is>
          <t>As defined by issuing authority</t>
        </is>
      </c>
      <c r="AA441" s="71" t="inlineStr">
        <is>
          <t>As defined by issuing authority</t>
        </is>
      </c>
      <c r="AB441" s="70" t="inlineStr">
        <is>
          <t>To be determined from framework text — see official source</t>
        </is>
      </c>
      <c r="AC441" s="70" t="inlineStr">
        <is>
          <t>See framework preamble for international standard references</t>
        </is>
      </c>
      <c r="AD441" s="49" t="inlineStr">
        <is>
          <t>Arabic (primary in KSA); English may be available</t>
        </is>
      </c>
      <c r="AE441" s="58" t="inlineStr">
        <is>
          <t>Mapped to relevant GH-ICGA layer — requires manual assessment</t>
        </is>
      </c>
      <c r="AF441" s="56" t="inlineStr">
        <is>
          <t>See official framework for maturity model details</t>
        </is>
      </c>
      <c r="AG441" s="70" t="inlineStr">
        <is>
          <t>Aligned with relevant Vision 2030 programme — see framework context</t>
        </is>
      </c>
      <c r="AH441" s="70" t="inlineStr">
        <is>
          <t>As specified in framework compliance requirements</t>
        </is>
      </c>
      <c r="AI441" s="73" t="inlineStr">
        <is>
          <t>Institutional theory and regulatory governance theory underpin all KSA regulatory frameworks. Specific theoretical basis varies by framework — consult academic literature via Google Scholar using framework name as search term.</t>
        </is>
      </c>
      <c r="AJ441" s="70" t="inlineStr">
        <is>
          <t>Academic debate varies by framework maturity and international adoption. For KSA-specific debate, consult: Almohammad &amp; Wills (2021) J Cybersecurity; Al-Khater et al. (2020) IEEE Access; Baker McKenzie KSA regulatory updates.</t>
        </is>
      </c>
      <c r="AK441" s="74" t="inlineStr">
        <is>
          <t>Known criticisms include: implementation gap between standards and practice; resource constraints for smaller healthcare entities; rapid technology evolution outpacing regulation. Consult framework evaluation literature for specifics.</t>
        </is>
      </c>
      <c r="AL441" s="75" t="inlineStr">
        <is>
          <t>Framework comparison requires contextual analysis. Key comparators: NIST CSF 2.0 (international benchmark), ISO 27001 (certifiable standard), ECC-2 (KSA mandatory baseline). See main database for cross-framework mapping.</t>
        </is>
      </c>
      <c r="AM441"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41" s="50" t="inlineStr">
        <is>
          <t>Official: Consult the official source URL in the database for the primary document. Training: ISACA, ISC2, RAPS, IAPP, and HIMSS offer professional development covering most regulatory domains. Estimated hours vary by framework complexity.</t>
        </is>
      </c>
      <c r="AO441" s="77" t="inlineStr">
        <is>
          <t>Relevance to GH-ICGA framework varies by layer — see GH-ICGA Layer Mapping column. All KSA mandatory frameworks are compliance inputs to GH-ICGA Layer 4. Frameworks with IoMT-specific provisions directly inform Layers 2 and 3.</t>
        </is>
      </c>
      <c r="AP441" s="53" t="inlineStr">
        <is>
          <t>R + C (Risk and Compliance — technically oriented; governance implied)</t>
        </is>
      </c>
      <c r="AQ441" s="78" t="inlineStr">
        <is>
          <t>CISO/OT Security Manager: own OTCC compliance. Clinical Engineering/Biomedical Engineering: co-responsible for medical device OT compliance. CTO: responsible for OT architecture. Board: informed of OT risk posture annually. OT security roles: Saudi nationals required per ECC-2 Saudisation mandate</t>
        </is>
      </c>
      <c r="AR441" s="74" t="inlineStr">
        <is>
          <t>Cyber Risk (OT/ICS); Operational Risk (process disruption); Physical Safety Risk (clinical impact of OT compromise); Supply Chain Risk (OT vendor remote access); Availability Risk (OT always-on requirement)</t>
        </is>
      </c>
      <c r="AS441" s="22" t="inlineStr">
        <is>
          <t>LEGAL — Mandatory for CNI OT operators under NCA-REG-2024. Hospitals as CNI: healthcare OT networks are in scope. Penalties: NCA-REG-2024 (SAR 25M max) + potential operational shutdown of non-compliant OT systems</t>
        </is>
      </c>
      <c r="AT441" s="75" t="inlineStr">
        <is>
          <t>Technical (T): 40 controls — OT network segmentation; secure remote access; OT monitoring; patch management for ICS. Administrative (A): 8 controls — OT governance; vendor management; OT incident response. Operational (O): 5 controls — OT change management; OT BCP</t>
        </is>
      </c>
      <c r="AU441" s="79" t="inlineStr">
        <is>
          <t>1. % OT assets inventoried (target 100%). 2. % OT systems with current patches within defined window. 3. # OT network zone violations detected. 4. % third-party OT vendor accesses logged. 5. OT system availability rate (target &gt;99.9% for life-critical). 6. Time-to-detect OT anomaly (target &lt;15 min for CNI)</t>
        </is>
      </c>
      <c r="AV441" s="80" t="inlineStr">
        <is>
          <t>OT vulnerability scan (passive — non-disruptive tools: Claroty, Nozomi, Dragos); OT network traffic analysis; OT penetration test (annual — must not disrupt clinical operations); vendor remote access audit; zone/conduit diagram validation</t>
        </is>
      </c>
      <c r="AW441" s="81" t="inlineStr">
        <is>
          <t>Claroty (medical IoT OT visibility); Nozomi Networks; Dragos; Tenable.ot; Fortinet OT; Medigate (healthcare-specific OT). For GRC integration: ServiceNow OT module; IBM QRadar SIEM with OT signatures</t>
        </is>
      </c>
      <c r="AX441" s="82" t="inlineStr">
        <is>
          <t>All OT vendors with remote access: mandatory access logging; time-limited access; multi-factor authentication; vendor security assessment before engagement; NDA for OT architecture access; OT vendor incident notification within 4 hours</t>
        </is>
      </c>
      <c r="AY441" s="83" t="inlineStr">
        <is>
          <t>OT breach in hospital: potential life-critical impact (ventilator, infusion pump disruption); NCA shutdown order; SAR 25M fine; criminal referral; SFDA recall if device compromise detected; massive reputational and legal exposure</t>
        </is>
      </c>
      <c r="AZ441" s="80" t="inlineStr">
        <is>
          <t>Sector-specific — consult official source</t>
        </is>
      </c>
      <c r="BA441" s="41" t="inlineStr">
        <is>
          <t>Sector-Specific</t>
        </is>
      </c>
      <c r="BB441" s="591">
        <f>IF(E441="","",IF(ISNUMBER(SEARCH("Institutional theory and regulatory governance theory underpin",AI441)),"TEMPLATE",IF(LEN(AI441)&gt;100,"DEEP",IF(AI441="","SPARSE","SHALLOW"))))</f>
        <v/>
      </c>
      <c r="BC441" s="591">
        <f>IF(E441="","",D441&amp;"-"&amp;B441&amp;"-"&amp;E441)</f>
        <v/>
      </c>
      <c r="BD441" s="591">
        <f>IF(E441="","",SUBSTITUTE(SUBSTITUTE(B441&amp;"-"&amp;E441," ",""),":","-"))</f>
        <v/>
      </c>
      <c r="BE441" s="591">
        <f>IF(E441="","",IF(ISNUMBER(SEARCH("ECC",E441)),"NCA-ECC-2-2024",IF(ISNUMBER(SEARCH("OTCC",E441)),"NCA-ECC-2-2024",IF(ISNUMBER(SEARCH("CCC",E441)),"NCA-ECC-2-2024",IF(ISNUMBER(SEARCH("DCC",E441)),"NCA-ECC-2-2024",IF(ISNUMBER(SEARCH("CSCC",E441)),"NCA-ECC-2-2024",IF(ISNUMBER(SEARCH("PDPL-IR",E441)),"PDPL-2021",IF(ISNUMBER(SEARCH("PDPL-DTR",E441)),"PDPL-2021","NONE"))))))))</f>
        <v/>
      </c>
      <c r="BF441" s="594">
        <f>IF(E441="","",IF(BB441="DEEP",10,IF(BB441="SHALLOW",5,IF(BB441="TEMPLATE",3,1)))+IF(N441="HIGHEST",5,IF(N441="HIGH",3,IF(N441="MODERATE",1,0)))+IF(ISNUMBER(SEARCH("Mandatory",L441)),3,0))</f>
        <v/>
      </c>
    </row>
    <row r="442" ht="42" customHeight="1">
      <c r="A442" s="84" t="n">
        <v>393</v>
      </c>
      <c r="B442" s="411" t="inlineStr">
        <is>
          <t>TBHC</t>
        </is>
      </c>
      <c r="C442" s="70" t="inlineStr">
        <is>
          <t>Tabuk Health Cluster</t>
        </is>
      </c>
      <c r="D442" s="70" t="inlineStr">
        <is>
          <t>17. Regional Health Clusters</t>
        </is>
      </c>
      <c r="E442" s="411" t="inlineStr">
        <is>
          <t>MOH-HIS</t>
        </is>
      </c>
      <c r="F442" s="72" t="inlineStr">
        <is>
          <t>Health Information System Standards</t>
        </is>
      </c>
      <c r="G442" s="70" t="inlineStr">
        <is>
          <t>معايير نظم المعلومات الصحية</t>
        </is>
      </c>
      <c r="H442" s="70" t="inlineStr">
        <is>
          <t>2024 update</t>
        </is>
      </c>
      <c r="I442" s="71" t="inlineStr">
        <is>
          <t>2010</t>
        </is>
      </c>
      <c r="J442" s="71" t="inlineStr">
        <is>
          <t>112</t>
        </is>
      </c>
      <c r="K442" s="70" t="inlineStr">
        <is>
          <t>MUST COMPLY WITH</t>
        </is>
      </c>
      <c r="L442" s="66" t="inlineStr">
        <is>
          <t>Mandatory Complier</t>
        </is>
      </c>
      <c r="M442" s="70" t="inlineStr">
        <is>
          <t>Tabuk Health Cluster hospitals — mandatory HIS compliance</t>
        </is>
      </c>
      <c r="N442" s="86" t="inlineStr">
        <is>
          <t>HIGHEST</t>
        </is>
      </c>
      <c r="O442" s="87" t="inlineStr">
        <is>
          <t>https://www.moh.gov.sa/en/</t>
        </is>
      </c>
      <c r="P442" s="70" t="inlineStr">
        <is>
          <t>MOH official</t>
        </is>
      </c>
      <c r="Q442" s="70" t="inlineStr">
        <is>
          <t>First issued ~2010 → comprehensive update 2022 → mandatory EMR update 2024</t>
        </is>
      </c>
      <c r="R442" s="70" t="inlineStr">
        <is>
          <t>Progressive standards covering: 2010 (basic EHR requirements); 2015 (interoperability standards added); 2018 (NABIDH integration); 2020 (mobile health and telemedicine modules); 2022 (comprehensive 112-control update covering clinical systems, imaging, medication management, emergency, genomics, training); 2024 (mandatory EMR adoption for all MOH and private facilities aligned with NABIDH)</t>
        </is>
      </c>
      <c r="S442" s="71" t="inlineStr">
        <is>
          <t>First: 2010. Major update: 2022. EMR mandate: 2024</t>
        </is>
      </c>
      <c r="T442" s="70" t="inlineStr">
        <is>
          <t>Updated with NABIDH platform releases; typically annual minor updates</t>
        </is>
      </c>
      <c r="U442" s="25" t="inlineStr">
        <is>
          <t>CURRENT — 2024 version mandatory</t>
        </is>
      </c>
      <c r="V442" s="70" t="inlineStr">
        <is>
          <t>MOH facility licensing at risk; mandatory corrective action plan; financial penalties under Private Health Institutions Law; non-compliant systems barred from NABIDH connectivity</t>
        </is>
      </c>
      <c r="W442" s="72" t="inlineStr">
        <is>
          <t>MOH — Directorate of Health Information (DHI); regional health cluster inspection teams; NHIC for interoperability compliance</t>
        </is>
      </c>
      <c r="X442" s="70" t="inlineStr">
        <is>
          <t>Hospital; Clinic; Lab; Pharmacy (hospital); Government Health Entity</t>
        </is>
      </c>
      <c r="Y442" s="49" t="inlineStr">
        <is>
          <t>Both (mandatory for MOH facilities; mandatory for private facilities since 2024 PHILAW update)</t>
        </is>
      </c>
      <c r="Z442" s="70" t="inlineStr">
        <is>
          <t>MOH annual IT audit; NHIC interoperability assessment; CBAHI HIT standards review during accreditation</t>
        </is>
      </c>
      <c r="AA442" s="71" t="inlineStr">
        <is>
          <t>Annual MOH audit; NABIDH connectivity continuous monitoring</t>
        </is>
      </c>
      <c r="AB442" s="70" t="inlineStr">
        <is>
          <t>28 (medical device integration into HIS; alarm management; device data capture; IoMT workflow integration; remote monitoring data ingestion; device incident reporting to HIS)</t>
        </is>
      </c>
      <c r="AC442" s="70" t="inlineStr">
        <is>
          <t>HL7 FHIR R4 (interoperability); IHE profiles (integration); ISO 27799:2016 (health ISMS); DICOM (imaging)</t>
        </is>
      </c>
      <c r="AD442" s="49" t="inlineStr">
        <is>
          <t>Arabic (primary); English technical annexes</t>
        </is>
      </c>
      <c r="AE442" s="26" t="inlineStr">
        <is>
          <t>Layer 1: Governance; Layer 3: Technical Controls; Layer 4: Compliance</t>
        </is>
      </c>
      <c r="AF442" s="27" t="inlineStr">
        <is>
          <t>Yes — 4 implementation levels (Basic / Intermediate / Advanced / Optimised); MOH tracks facility scores</t>
        </is>
      </c>
      <c r="AG442" s="70" t="inlineStr">
        <is>
          <t>HSTP digital health; NABIDH national EHR; Vision 2030 healthcare quality targets</t>
        </is>
      </c>
      <c r="AH442" s="70" t="inlineStr">
        <is>
          <t>HIS system documentation; NABIDH connectivity certificate; interoperability test results; staff training records; system access audit logs; downtime contingency procedure</t>
        </is>
      </c>
      <c r="AI442" s="73" t="inlineStr">
        <is>
          <t>Health informatics systems theory (Shortliffe &amp; Cimino 2006): HIS as sociotechnical infrastructure. Interoperability theory (Kuperman 2011): semantic/syntactic/organisational interoperability levels. Technology adoption theory (TAM — Davis 1989): clinician adoption barriers to HIS.</t>
        </is>
      </c>
      <c r="AJ442" s="70" t="inlineStr">
        <is>
          <t>FOR: National standardisation essential for patient safety continuity (WHO 2019); NABIDH integration creates longitudinal patient record unavailable previously; IoMT data integration requirements push hospitals toward modern system architectures. AGAINST: Ajami &amp; Bagheri-Tadi (2013) and Aloudah et al. (2021) document implementation-reality gap in Saudi HIS — standards exist but compliance varies widely by facility tier; urban-rural HIS capacity gap poorly addressed; cybersecurity requirements within HIS standards historically weak (pre-NABIDH)</t>
        </is>
      </c>
      <c r="AK442" s="74" t="inlineStr">
        <is>
          <t>112 controls create compliance burden without proportionality guidance; small private clinics face disproportionate compliance cost; no formal HIS certification programme — self-declaration accepted; IoMT data standards not harmonised with international HL7 FHIR profiles; historical emphasis on data capture over data quality</t>
        </is>
      </c>
      <c r="AL442" s="75" t="inlineStr">
        <is>
          <t>MOH-HIS vs NHS Digital standards (UK): NHS has legally binding DCB standards with enforcement; MOH-HIS is ministerial directive with softer enforcement. MOH-HIS vs ONC Health IT Certification (US): US has federal certification; KSA moving toward certification (NABIDH conformance). MOH-HIS + NHIC-NABIDH = closest to ONC approach in KSA</t>
        </is>
      </c>
      <c r="AM442" s="76" t="inlineStr">
        <is>
          <t>Ajami S &amp; Bagheri-Tadi T (2013) 'Barriers for Adopting Electronic Health Records' MateriaSociomed 25(3); Aloudah N et al. (2021) 'Digital Health in Saudi Arabia' Sustainability 13(12); Shortliffe EH &amp; Cimino JJ (2006) Biomedical Informatics Springer; WHO (2019) Classification of Digital Interventions; Alotaibi YK &amp; Federico F (2017) 'Impact of Health IT on Patient Safety' Saudi Medical J 38(12)</t>
        </is>
      </c>
      <c r="AN442" s="50" t="inlineStr">
        <is>
          <t>Official: MOH website (moh.gov.sa). Training: CPHIMS (Certified Professional Health Informatics &amp; Information Management); HL7 FHIR Foundational (HL7.org); NHIC developer portal training (nhic.gov.sa). Language: Arabic primary. Estimated: 45 hours</t>
        </is>
      </c>
      <c r="AO442" s="77" t="inlineStr">
        <is>
          <t>GH-ICGA Layer 1 (Governance) + Layer 3 (Technical Controls) — MOH-HIS is the clinical data governance backbone that the preliminary GH-ICGA IoMT framework must integrate with. Thesis: GH-ICGA IoMT data model must align with HIS data standards to ensure IoMT device data flows into the national health record coherently</t>
        </is>
      </c>
      <c r="AP442" s="34" t="inlineStr">
        <is>
          <t>G + R + C (all three — clinical information governance foundation)</t>
        </is>
      </c>
      <c r="AQ442" s="78" t="inlineStr">
        <is>
          <t>Hospital CEO: accountable for HIS compliance. CIO/CMIO: responsible for HIS implementation and NABIDH connectivity. Clinical Informatics Committee: govern HIS standards adoption. Department Heads: responsible for clinical data quality in their systems</t>
        </is>
      </c>
      <c r="AR442" s="74" t="inlineStr">
        <is>
          <t>Operational Risk (HIS downtime = clinical risk); Patient Safety Risk; Data Quality Risk; Regulatory Risk (MOH non-compliance); Interoperability Risk (NABIDH disconnection)</t>
        </is>
      </c>
      <c r="AS442" s="61" t="inlineStr">
        <is>
          <t>REGULATORY — MOH ministerial directive. Mandatory for all licensed facilities. Non-compliance risks licensing. Enforced through MOH annual audit and NABIDH connectivity monitoring</t>
        </is>
      </c>
      <c r="AT442" s="75" t="inlineStr">
        <is>
          <t>Technical (T): 68 controls — system architecture; integration; security; availability; backup. Administrative (A): 28 controls — data governance; policies; training; documentation. Operational (O): 16 controls — downtime procedures; change management; vendor management</t>
        </is>
      </c>
      <c r="AU442" s="79" t="inlineStr">
        <is>
          <t>1. NABIDH connectivity status (connected/disconnected). 2. HIS downtime incidents per month (target &lt;4h/month). 3. Data quality score (completeness/accuracy) from NABIDH reports. 4. % clinical staff trained on HIS (target 100%). 5. Time-to-restore HIS after failure (target &lt;4h). 6. # HIS security incidents per quarter</t>
        </is>
      </c>
      <c r="AV442" s="80" t="inlineStr">
        <is>
          <t>Annual MOH HIS audit (documentation + system walk-through); NABIDH API conformance test (NHIC automated); data quality audit; HIS security assessment; downtime procedure simulation; user access review</t>
        </is>
      </c>
      <c r="AW442" s="81" t="inlineStr">
        <is>
          <t>Epic; Cerner (Oracle Health); Philips Tasy EMR; Meditech; InterSystems HealthShare — all NABIDH-integrated. For compliance: ServiceNow Healthcare; Qualio (quality management); NHIC developer portal for FHIR conformance testing</t>
        </is>
      </c>
      <c r="AX442" s="82" t="inlineStr">
        <is>
          <t>HIS vendors: must be MOH-approved/NABIDH-certified; contractual data protection obligations; source code escrow for critical systems; SLA for 99.9% uptime; mandatory SFDA notification if HIS failure affects medical devices; annual security assessment of HIS vendors</t>
        </is>
      </c>
      <c r="AY442" s="83" t="inlineStr">
        <is>
          <t>Non-compliance: MOH corrective action; facility licence conditions; NABIDH disconnection (loss of referrals, national patient record access); PHILAW 2024 penalties for private facilities. Clinical impact: patient safety risk from poor data quality or HIS unavailability</t>
        </is>
      </c>
      <c r="AZ442" s="80" t="inlineStr">
        <is>
          <t>Healthcare &amp; Life Sciences</t>
        </is>
      </c>
      <c r="BA442" s="41" t="inlineStr">
        <is>
          <t>Sector-Specific</t>
        </is>
      </c>
      <c r="BB442" s="591">
        <f>IF(E442="","",IF(ISNUMBER(SEARCH("Institutional theory and regulatory governance theory underpin",AI442)),"TEMPLATE",IF(LEN(AI442)&gt;100,"DEEP",IF(AI442="","SPARSE","SHALLOW"))))</f>
        <v/>
      </c>
      <c r="BC442" s="591">
        <f>IF(E442="","",D442&amp;"-"&amp;B442&amp;"-"&amp;E442)</f>
        <v/>
      </c>
      <c r="BD442" s="591">
        <f>IF(E442="","",SUBSTITUTE(SUBSTITUTE(B442&amp;"-"&amp;E442," ",""),":","-"))</f>
        <v/>
      </c>
      <c r="BE442" s="591">
        <f>IF(E442="","",IF(ISNUMBER(SEARCH("ECC",E442)),"NCA-ECC-2-2024",IF(ISNUMBER(SEARCH("OTCC",E442)),"NCA-ECC-2-2024",IF(ISNUMBER(SEARCH("CCC",E442)),"NCA-ECC-2-2024",IF(ISNUMBER(SEARCH("DCC",E442)),"NCA-ECC-2-2024",IF(ISNUMBER(SEARCH("CSCC",E442)),"NCA-ECC-2-2024",IF(ISNUMBER(SEARCH("PDPL-IR",E442)),"PDPL-2021",IF(ISNUMBER(SEARCH("PDPL-DTR",E442)),"PDPL-2021","NONE"))))))))</f>
        <v/>
      </c>
      <c r="BF442" s="594">
        <f>IF(E442="","",IF(BB442="DEEP",10,IF(BB442="SHALLOW",5,IF(BB442="TEMPLATE",3,1)))+IF(N442="HIGHEST",5,IF(N442="HIGH",3,IF(N442="MODERATE",1,0)))+IF(ISNUMBER(SEARCH("Mandatory",L442)),3,0))</f>
        <v/>
      </c>
    </row>
    <row r="443" ht="42" customHeight="1">
      <c r="A443" s="42" t="n">
        <v>394</v>
      </c>
      <c r="B443" s="412" t="inlineStr">
        <is>
          <t>TBHC</t>
        </is>
      </c>
      <c r="C443" s="44" t="inlineStr">
        <is>
          <t>Tabuk Health Cluster</t>
        </is>
      </c>
      <c r="D443" s="44" t="inlineStr">
        <is>
          <t>17. Regional Health Clusters</t>
        </is>
      </c>
      <c r="E443" s="412" t="inlineStr">
        <is>
          <t>MOH-EMR-NABIDH</t>
        </is>
      </c>
      <c r="F443" s="45" t="inlineStr">
        <is>
          <t>EMR Standards / NABIDH</t>
        </is>
      </c>
      <c r="G443" s="44" t="inlineStr">
        <is>
          <t>معايير السجل الصحي الإلكتروني / نبض</t>
        </is>
      </c>
      <c r="H443" s="44" t="inlineStr">
        <is>
          <t>Mandatory 2024</t>
        </is>
      </c>
      <c r="I443" s="46" t="inlineStr">
        <is>
          <t>2010</t>
        </is>
      </c>
      <c r="J443" s="46" t="inlineStr">
        <is>
          <t>52</t>
        </is>
      </c>
      <c r="K443" s="44" t="inlineStr">
        <is>
          <t>MUST COMPLY WITH</t>
        </is>
      </c>
      <c r="L443" s="66" t="inlineStr">
        <is>
          <t>Mandatory Complier</t>
        </is>
      </c>
      <c r="M443" s="44" t="inlineStr">
        <is>
          <t>Tabuk Health Cluster — mandatory NABIDH connectivity 2024</t>
        </is>
      </c>
      <c r="N443" s="47" t="inlineStr">
        <is>
          <t>HIGHEST</t>
        </is>
      </c>
      <c r="O443" s="48" t="inlineStr">
        <is>
          <t>https://www.moh.gov.sa/en/</t>
        </is>
      </c>
      <c r="P443" s="44" t="inlineStr">
        <is>
          <t>MOH/NHIC</t>
        </is>
      </c>
      <c r="Q443" s="70" t="inlineStr">
        <is>
          <t>NABIDH platform launched ~2018 → mandatory EMR adoption for all facilities 2024</t>
        </is>
      </c>
      <c r="R443" s="70" t="inlineStr">
        <is>
          <t>NABIDH (National Unified EHR Platform): v1 2018 (pilot MOH hospitals); 2019-2021 (rollout to health clusters); 2022 (private hospital voluntary integration); 2023 (API standards published based on FHIR R4); 2024 (mandatory for ALL healthcare facilities per Private Health Institutions Law update — complete patient longitudinal record across facilities). EMR standard covers 52 functional requirements including: CPOE, medication reconciliation, imaging integration, patient portal, audit logs</t>
        </is>
      </c>
      <c r="S443" s="71" t="inlineStr">
        <is>
          <t>NABIDH launched: 2018. Mandatory for all: 2024</t>
        </is>
      </c>
      <c r="T443" s="70" t="inlineStr">
        <is>
          <t>Continuously updated with NABIDH platform releases</t>
        </is>
      </c>
      <c r="U443" s="25" t="inlineStr">
        <is>
          <t>CURRENT — mandatory since 2024</t>
        </is>
      </c>
      <c r="V443" s="70" t="inlineStr">
        <is>
          <t>Facility licensing revocation; MOH enforcement action; barred from government referrals; penalties under PHILAW 2024</t>
        </is>
      </c>
      <c r="W443" s="72" t="inlineStr">
        <is>
          <t>MOH — NABIDH Programme Office; NHIC; regional health clusters monitor connectivity</t>
        </is>
      </c>
      <c r="X443" s="70" t="inlineStr">
        <is>
          <t>Hospital; Clinic; Lab; Pharmacy; Government Health Entity — ALL healthcare facilities mandatory</t>
        </is>
      </c>
      <c r="Y443" s="49" t="inlineStr">
        <is>
          <t>Both (mandatory since 2024 PHILAW update for all facilities)</t>
        </is>
      </c>
      <c r="Z443" s="70" t="inlineStr">
        <is>
          <t>NHIC connectivity assessment; NABIDH API conformance testing; MOH annual audit</t>
        </is>
      </c>
      <c r="AA443" s="71" t="inlineStr">
        <is>
          <t>Continuous (NABIDH connectivity monitored in real time); annual formal audit</t>
        </is>
      </c>
      <c r="AB443" s="70" t="inlineStr">
        <is>
          <t>22 (IoMT data integration to NABIDH: wearable data ingestion API; remote monitoring feeds; device-generated vital signs; medical device alerts to patient record; IoMT consent management in EHR)</t>
        </is>
      </c>
      <c r="AC443" s="70" t="inlineStr">
        <is>
          <t>HL7 FHIR R4; IHE (Integrating the Healthcare Enterprise); SNOMED CT; ICD-10; LOINC</t>
        </is>
      </c>
      <c r="AD443" s="49" t="inlineStr">
        <is>
          <t>Arabic + English (NABIDH technical specifications bilingual)</t>
        </is>
      </c>
      <c r="AE443" s="26" t="inlineStr">
        <is>
          <t>Layer 1: Governance; Layer 3: Technical Controls; Layer 4: Compliance; Layer 5: Assurance</t>
        </is>
      </c>
      <c r="AF443" s="27" t="inlineStr">
        <is>
          <t>Yes — NABIDH connectivity levels (1: Basic data exchange; 2: Full longitudinal record; 3: Advanced interoperability with IoMT); MOH tracks facility level</t>
        </is>
      </c>
      <c r="AG443" s="70" t="inlineStr">
        <is>
          <t>HSTP digital health transformation; NABIDH national EHR; NHIS claims integration</t>
        </is>
      </c>
      <c r="AH443" s="70" t="inlineStr">
        <is>
          <t>NABIDH connectivity certificate; API integration test reports; patient consent records for data sharing; EHR system validation; data quality reports</t>
        </is>
      </c>
      <c r="AI443" s="73" t="inlineStr">
        <is>
          <t>Institutional theory and regulatory governance theory underpin all KSA regulatory frameworks. Specific theoretical basis varies by framework — consult academic literature via Google Scholar using framework name as search term.</t>
        </is>
      </c>
      <c r="AJ443" s="70" t="inlineStr">
        <is>
          <t>Academic debate varies by framework maturity and international adoption. For KSA-specific debate, consult: Almohammad &amp; Wills (2021) J Cybersecurity; Al-Khater et al. (2020) IEEE Access; Baker McKenzie KSA regulatory updates.</t>
        </is>
      </c>
      <c r="AK443" s="74" t="inlineStr">
        <is>
          <t>Known criticisms include: implementation gap between standards and practice; resource constraints for smaller healthcare entities; rapid technology evolution outpacing regulation. Consult framework evaluation literature for specifics.</t>
        </is>
      </c>
      <c r="AL443" s="75" t="inlineStr">
        <is>
          <t>Framework comparison requires contextual analysis. Key comparators: NIST CSF 2.0 (international benchmark), ISO 27001 (certifiable standard), ECC-2 (KSA mandatory baseline). See main database for cross-framework mapping.</t>
        </is>
      </c>
      <c r="AM443"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43" s="50" t="inlineStr">
        <is>
          <t>Official: Consult the official source URL in the database for the primary document. Training: ISACA, ISC2, RAPS, IAPP, and HIMSS offer professional development covering most regulatory domains. Estimated hours vary by framework complexity.</t>
        </is>
      </c>
      <c r="AO443" s="77" t="inlineStr">
        <is>
          <t>Relevance to GH-ICGA framework varies by layer — see GH-ICGA Layer Mapping column. All KSA mandatory frameworks are compliance inputs to GH-ICGA Layer 4. Frameworks with IoMT-specific provisions directly inform Layers 2 and 3.</t>
        </is>
      </c>
      <c r="AP443" s="51" t="inlineStr">
        <is>
          <t>G + C (Governance + Compliance — standard regulatory framework positioning)</t>
        </is>
      </c>
      <c r="AQ443" s="78" t="inlineStr">
        <is>
          <t>Senior management: accountability for framework compliance. Designated compliance officer: monitor requirements. All staff: awareness of applicable obligations</t>
        </is>
      </c>
      <c r="AR443" s="74" t="inlineStr">
        <is>
          <t>Regulatory Risk; Operational Risk; Reputational Risk — specific domains determined by framework scope</t>
        </is>
      </c>
      <c r="AS443" s="22" t="inlineStr">
        <is>
          <t>See official source — legal obligation, regulatory requirement, or voluntary standard as applicable</t>
        </is>
      </c>
      <c r="AT443" s="75" t="inlineStr">
        <is>
          <t>Administrative; Technical; Operational — specific distribution determined by framework content</t>
        </is>
      </c>
      <c r="AU443" s="79" t="inlineStr">
        <is>
          <t>1. Compliance status (compliant/non-compliant). 2. # open findings from last assessment. 3. % controls implemented. 4. Time to remediate findings. 5. Incident rate in framework scope area</t>
        </is>
      </c>
      <c r="AV443" s="80" t="inlineStr">
        <is>
          <t>Self-assessment; internal audit; external assessment as specified by issuing authority</t>
        </is>
      </c>
      <c r="AW443" s="81" t="inlineStr">
        <is>
          <t>ServiceNow GRC; IBM OpenPages; RSA Archer; MetricStream — all major GRC platforms support custom framework import. Contact vendor for framework-specific module</t>
        </is>
      </c>
      <c r="AX443" s="82" t="inlineStr">
        <is>
          <t>Third parties in scope must demonstrate equivalent compliance. Contractual compliance obligations; right-to-audit clauses; annual third-party assessment</t>
        </is>
      </c>
      <c r="AY443" s="83" t="inlineStr">
        <is>
          <t>Non-compliance: regulatory action by issuing authority; fines and penalties as specified; operational and reputational consequences</t>
        </is>
      </c>
      <c r="AZ443" s="80" t="inlineStr">
        <is>
          <t>Healthcare &amp; Life Sciences</t>
        </is>
      </c>
      <c r="BA443" s="41" t="inlineStr">
        <is>
          <t>Sector-Specific</t>
        </is>
      </c>
      <c r="BB443" s="591">
        <f>IF(E443="","",IF(ISNUMBER(SEARCH("Institutional theory and regulatory governance theory underpin",AI443)),"TEMPLATE",IF(LEN(AI443)&gt;100,"DEEP",IF(AI443="","SPARSE","SHALLOW"))))</f>
        <v/>
      </c>
      <c r="BC443" s="591">
        <f>IF(E443="","",D443&amp;"-"&amp;B443&amp;"-"&amp;E443)</f>
        <v/>
      </c>
      <c r="BD443" s="591">
        <f>IF(E443="","",SUBSTITUTE(SUBSTITUTE(B443&amp;"-"&amp;E443," ",""),":","-"))</f>
        <v/>
      </c>
      <c r="BE443" s="591">
        <f>IF(E443="","",IF(ISNUMBER(SEARCH("ECC",E443)),"NCA-ECC-2-2024",IF(ISNUMBER(SEARCH("OTCC",E443)),"NCA-ECC-2-2024",IF(ISNUMBER(SEARCH("CCC",E443)),"NCA-ECC-2-2024",IF(ISNUMBER(SEARCH("DCC",E443)),"NCA-ECC-2-2024",IF(ISNUMBER(SEARCH("CSCC",E443)),"NCA-ECC-2-2024",IF(ISNUMBER(SEARCH("PDPL-IR",E443)),"PDPL-2021",IF(ISNUMBER(SEARCH("PDPL-DTR",E443)),"PDPL-2021","NONE"))))))))</f>
        <v/>
      </c>
      <c r="BF443" s="594">
        <f>IF(E443="","",IF(BB443="DEEP",10,IF(BB443="SHALLOW",5,IF(BB443="TEMPLATE",3,1)))+IF(N443="HIGHEST",5,IF(N443="HIGH",3,IF(N443="MODERATE",1,0)))+IF(ISNUMBER(SEARCH("Mandatory",L443)),3,0))</f>
        <v/>
      </c>
    </row>
    <row r="444" ht="42" customHeight="1">
      <c r="A444" s="84" t="n">
        <v>395</v>
      </c>
      <c r="B444" s="411" t="inlineStr">
        <is>
          <t>TBHC</t>
        </is>
      </c>
      <c r="C444" s="70" t="inlineStr">
        <is>
          <t>Tabuk Health Cluster</t>
        </is>
      </c>
      <c r="D444" s="70" t="inlineStr">
        <is>
          <t>17. Regional Health Clusters</t>
        </is>
      </c>
      <c r="E444" s="411" t="inlineStr">
        <is>
          <t>MOH-PS</t>
        </is>
      </c>
      <c r="F444" s="72" t="inlineStr">
        <is>
          <t>Patient Safety Standards</t>
        </is>
      </c>
      <c r="G444" s="70" t="inlineStr">
        <is>
          <t>معايير سلامة المريض</t>
        </is>
      </c>
      <c r="H444" s="70" t="inlineStr">
        <is>
          <t>2024 update</t>
        </is>
      </c>
      <c r="I444" s="71" t="inlineStr">
        <is>
          <t>2015</t>
        </is>
      </c>
      <c r="J444" s="71" t="inlineStr">
        <is>
          <t>72</t>
        </is>
      </c>
      <c r="K444" s="70" t="inlineStr">
        <is>
          <t>MUST COMPLY WITH</t>
        </is>
      </c>
      <c r="L444" s="66" t="inlineStr">
        <is>
          <t>Mandatory Complier</t>
        </is>
      </c>
      <c r="M444" s="70" t="inlineStr">
        <is>
          <t>Tabuk Health Cluster — patient safety compliance</t>
        </is>
      </c>
      <c r="N444" s="86" t="inlineStr">
        <is>
          <t>HIGHEST</t>
        </is>
      </c>
      <c r="O444" s="87" t="inlineStr">
        <is>
          <t>https://www.moh.gov.sa/en/</t>
        </is>
      </c>
      <c r="P444" s="70" t="inlineStr">
        <is>
          <t>MOH official</t>
        </is>
      </c>
      <c r="Q444" s="70" t="inlineStr">
        <is>
          <t>First issued ~2015 → updates 2020 → 2024 update</t>
        </is>
      </c>
      <c r="R444" s="70" t="inlineStr">
        <is>
          <t>Based on WHO and JCI patient safety frameworks. Covers: patient identification (minimum 2 identifiers), medication safety (high-alert medications protocol), surgical safety checklist, falls prevention, infection control, critical value reporting, handover communications (SBAR). 2020 update added COVID-19 IPC protocols. 2024 update adds IoMT device safety (alarm fatigue management, device connectivity requirements)</t>
        </is>
      </c>
      <c r="S444" s="71" t="inlineStr">
        <is>
          <t>First: ~2015. Updated: 2020, 2024</t>
        </is>
      </c>
      <c r="T444" s="70" t="inlineStr">
        <is>
          <t>Annual review with MOH patient safety incidents data</t>
        </is>
      </c>
      <c r="U444" s="25" t="inlineStr">
        <is>
          <t>CURRENT — 2024 version</t>
        </is>
      </c>
      <c r="V444" s="70" t="inlineStr">
        <is>
          <t>MOH corrective action order; facility licence conditions; public safety alert; criminal liability for gross negligence</t>
        </is>
      </c>
      <c r="W444" s="72" t="inlineStr">
        <is>
          <t>MOH — Patient Safety Centre; regional health cluster inspection; CBAHI (patient safety standards embedded in accreditation)</t>
        </is>
      </c>
      <c r="X444" s="70" t="inlineStr">
        <is>
          <t>Hospital; Clinic; Government Health Entity</t>
        </is>
      </c>
      <c r="Y444" s="22" t="inlineStr">
        <is>
          <t>Both</t>
        </is>
      </c>
      <c r="Z444" s="70" t="inlineStr">
        <is>
          <t>Annual MOH patient safety inspection; CBAHI survey (integrated); incident investigation</t>
        </is>
      </c>
      <c r="AA444" s="71" t="inlineStr">
        <is>
          <t>Annual; triggered by serious adverse event</t>
        </is>
      </c>
      <c r="AB444" s="70" t="inlineStr">
        <is>
          <t>14 (alarm fatigue management for IoMT devices; connected infusion pump safety; IV smart pump drug library governance; patient ID for IoMT devices; device failure response procedures; remote monitoring alert management)</t>
        </is>
      </c>
      <c r="AC444" s="70" t="inlineStr">
        <is>
          <t>WHO Patient Safety Challenges (Global Patient Safety Action Plan 2021-2030); JCI Patient Safety Goals; The Joint Commission NPSG</t>
        </is>
      </c>
      <c r="AD444" s="49" t="inlineStr">
        <is>
          <t>Arabic (primary); English reference</t>
        </is>
      </c>
      <c r="AE444" s="26" t="inlineStr">
        <is>
          <t>Layer 1: Governance; Layer 4: Compliance</t>
        </is>
      </c>
      <c r="AF444" s="27" t="inlineStr">
        <is>
          <t>Yes — patient safety maturity levels (Safety-I to Safety-III); MOH tracks facility scores</t>
        </is>
      </c>
      <c r="AG444" s="70" t="inlineStr">
        <is>
          <t>HSTP patient safety; Vision 2030 quality targets; National Patient Safety Centre</t>
        </is>
      </c>
      <c r="AH444" s="70" t="inlineStr">
        <is>
          <t>Incident reporting system data; patient safety walkround records; fall prevention audit; medication safety audit; CBAHI patient safety standards compliance</t>
        </is>
      </c>
      <c r="AI444" s="73" t="inlineStr">
        <is>
          <t>Institutional theory and regulatory governance theory underpin all KSA regulatory frameworks. Specific theoretical basis varies by framework — consult academic literature via Google Scholar using framework name as search term.</t>
        </is>
      </c>
      <c r="AJ444" s="70" t="inlineStr">
        <is>
          <t>Academic debate varies by framework maturity and international adoption. For KSA-specific debate, consult: Almohammad &amp; Wills (2021) J Cybersecurity; Al-Khater et al. (2020) IEEE Access; Baker McKenzie KSA regulatory updates.</t>
        </is>
      </c>
      <c r="AK444" s="74" t="inlineStr">
        <is>
          <t>Known criticisms include: implementation gap between standards and practice; resource constraints for smaller healthcare entities; rapid technology evolution outpacing regulation. Consult framework evaluation literature for specifics.</t>
        </is>
      </c>
      <c r="AL444" s="75" t="inlineStr">
        <is>
          <t>Framework comparison requires contextual analysis. Key comparators: NIST CSF 2.0 (international benchmark), ISO 27001 (certifiable standard), ECC-2 (KSA mandatory baseline). See main database for cross-framework mapping.</t>
        </is>
      </c>
      <c r="AM444"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44" s="50" t="inlineStr">
        <is>
          <t>Official: Consult the official source URL in the database for the primary document. Training: ISACA, ISC2, RAPS, IAPP, and HIMSS offer professional development covering most regulatory domains. Estimated hours vary by framework complexity.</t>
        </is>
      </c>
      <c r="AO444" s="77" t="inlineStr">
        <is>
          <t>Relevance to GH-ICGA framework varies by layer — see GH-ICGA Layer Mapping column. All KSA mandatory frameworks are compliance inputs to GH-ICGA Layer 4. Frameworks with IoMT-specific provisions directly inform Layers 2 and 3.</t>
        </is>
      </c>
      <c r="AP444" s="51" t="inlineStr">
        <is>
          <t>G + C (Governance + Compliance — standard regulatory framework positioning)</t>
        </is>
      </c>
      <c r="AQ444" s="78" t="inlineStr">
        <is>
          <t>Senior management: accountability for framework compliance. Designated compliance officer: monitor requirements. All staff: awareness of applicable obligations</t>
        </is>
      </c>
      <c r="AR444" s="74" t="inlineStr">
        <is>
          <t>Regulatory Risk; Operational Risk; Reputational Risk — specific domains determined by framework scope</t>
        </is>
      </c>
      <c r="AS444" s="22" t="inlineStr">
        <is>
          <t>See official source — legal obligation, regulatory requirement, or voluntary standard as applicable</t>
        </is>
      </c>
      <c r="AT444" s="75" t="inlineStr">
        <is>
          <t>Administrative; Technical; Operational — specific distribution determined by framework content</t>
        </is>
      </c>
      <c r="AU444" s="79" t="inlineStr">
        <is>
          <t>1. Compliance status (compliant/non-compliant). 2. # open findings from last assessment. 3. % controls implemented. 4. Time to remediate findings. 5. Incident rate in framework scope area</t>
        </is>
      </c>
      <c r="AV444" s="80" t="inlineStr">
        <is>
          <t>Self-assessment; internal audit; external assessment as specified by issuing authority</t>
        </is>
      </c>
      <c r="AW444" s="81" t="inlineStr">
        <is>
          <t>ServiceNow GRC; IBM OpenPages; RSA Archer; MetricStream — all major GRC platforms support custom framework import. Contact vendor for framework-specific module</t>
        </is>
      </c>
      <c r="AX444" s="82" t="inlineStr">
        <is>
          <t>Third parties in scope must demonstrate equivalent compliance. Contractual compliance obligations; right-to-audit clauses; annual third-party assessment</t>
        </is>
      </c>
      <c r="AY444" s="83" t="inlineStr">
        <is>
          <t>Non-compliance: regulatory action by issuing authority; fines and penalties as specified; operational and reputational consequences</t>
        </is>
      </c>
      <c r="AZ444" s="80" t="inlineStr">
        <is>
          <t>Healthcare &amp; Life Sciences</t>
        </is>
      </c>
      <c r="BA444" s="41" t="inlineStr">
        <is>
          <t>Sector-Specific</t>
        </is>
      </c>
      <c r="BB444" s="591">
        <f>IF(E444="","",IF(ISNUMBER(SEARCH("Institutional theory and regulatory governance theory underpin",AI444)),"TEMPLATE",IF(LEN(AI444)&gt;100,"DEEP",IF(AI444="","SPARSE","SHALLOW"))))</f>
        <v/>
      </c>
      <c r="BC444" s="591">
        <f>IF(E444="","",D444&amp;"-"&amp;B444&amp;"-"&amp;E444)</f>
        <v/>
      </c>
      <c r="BD444" s="591">
        <f>IF(E444="","",SUBSTITUTE(SUBSTITUTE(B444&amp;"-"&amp;E444," ",""),":","-"))</f>
        <v/>
      </c>
      <c r="BE444" s="591">
        <f>IF(E444="","",IF(ISNUMBER(SEARCH("ECC",E444)),"NCA-ECC-2-2024",IF(ISNUMBER(SEARCH("OTCC",E444)),"NCA-ECC-2-2024",IF(ISNUMBER(SEARCH("CCC",E444)),"NCA-ECC-2-2024",IF(ISNUMBER(SEARCH("DCC",E444)),"NCA-ECC-2-2024",IF(ISNUMBER(SEARCH("CSCC",E444)),"NCA-ECC-2-2024",IF(ISNUMBER(SEARCH("PDPL-IR",E444)),"PDPL-2021",IF(ISNUMBER(SEARCH("PDPL-DTR",E444)),"PDPL-2021","NONE"))))))))</f>
        <v/>
      </c>
      <c r="BF444" s="594">
        <f>IF(E444="","",IF(BB444="DEEP",10,IF(BB444="SHALLOW",5,IF(BB444="TEMPLATE",3,1)))+IF(N444="HIGHEST",5,IF(N444="HIGH",3,IF(N444="MODERATE",1,0)))+IF(ISNUMBER(SEARCH("Mandatory",L444)),3,0))</f>
        <v/>
      </c>
    </row>
    <row r="445" ht="42" customHeight="1">
      <c r="A445" s="42" t="n">
        <v>396</v>
      </c>
      <c r="B445" s="412" t="inlineStr">
        <is>
          <t>TBHC</t>
        </is>
      </c>
      <c r="C445" s="44" t="inlineStr">
        <is>
          <t>Tabuk Health Cluster</t>
        </is>
      </c>
      <c r="D445" s="44" t="inlineStr">
        <is>
          <t>17. Regional Health Clusters</t>
        </is>
      </c>
      <c r="E445" s="412" t="inlineStr">
        <is>
          <t>MOH-PR</t>
        </is>
      </c>
      <c r="F445" s="45" t="inlineStr">
        <is>
          <t>Patient Rights Charter</t>
        </is>
      </c>
      <c r="G445" s="44" t="inlineStr">
        <is>
          <t>ميثاق حقوق المريض</t>
        </is>
      </c>
      <c r="H445" s="44" t="inlineStr">
        <is>
          <t>2019</t>
        </is>
      </c>
      <c r="I445" s="46" t="inlineStr">
        <is>
          <t>2012</t>
        </is>
      </c>
      <c r="J445" s="46" t="inlineStr">
        <is>
          <t>45</t>
        </is>
      </c>
      <c r="K445" s="44" t="inlineStr">
        <is>
          <t>MUST COMPLY WITH</t>
        </is>
      </c>
      <c r="L445" s="66" t="inlineStr">
        <is>
          <t>Mandatory Complier</t>
        </is>
      </c>
      <c r="M445" s="44" t="inlineStr">
        <is>
          <t>Tabuk Health Cluster facilities</t>
        </is>
      </c>
      <c r="N445" s="54" t="inlineStr">
        <is>
          <t>HIGH</t>
        </is>
      </c>
      <c r="O445" s="48" t="inlineStr">
        <is>
          <t>https://www.moh.gov.sa/en/</t>
        </is>
      </c>
      <c r="P445" s="44" t="inlineStr">
        <is>
          <t>MOH official</t>
        </is>
      </c>
      <c r="Q445" s="70" t="inlineStr">
        <is>
          <t>First Charter ~2012 → updated 2019</t>
        </is>
      </c>
      <c r="R445" s="70" t="inlineStr">
        <is>
          <t>45 rights and obligations. Key provisions: informed consent (including electronic consent for telemedicine), right to access medical records (digital access through NABIDH patient portal), right to privacy of health information, right to refuse treatment, right to second opinion. 2019 update added digital health rights (right to data portability from health apps)</t>
        </is>
      </c>
      <c r="S445" s="71" t="inlineStr">
        <is>
          <t>First: ~2012. Updated: 2019</t>
        </is>
      </c>
      <c r="T445" s="70" t="inlineStr">
        <is>
          <t>Review 2024-2025 expected to add AI/algorithmic transparency rights</t>
        </is>
      </c>
      <c r="U445" s="25" t="inlineStr">
        <is>
          <t>CURRENT — 2019 version</t>
        </is>
      </c>
      <c r="V445" s="70" t="inlineStr">
        <is>
          <t>Penalties defined by issuing authority; consult official source. NCA ECC-2 penalties apply if relevant</t>
        </is>
      </c>
      <c r="W445" s="72" t="inlineStr">
        <is>
          <t>Issuing authority and/or designated inspection department</t>
        </is>
      </c>
      <c r="X445" s="70" t="inlineStr">
        <is>
          <t>As specified in framework scope — consult official document</t>
        </is>
      </c>
      <c r="Y445" s="49" t="inlineStr">
        <is>
          <t>Both (unless specified otherwise in official document)</t>
        </is>
      </c>
      <c r="Z445" s="70" t="inlineStr">
        <is>
          <t>As defined by issuing authority</t>
        </is>
      </c>
      <c r="AA445" s="71" t="inlineStr">
        <is>
          <t>As defined by issuing authority</t>
        </is>
      </c>
      <c r="AB445" s="70" t="inlineStr">
        <is>
          <t>To be determined from framework text — see official source</t>
        </is>
      </c>
      <c r="AC445" s="70" t="inlineStr">
        <is>
          <t>See framework preamble for international standard references</t>
        </is>
      </c>
      <c r="AD445" s="49" t="inlineStr">
        <is>
          <t>Arabic (primary in KSA); English may be available</t>
        </is>
      </c>
      <c r="AE445" s="58" t="inlineStr">
        <is>
          <t>Mapped to relevant GH-ICGA layer — requires manual assessment</t>
        </is>
      </c>
      <c r="AF445" s="56" t="inlineStr">
        <is>
          <t>See official framework for maturity model details</t>
        </is>
      </c>
      <c r="AG445" s="70" t="inlineStr">
        <is>
          <t>Aligned with relevant Vision 2030 programme — see framework context</t>
        </is>
      </c>
      <c r="AH445" s="70" t="inlineStr">
        <is>
          <t>As specified in framework compliance requirements</t>
        </is>
      </c>
      <c r="AI445" s="73" t="inlineStr">
        <is>
          <t>Institutional theory and regulatory governance theory underpin all KSA regulatory frameworks. Specific theoretical basis varies by framework — consult academic literature via Google Scholar using framework name as search term.</t>
        </is>
      </c>
      <c r="AJ445" s="70" t="inlineStr">
        <is>
          <t>Academic debate varies by framework maturity and international adoption. For KSA-specific debate, consult: Almohammad &amp; Wills (2021) J Cybersecurity; Al-Khater et al. (2020) IEEE Access; Baker McKenzie KSA regulatory updates.</t>
        </is>
      </c>
      <c r="AK445" s="74" t="inlineStr">
        <is>
          <t>Known criticisms include: implementation gap between standards and practice; resource constraints for smaller healthcare entities; rapid technology evolution outpacing regulation. Consult framework evaluation literature for specifics.</t>
        </is>
      </c>
      <c r="AL445" s="75" t="inlineStr">
        <is>
          <t>Framework comparison requires contextual analysis. Key comparators: NIST CSF 2.0 (international benchmark), ISO 27001 (certifiable standard), ECC-2 (KSA mandatory baseline). See main database for cross-framework mapping.</t>
        </is>
      </c>
      <c r="AM445"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45" s="50" t="inlineStr">
        <is>
          <t>Official: Consult the official source URL in the database for the primary document. Training: ISACA, ISC2, RAPS, IAPP, and HIMSS offer professional development covering most regulatory domains. Estimated hours vary by framework complexity.</t>
        </is>
      </c>
      <c r="AO445" s="77" t="inlineStr">
        <is>
          <t>Relevance to GH-ICGA framework varies by layer — see GH-ICGA Layer Mapping column. All KSA mandatory frameworks are compliance inputs to GH-ICGA Layer 4. Frameworks with IoMT-specific provisions directly inform Layers 2 and 3.</t>
        </is>
      </c>
      <c r="AP445" s="51" t="inlineStr">
        <is>
          <t>G + C (Governance + Compliance — standard regulatory framework positioning)</t>
        </is>
      </c>
      <c r="AQ445" s="78" t="inlineStr">
        <is>
          <t>Senior management: accountability for framework compliance. Designated compliance officer: monitor requirements. All staff: awareness of applicable obligations</t>
        </is>
      </c>
      <c r="AR445" s="74" t="inlineStr">
        <is>
          <t>Regulatory Risk; Operational Risk; Reputational Risk — specific domains determined by framework scope</t>
        </is>
      </c>
      <c r="AS445" s="22" t="inlineStr">
        <is>
          <t>See official source — legal obligation, regulatory requirement, or voluntary standard as applicable</t>
        </is>
      </c>
      <c r="AT445" s="75" t="inlineStr">
        <is>
          <t>Administrative; Technical; Operational — specific distribution determined by framework content</t>
        </is>
      </c>
      <c r="AU445" s="79" t="inlineStr">
        <is>
          <t>1. Compliance status (compliant/non-compliant). 2. # open findings from last assessment. 3. % controls implemented. 4. Time to remediate findings. 5. Incident rate in framework scope area</t>
        </is>
      </c>
      <c r="AV445" s="80" t="inlineStr">
        <is>
          <t>Self-assessment; internal audit; external assessment as specified by issuing authority</t>
        </is>
      </c>
      <c r="AW445" s="81" t="inlineStr">
        <is>
          <t>ServiceNow GRC; IBM OpenPages; RSA Archer; MetricStream — all major GRC platforms support custom framework import. Contact vendor for framework-specific module</t>
        </is>
      </c>
      <c r="AX445" s="82" t="inlineStr">
        <is>
          <t>Third parties in scope must demonstrate equivalent compliance. Contractual compliance obligations; right-to-audit clauses; annual third-party assessment</t>
        </is>
      </c>
      <c r="AY445" s="83" t="inlineStr">
        <is>
          <t>Non-compliance: regulatory action by issuing authority; fines and penalties as specified; operational and reputational consequences</t>
        </is>
      </c>
      <c r="AZ445" s="80" t="inlineStr">
        <is>
          <t>Healthcare &amp; Life Sciences</t>
        </is>
      </c>
      <c r="BA445" s="41" t="inlineStr">
        <is>
          <t>Sector-Specific</t>
        </is>
      </c>
      <c r="BB445" s="591">
        <f>IF(E445="","",IF(ISNUMBER(SEARCH("Institutional theory and regulatory governance theory underpin",AI445)),"TEMPLATE",IF(LEN(AI445)&gt;100,"DEEP",IF(AI445="","SPARSE","SHALLOW"))))</f>
        <v/>
      </c>
      <c r="BC445" s="591">
        <f>IF(E445="","",D445&amp;"-"&amp;B445&amp;"-"&amp;E445)</f>
        <v/>
      </c>
      <c r="BD445" s="591">
        <f>IF(E445="","",SUBSTITUTE(SUBSTITUTE(B445&amp;"-"&amp;E445," ",""),":","-"))</f>
        <v/>
      </c>
      <c r="BE445" s="591">
        <f>IF(E445="","",IF(ISNUMBER(SEARCH("ECC",E445)),"NCA-ECC-2-2024",IF(ISNUMBER(SEARCH("OTCC",E445)),"NCA-ECC-2-2024",IF(ISNUMBER(SEARCH("CCC",E445)),"NCA-ECC-2-2024",IF(ISNUMBER(SEARCH("DCC",E445)),"NCA-ECC-2-2024",IF(ISNUMBER(SEARCH("CSCC",E445)),"NCA-ECC-2-2024",IF(ISNUMBER(SEARCH("PDPL-IR",E445)),"PDPL-2021",IF(ISNUMBER(SEARCH("PDPL-DTR",E445)),"PDPL-2021","NONE"))))))))</f>
        <v/>
      </c>
      <c r="BF445" s="594">
        <f>IF(E445="","",IF(BB445="DEEP",10,IF(BB445="SHALLOW",5,IF(BB445="TEMPLATE",3,1)))+IF(N445="HIGHEST",5,IF(N445="HIGH",3,IF(N445="MODERATE",1,0)))+IF(ISNUMBER(SEARCH("Mandatory",L445)),3,0))</f>
        <v/>
      </c>
    </row>
    <row r="446" ht="42" customHeight="1">
      <c r="A446" s="84" t="n">
        <v>397</v>
      </c>
      <c r="B446" s="411" t="inlineStr">
        <is>
          <t>TBHC</t>
        </is>
      </c>
      <c r="C446" s="70" t="inlineStr">
        <is>
          <t>Tabuk Health Cluster</t>
        </is>
      </c>
      <c r="D446" s="70" t="inlineStr">
        <is>
          <t>17. Regional Health Clusters</t>
        </is>
      </c>
      <c r="E446" s="411" t="inlineStr">
        <is>
          <t>CBAHI-HAS-H</t>
        </is>
      </c>
      <c r="F446" s="72" t="inlineStr">
        <is>
          <t>Hospital Accreditation Standards</t>
        </is>
      </c>
      <c r="G446" s="70" t="inlineStr">
        <is>
          <t>معايير اعتماد المستشفيات</t>
        </is>
      </c>
      <c r="H446" s="70" t="inlineStr">
        <is>
          <t>5th Ed. 2021</t>
        </is>
      </c>
      <c r="I446" s="71" t="inlineStr">
        <is>
          <t>2008</t>
        </is>
      </c>
      <c r="J446" s="71" t="inlineStr">
        <is>
          <t>298</t>
        </is>
      </c>
      <c r="K446" s="70" t="inlineStr">
        <is>
          <t>MUST COMPLY WITH</t>
        </is>
      </c>
      <c r="L446" s="92" t="inlineStr">
        <is>
          <t>Voluntary</t>
        </is>
      </c>
      <c r="M446" s="70" t="inlineStr">
        <is>
          <t>Tabuk Health Cluster hospitals pursuing CBAHI accreditation</t>
        </is>
      </c>
      <c r="N446" s="86" t="inlineStr">
        <is>
          <t>HIGHEST</t>
        </is>
      </c>
      <c r="O446" s="87" t="inlineStr">
        <is>
          <t>https://www.cbahi.gov.sa/</t>
        </is>
      </c>
      <c r="P446" s="70" t="inlineStr">
        <is>
          <t>CBAHI official</t>
        </is>
      </c>
      <c r="Q446" s="70" t="inlineStr">
        <is>
          <t>1st Ed 2008 → 2nd Ed 2011 → 3rd Ed 2014 → 4th Ed 2017 → 5th Ed 2021</t>
        </is>
      </c>
      <c r="R446" s="70" t="inlineStr">
        <is>
          <t>5th Edition (2021, current): 298 standards across domains including Patient and Family Rights, Patient Assessment, Care of Patients, Patient Safety, Medication Management, Infection Prevention, Facility Management, Staff Qualifications, Quality Improvement, Governance, HIT (Health Information Technology). HIT standards require EMR, NABIDH connectivity, access control, audit trails, downtime procedures. IoMT requirements added in 5th Ed: medical device integration standards, alarm management policy. Benchmarked against JCI standards</t>
        </is>
      </c>
      <c r="S446" s="71" t="inlineStr">
        <is>
          <t>1st Ed: 2008. 2nd: 2011. 3rd: 2014. 4th: 2017. 5th: 2021</t>
        </is>
      </c>
      <c r="T446" s="70" t="inlineStr">
        <is>
          <t>6th Edition expected 2025-2026</t>
        </is>
      </c>
      <c r="U446" s="25" t="inlineStr">
        <is>
          <t>CURRENT — 5th Edition 2021</t>
        </is>
      </c>
      <c r="V446" s="70" t="inlineStr">
        <is>
          <t>Accreditation denial; accreditation suspension; accreditation withdrawal; MOH facility licensing risk (accreditation linked to licensing in practice)</t>
        </is>
      </c>
      <c r="W446" s="72" t="inlineStr">
        <is>
          <t>CBAHI — Accreditation Survey Teams (peer surveyors); MOH recognises CBAHI as national accreditor</t>
        </is>
      </c>
      <c r="X446" s="70" t="inlineStr">
        <is>
          <t>Hospital (primary scope); Teaching Hospital; Specialist Centre</t>
        </is>
      </c>
      <c r="Y446" s="49" t="inlineStr">
        <is>
          <t>Both (voluntary but operationally required)</t>
        </is>
      </c>
      <c r="Z446" s="70" t="inlineStr">
        <is>
          <t>Full survey every 3 years; midterm (focused) survey at 18 months; unannounced visits; corrective action follow-up</t>
        </is>
      </c>
      <c r="AA446" s="71" t="inlineStr">
        <is>
          <t>Full survey: 3-year cycle. Midterm: 18 months. Unannounced: possible at any time</t>
        </is>
      </c>
      <c r="AB446" s="70" t="inlineStr">
        <is>
          <t>22 (HIT standards: medical device integration; alarm management policy mandatory; device maintenance logs; remote monitoring governance; downtime procedures; device inventory; cybersecurity of clinical systems as patient safety issue)</t>
        </is>
      </c>
      <c r="AC446" s="70" t="inlineStr">
        <is>
          <t>JCI (Joint Commission International) — benchmarked; ISQua (accreditation body accreditor); WHO Safe Hospitals Framework</t>
        </is>
      </c>
      <c r="AD446" s="22" t="inlineStr">
        <is>
          <t>Arabic + English (official bilingual)</t>
        </is>
      </c>
      <c r="AE446" s="26" t="inlineStr">
        <is>
          <t>Layer 1: Governance; Layer 4: Compliance; Layer 5: Assurance</t>
        </is>
      </c>
      <c r="AF446" s="27" t="inlineStr">
        <is>
          <t>Yes — Met / Partially Met / Not Met / Not Applicable per standard; overall accreditation decision = scored threshold</t>
        </is>
      </c>
      <c r="AG446" s="70" t="inlineStr">
        <is>
          <t>HSTP quality transformation; Vision 2030 healthcare quality targets (JCI/CBAHI accreditation for all tertiary hospitals)</t>
        </is>
      </c>
      <c r="AH446" s="70" t="inlineStr">
        <is>
          <t>Survey self-assessment; policy documentation; staff credential files; patient safety incident log; HIT system audit; quality improvement data; patient satisfaction scores</t>
        </is>
      </c>
      <c r="AI446" s="73" t="inlineStr">
        <is>
          <t>Healthcare quality theory (Donabedian 1988): structure-process-outcome triad. Accreditation theory: third-party external validation as quality assurance mechanism. Institutional isomorphism: accreditation spreads best practices through mimetic pressure. Patient safety culture theory (Reason 2000): systems-based safety vs blame culture.</t>
        </is>
      </c>
      <c r="AJ446" s="70" t="inlineStr">
        <is>
          <t>FOR: Almutairi et al. (2015) and Alkhenizan &amp; Shaw (2011) find CBAHI-accredited hospitals show measurable quality improvements; national benchmark grounded in Saudi context unlike JCI (US-centric); patient safety improvements documented post-accreditation. AGAINST: Voluntariness undermines universal coverage — only ~40% of KSA hospitals accredited (WHO PHSSR 2025); Greenfield &amp; Braithwaite (2008) meta-analysis questions causal link between accreditation and patient outcomes; survey preparation creates compliance-oriented behaviours rather than genuine quality improvement (gaming risk)</t>
        </is>
      </c>
      <c r="AK446" s="74" t="inlineStr">
        <is>
          <t>3-year survey cycle too long for rapid IoMT deployment environment; HIT standards in 5th Ed still less specific than HIMSS EMRAM Stage 6/7 requirements; cybersecurity standards within CBAHI remain minimal compared to NCA ECC-2 requirements; no dedicated IoMT governance chapter despite medical device proliferation; rural and small facility accreditation rates critically low</t>
        </is>
      </c>
      <c r="AL446" s="75" t="inlineStr">
        <is>
          <t>CBAHI vs JCI: JCI globally recognised; CBAHI nationally recognised — JCI preferred for medical tourism attracting hospitals. CBAHI vs HIMSS EMRAM: CBAHI is broad clinical; HIMSS EMRAM is digital health maturity-specific. CBAHI vs DNV: CBAHI similar survey model. CBAHI + HIMSS EMRAM combined = most comprehensive digital health quality picture for KSA hospitals</t>
        </is>
      </c>
      <c r="AM446" s="76" t="inlineStr">
        <is>
          <t>Alkhenizan A &amp; Shaw C (2011) 'Impact of Accreditation' Ann Saudi Med 31(4); Almutairi AF et al. (2015) 'Perceptions of CBAHI Accreditation' BMC Health Services Research; Donabedian A (1988) 'Quality of Care' JAMA 260(12); Greenfield D &amp; Braithwaite J (2008) 'Health Sector Accreditation Research' Int J Quality Health Care 20(3); WHO (2025) PHSSR Saudi Arabia</t>
        </is>
      </c>
      <c r="AN446" s="50" t="inlineStr">
        <is>
          <t>Official: CBAHI website (cbahi.gov.sa) — standards available to purchase. Training: CBAHI education programmes; surveyor training; CPHQ (Certified Professional in Healthcare Quality). Estimated: 60 hours for surveyors; 20 hours for department leads</t>
        </is>
      </c>
      <c r="AO446" s="77" t="inlineStr">
        <is>
          <t>GH-ICGA Layer 5 (Assurance) — CBAHI accreditation is the primary assurance mechanism for hospital IoMT governance. Thesis argument: CBAHI-HAS-H 5th Ed HIT standards need a cybersecurity annex for IoMT — GH-ICGA Layer 5 Assurance proposes an IoMT-specific evaluation framework that could be adopted within CBAHI survey process</t>
        </is>
      </c>
      <c r="AP446" s="51" t="inlineStr">
        <is>
          <t>G + C (Governance through quality standards + voluntary compliance assurance)</t>
        </is>
      </c>
      <c r="AQ446" s="78" t="inlineStr">
        <is>
          <t>CEO: accountable for accreditation status. CMO: responsible for clinical quality chapter compliance. CNO: responsible for nursing quality. Quality/Patient Safety Director: coordinates accreditation programme. Department heads: responsible for chapter compliance in their domain. Accreditation Committee: cross-functional governance body</t>
        </is>
      </c>
      <c r="AR446" s="74" t="inlineStr">
        <is>
          <t>Quality Risk; Patient Safety Risk; Operational Risk (accreditation loss = licensing risk); Reputational Risk; Regulatory Risk (MOH links accreditation to licensing in practice)</t>
        </is>
      </c>
      <c r="AS446" s="92" t="inlineStr">
        <is>
          <t>VOLUNTARY — but operationally MANDATORY (MOH licensing increasingly linked to CBAHI in practice; required for JCI-referencing hospitals and private insurance network participation)</t>
        </is>
      </c>
      <c r="AT446" s="75" t="inlineStr">
        <is>
          <t>Administrative (A): 150 controls — policies; procedures; governance; quality committees. Technical (T): 48 controls — HIT; equipment maintenance; diagnostic systems. Operational (O): 100 controls — clinical procedures; patient safety practices; staff competencies</t>
        </is>
      </c>
      <c r="AU446" s="79" t="inlineStr">
        <is>
          <t>1. CBAHI survey score per chapter (target ≥90% Met). 2. # sentinel events per 1,000 admissions. 3. Falls rate per 1,000 patient days. 4. Hospital-acquired infection rate. 5. Patient satisfaction score (target &gt;90%). 6. Medication error rate. 7. HIT compliance score (CBAHI HIT chapter)</t>
        </is>
      </c>
      <c r="AV446" s="80" t="inlineStr">
        <is>
          <t>CBAHI full survey (3-year cycle — 2-3 day on-site assessment); midterm survey (18 months — focused chapters); unannounced visit (possible any time); tracer methodology; document review; staff interviews; facility inspection</t>
        </is>
      </c>
      <c r="AW446" s="81" t="inlineStr">
        <is>
          <t>Accreditation Manager (CBAHI online platform); EQUIP (quality management platform); PowerDMS; Quantros; Press Ganey (patient satisfaction); Meditech/Epic quality modules; RL6 (incident reporting)</t>
        </is>
      </c>
      <c r="AX446" s="82" t="inlineStr">
        <is>
          <t>Contractors and service providers in clinical areas must meet CBAHI competency requirements; credentialing of contracted physicians required; outsourced services (laundry, catering, security) must meet CBAHI environment chapter standards; medical device vendors: CBAHI biomedical equipment requirements</t>
        </is>
      </c>
      <c r="AY446" s="83" t="inlineStr">
        <is>
          <t>Accreditation denial: cannot be MOH referral centre; excluded from major insurance networks; reputational damage. Accreditation suspension: immediate revenue impact from insurance exclusion. MOH can condition facility licence on CBAHI compliance</t>
        </is>
      </c>
      <c r="AZ446" s="80" t="inlineStr">
        <is>
          <t>Healthcare &amp; Life Sciences</t>
        </is>
      </c>
      <c r="BA446" s="41" t="inlineStr">
        <is>
          <t>Sector-Specific</t>
        </is>
      </c>
      <c r="BB446" s="591">
        <f>IF(E446="","",IF(ISNUMBER(SEARCH("Institutional theory and regulatory governance theory underpin",AI446)),"TEMPLATE",IF(LEN(AI446)&gt;100,"DEEP",IF(AI446="","SPARSE","SHALLOW"))))</f>
        <v/>
      </c>
      <c r="BC446" s="591">
        <f>IF(E446="","",D446&amp;"-"&amp;B446&amp;"-"&amp;E446)</f>
        <v/>
      </c>
      <c r="BD446" s="591">
        <f>IF(E446="","",SUBSTITUTE(SUBSTITUTE(B446&amp;"-"&amp;E446," ",""),":","-"))</f>
        <v/>
      </c>
      <c r="BE446" s="591">
        <f>IF(E446="","",IF(ISNUMBER(SEARCH("ECC",E446)),"NCA-ECC-2-2024",IF(ISNUMBER(SEARCH("OTCC",E446)),"NCA-ECC-2-2024",IF(ISNUMBER(SEARCH("CCC",E446)),"NCA-ECC-2-2024",IF(ISNUMBER(SEARCH("DCC",E446)),"NCA-ECC-2-2024",IF(ISNUMBER(SEARCH("CSCC",E446)),"NCA-ECC-2-2024",IF(ISNUMBER(SEARCH("PDPL-IR",E446)),"PDPL-2021",IF(ISNUMBER(SEARCH("PDPL-DTR",E446)),"PDPL-2021","NONE"))))))))</f>
        <v/>
      </c>
      <c r="BF446" s="594">
        <f>IF(E446="","",IF(BB446="DEEP",10,IF(BB446="SHALLOW",5,IF(BB446="TEMPLATE",3,1)))+IF(N446="HIGHEST",5,IF(N446="HIGH",3,IF(N446="MODERATE",1,0)))+IF(ISNUMBER(SEARCH("Mandatory",L446)),3,0))</f>
        <v/>
      </c>
    </row>
    <row r="447" ht="42" customHeight="1">
      <c r="A447" s="42" t="n">
        <v>398</v>
      </c>
      <c r="B447" s="412" t="inlineStr">
        <is>
          <t>TBHC</t>
        </is>
      </c>
      <c r="C447" s="44" t="inlineStr">
        <is>
          <t>Tabuk Health Cluster</t>
        </is>
      </c>
      <c r="D447" s="44" t="inlineStr">
        <is>
          <t>17. Regional Health Clusters</t>
        </is>
      </c>
      <c r="E447" s="412" t="inlineStr">
        <is>
          <t>NCA-ECC-2:2024</t>
        </is>
      </c>
      <c r="F447" s="45" t="inlineStr">
        <is>
          <t>Essential Cybersecurity Controls</t>
        </is>
      </c>
      <c r="G447" s="44" t="inlineStr">
        <is>
          <t>ضوابط الأمن السيبراني الأساسية</t>
        </is>
      </c>
      <c r="H447" s="44" t="inlineStr">
        <is>
          <t>ECC-2:2024</t>
        </is>
      </c>
      <c r="I447" s="46" t="inlineStr">
        <is>
          <t>2018</t>
        </is>
      </c>
      <c r="J447" s="46" t="inlineStr">
        <is>
          <t>108</t>
        </is>
      </c>
      <c r="K447" s="44" t="inlineStr">
        <is>
          <t>MUST COMPLY WITH</t>
        </is>
      </c>
      <c r="L447" s="66" t="inlineStr">
        <is>
          <t>Mandatory Complier</t>
        </is>
      </c>
      <c r="M447" s="44" t="inlineStr">
        <is>
          <t>Tabuk Health Cluster as government entity — hospital networks</t>
        </is>
      </c>
      <c r="N447" s="47" t="inlineStr">
        <is>
          <t>HIGHEST</t>
        </is>
      </c>
      <c r="O447" s="48" t="inlineStr">
        <is>
          <t>https://nca.gov.sa/</t>
        </is>
      </c>
      <c r="P447" s="44" t="inlineStr">
        <is>
          <t>NCA ECC scope</t>
        </is>
      </c>
      <c r="Q447" s="70" t="inlineStr">
        <is>
          <t>See official source for version history</t>
        </is>
      </c>
      <c r="R447" s="70" t="inlineStr">
        <is>
          <t>Framework issued by the relevant authority. Version details available on the official website referenced in the source URL column. The framework has been updated periodically since first issuance.</t>
        </is>
      </c>
      <c r="S447" s="71" t="inlineStr">
        <is>
          <t>See official source</t>
        </is>
      </c>
      <c r="T447" s="70" t="inlineStr">
        <is>
          <t>Updated as needed by the issuing authority</t>
        </is>
      </c>
      <c r="U447" s="25" t="inlineStr">
        <is>
          <t>CURRENT — consult official source for latest version</t>
        </is>
      </c>
      <c r="V447" s="70" t="inlineStr">
        <is>
          <t>Penalties defined by issuing authority; consult official source. NCA ECC-2 penalties apply if relevant</t>
        </is>
      </c>
      <c r="W447" s="72" t="inlineStr">
        <is>
          <t>Issuing authority and/or designated inspection department</t>
        </is>
      </c>
      <c r="X447" s="70" t="inlineStr">
        <is>
          <t>As specified in framework scope — consult official document</t>
        </is>
      </c>
      <c r="Y447" s="49" t="inlineStr">
        <is>
          <t>Both (unless specified otherwise in official document)</t>
        </is>
      </c>
      <c r="Z447" s="70" t="inlineStr">
        <is>
          <t>As defined by issuing authority</t>
        </is>
      </c>
      <c r="AA447" s="71" t="inlineStr">
        <is>
          <t>As defined by issuing authority</t>
        </is>
      </c>
      <c r="AB447" s="70" t="inlineStr">
        <is>
          <t>To be determined from framework text — see official source</t>
        </is>
      </c>
      <c r="AC447" s="70" t="inlineStr">
        <is>
          <t>See framework preamble for international standard references</t>
        </is>
      </c>
      <c r="AD447" s="49" t="inlineStr">
        <is>
          <t>Arabic (primary in KSA); English may be available</t>
        </is>
      </c>
      <c r="AE447" s="58" t="inlineStr">
        <is>
          <t>Mapped to relevant GH-ICGA layer — requires manual assessment</t>
        </is>
      </c>
      <c r="AF447" s="56" t="inlineStr">
        <is>
          <t>See official framework for maturity model details</t>
        </is>
      </c>
      <c r="AG447" s="70" t="inlineStr">
        <is>
          <t>Aligned with relevant Vision 2030 programme — see framework context</t>
        </is>
      </c>
      <c r="AH447" s="70" t="inlineStr">
        <is>
          <t>As specified in framework compliance requirements</t>
        </is>
      </c>
      <c r="AI447" s="73" t="inlineStr">
        <is>
          <t>Institutional theory and regulatory governance theory underpin all KSA regulatory frameworks. Specific theoretical basis varies by framework — consult academic literature via Google Scholar using framework name as search term.</t>
        </is>
      </c>
      <c r="AJ447" s="70" t="inlineStr">
        <is>
          <t>Academic debate varies by framework maturity and international adoption. For KSA-specific debate, consult: Almohammad &amp; Wills (2021) J Cybersecurity; Al-Khater et al. (2020) IEEE Access; Baker McKenzie KSA regulatory updates.</t>
        </is>
      </c>
      <c r="AK447" s="74" t="inlineStr">
        <is>
          <t>Known criticisms include: implementation gap between standards and practice; resource constraints for smaller healthcare entities; rapid technology evolution outpacing regulation. Consult framework evaluation literature for specifics.</t>
        </is>
      </c>
      <c r="AL447" s="75" t="inlineStr">
        <is>
          <t>Framework comparison requires contextual analysis. Key comparators: NIST CSF 2.0 (international benchmark), ISO 27001 (certifiable standard), ECC-2 (KSA mandatory baseline). See main database for cross-framework mapping.</t>
        </is>
      </c>
      <c r="AM447"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47" s="50" t="inlineStr">
        <is>
          <t>Official: Consult the official source URL in the database for the primary document. Training: ISACA, ISC2, RAPS, IAPP, and HIMSS offer professional development covering most regulatory domains. Estimated hours vary by framework complexity.</t>
        </is>
      </c>
      <c r="AO447" s="77" t="inlineStr">
        <is>
          <t>Relevance to GH-ICGA framework varies by layer — see GH-ICGA Layer Mapping column. All KSA mandatory frameworks are compliance inputs to GH-ICGA Layer 4. Frameworks with IoMT-specific provisions directly inform Layers 2 and 3.</t>
        </is>
      </c>
      <c r="AP447" s="51" t="inlineStr">
        <is>
          <t>G + C (Governance + Compliance — standard regulatory framework positioning)</t>
        </is>
      </c>
      <c r="AQ447" s="78" t="inlineStr">
        <is>
          <t>Senior management: accountability for framework compliance. Designated compliance officer: monitor requirements. All staff: awareness of applicable obligations</t>
        </is>
      </c>
      <c r="AR447" s="74" t="inlineStr">
        <is>
          <t>Regulatory Risk; Operational Risk; Reputational Risk — specific domains determined by framework scope</t>
        </is>
      </c>
      <c r="AS447" s="22" t="inlineStr">
        <is>
          <t>See official source — legal obligation, regulatory requirement, or voluntary standard as applicable</t>
        </is>
      </c>
      <c r="AT447" s="75" t="inlineStr">
        <is>
          <t>Administrative; Technical; Operational — specific distribution determined by framework content</t>
        </is>
      </c>
      <c r="AU447" s="79" t="inlineStr">
        <is>
          <t>1. Compliance status (compliant/non-compliant). 2. # open findings from last assessment. 3. % controls implemented. 4. Time to remediate findings. 5. Incident rate in framework scope area</t>
        </is>
      </c>
      <c r="AV447" s="80" t="inlineStr">
        <is>
          <t>Self-assessment; internal audit; external assessment as specified by issuing authority</t>
        </is>
      </c>
      <c r="AW447" s="81" t="inlineStr">
        <is>
          <t>ServiceNow GRC; IBM OpenPages; RSA Archer; MetricStream — all major GRC platforms support custom framework import. Contact vendor for framework-specific module</t>
        </is>
      </c>
      <c r="AX447" s="82" t="inlineStr">
        <is>
          <t>Third parties in scope must demonstrate equivalent compliance. Contractual compliance obligations; right-to-audit clauses; annual third-party assessment</t>
        </is>
      </c>
      <c r="AY447" s="83" t="inlineStr">
        <is>
          <t>Non-compliance: regulatory action by issuing authority; fines and penalties as specified; operational and reputational consequences</t>
        </is>
      </c>
      <c r="AZ447" s="80" t="inlineStr">
        <is>
          <t>ALL 17 SECTORS</t>
        </is>
      </c>
      <c r="BA447" s="34" t="inlineStr">
        <is>
          <t>YES — ALL SECTORS</t>
        </is>
      </c>
      <c r="BB447" s="591">
        <f>IF(E447="","",IF(ISNUMBER(SEARCH("Institutional theory and regulatory governance theory underpin",AI447)),"TEMPLATE",IF(LEN(AI447)&gt;100,"DEEP",IF(AI447="","SPARSE","SHALLOW"))))</f>
        <v/>
      </c>
      <c r="BC447" s="591">
        <f>IF(E447="","",D447&amp;"-"&amp;B447&amp;"-"&amp;E447)</f>
        <v/>
      </c>
      <c r="BD447" s="591">
        <f>IF(E447="","",SUBSTITUTE(SUBSTITUTE(B447&amp;"-"&amp;E447," ",""),":","-"))</f>
        <v/>
      </c>
      <c r="BE447" s="591">
        <f>IF(E447="","",IF(ISNUMBER(SEARCH("ECC",E447)),"NCA-ECC-2-2024",IF(ISNUMBER(SEARCH("OTCC",E447)),"NCA-ECC-2-2024",IF(ISNUMBER(SEARCH("CCC",E447)),"NCA-ECC-2-2024",IF(ISNUMBER(SEARCH("DCC",E447)),"NCA-ECC-2-2024",IF(ISNUMBER(SEARCH("CSCC",E447)),"NCA-ECC-2-2024",IF(ISNUMBER(SEARCH("PDPL-IR",E447)),"PDPL-2021",IF(ISNUMBER(SEARCH("PDPL-DTR",E447)),"PDPL-2021","NONE"))))))))</f>
        <v/>
      </c>
      <c r="BF447" s="594">
        <f>IF(E447="","",IF(BB447="DEEP",10,IF(BB447="SHALLOW",5,IF(BB447="TEMPLATE",3,1)))+IF(N447="HIGHEST",5,IF(N447="HIGH",3,IF(N447="MODERATE",1,0)))+IF(ISNUMBER(SEARCH("Mandatory",L447)),3,0))</f>
        <v/>
      </c>
    </row>
    <row r="448" ht="42" customHeight="1">
      <c r="A448" s="84" t="n">
        <v>399</v>
      </c>
      <c r="B448" s="411" t="inlineStr">
        <is>
          <t>TBHC</t>
        </is>
      </c>
      <c r="C448" s="70" t="inlineStr">
        <is>
          <t>Tabuk Health Cluster</t>
        </is>
      </c>
      <c r="D448" s="70" t="inlineStr">
        <is>
          <t>17. Regional Health Clusters</t>
        </is>
      </c>
      <c r="E448" s="411" t="inlineStr">
        <is>
          <t>PDPL-2021</t>
        </is>
      </c>
      <c r="F448" s="72" t="inlineStr">
        <is>
          <t>Personal Data Protection Law</t>
        </is>
      </c>
      <c r="G448" s="70" t="inlineStr">
        <is>
          <t>نظام حماية البيانات الشخصية</t>
        </is>
      </c>
      <c r="H448" s="70" t="inlineStr">
        <is>
          <t>2021+IR 2023</t>
        </is>
      </c>
      <c r="I448" s="71" t="inlineStr">
        <is>
          <t>2021</t>
        </is>
      </c>
      <c r="J448" s="71" t="inlineStr">
        <is>
          <t>45</t>
        </is>
      </c>
      <c r="K448" s="70" t="inlineStr">
        <is>
          <t>MUST COMPLY WITH</t>
        </is>
      </c>
      <c r="L448" s="66" t="inlineStr">
        <is>
          <t>Mandatory Complier</t>
        </is>
      </c>
      <c r="M448" s="70" t="inlineStr">
        <is>
          <t>Tabuk Health Cluster processes patient personal data</t>
        </is>
      </c>
      <c r="N448" s="86" t="inlineStr">
        <is>
          <t>HIGHEST</t>
        </is>
      </c>
      <c r="O448" s="87" t="inlineStr">
        <is>
          <t>https://sdaia.gov.sa/</t>
        </is>
      </c>
      <c r="P448" s="70" t="inlineStr">
        <is>
          <t>SDAIA</t>
        </is>
      </c>
      <c r="Q448" s="70" t="inlineStr">
        <is>
          <t>Royal Decree M/19 (16 Sep 2021) → amended Apr 2023</t>
        </is>
      </c>
      <c r="R448" s="70" t="inlineStr">
        <is>
          <t>Original (2021): 19 articles covering consent, data subject rights, controller obligations, sensitive data (health = sensitive), cross-border transfer. Apr 2023 amendment: strengthened enforcement, clarified health data provisions, aligned with PDPL-IR-2023. Grace period for compliance ended Sep 14, 2024. Penalties: up to SAR 5 million fine + 2 years imprisonment for sensitive data breach</t>
        </is>
      </c>
      <c r="S448" s="71" t="inlineStr">
        <is>
          <t>Issued: Sep 2021. Amended: Apr 2023. Fully enforceable: Sep 14, 2024</t>
        </is>
      </c>
      <c r="T448" s="70" t="inlineStr">
        <is>
          <t>SDAIA reviews annually; amendments expected 2025-2026</t>
        </is>
      </c>
      <c r="U448" s="25" t="inlineStr">
        <is>
          <t>CURRENT — fully enforceable since Sep 2024</t>
        </is>
      </c>
      <c r="V448" s="70" t="inlineStr">
        <is>
          <t>Criminal offence: up to 2 years imprisonment + SAR 3M fine for disclosing sensitive data (health data = sensitive); administrative fine up to SAR 5M; mandatory breach notification to SDAIA within 72 hours; data subject compensation claims</t>
        </is>
      </c>
      <c r="W448" s="72" t="inlineStr">
        <is>
          <t>SDAIA — Data Protection Authority (DPA functions); NDMO for government entities; courts for criminal penalties</t>
        </is>
      </c>
      <c r="X448" s="70" t="inlineStr">
        <is>
          <t>Hospital; Clinic; Lab; Pharmacy; Health IT Vendor; Health Insurer; Government Health Entity; Medical Device Manufacturer (all processing patient data)</t>
        </is>
      </c>
      <c r="Y448" s="49" t="inlineStr">
        <is>
          <t>Both + foreign entities processing data of KSA residents</t>
        </is>
      </c>
      <c r="Z448" s="70" t="inlineStr">
        <is>
          <t>SDAIA audit; controller self-assessment; DPO oversight; data subject complaints trigger investigation</t>
        </is>
      </c>
      <c r="AA448" s="71" t="inlineStr">
        <is>
          <t>Continuous (breach notification: 72 hours); annual DPO report; SDAIA random audits</t>
        </is>
      </c>
      <c r="AB448" s="70" t="inlineStr">
        <is>
          <t>12 (IoMT data minimisation; purpose limitation; consent management for wearable data; automated decision-making; data subject rights for IoMT-generated health data; cross-border transfer of IoMT data)</t>
        </is>
      </c>
      <c r="AC448" s="70" t="inlineStr">
        <is>
          <t>GDPR (substantial alignment — adequate protection basis); APEC Privacy Framework; ISO 29100; ISO 27701</t>
        </is>
      </c>
      <c r="AD448" s="49" t="inlineStr">
        <is>
          <t>Arabic (official); English translation (unofficial)</t>
        </is>
      </c>
      <c r="AE448" s="50" t="inlineStr">
        <is>
          <t>Layer 4: Compliance; Layer 2: Risk Management</t>
        </is>
      </c>
      <c r="AF448" s="60" t="inlineStr">
        <is>
          <t>No formal maturity model; SDAIA publishes compliance guidance</t>
        </is>
      </c>
      <c r="AG448" s="70" t="inlineStr">
        <is>
          <t>National Data Strategy; Vision 2030 Digital Economy; Digital Government transformation</t>
        </is>
      </c>
      <c r="AH448" s="70" t="inlineStr">
        <is>
          <t>Privacy notices; consent records; DPO appointment letter; data mapping/flow diagrams; breach notification records; DPIA for health data processing; controller registration</t>
        </is>
      </c>
      <c r="AI448" s="73" t="inlineStr">
        <is>
          <t>Privacy as fundamental right (Warren &amp; Brandeis 1890; Westin 1967). Contextual integrity theory (Nissenbaum 2004): health data flows must match medical context norms. Regulatory theory: data protection authority independence and enforcement. Information asymmetry theory: patients cannot protect their own data without regulation.</t>
        </is>
      </c>
      <c r="AJ448" s="70" t="inlineStr">
        <is>
          <t>FOR: Long-overdue — KSA had no comprehensive data protection law until 2021; health data explicitly protected as sensitive category; aligns KSA with global adequacy standards. AGAINST: Alrawabdeh (2014) and Aldawood &amp; Skinner (2019) documented Saudi privacy culture gap — regulation without public awareness is ineffective; 'GDPR-lite' criticism: exemptions broader than GDPR, enforcement weaker; health data provisions in IR still less specific than UK GDPR Schedule 1 conditions</t>
        </is>
      </c>
      <c r="AK448" s="74" t="inlineStr">
        <is>
          <t>No independent supervisory authority (SDAIA is both promoter and regulator — conflict of interest noted by Baker McKenzie 2025); patient data portability rights weaker than GDPR Article 20; no explicit right to explanation for AI-automated health decisions; cross-border transfer rules changed twice in 12 months (regulatory instability); small healthcare providers lack capacity for DPO requirements</t>
        </is>
      </c>
      <c r="AL448" s="75" t="inlineStr">
        <is>
          <t>PDPL vs GDPR: PDPL penalty lower (SAR 5M vs €20M); PDPL broader government exemptions; GDPR has independent DPA, PDPL does not. PDPL vs HIPAA: PDPL = all personal data (broader); HIPAA = US-specific health data only. PDPL vs UK GDPR: PDPL misses explicit Schedule 1 health data conditions. PDPL ahead of HIPAA on consent granularity; behind GDPR on enforcement independence</t>
        </is>
      </c>
      <c r="AM448" s="76" t="inlineStr">
        <is>
          <t>Baker McKenzie (2025) Saudi Arabia PDPL Global Data &amp; Cyber Handbook; Alrawabdeh W (2014) 'Internet and Social Media Challenges in Arab World' EJSR; Westin AF (1967) Privacy and Freedom NY Atheneum; Nissenbaum H (2004) 'Privacy as Contextual Integrity' Washington Law Review 79(1); CMS Law (2025) Saudi Arabia Data Protection &amp; Cybersecurity Expert Guide Oct 2025</t>
        </is>
      </c>
      <c r="AN448" s="50" t="inlineStr">
        <is>
          <t>Official: SDAIA website (sdaia.gov.sa) — Arabic + English. Training: IAPP CIPM/CIPP/E (privacy certifications applicable); OneTrust PDPL compliance course; Baker McKenzie PDPL compliance guide. Language: Arabic primary — strong Arabic reading recommended. Estimated: 50 hours for health sector DPO competence</t>
        </is>
      </c>
      <c r="AO448" s="77" t="inlineStr">
        <is>
          <t>PRIMARY driver for GH-ICGA Layer 4 (Compliance) — PDPL is the legal foundation for patient data governance in the preliminary GH-ICGA framework. Thesis argument: GH-ICGA Layer 4 operationalises PDPL requirements into IoMT-specific controls (consent management for wearable data; purpose limitation for monitoring streams; breach response for connected device incidents)</t>
        </is>
      </c>
      <c r="AP448" s="51" t="inlineStr">
        <is>
          <t>G + C (Governance + Compliance — strong compliance driver; risk implicit)</t>
        </is>
      </c>
      <c r="AQ448" s="78" t="inlineStr">
        <is>
          <t>Board/CEO: ultimate accountability for PDPL compliance. DPO: mandatory for large-scale health data processors — reports to highest management level. Privacy Committee: cross-functional oversight. All staff processing personal data: mandatory privacy awareness training annually</t>
        </is>
      </c>
      <c r="AR448" s="74" t="inlineStr">
        <is>
          <t>Privacy Risk (PRIMARY); Legal/Regulatory Risk; Reputational Risk; Strategic Risk (data monetisation constraints); Cross-Border Risk (data transfer restrictions)</t>
        </is>
      </c>
      <c r="AS448" s="22" t="inlineStr">
        <is>
          <t>LEGAL — Royal Decree M/19 2021 + Implementing Regulations Sep 2023. Criminal: imprisonment up to 2 years + SAR 3M fine for sensitive data disclosure. Administrative: SAR 5M maximum fine. Civil: data subject compensation claims</t>
        </is>
      </c>
      <c r="AT448" s="75" t="inlineStr">
        <is>
          <t>Administrative (A): consent management; privacy notices; DPO appointment; DPIA process; breach notification procedure. Technical (T): data minimisation; pseudonymisation; access controls for personal data; encryption. Operational (O): data retention enforcement; data subject rights fulfilment process; cross-border transfer review</t>
        </is>
      </c>
      <c r="AU448" s="79" t="inlineStr">
        <is>
          <t>1. # data subject rights requests fulfilled on time (target: 100% within 30 days). 2. # data breaches notified to SDAIA within 72h (target: 100%). 3. % staff completed privacy training (target: 100%). 4. # DPIAs completed for high-risk processing activities. 5. Data retention compliance rate (% records within policy). 6. % third-party processors with DPA agreements</t>
        </is>
      </c>
      <c r="AV448" s="80" t="inlineStr">
        <is>
          <t>Annual DPIA review; data mapping audit (controller record validation); consent record audit; breach response simulation (tabletop); access control review for personal data systems; third-party processor audit; SDAIA compliance self-assessment</t>
        </is>
      </c>
      <c r="AW448" s="81" t="inlineStr">
        <is>
          <t>OneTrust (market leader for PDPL); TrustArc; Nymity; DataGrail; Varonis (data discovery); Microsoft Purview (data classification). SDAIA National Data Governance Platform for registration. Arabic-capable tools preferred</t>
        </is>
      </c>
      <c r="AX448" s="82" t="inlineStr">
        <is>
          <t>All third-party data processors must have Data Processing Agreement (DPA). Processors must demonstrate equivalent PDPL compliance. Cross-border transfers require adequacy assessment or appropriate safeguards. Sub-processor disclosure mandatory. Annual processor risk assessment required</t>
        </is>
      </c>
      <c r="AY448" s="83" t="inlineStr">
        <is>
          <t>Non-compliance: SAR 5M administrative fine; criminal prosecution for sensitive data breach; SDAIA investigation; mandatory breach public disclosure. Business disruption: SDAIA can order processing suspension. Reputational: patient trust damage. Market: EU adequate protection status depends on PDPL enforcement credibility</t>
        </is>
      </c>
      <c r="AZ448" s="80" t="inlineStr">
        <is>
          <t>ALL 17 SECTORS — any entity processing personal data</t>
        </is>
      </c>
      <c r="BA448" s="34" t="inlineStr">
        <is>
          <t>YES — ALL SECTORS</t>
        </is>
      </c>
      <c r="BB448" s="591">
        <f>IF(E448="","",IF(ISNUMBER(SEARCH("Institutional theory and regulatory governance theory underpin",AI448)),"TEMPLATE",IF(LEN(AI448)&gt;100,"DEEP",IF(AI448="","SPARSE","SHALLOW"))))</f>
        <v/>
      </c>
      <c r="BC448" s="591">
        <f>IF(E448="","",D448&amp;"-"&amp;B448&amp;"-"&amp;E448)</f>
        <v/>
      </c>
      <c r="BD448" s="591">
        <f>IF(E448="","",SUBSTITUTE(SUBSTITUTE(B448&amp;"-"&amp;E448," ",""),":","-"))</f>
        <v/>
      </c>
      <c r="BE448" s="591">
        <f>IF(E448="","",IF(ISNUMBER(SEARCH("ECC",E448)),"NCA-ECC-2-2024",IF(ISNUMBER(SEARCH("OTCC",E448)),"NCA-ECC-2-2024",IF(ISNUMBER(SEARCH("CCC",E448)),"NCA-ECC-2-2024",IF(ISNUMBER(SEARCH("DCC",E448)),"NCA-ECC-2-2024",IF(ISNUMBER(SEARCH("CSCC",E448)),"NCA-ECC-2-2024",IF(ISNUMBER(SEARCH("PDPL-IR",E448)),"PDPL-2021",IF(ISNUMBER(SEARCH("PDPL-DTR",E448)),"PDPL-2021","NONE"))))))))</f>
        <v/>
      </c>
      <c r="BF448" s="594">
        <f>IF(E448="","",IF(BB448="DEEP",10,IF(BB448="SHALLOW",5,IF(BB448="TEMPLATE",3,1)))+IF(N448="HIGHEST",5,IF(N448="HIGH",3,IF(N448="MODERATE",1,0)))+IF(ISNUMBER(SEARCH("Mandatory",L448)),3,0))</f>
        <v/>
      </c>
    </row>
    <row r="449" ht="42" customHeight="1">
      <c r="A449" s="42" t="n">
        <v>400</v>
      </c>
      <c r="B449" s="412" t="inlineStr">
        <is>
          <t>TBHC</t>
        </is>
      </c>
      <c r="C449" s="44" t="inlineStr">
        <is>
          <t>Tabuk Health Cluster</t>
        </is>
      </c>
      <c r="D449" s="44" t="inlineStr">
        <is>
          <t>17. Regional Health Clusters</t>
        </is>
      </c>
      <c r="E449" s="412" t="inlineStr">
        <is>
          <t>MOH-TELE</t>
        </is>
      </c>
      <c r="F449" s="45" t="inlineStr">
        <is>
          <t>Telemedicine Regulations</t>
        </is>
      </c>
      <c r="G449" s="44" t="inlineStr">
        <is>
          <t>لائحة الرعاية الصحية عن بعد</t>
        </is>
      </c>
      <c r="H449" s="44" t="inlineStr">
        <is>
          <t>Late 2023</t>
        </is>
      </c>
      <c r="I449" s="46" t="inlineStr">
        <is>
          <t>2020</t>
        </is>
      </c>
      <c r="J449" s="46" t="inlineStr">
        <is>
          <t>38</t>
        </is>
      </c>
      <c r="K449" s="44" t="inlineStr">
        <is>
          <t>MUST COMPLY WITH</t>
        </is>
      </c>
      <c r="L449" s="66" t="inlineStr">
        <is>
          <t>Mandatory Complier</t>
        </is>
      </c>
      <c r="M449" s="44" t="inlineStr">
        <is>
          <t>Tabuk Health Cluster offering telemedicine services</t>
        </is>
      </c>
      <c r="N449" s="54" t="inlineStr">
        <is>
          <t>HIGH</t>
        </is>
      </c>
      <c r="O449" s="48" t="inlineStr">
        <is>
          <t>https://www.moh.gov.sa/en/</t>
        </is>
      </c>
      <c r="P449" s="44" t="inlineStr">
        <is>
          <t>MOH; Hammad &amp; Al-Mehdar 2025</t>
        </is>
      </c>
      <c r="Q449" s="70" t="inlineStr">
        <is>
          <t>COVID-19 emergency 2020 → comprehensive regulations late 2023</t>
        </is>
      </c>
      <c r="R449" s="70" t="inlineStr">
        <is>
          <t>2020 (emergency COVID telehealth rules): basic platform licensing, identity verification, audio/video minimum standards. Late 2023 (comprehensive update, 38 controls): platform licensing requirements; patient identity verification; cross-border telemedicine restrictions; controlled substance prescribing rules (limited); data protection (PDPL alignment); patient consent requirements; clinical documentation standards; coverage by health insurance; quality assurance audit requirements</t>
        </is>
      </c>
      <c r="S449" s="71" t="inlineStr">
        <is>
          <t>Emergency 2020. Comprehensive: late 2023</t>
        </is>
      </c>
      <c r="T449" s="70" t="inlineStr">
        <is>
          <t>Annual update; cross-border rules under active development 2025</t>
        </is>
      </c>
      <c r="U449" s="25" t="inlineStr">
        <is>
          <t>CURRENT — late 2023 comprehensive version</t>
        </is>
      </c>
      <c r="V449" s="70" t="inlineStr">
        <is>
          <t>Platform licence revocation; SAR 1M–5M fine (scale by offence); clinical professional disciplinary action by SCFHS</t>
        </is>
      </c>
      <c r="W449" s="72" t="inlineStr">
        <is>
          <t>MOH — eHealth General Directorate; CST (platform technical licensing); CCHI (insurance coverage compliance); SCFHS (clinical standards)</t>
        </is>
      </c>
      <c r="X449" s="70" t="inlineStr">
        <is>
          <t>Hospital (outpatient teleconsultation); Clinic; Health IT Vendor (platform developers); Health Insurer (reimbursement compliance)</t>
        </is>
      </c>
      <c r="Y449" s="22" t="inlineStr">
        <is>
          <t>Both</t>
        </is>
      </c>
      <c r="Z449" s="70" t="inlineStr">
        <is>
          <t>MOH platform licence audit (annual); CCHI insurance compliance check; SCFHS clinical quality audit</t>
        </is>
      </c>
      <c r="AA449" s="71" t="inlineStr">
        <is>
          <t>Annual licence renewal; random clinical quality audit</t>
        </is>
      </c>
      <c r="AB449" s="70" t="inlineStr">
        <is>
          <t>15 (remote patient monitoring integration; wearable device data for teleconsultation; IoMT vital sign display during video consultation; remote device prescription; teleICU monitoring requirements)</t>
        </is>
      </c>
      <c r="AC449" s="70" t="inlineStr">
        <is>
          <t>WHO Telemedicine Guidelines (2010/updated); ISO 13131:2021 (Telehealth); ATA (American Telemedicine Association) standards (reference)</t>
        </is>
      </c>
      <c r="AD449" s="49" t="inlineStr">
        <is>
          <t>Arabic (primary); English technical guidance</t>
        </is>
      </c>
      <c r="AE449" s="26" t="inlineStr">
        <is>
          <t>Layer 1: Governance; Layer 4: Compliance</t>
        </is>
      </c>
      <c r="AF449" s="60" t="inlineStr">
        <is>
          <t>No formal maturity model; licence tiers (basic/advanced platform)</t>
        </is>
      </c>
      <c r="AG449" s="70" t="inlineStr">
        <is>
          <t>HSTP telemedicine targets (30% uptake); SEHA Virtual Hospital; Vision 2030 healthcare access targets</t>
        </is>
      </c>
      <c r="AH449" s="70" t="inlineStr">
        <is>
          <t>Platform licence certificate; patient consent records; clinical documentation standards compliance; identity verification log; prescription records; NABIDH integration evidence</t>
        </is>
      </c>
      <c r="AI449" s="73" t="inlineStr">
        <is>
          <t>Telehealth adoption theory (LeRouge &amp; Garfield 2013): patient acceptance + clinician integration. Access theory: geography-equity argument for remote care. Digital health governance theory: platform regulation vs clinical regulation tension.</t>
        </is>
      </c>
      <c r="AJ449" s="70" t="inlineStr">
        <is>
          <t>FOR: COVID-19 proved telehealth viability at scale in KSA (Al-Ataawi et al. 2022); Sehhaty platform shows government commitment; removes geographic barriers consistent with Vision 2030 equity goals; IoMT remote monitoring reimbursement framework emerging. AGAINST: Clinical quality in telehealth still debated (Hollander &amp; Sites 2020); data sovereignty for cross-border telehealth unresolved; prescription via teleconsultation remains restricted limiting scope; rural connectivity gaps undermine access equity goal</t>
        </is>
      </c>
      <c r="AK449" s="74" t="inlineStr">
        <is>
          <t>Regulations still lag technology — VR/AR clinical applications not addressed; AI-assisted teleconsultation regulatory pathway unclear; cross-border telehealth restrictions create market fragmentation; no minimum quality standards for audio/video equipment; liability for technical failure not yet codified in regulation</t>
        </is>
      </c>
      <c r="AL449" s="75" t="inlineStr">
        <is>
          <t>MOH-TELE vs NHS TECS (UK): NHS TECS has DTAC (Digital Technology Assessment Criteria) for all digital health tools — KSA equivalent absent. MOH-TELE vs FCC/CMS telehealth (US): US has federal reimbursement codes (CPT); KSA CCHI integration still developing. MOH-TELE vs WHO Telemedicine Guidelines: broadly aligned but KSA-specific cross-border rules more restrictive than WHO recommends</t>
        </is>
      </c>
      <c r="AM449" s="76" t="inlineStr">
        <is>
          <t>Al-Ataawi A et al. (2022) 'Telehealth in Saudi Arabia During COVID-19' J Healthcare Informatics Res; Hollander JE &amp; Sites FD (2020) 'Telehealth Beyond COVID-19' NEJM 2020; Hammad &amp; Al-Mehdar (2025) Saudi Healthcare Regulatory Update; WHO (2010) Telemedicine Opportunities and Developments; LeRouge C &amp; Garfield MJ (2013) 'Crossing the Telemedicine Chasm' JAMIA 20(6)</t>
        </is>
      </c>
      <c r="AN449" s="50" t="inlineStr">
        <is>
          <t>Official: MOH website. Training: American Telemedicine Association (ATA) online courses; SEHA Virtual Hospital training programme; WHO telehealth competency framework. Estimated: 25 hours</t>
        </is>
      </c>
      <c r="AO449" s="77" t="inlineStr">
        <is>
          <t>GH-ICGA Layer 1 (Governance) — telehealth regulation defines the governance boundary for remote IoMT monitoring. Thesis relevance: GH-ICGA must address the governance overlap between MOH-TELE (clinical platform regulation) and NCA-ECC (cybersecurity) and PDPL (patient data) for remote monitoring scenarios</t>
        </is>
      </c>
      <c r="AP449" s="51" t="inlineStr">
        <is>
          <t>G + C (platform governance + clinical compliance)</t>
        </is>
      </c>
      <c r="AQ449" s="78" t="inlineStr">
        <is>
          <t>CEO: platform licence accountability. Medical Director: clinical quality governance. DPO: PDPL compliance for patient data on platform. Technical Director: platform security. Pharmacy Director: prescription management compliance</t>
        </is>
      </c>
      <c r="AR449" s="74" t="inlineStr">
        <is>
          <t>Clinical Risk (misdiagnosis via teleconsultation); Regulatory Risk (licence breach); Privacy Risk (patient data); Operational Risk (platform availability); Cross-Border Risk (international teleconsultation restrictions)</t>
        </is>
      </c>
      <c r="AS449" s="61" t="inlineStr">
        <is>
          <t>REGULATORY — MOH licensing requirement. Non-compliance: platform licence revocation; SAR 1M–5M fine; SCFHS action against clinicians</t>
        </is>
      </c>
      <c r="AT449" s="75" t="inlineStr">
        <is>
          <t>Administrative (A): 20 controls — licensing; consent; documentation; clinical protocols. Technical (T): 12 controls — platform security; identity verification; audio/video standards. Operational (O): 6 controls — prescribing workflow; referral protocol; audit trail</t>
        </is>
      </c>
      <c r="AU449" s="79" t="inlineStr">
        <is>
          <t>1. Patient consent collection rate (target 100% before each session). 2. Platform availability SLA compliance (target &gt;99.5%). 3. Identity verification success rate. 4. # clinical complaints per 1,000 teleconsultations. 5. Documentation compliance rate (target 100% consultation notes in NABIDH). 6. Prescription audit pass rate</t>
        </is>
      </c>
      <c r="AV449" s="80" t="inlineStr">
        <is>
          <t>Annual MOH licence renewal audit; CCHI insurance coverage compliance check; patient record documentation audit; platform security assessment; identity verification system test; NABIDH integration test</t>
        </is>
      </c>
      <c r="AW449" s="81" t="inlineStr">
        <is>
          <t>Sehhaty / Mawid (MOH official platforms); Nabdh; Cura Health; Vezeeta; Nubaqraa — all require MOH licensing. Security tools: FortiWeb (WAF); Auth0/Okta (identity); TeleVisit security frameworks</t>
        </is>
      </c>
      <c r="AX449" s="82" t="inlineStr">
        <is>
          <t>Platform vendors: MOH-licensed telemedicine solution mandatory; PDPL DPA required; NABIDH API certification; patient data not to be shared with third-party analytics without consent; international teleconsultation providers must be MOH-approved</t>
        </is>
      </c>
      <c r="AY449" s="83" t="inlineStr">
        <is>
          <t>Unlicensed platform: immediate shutdown; SAR fine; clinical professional disciplinary action. Licence revocation: complete business cessation. Patient harm via telemedicine: malpractice liability; SCFHS investigation</t>
        </is>
      </c>
      <c r="AZ449" s="80" t="inlineStr">
        <is>
          <t>Healthcare &amp; Life Sciences; ICT/Digital (platform providers)</t>
        </is>
      </c>
      <c r="BA449" s="41" t="inlineStr">
        <is>
          <t>Sector-Specific</t>
        </is>
      </c>
      <c r="BB449" s="591">
        <f>IF(E449="","",IF(ISNUMBER(SEARCH("Institutional theory and regulatory governance theory underpin",AI449)),"TEMPLATE",IF(LEN(AI449)&gt;100,"DEEP",IF(AI449="","SPARSE","SHALLOW"))))</f>
        <v/>
      </c>
      <c r="BC449" s="591">
        <f>IF(E449="","",D449&amp;"-"&amp;B449&amp;"-"&amp;E449)</f>
        <v/>
      </c>
      <c r="BD449" s="591">
        <f>IF(E449="","",SUBSTITUTE(SUBSTITUTE(B449&amp;"-"&amp;E449," ",""),":","-"))</f>
        <v/>
      </c>
      <c r="BE449" s="591">
        <f>IF(E449="","",IF(ISNUMBER(SEARCH("ECC",E449)),"NCA-ECC-2-2024",IF(ISNUMBER(SEARCH("OTCC",E449)),"NCA-ECC-2-2024",IF(ISNUMBER(SEARCH("CCC",E449)),"NCA-ECC-2-2024",IF(ISNUMBER(SEARCH("DCC",E449)),"NCA-ECC-2-2024",IF(ISNUMBER(SEARCH("CSCC",E449)),"NCA-ECC-2-2024",IF(ISNUMBER(SEARCH("PDPL-IR",E449)),"PDPL-2021",IF(ISNUMBER(SEARCH("PDPL-DTR",E449)),"PDPL-2021","NONE"))))))))</f>
        <v/>
      </c>
      <c r="BF449" s="594">
        <f>IF(E449="","",IF(BB449="DEEP",10,IF(BB449="SHALLOW",5,IF(BB449="TEMPLATE",3,1)))+IF(N449="HIGHEST",5,IF(N449="HIGH",3,IF(N449="MODERATE",1,0)))+IF(ISNUMBER(SEARCH("Mandatory",L449)),3,0))</f>
        <v/>
      </c>
    </row>
    <row r="450" ht="42" customHeight="1">
      <c r="A450" s="84" t="n">
        <v>401</v>
      </c>
      <c r="B450" s="411" t="inlineStr">
        <is>
          <t>TBHC</t>
        </is>
      </c>
      <c r="C450" s="70" t="inlineStr">
        <is>
          <t>Tabuk Health Cluster</t>
        </is>
      </c>
      <c r="D450" s="70" t="inlineStr">
        <is>
          <t>17. Regional Health Clusters</t>
        </is>
      </c>
      <c r="E450" s="411" t="inlineStr">
        <is>
          <t>NHIC-NABIDH</t>
        </is>
      </c>
      <c r="F450" s="72" t="inlineStr">
        <is>
          <t>NABIDH EHR Platform Standard</t>
        </is>
      </c>
      <c r="G450" s="70" t="inlineStr">
        <is>
          <t>معيار منصة نبض</t>
        </is>
      </c>
      <c r="H450" s="70" t="inlineStr">
        <is>
          <t>Mandatory 2024</t>
        </is>
      </c>
      <c r="I450" s="71" t="inlineStr">
        <is>
          <t>2018</t>
        </is>
      </c>
      <c r="J450" s="71" t="inlineStr">
        <is>
          <t>40</t>
        </is>
      </c>
      <c r="K450" s="70" t="inlineStr">
        <is>
          <t>MUST COMPLY WITH</t>
        </is>
      </c>
      <c r="L450" s="66" t="inlineStr">
        <is>
          <t>Mandatory Complier</t>
        </is>
      </c>
      <c r="M450" s="70" t="inlineStr">
        <is>
          <t>Tabuk Health Cluster hospitals — NABIDH interoperability</t>
        </is>
      </c>
      <c r="N450" s="86" t="inlineStr">
        <is>
          <t>HIGHEST</t>
        </is>
      </c>
      <c r="O450" s="87" t="inlineStr">
        <is>
          <t>https://nhic.gov.sa/</t>
        </is>
      </c>
      <c r="P450" s="70" t="inlineStr">
        <is>
          <t>NHIC</t>
        </is>
      </c>
      <c r="Q450" s="70" t="inlineStr">
        <is>
          <t>NABIDH launched 2018 (pilot) → FHIR R4 API 2022 → mandatory all facilities 2024</t>
        </is>
      </c>
      <c r="R450" s="70" t="inlineStr">
        <is>
          <t>2018 (pilot): 10 MOH hospitals. 2019-2021: health cluster rollout. 2022: FHIR R4 API standards published; private hospitals voluntary integration. 2023: API developer portal opened; 40 technical requirements published. 2024: MANDATORY — all healthcare facilities must connect; Private Health Institutions Law updated; penalties for non-connection: facility licensing at risk. NABIDH now the central patient data repository — 45M+ patient records as of 2024</t>
        </is>
      </c>
      <c r="S450" s="71" t="inlineStr">
        <is>
          <t>Launched: 2018. FHIR R4 API: 2022. Mandatory: 2024</t>
        </is>
      </c>
      <c r="T450" s="70" t="inlineStr">
        <is>
          <t>Continuous platform updates; API versioning quarterly</t>
        </is>
      </c>
      <c r="U450" s="25" t="inlineStr">
        <is>
          <t>CURRENT — mandatory as of 2024</t>
        </is>
      </c>
      <c r="V450" s="70" t="inlineStr">
        <is>
          <t>Facility unable to receive electronic referrals; excluded from national patient record; MOH licensing risk; procurement penalties</t>
        </is>
      </c>
      <c r="W450" s="72" t="inlineStr">
        <is>
          <t>NHIC — NABIDH Programme Office; MOH General Directorate of Health Informatics; regional health clusters</t>
        </is>
      </c>
      <c r="X450" s="70" t="inlineStr">
        <is>
          <t>Hospital; Clinic; Lab; Pharmacy — ALL healthcare facilities mandatory</t>
        </is>
      </c>
      <c r="Y450" s="22" t="inlineStr">
        <is>
          <t>Both</t>
        </is>
      </c>
      <c r="Z450" s="70" t="inlineStr">
        <is>
          <t>NHIC API conformance test; connectivity monitoring (automated); annual technical review</t>
        </is>
      </c>
      <c r="AA450" s="71" t="inlineStr">
        <is>
          <t>Continuous connectivity monitoring; annual audit</t>
        </is>
      </c>
      <c r="AB450" s="70" t="inlineStr">
        <is>
          <t>16 (NABIDH IoMT data ingestion API; remote monitoring data submission; wearable vital signs standardisation; IoMT device data consent management; IoMT-generated observation resources in FHIR)</t>
        </is>
      </c>
      <c r="AC450" s="70" t="inlineStr">
        <is>
          <t>HL7 FHIR R4 (mandatory); IHE profiles; SNOMED CT; ICD-10-CM; LOINC; HL7 CDA</t>
        </is>
      </c>
      <c r="AD450" s="49" t="inlineStr">
        <is>
          <t>Arabic + English (NABIDH technical specifications bilingual)</t>
        </is>
      </c>
      <c r="AE450" s="37" t="inlineStr">
        <is>
          <t>Layer 3: Technical Controls; Layer 4: Compliance; Layer 5: Assurance</t>
        </is>
      </c>
      <c r="AF450" s="27" t="inlineStr">
        <is>
          <t>Yes — 3 connectivity levels (Basic data exchange / Full longitudinal record / Advanced IoMT integration)</t>
        </is>
      </c>
      <c r="AG450" s="70" t="inlineStr">
        <is>
          <t>HSTP digital health; National EHR programme; NHIS integration; Vision 2030 connected healthcare</t>
        </is>
      </c>
      <c r="AH450" s="70" t="inlineStr">
        <is>
          <t>NABIDH connectivity certificate; API test results; FHIR conformance statement; patient consent records; data quality dashboard reports</t>
        </is>
      </c>
      <c r="AI450" s="73" t="inlineStr">
        <is>
          <t>Institutional theory and regulatory governance theory underpin all KSA regulatory frameworks. Specific theoretical basis varies by framework — consult academic literature via Google Scholar using framework name as search term.</t>
        </is>
      </c>
      <c r="AJ450" s="70" t="inlineStr">
        <is>
          <t>Academic debate varies by framework maturity and international adoption. For KSA-specific debate, consult: Almohammad &amp; Wills (2021) J Cybersecurity; Al-Khater et al. (2020) IEEE Access; Baker McKenzie KSA regulatory updates.</t>
        </is>
      </c>
      <c r="AK450" s="74" t="inlineStr">
        <is>
          <t>Known criticisms include: implementation gap between standards and practice; resource constraints for smaller healthcare entities; rapid technology evolution outpacing regulation. Consult framework evaluation literature for specifics.</t>
        </is>
      </c>
      <c r="AL450" s="75" t="inlineStr">
        <is>
          <t>Framework comparison requires contextual analysis. Key comparators: NIST CSF 2.0 (international benchmark), ISO 27001 (certifiable standard), ECC-2 (KSA mandatory baseline). See main database for cross-framework mapping.</t>
        </is>
      </c>
      <c r="AM450"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50" s="50" t="inlineStr">
        <is>
          <t>Official: Consult the official source URL in the database for the primary document. Training: ISACA, ISC2, RAPS, IAPP, and HIMSS offer professional development covering most regulatory domains. Estimated hours vary by framework complexity.</t>
        </is>
      </c>
      <c r="AO450" s="77" t="inlineStr">
        <is>
          <t>Relevance to GH-ICGA framework varies by layer — see GH-ICGA Layer Mapping column. All KSA mandatory frameworks are compliance inputs to GH-ICGA Layer 4. Frameworks with IoMT-specific provisions directly inform Layers 2 and 3.</t>
        </is>
      </c>
      <c r="AP450" s="51" t="inlineStr">
        <is>
          <t>G + C (Governance + Compliance — standard regulatory framework positioning)</t>
        </is>
      </c>
      <c r="AQ450" s="78" t="inlineStr">
        <is>
          <t>Senior management: accountability for framework compliance. Designated compliance officer: monitor requirements. All staff: awareness of applicable obligations</t>
        </is>
      </c>
      <c r="AR450" s="74" t="inlineStr">
        <is>
          <t>Regulatory Risk; Operational Risk; Reputational Risk — specific domains determined by framework scope</t>
        </is>
      </c>
      <c r="AS450" s="22" t="inlineStr">
        <is>
          <t>See official source — legal obligation, regulatory requirement, or voluntary standard as applicable</t>
        </is>
      </c>
      <c r="AT450" s="75" t="inlineStr">
        <is>
          <t>Administrative; Technical; Operational — specific distribution determined by framework content</t>
        </is>
      </c>
      <c r="AU450" s="79" t="inlineStr">
        <is>
          <t>1. Compliance status (compliant/non-compliant). 2. # open findings from last assessment. 3. % controls implemented. 4. Time to remediate findings. 5. Incident rate in framework scope area</t>
        </is>
      </c>
      <c r="AV450" s="80" t="inlineStr">
        <is>
          <t>Self-assessment; internal audit; external assessment as specified by issuing authority</t>
        </is>
      </c>
      <c r="AW450" s="81" t="inlineStr">
        <is>
          <t>ServiceNow GRC; IBM OpenPages; RSA Archer; MetricStream — all major GRC platforms support custom framework import. Contact vendor for framework-specific module</t>
        </is>
      </c>
      <c r="AX450" s="82" t="inlineStr">
        <is>
          <t>Third parties in scope must demonstrate equivalent compliance. Contractual compliance obligations; right-to-audit clauses; annual third-party assessment</t>
        </is>
      </c>
      <c r="AY450" s="83" t="inlineStr">
        <is>
          <t>Non-compliance: regulatory action by issuing authority; fines and penalties as specified; operational and reputational consequences</t>
        </is>
      </c>
      <c r="AZ450" s="80" t="inlineStr">
        <is>
          <t>Healthcare &amp; Life Sciences</t>
        </is>
      </c>
      <c r="BA450" s="41" t="inlineStr">
        <is>
          <t>Sector-Specific</t>
        </is>
      </c>
      <c r="BB450" s="591">
        <f>IF(E450="","",IF(ISNUMBER(SEARCH("Institutional theory and regulatory governance theory underpin",AI450)),"TEMPLATE",IF(LEN(AI450)&gt;100,"DEEP",IF(AI450="","SPARSE","SHALLOW"))))</f>
        <v/>
      </c>
      <c r="BC450" s="591">
        <f>IF(E450="","",D450&amp;"-"&amp;B450&amp;"-"&amp;E450)</f>
        <v/>
      </c>
      <c r="BD450" s="591">
        <f>IF(E450="","",SUBSTITUTE(SUBSTITUTE(B450&amp;"-"&amp;E450," ",""),":","-"))</f>
        <v/>
      </c>
      <c r="BE450" s="591">
        <f>IF(E450="","",IF(ISNUMBER(SEARCH("ECC",E450)),"NCA-ECC-2-2024",IF(ISNUMBER(SEARCH("OTCC",E450)),"NCA-ECC-2-2024",IF(ISNUMBER(SEARCH("CCC",E450)),"NCA-ECC-2-2024",IF(ISNUMBER(SEARCH("DCC",E450)),"NCA-ECC-2-2024",IF(ISNUMBER(SEARCH("CSCC",E450)),"NCA-ECC-2-2024",IF(ISNUMBER(SEARCH("PDPL-IR",E450)),"PDPL-2021",IF(ISNUMBER(SEARCH("PDPL-DTR",E450)),"PDPL-2021","NONE"))))))))</f>
        <v/>
      </c>
      <c r="BF450" s="594">
        <f>IF(E450="","",IF(BB450="DEEP",10,IF(BB450="SHALLOW",5,IF(BB450="TEMPLATE",3,1)))+IF(N450="HIGHEST",5,IF(N450="HIGH",3,IF(N450="MODERATE",1,0)))+IF(ISNUMBER(SEARCH("Mandatory",L450)),3,0))</f>
        <v/>
      </c>
    </row>
    <row r="451" ht="42" customHeight="1">
      <c r="A451" s="42" t="n">
        <v>402</v>
      </c>
      <c r="B451" s="412" t="inlineStr">
        <is>
          <t>TBHC</t>
        </is>
      </c>
      <c r="C451" s="44" t="inlineStr">
        <is>
          <t>Tabuk Health Cluster</t>
        </is>
      </c>
      <c r="D451" s="44" t="inlineStr">
        <is>
          <t>17. Regional Health Clusters</t>
        </is>
      </c>
      <c r="E451" s="412" t="inlineStr">
        <is>
          <t>NCA-OTCC</t>
        </is>
      </c>
      <c r="F451" s="45" t="inlineStr">
        <is>
          <t>OT Cybersecurity Controls</t>
        </is>
      </c>
      <c r="G451" s="44" t="inlineStr">
        <is>
          <t>ضوابط الأمن السيبراني للتقنيات التشغيلية</t>
        </is>
      </c>
      <c r="H451" s="44" t="inlineStr">
        <is>
          <t>OTCC-1:2022</t>
        </is>
      </c>
      <c r="I451" s="46" t="inlineStr">
        <is>
          <t>2022</t>
        </is>
      </c>
      <c r="J451" s="46" t="inlineStr">
        <is>
          <t>53</t>
        </is>
      </c>
      <c r="K451" s="44" t="inlineStr">
        <is>
          <t>MUST COMPLY WITH</t>
        </is>
      </c>
      <c r="L451" s="66" t="inlineStr">
        <is>
          <t>Mandatory Complier</t>
        </is>
      </c>
      <c r="M451" s="44" t="inlineStr">
        <is>
          <t>Tabuk Health Cluster medical device OT networks — CNI designation</t>
        </is>
      </c>
      <c r="N451" s="47" t="inlineStr">
        <is>
          <t>HIGHEST</t>
        </is>
      </c>
      <c r="O451" s="48" t="inlineStr">
        <is>
          <t>https://nca.gov.sa/</t>
        </is>
      </c>
      <c r="P451" s="44" t="inlineStr">
        <is>
          <t>NCA OTCC</t>
        </is>
      </c>
      <c r="Q451" s="70" t="inlineStr">
        <is>
          <t>See official source for version history</t>
        </is>
      </c>
      <c r="R451" s="70" t="inlineStr">
        <is>
          <t>Framework issued by the relevant authority. Version details available on the official website referenced in the source URL column. The framework has been updated periodically since first issuance.</t>
        </is>
      </c>
      <c r="S451" s="71" t="inlineStr">
        <is>
          <t>See official source</t>
        </is>
      </c>
      <c r="T451" s="70" t="inlineStr">
        <is>
          <t>Updated as needed by the issuing authority</t>
        </is>
      </c>
      <c r="U451" s="25" t="inlineStr">
        <is>
          <t>CURRENT — consult official source for latest version</t>
        </is>
      </c>
      <c r="V451" s="70" t="inlineStr">
        <is>
          <t>Penalties defined by issuing authority; consult official source. NCA ECC-2 penalties apply if relevant</t>
        </is>
      </c>
      <c r="W451" s="72" t="inlineStr">
        <is>
          <t>Issuing authority and/or designated inspection department</t>
        </is>
      </c>
      <c r="X451" s="70" t="inlineStr">
        <is>
          <t>As specified in framework scope — consult official document</t>
        </is>
      </c>
      <c r="Y451" s="49" t="inlineStr">
        <is>
          <t>Both (unless specified otherwise in official document)</t>
        </is>
      </c>
      <c r="Z451" s="70" t="inlineStr">
        <is>
          <t>As defined by issuing authority</t>
        </is>
      </c>
      <c r="AA451" s="71" t="inlineStr">
        <is>
          <t>As defined by issuing authority</t>
        </is>
      </c>
      <c r="AB451" s="70" t="inlineStr">
        <is>
          <t>To be determined from framework text — see official source</t>
        </is>
      </c>
      <c r="AC451" s="70" t="inlineStr">
        <is>
          <t>See framework preamble for international standard references</t>
        </is>
      </c>
      <c r="AD451" s="49" t="inlineStr">
        <is>
          <t>Arabic (primary in KSA); English may be available</t>
        </is>
      </c>
      <c r="AE451" s="58" t="inlineStr">
        <is>
          <t>Mapped to relevant GH-ICGA layer — requires manual assessment</t>
        </is>
      </c>
      <c r="AF451" s="56" t="inlineStr">
        <is>
          <t>See official framework for maturity model details</t>
        </is>
      </c>
      <c r="AG451" s="70" t="inlineStr">
        <is>
          <t>Aligned with relevant Vision 2030 programme — see framework context</t>
        </is>
      </c>
      <c r="AH451" s="70" t="inlineStr">
        <is>
          <t>As specified in framework compliance requirements</t>
        </is>
      </c>
      <c r="AI451" s="73" t="inlineStr">
        <is>
          <t>Institutional theory and regulatory governance theory underpin all KSA regulatory frameworks. Specific theoretical basis varies by framework — consult academic literature via Google Scholar using framework name as search term.</t>
        </is>
      </c>
      <c r="AJ451" s="70" t="inlineStr">
        <is>
          <t>Academic debate varies by framework maturity and international adoption. For KSA-specific debate, consult: Almohammad &amp; Wills (2021) J Cybersecurity; Al-Khater et al. (2020) IEEE Access; Baker McKenzie KSA regulatory updates.</t>
        </is>
      </c>
      <c r="AK451" s="74" t="inlineStr">
        <is>
          <t>Known criticisms include: implementation gap between standards and practice; resource constraints for smaller healthcare entities; rapid technology evolution outpacing regulation. Consult framework evaluation literature for specifics.</t>
        </is>
      </c>
      <c r="AL451" s="75" t="inlineStr">
        <is>
          <t>Framework comparison requires contextual analysis. Key comparators: NIST CSF 2.0 (international benchmark), ISO 27001 (certifiable standard), ECC-2 (KSA mandatory baseline). See main database for cross-framework mapping.</t>
        </is>
      </c>
      <c r="AM451"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51" s="50" t="inlineStr">
        <is>
          <t>Official: Consult the official source URL in the database for the primary document. Training: ISACA, ISC2, RAPS, IAPP, and HIMSS offer professional development covering most regulatory domains. Estimated hours vary by framework complexity.</t>
        </is>
      </c>
      <c r="AO451" s="77" t="inlineStr">
        <is>
          <t>Relevance to GH-ICGA framework varies by layer — see GH-ICGA Layer Mapping column. All KSA mandatory frameworks are compliance inputs to GH-ICGA Layer 4. Frameworks with IoMT-specific provisions directly inform Layers 2 and 3.</t>
        </is>
      </c>
      <c r="AP451" s="53" t="inlineStr">
        <is>
          <t>R + C (Risk and Compliance — technically oriented; governance implied)</t>
        </is>
      </c>
      <c r="AQ451" s="78" t="inlineStr">
        <is>
          <t>CISO/OT Security Manager: own OTCC compliance. Clinical Engineering/Biomedical Engineering: co-responsible for medical device OT compliance. CTO: responsible for OT architecture. Board: informed of OT risk posture annually. OT security roles: Saudi nationals required per ECC-2 Saudisation mandate</t>
        </is>
      </c>
      <c r="AR451" s="74" t="inlineStr">
        <is>
          <t>Cyber Risk (OT/ICS); Operational Risk (process disruption); Physical Safety Risk (clinical impact of OT compromise); Supply Chain Risk (OT vendor remote access); Availability Risk (OT always-on requirement)</t>
        </is>
      </c>
      <c r="AS451" s="22" t="inlineStr">
        <is>
          <t>LEGAL — Mandatory for CNI OT operators under NCA-REG-2024. Hospitals as CNI: healthcare OT networks are in scope. Penalties: NCA-REG-2024 (SAR 25M max) + potential operational shutdown of non-compliant OT systems</t>
        </is>
      </c>
      <c r="AT451" s="75" t="inlineStr">
        <is>
          <t>Technical (T): 40 controls — OT network segmentation; secure remote access; OT monitoring; patch management for ICS. Administrative (A): 8 controls — OT governance; vendor management; OT incident response. Operational (O): 5 controls — OT change management; OT BCP</t>
        </is>
      </c>
      <c r="AU451" s="79" t="inlineStr">
        <is>
          <t>1. % OT assets inventoried (target 100%). 2. % OT systems with current patches within defined window. 3. # OT network zone violations detected. 4. % third-party OT vendor accesses logged. 5. OT system availability rate (target &gt;99.9% for life-critical). 6. Time-to-detect OT anomaly (target &lt;15 min for CNI)</t>
        </is>
      </c>
      <c r="AV451" s="80" t="inlineStr">
        <is>
          <t>OT vulnerability scan (passive — non-disruptive tools: Claroty, Nozomi, Dragos); OT network traffic analysis; OT penetration test (annual — must not disrupt clinical operations); vendor remote access audit; zone/conduit diagram validation</t>
        </is>
      </c>
      <c r="AW451" s="81" t="inlineStr">
        <is>
          <t>Claroty (medical IoT OT visibility); Nozomi Networks; Dragos; Tenable.ot; Fortinet OT; Medigate (healthcare-specific OT). For GRC integration: ServiceNow OT module; IBM QRadar SIEM with OT signatures</t>
        </is>
      </c>
      <c r="AX451" s="82" t="inlineStr">
        <is>
          <t>All OT vendors with remote access: mandatory access logging; time-limited access; multi-factor authentication; vendor security assessment before engagement; NDA for OT architecture access; OT vendor incident notification within 4 hours</t>
        </is>
      </c>
      <c r="AY451" s="83" t="inlineStr">
        <is>
          <t>OT breach in hospital: potential life-critical impact (ventilator, infusion pump disruption); NCA shutdown order; SAR 25M fine; criminal referral; SFDA recall if device compromise detected; massive reputational and legal exposure</t>
        </is>
      </c>
      <c r="AZ451" s="80" t="inlineStr">
        <is>
          <t>Sector-specific — consult official source</t>
        </is>
      </c>
      <c r="BA451" s="41" t="inlineStr">
        <is>
          <t>Sector-Specific</t>
        </is>
      </c>
      <c r="BB451" s="591">
        <f>IF(E451="","",IF(ISNUMBER(SEARCH("Institutional theory and regulatory governance theory underpin",AI451)),"TEMPLATE",IF(LEN(AI451)&gt;100,"DEEP",IF(AI451="","SPARSE","SHALLOW"))))</f>
        <v/>
      </c>
      <c r="BC451" s="591">
        <f>IF(E451="","",D451&amp;"-"&amp;B451&amp;"-"&amp;E451)</f>
        <v/>
      </c>
      <c r="BD451" s="591">
        <f>IF(E451="","",SUBSTITUTE(SUBSTITUTE(B451&amp;"-"&amp;E451," ",""),":","-"))</f>
        <v/>
      </c>
      <c r="BE451" s="591">
        <f>IF(E451="","",IF(ISNUMBER(SEARCH("ECC",E451)),"NCA-ECC-2-2024",IF(ISNUMBER(SEARCH("OTCC",E451)),"NCA-ECC-2-2024",IF(ISNUMBER(SEARCH("CCC",E451)),"NCA-ECC-2-2024",IF(ISNUMBER(SEARCH("DCC",E451)),"NCA-ECC-2-2024",IF(ISNUMBER(SEARCH("CSCC",E451)),"NCA-ECC-2-2024",IF(ISNUMBER(SEARCH("PDPL-IR",E451)),"PDPL-2021",IF(ISNUMBER(SEARCH("PDPL-DTR",E451)),"PDPL-2021","NONE"))))))))</f>
        <v/>
      </c>
      <c r="BF451" s="594">
        <f>IF(E451="","",IF(BB451="DEEP",10,IF(BB451="SHALLOW",5,IF(BB451="TEMPLATE",3,1)))+IF(N451="HIGHEST",5,IF(N451="HIGH",3,IF(N451="MODERATE",1,0)))+IF(ISNUMBER(SEARCH("Mandatory",L451)),3,0))</f>
        <v/>
      </c>
    </row>
    <row r="452" ht="42" customHeight="1">
      <c r="A452" s="84" t="n">
        <v>403</v>
      </c>
      <c r="B452" s="411" t="inlineStr">
        <is>
          <t>NMHC</t>
        </is>
      </c>
      <c r="C452" s="70" t="inlineStr">
        <is>
          <t>Najran Health Cluster</t>
        </is>
      </c>
      <c r="D452" s="70" t="inlineStr">
        <is>
          <t>17. Regional Health Clusters</t>
        </is>
      </c>
      <c r="E452" s="411" t="inlineStr">
        <is>
          <t>MOH-HIS</t>
        </is>
      </c>
      <c r="F452" s="72" t="inlineStr">
        <is>
          <t>Health Information System Standards</t>
        </is>
      </c>
      <c r="G452" s="70" t="inlineStr">
        <is>
          <t>معايير نظم المعلومات الصحية</t>
        </is>
      </c>
      <c r="H452" s="70" t="inlineStr">
        <is>
          <t>2024 update</t>
        </is>
      </c>
      <c r="I452" s="71" t="inlineStr">
        <is>
          <t>2010</t>
        </is>
      </c>
      <c r="J452" s="71" t="inlineStr">
        <is>
          <t>112</t>
        </is>
      </c>
      <c r="K452" s="70" t="inlineStr">
        <is>
          <t>MUST COMPLY WITH</t>
        </is>
      </c>
      <c r="L452" s="66" t="inlineStr">
        <is>
          <t>Mandatory Complier</t>
        </is>
      </c>
      <c r="M452" s="70" t="inlineStr">
        <is>
          <t>Najran Health Cluster hospitals — mandatory HIS compliance</t>
        </is>
      </c>
      <c r="N452" s="86" t="inlineStr">
        <is>
          <t>HIGHEST</t>
        </is>
      </c>
      <c r="O452" s="87" t="inlineStr">
        <is>
          <t>https://www.moh.gov.sa/en/</t>
        </is>
      </c>
      <c r="P452" s="70" t="inlineStr">
        <is>
          <t>MOH official</t>
        </is>
      </c>
      <c r="Q452" s="70" t="inlineStr">
        <is>
          <t>First issued ~2010 → comprehensive update 2022 → mandatory EMR update 2024</t>
        </is>
      </c>
      <c r="R452" s="70" t="inlineStr">
        <is>
          <t>Progressive standards covering: 2010 (basic EHR requirements); 2015 (interoperability standards added); 2018 (NABIDH integration); 2020 (mobile health and telemedicine modules); 2022 (comprehensive 112-control update covering clinical systems, imaging, medication management, emergency, genomics, training); 2024 (mandatory EMR adoption for all MOH and private facilities aligned with NABIDH)</t>
        </is>
      </c>
      <c r="S452" s="71" t="inlineStr">
        <is>
          <t>First: 2010. Major update: 2022. EMR mandate: 2024</t>
        </is>
      </c>
      <c r="T452" s="70" t="inlineStr">
        <is>
          <t>Updated with NABIDH platform releases; typically annual minor updates</t>
        </is>
      </c>
      <c r="U452" s="25" t="inlineStr">
        <is>
          <t>CURRENT — 2024 version mandatory</t>
        </is>
      </c>
      <c r="V452" s="70" t="inlineStr">
        <is>
          <t>MOH facility licensing at risk; mandatory corrective action plan; financial penalties under Private Health Institutions Law; non-compliant systems barred from NABIDH connectivity</t>
        </is>
      </c>
      <c r="W452" s="72" t="inlineStr">
        <is>
          <t>MOH — Directorate of Health Information (DHI); regional health cluster inspection teams; NHIC for interoperability compliance</t>
        </is>
      </c>
      <c r="X452" s="70" t="inlineStr">
        <is>
          <t>Hospital; Clinic; Lab; Pharmacy (hospital); Government Health Entity</t>
        </is>
      </c>
      <c r="Y452" s="49" t="inlineStr">
        <is>
          <t>Both (mandatory for MOH facilities; mandatory for private facilities since 2024 PHILAW update)</t>
        </is>
      </c>
      <c r="Z452" s="70" t="inlineStr">
        <is>
          <t>MOH annual IT audit; NHIC interoperability assessment; CBAHI HIT standards review during accreditation</t>
        </is>
      </c>
      <c r="AA452" s="71" t="inlineStr">
        <is>
          <t>Annual MOH audit; NABIDH connectivity continuous monitoring</t>
        </is>
      </c>
      <c r="AB452" s="70" t="inlineStr">
        <is>
          <t>28 (medical device integration into HIS; alarm management; device data capture; IoMT workflow integration; remote monitoring data ingestion; device incident reporting to HIS)</t>
        </is>
      </c>
      <c r="AC452" s="70" t="inlineStr">
        <is>
          <t>HL7 FHIR R4 (interoperability); IHE profiles (integration); ISO 27799:2016 (health ISMS); DICOM (imaging)</t>
        </is>
      </c>
      <c r="AD452" s="49" t="inlineStr">
        <is>
          <t>Arabic (primary); English technical annexes</t>
        </is>
      </c>
      <c r="AE452" s="26" t="inlineStr">
        <is>
          <t>Layer 1: Governance; Layer 3: Technical Controls; Layer 4: Compliance</t>
        </is>
      </c>
      <c r="AF452" s="27" t="inlineStr">
        <is>
          <t>Yes — 4 implementation levels (Basic / Intermediate / Advanced / Optimised); MOH tracks facility scores</t>
        </is>
      </c>
      <c r="AG452" s="70" t="inlineStr">
        <is>
          <t>HSTP digital health; NABIDH national EHR; Vision 2030 healthcare quality targets</t>
        </is>
      </c>
      <c r="AH452" s="70" t="inlineStr">
        <is>
          <t>HIS system documentation; NABIDH connectivity certificate; interoperability test results; staff training records; system access audit logs; downtime contingency procedure</t>
        </is>
      </c>
      <c r="AI452" s="73" t="inlineStr">
        <is>
          <t>Health informatics systems theory (Shortliffe &amp; Cimino 2006): HIS as sociotechnical infrastructure. Interoperability theory (Kuperman 2011): semantic/syntactic/organisational interoperability levels. Technology adoption theory (TAM — Davis 1989): clinician adoption barriers to HIS.</t>
        </is>
      </c>
      <c r="AJ452" s="70" t="inlineStr">
        <is>
          <t>FOR: National standardisation essential for patient safety continuity (WHO 2019); NABIDH integration creates longitudinal patient record unavailable previously; IoMT data integration requirements push hospitals toward modern system architectures. AGAINST: Ajami &amp; Bagheri-Tadi (2013) and Aloudah et al. (2021) document implementation-reality gap in Saudi HIS — standards exist but compliance varies widely by facility tier; urban-rural HIS capacity gap poorly addressed; cybersecurity requirements within HIS standards historically weak (pre-NABIDH)</t>
        </is>
      </c>
      <c r="AK452" s="74" t="inlineStr">
        <is>
          <t>112 controls create compliance burden without proportionality guidance; small private clinics face disproportionate compliance cost; no formal HIS certification programme — self-declaration accepted; IoMT data standards not harmonised with international HL7 FHIR profiles; historical emphasis on data capture over data quality</t>
        </is>
      </c>
      <c r="AL452" s="75" t="inlineStr">
        <is>
          <t>MOH-HIS vs NHS Digital standards (UK): NHS has legally binding DCB standards with enforcement; MOH-HIS is ministerial directive with softer enforcement. MOH-HIS vs ONC Health IT Certification (US): US has federal certification; KSA moving toward certification (NABIDH conformance). MOH-HIS + NHIC-NABIDH = closest to ONC approach in KSA</t>
        </is>
      </c>
      <c r="AM452" s="76" t="inlineStr">
        <is>
          <t>Ajami S &amp; Bagheri-Tadi T (2013) 'Barriers for Adopting Electronic Health Records' MateriaSociomed 25(3); Aloudah N et al. (2021) 'Digital Health in Saudi Arabia' Sustainability 13(12); Shortliffe EH &amp; Cimino JJ (2006) Biomedical Informatics Springer; WHO (2019) Classification of Digital Interventions; Alotaibi YK &amp; Federico F (2017) 'Impact of Health IT on Patient Safety' Saudi Medical J 38(12)</t>
        </is>
      </c>
      <c r="AN452" s="50" t="inlineStr">
        <is>
          <t>Official: MOH website (moh.gov.sa). Training: CPHIMS (Certified Professional Health Informatics &amp; Information Management); HL7 FHIR Foundational (HL7.org); NHIC developer portal training (nhic.gov.sa). Language: Arabic primary. Estimated: 45 hours</t>
        </is>
      </c>
      <c r="AO452" s="77" t="inlineStr">
        <is>
          <t>GH-ICGA Layer 1 (Governance) + Layer 3 (Technical Controls) — MOH-HIS is the clinical data governance backbone that the preliminary GH-ICGA IoMT framework must integrate with. Thesis: GH-ICGA IoMT data model must align with HIS data standards to ensure IoMT device data flows into the national health record coherently</t>
        </is>
      </c>
      <c r="AP452" s="34" t="inlineStr">
        <is>
          <t>G + R + C (all three — clinical information governance foundation)</t>
        </is>
      </c>
      <c r="AQ452" s="78" t="inlineStr">
        <is>
          <t>Hospital CEO: accountable for HIS compliance. CIO/CMIO: responsible for HIS implementation and NABIDH connectivity. Clinical Informatics Committee: govern HIS standards adoption. Department Heads: responsible for clinical data quality in their systems</t>
        </is>
      </c>
      <c r="AR452" s="74" t="inlineStr">
        <is>
          <t>Operational Risk (HIS downtime = clinical risk); Patient Safety Risk; Data Quality Risk; Regulatory Risk (MOH non-compliance); Interoperability Risk (NABIDH disconnection)</t>
        </is>
      </c>
      <c r="AS452" s="61" t="inlineStr">
        <is>
          <t>REGULATORY — MOH ministerial directive. Mandatory for all licensed facilities. Non-compliance risks licensing. Enforced through MOH annual audit and NABIDH connectivity monitoring</t>
        </is>
      </c>
      <c r="AT452" s="75" t="inlineStr">
        <is>
          <t>Technical (T): 68 controls — system architecture; integration; security; availability; backup. Administrative (A): 28 controls — data governance; policies; training; documentation. Operational (O): 16 controls — downtime procedures; change management; vendor management</t>
        </is>
      </c>
      <c r="AU452" s="79" t="inlineStr">
        <is>
          <t>1. NABIDH connectivity status (connected/disconnected). 2. HIS downtime incidents per month (target &lt;4h/month). 3. Data quality score (completeness/accuracy) from NABIDH reports. 4. % clinical staff trained on HIS (target 100%). 5. Time-to-restore HIS after failure (target &lt;4h). 6. # HIS security incidents per quarter</t>
        </is>
      </c>
      <c r="AV452" s="80" t="inlineStr">
        <is>
          <t>Annual MOH HIS audit (documentation + system walk-through); NABIDH API conformance test (NHIC automated); data quality audit; HIS security assessment; downtime procedure simulation; user access review</t>
        </is>
      </c>
      <c r="AW452" s="81" t="inlineStr">
        <is>
          <t>Epic; Cerner (Oracle Health); Philips Tasy EMR; Meditech; InterSystems HealthShare — all NABIDH-integrated. For compliance: ServiceNow Healthcare; Qualio (quality management); NHIC developer portal for FHIR conformance testing</t>
        </is>
      </c>
      <c r="AX452" s="82" t="inlineStr">
        <is>
          <t>HIS vendors: must be MOH-approved/NABIDH-certified; contractual data protection obligations; source code escrow for critical systems; SLA for 99.9% uptime; mandatory SFDA notification if HIS failure affects medical devices; annual security assessment of HIS vendors</t>
        </is>
      </c>
      <c r="AY452" s="83" t="inlineStr">
        <is>
          <t>Non-compliance: MOH corrective action; facility licence conditions; NABIDH disconnection (loss of referrals, national patient record access); PHILAW 2024 penalties for private facilities. Clinical impact: patient safety risk from poor data quality or HIS unavailability</t>
        </is>
      </c>
      <c r="AZ452" s="80" t="inlineStr">
        <is>
          <t>Healthcare &amp; Life Sciences</t>
        </is>
      </c>
      <c r="BA452" s="41" t="inlineStr">
        <is>
          <t>Sector-Specific</t>
        </is>
      </c>
      <c r="BB452" s="591">
        <f>IF(E452="","",IF(ISNUMBER(SEARCH("Institutional theory and regulatory governance theory underpin",AI452)),"TEMPLATE",IF(LEN(AI452)&gt;100,"DEEP",IF(AI452="","SPARSE","SHALLOW"))))</f>
        <v/>
      </c>
      <c r="BC452" s="591">
        <f>IF(E452="","",D452&amp;"-"&amp;B452&amp;"-"&amp;E452)</f>
        <v/>
      </c>
      <c r="BD452" s="591">
        <f>IF(E452="","",SUBSTITUTE(SUBSTITUTE(B452&amp;"-"&amp;E452," ",""),":","-"))</f>
        <v/>
      </c>
      <c r="BE452" s="591">
        <f>IF(E452="","",IF(ISNUMBER(SEARCH("ECC",E452)),"NCA-ECC-2-2024",IF(ISNUMBER(SEARCH("OTCC",E452)),"NCA-ECC-2-2024",IF(ISNUMBER(SEARCH("CCC",E452)),"NCA-ECC-2-2024",IF(ISNUMBER(SEARCH("DCC",E452)),"NCA-ECC-2-2024",IF(ISNUMBER(SEARCH("CSCC",E452)),"NCA-ECC-2-2024",IF(ISNUMBER(SEARCH("PDPL-IR",E452)),"PDPL-2021",IF(ISNUMBER(SEARCH("PDPL-DTR",E452)),"PDPL-2021","NONE"))))))))</f>
        <v/>
      </c>
      <c r="BF452" s="594">
        <f>IF(E452="","",IF(BB452="DEEP",10,IF(BB452="SHALLOW",5,IF(BB452="TEMPLATE",3,1)))+IF(N452="HIGHEST",5,IF(N452="HIGH",3,IF(N452="MODERATE",1,0)))+IF(ISNUMBER(SEARCH("Mandatory",L452)),3,0))</f>
        <v/>
      </c>
    </row>
    <row r="453" ht="42" customHeight="1">
      <c r="A453" s="42" t="n">
        <v>404</v>
      </c>
      <c r="B453" s="412" t="inlineStr">
        <is>
          <t>NMHC</t>
        </is>
      </c>
      <c r="C453" s="44" t="inlineStr">
        <is>
          <t>Najran Health Cluster</t>
        </is>
      </c>
      <c r="D453" s="44" t="inlineStr">
        <is>
          <t>17. Regional Health Clusters</t>
        </is>
      </c>
      <c r="E453" s="412" t="inlineStr">
        <is>
          <t>MOH-EMR-NABIDH</t>
        </is>
      </c>
      <c r="F453" s="45" t="inlineStr">
        <is>
          <t>EMR Standards / NABIDH</t>
        </is>
      </c>
      <c r="G453" s="44" t="inlineStr">
        <is>
          <t>معايير السجل الصحي الإلكتروني / نبض</t>
        </is>
      </c>
      <c r="H453" s="44" t="inlineStr">
        <is>
          <t>Mandatory 2024</t>
        </is>
      </c>
      <c r="I453" s="46" t="inlineStr">
        <is>
          <t>2010</t>
        </is>
      </c>
      <c r="J453" s="46" t="inlineStr">
        <is>
          <t>52</t>
        </is>
      </c>
      <c r="K453" s="44" t="inlineStr">
        <is>
          <t>MUST COMPLY WITH</t>
        </is>
      </c>
      <c r="L453" s="66" t="inlineStr">
        <is>
          <t>Mandatory Complier</t>
        </is>
      </c>
      <c r="M453" s="44" t="inlineStr">
        <is>
          <t>Najran Health Cluster — mandatory NABIDH connectivity 2024</t>
        </is>
      </c>
      <c r="N453" s="47" t="inlineStr">
        <is>
          <t>HIGHEST</t>
        </is>
      </c>
      <c r="O453" s="48" t="inlineStr">
        <is>
          <t>https://www.moh.gov.sa/en/</t>
        </is>
      </c>
      <c r="P453" s="44" t="inlineStr">
        <is>
          <t>MOH/NHIC</t>
        </is>
      </c>
      <c r="Q453" s="70" t="inlineStr">
        <is>
          <t>NABIDH platform launched ~2018 → mandatory EMR adoption for all facilities 2024</t>
        </is>
      </c>
      <c r="R453" s="70" t="inlineStr">
        <is>
          <t>NABIDH (National Unified EHR Platform): v1 2018 (pilot MOH hospitals); 2019-2021 (rollout to health clusters); 2022 (private hospital voluntary integration); 2023 (API standards published based on FHIR R4); 2024 (mandatory for ALL healthcare facilities per Private Health Institutions Law update — complete patient longitudinal record across facilities). EMR standard covers 52 functional requirements including: CPOE, medication reconciliation, imaging integration, patient portal, audit logs</t>
        </is>
      </c>
      <c r="S453" s="71" t="inlineStr">
        <is>
          <t>NABIDH launched: 2018. Mandatory for all: 2024</t>
        </is>
      </c>
      <c r="T453" s="70" t="inlineStr">
        <is>
          <t>Continuously updated with NABIDH platform releases</t>
        </is>
      </c>
      <c r="U453" s="25" t="inlineStr">
        <is>
          <t>CURRENT — mandatory since 2024</t>
        </is>
      </c>
      <c r="V453" s="70" t="inlineStr">
        <is>
          <t>Facility licensing revocation; MOH enforcement action; barred from government referrals; penalties under PHILAW 2024</t>
        </is>
      </c>
      <c r="W453" s="72" t="inlineStr">
        <is>
          <t>MOH — NABIDH Programme Office; NHIC; regional health clusters monitor connectivity</t>
        </is>
      </c>
      <c r="X453" s="70" t="inlineStr">
        <is>
          <t>Hospital; Clinic; Lab; Pharmacy; Government Health Entity — ALL healthcare facilities mandatory</t>
        </is>
      </c>
      <c r="Y453" s="49" t="inlineStr">
        <is>
          <t>Both (mandatory since 2024 PHILAW update for all facilities)</t>
        </is>
      </c>
      <c r="Z453" s="70" t="inlineStr">
        <is>
          <t>NHIC connectivity assessment; NABIDH API conformance testing; MOH annual audit</t>
        </is>
      </c>
      <c r="AA453" s="71" t="inlineStr">
        <is>
          <t>Continuous (NABIDH connectivity monitored in real time); annual formal audit</t>
        </is>
      </c>
      <c r="AB453" s="70" t="inlineStr">
        <is>
          <t>22 (IoMT data integration to NABIDH: wearable data ingestion API; remote monitoring feeds; device-generated vital signs; medical device alerts to patient record; IoMT consent management in EHR)</t>
        </is>
      </c>
      <c r="AC453" s="70" t="inlineStr">
        <is>
          <t>HL7 FHIR R4; IHE (Integrating the Healthcare Enterprise); SNOMED CT; ICD-10; LOINC</t>
        </is>
      </c>
      <c r="AD453" s="49" t="inlineStr">
        <is>
          <t>Arabic + English (NABIDH technical specifications bilingual)</t>
        </is>
      </c>
      <c r="AE453" s="26" t="inlineStr">
        <is>
          <t>Layer 1: Governance; Layer 3: Technical Controls; Layer 4: Compliance; Layer 5: Assurance</t>
        </is>
      </c>
      <c r="AF453" s="27" t="inlineStr">
        <is>
          <t>Yes — NABIDH connectivity levels (1: Basic data exchange; 2: Full longitudinal record; 3: Advanced interoperability with IoMT); MOH tracks facility level</t>
        </is>
      </c>
      <c r="AG453" s="70" t="inlineStr">
        <is>
          <t>HSTP digital health transformation; NABIDH national EHR; NHIS claims integration</t>
        </is>
      </c>
      <c r="AH453" s="70" t="inlineStr">
        <is>
          <t>NABIDH connectivity certificate; API integration test reports; patient consent records for data sharing; EHR system validation; data quality reports</t>
        </is>
      </c>
      <c r="AI453" s="73" t="inlineStr">
        <is>
          <t>Institutional theory and regulatory governance theory underpin all KSA regulatory frameworks. Specific theoretical basis varies by framework — consult academic literature via Google Scholar using framework name as search term.</t>
        </is>
      </c>
      <c r="AJ453" s="70" t="inlineStr">
        <is>
          <t>Academic debate varies by framework maturity and international adoption. For KSA-specific debate, consult: Almohammad &amp; Wills (2021) J Cybersecurity; Al-Khater et al. (2020) IEEE Access; Baker McKenzie KSA regulatory updates.</t>
        </is>
      </c>
      <c r="AK453" s="74" t="inlineStr">
        <is>
          <t>Known criticisms include: implementation gap between standards and practice; resource constraints for smaller healthcare entities; rapid technology evolution outpacing regulation. Consult framework evaluation literature for specifics.</t>
        </is>
      </c>
      <c r="AL453" s="75" t="inlineStr">
        <is>
          <t>Framework comparison requires contextual analysis. Key comparators: NIST CSF 2.0 (international benchmark), ISO 27001 (certifiable standard), ECC-2 (KSA mandatory baseline). See main database for cross-framework mapping.</t>
        </is>
      </c>
      <c r="AM453"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53" s="50" t="inlineStr">
        <is>
          <t>Official: Consult the official source URL in the database for the primary document. Training: ISACA, ISC2, RAPS, IAPP, and HIMSS offer professional development covering most regulatory domains. Estimated hours vary by framework complexity.</t>
        </is>
      </c>
      <c r="AO453" s="77" t="inlineStr">
        <is>
          <t>Relevance to GH-ICGA framework varies by layer — see GH-ICGA Layer Mapping column. All KSA mandatory frameworks are compliance inputs to GH-ICGA Layer 4. Frameworks with IoMT-specific provisions directly inform Layers 2 and 3.</t>
        </is>
      </c>
      <c r="AP453" s="51" t="inlineStr">
        <is>
          <t>G + C (Governance + Compliance — standard regulatory framework positioning)</t>
        </is>
      </c>
      <c r="AQ453" s="78" t="inlineStr">
        <is>
          <t>Senior management: accountability for framework compliance. Designated compliance officer: monitor requirements. All staff: awareness of applicable obligations</t>
        </is>
      </c>
      <c r="AR453" s="74" t="inlineStr">
        <is>
          <t>Regulatory Risk; Operational Risk; Reputational Risk — specific domains determined by framework scope</t>
        </is>
      </c>
      <c r="AS453" s="22" t="inlineStr">
        <is>
          <t>See official source — legal obligation, regulatory requirement, or voluntary standard as applicable</t>
        </is>
      </c>
      <c r="AT453" s="75" t="inlineStr">
        <is>
          <t>Administrative; Technical; Operational — specific distribution determined by framework content</t>
        </is>
      </c>
      <c r="AU453" s="79" t="inlineStr">
        <is>
          <t>1. Compliance status (compliant/non-compliant). 2. # open findings from last assessment. 3. % controls implemented. 4. Time to remediate findings. 5. Incident rate in framework scope area</t>
        </is>
      </c>
      <c r="AV453" s="80" t="inlineStr">
        <is>
          <t>Self-assessment; internal audit; external assessment as specified by issuing authority</t>
        </is>
      </c>
      <c r="AW453" s="81" t="inlineStr">
        <is>
          <t>ServiceNow GRC; IBM OpenPages; RSA Archer; MetricStream — all major GRC platforms support custom framework import. Contact vendor for framework-specific module</t>
        </is>
      </c>
      <c r="AX453" s="82" t="inlineStr">
        <is>
          <t>Third parties in scope must demonstrate equivalent compliance. Contractual compliance obligations; right-to-audit clauses; annual third-party assessment</t>
        </is>
      </c>
      <c r="AY453" s="83" t="inlineStr">
        <is>
          <t>Non-compliance: regulatory action by issuing authority; fines and penalties as specified; operational and reputational consequences</t>
        </is>
      </c>
      <c r="AZ453" s="80" t="inlineStr">
        <is>
          <t>Healthcare &amp; Life Sciences</t>
        </is>
      </c>
      <c r="BA453" s="41" t="inlineStr">
        <is>
          <t>Sector-Specific</t>
        </is>
      </c>
      <c r="BB453" s="591">
        <f>IF(E453="","",IF(ISNUMBER(SEARCH("Institutional theory and regulatory governance theory underpin",AI453)),"TEMPLATE",IF(LEN(AI453)&gt;100,"DEEP",IF(AI453="","SPARSE","SHALLOW"))))</f>
        <v/>
      </c>
      <c r="BC453" s="591">
        <f>IF(E453="","",D453&amp;"-"&amp;B453&amp;"-"&amp;E453)</f>
        <v/>
      </c>
      <c r="BD453" s="591">
        <f>IF(E453="","",SUBSTITUTE(SUBSTITUTE(B453&amp;"-"&amp;E453," ",""),":","-"))</f>
        <v/>
      </c>
      <c r="BE453" s="591">
        <f>IF(E453="","",IF(ISNUMBER(SEARCH("ECC",E453)),"NCA-ECC-2-2024",IF(ISNUMBER(SEARCH("OTCC",E453)),"NCA-ECC-2-2024",IF(ISNUMBER(SEARCH("CCC",E453)),"NCA-ECC-2-2024",IF(ISNUMBER(SEARCH("DCC",E453)),"NCA-ECC-2-2024",IF(ISNUMBER(SEARCH("CSCC",E453)),"NCA-ECC-2-2024",IF(ISNUMBER(SEARCH("PDPL-IR",E453)),"PDPL-2021",IF(ISNUMBER(SEARCH("PDPL-DTR",E453)),"PDPL-2021","NONE"))))))))</f>
        <v/>
      </c>
      <c r="BF453" s="594">
        <f>IF(E453="","",IF(BB453="DEEP",10,IF(BB453="SHALLOW",5,IF(BB453="TEMPLATE",3,1)))+IF(N453="HIGHEST",5,IF(N453="HIGH",3,IF(N453="MODERATE",1,0)))+IF(ISNUMBER(SEARCH("Mandatory",L453)),3,0))</f>
        <v/>
      </c>
    </row>
    <row r="454" ht="42" customHeight="1">
      <c r="A454" s="84" t="n">
        <v>405</v>
      </c>
      <c r="B454" s="411" t="inlineStr">
        <is>
          <t>NMHC</t>
        </is>
      </c>
      <c r="C454" s="70" t="inlineStr">
        <is>
          <t>Najran Health Cluster</t>
        </is>
      </c>
      <c r="D454" s="70" t="inlineStr">
        <is>
          <t>17. Regional Health Clusters</t>
        </is>
      </c>
      <c r="E454" s="411" t="inlineStr">
        <is>
          <t>MOH-PS</t>
        </is>
      </c>
      <c r="F454" s="72" t="inlineStr">
        <is>
          <t>Patient Safety Standards</t>
        </is>
      </c>
      <c r="G454" s="70" t="inlineStr">
        <is>
          <t>معايير سلامة المريض</t>
        </is>
      </c>
      <c r="H454" s="70" t="inlineStr">
        <is>
          <t>2024 update</t>
        </is>
      </c>
      <c r="I454" s="71" t="inlineStr">
        <is>
          <t>2015</t>
        </is>
      </c>
      <c r="J454" s="71" t="inlineStr">
        <is>
          <t>72</t>
        </is>
      </c>
      <c r="K454" s="70" t="inlineStr">
        <is>
          <t>MUST COMPLY WITH</t>
        </is>
      </c>
      <c r="L454" s="66" t="inlineStr">
        <is>
          <t>Mandatory Complier</t>
        </is>
      </c>
      <c r="M454" s="70" t="inlineStr">
        <is>
          <t>Najran Health Cluster — patient safety compliance</t>
        </is>
      </c>
      <c r="N454" s="86" t="inlineStr">
        <is>
          <t>HIGHEST</t>
        </is>
      </c>
      <c r="O454" s="87" t="inlineStr">
        <is>
          <t>https://www.moh.gov.sa/en/</t>
        </is>
      </c>
      <c r="P454" s="70" t="inlineStr">
        <is>
          <t>MOH official</t>
        </is>
      </c>
      <c r="Q454" s="70" t="inlineStr">
        <is>
          <t>First issued ~2015 → updates 2020 → 2024 update</t>
        </is>
      </c>
      <c r="R454" s="70" t="inlineStr">
        <is>
          <t>Based on WHO and JCI patient safety frameworks. Covers: patient identification (minimum 2 identifiers), medication safety (high-alert medications protocol), surgical safety checklist, falls prevention, infection control, critical value reporting, handover communications (SBAR). 2020 update added COVID-19 IPC protocols. 2024 update adds IoMT device safety (alarm fatigue management, device connectivity requirements)</t>
        </is>
      </c>
      <c r="S454" s="71" t="inlineStr">
        <is>
          <t>First: ~2015. Updated: 2020, 2024</t>
        </is>
      </c>
      <c r="T454" s="70" t="inlineStr">
        <is>
          <t>Annual review with MOH patient safety incidents data</t>
        </is>
      </c>
      <c r="U454" s="25" t="inlineStr">
        <is>
          <t>CURRENT — 2024 version</t>
        </is>
      </c>
      <c r="V454" s="70" t="inlineStr">
        <is>
          <t>MOH corrective action order; facility licence conditions; public safety alert; criminal liability for gross negligence</t>
        </is>
      </c>
      <c r="W454" s="72" t="inlineStr">
        <is>
          <t>MOH — Patient Safety Centre; regional health cluster inspection; CBAHI (patient safety standards embedded in accreditation)</t>
        </is>
      </c>
      <c r="X454" s="70" t="inlineStr">
        <is>
          <t>Hospital; Clinic; Government Health Entity</t>
        </is>
      </c>
      <c r="Y454" s="22" t="inlineStr">
        <is>
          <t>Both</t>
        </is>
      </c>
      <c r="Z454" s="70" t="inlineStr">
        <is>
          <t>Annual MOH patient safety inspection; CBAHI survey (integrated); incident investigation</t>
        </is>
      </c>
      <c r="AA454" s="71" t="inlineStr">
        <is>
          <t>Annual; triggered by serious adverse event</t>
        </is>
      </c>
      <c r="AB454" s="70" t="inlineStr">
        <is>
          <t>14 (alarm fatigue management for IoMT devices; connected infusion pump safety; IV smart pump drug library governance; patient ID for IoMT devices; device failure response procedures; remote monitoring alert management)</t>
        </is>
      </c>
      <c r="AC454" s="70" t="inlineStr">
        <is>
          <t>WHO Patient Safety Challenges (Global Patient Safety Action Plan 2021-2030); JCI Patient Safety Goals; The Joint Commission NPSG</t>
        </is>
      </c>
      <c r="AD454" s="49" t="inlineStr">
        <is>
          <t>Arabic (primary); English reference</t>
        </is>
      </c>
      <c r="AE454" s="26" t="inlineStr">
        <is>
          <t>Layer 1: Governance; Layer 4: Compliance</t>
        </is>
      </c>
      <c r="AF454" s="27" t="inlineStr">
        <is>
          <t>Yes — patient safety maturity levels (Safety-I to Safety-III); MOH tracks facility scores</t>
        </is>
      </c>
      <c r="AG454" s="70" t="inlineStr">
        <is>
          <t>HSTP patient safety; Vision 2030 quality targets; National Patient Safety Centre</t>
        </is>
      </c>
      <c r="AH454" s="70" t="inlineStr">
        <is>
          <t>Incident reporting system data; patient safety walkround records; fall prevention audit; medication safety audit; CBAHI patient safety standards compliance</t>
        </is>
      </c>
      <c r="AI454" s="73" t="inlineStr">
        <is>
          <t>Institutional theory and regulatory governance theory underpin all KSA regulatory frameworks. Specific theoretical basis varies by framework — consult academic literature via Google Scholar using framework name as search term.</t>
        </is>
      </c>
      <c r="AJ454" s="70" t="inlineStr">
        <is>
          <t>Academic debate varies by framework maturity and international adoption. For KSA-specific debate, consult: Almohammad &amp; Wills (2021) J Cybersecurity; Al-Khater et al. (2020) IEEE Access; Baker McKenzie KSA regulatory updates.</t>
        </is>
      </c>
      <c r="AK454" s="74" t="inlineStr">
        <is>
          <t>Known criticisms include: implementation gap between standards and practice; resource constraints for smaller healthcare entities; rapid technology evolution outpacing regulation. Consult framework evaluation literature for specifics.</t>
        </is>
      </c>
      <c r="AL454" s="75" t="inlineStr">
        <is>
          <t>Framework comparison requires contextual analysis. Key comparators: NIST CSF 2.0 (international benchmark), ISO 27001 (certifiable standard), ECC-2 (KSA mandatory baseline). See main database for cross-framework mapping.</t>
        </is>
      </c>
      <c r="AM454"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54" s="50" t="inlineStr">
        <is>
          <t>Official: Consult the official source URL in the database for the primary document. Training: ISACA, ISC2, RAPS, IAPP, and HIMSS offer professional development covering most regulatory domains. Estimated hours vary by framework complexity.</t>
        </is>
      </c>
      <c r="AO454" s="77" t="inlineStr">
        <is>
          <t>Relevance to GH-ICGA framework varies by layer — see GH-ICGA Layer Mapping column. All KSA mandatory frameworks are compliance inputs to GH-ICGA Layer 4. Frameworks with IoMT-specific provisions directly inform Layers 2 and 3.</t>
        </is>
      </c>
      <c r="AP454" s="51" t="inlineStr">
        <is>
          <t>G + C (Governance + Compliance — standard regulatory framework positioning)</t>
        </is>
      </c>
      <c r="AQ454" s="78" t="inlineStr">
        <is>
          <t>Senior management: accountability for framework compliance. Designated compliance officer: monitor requirements. All staff: awareness of applicable obligations</t>
        </is>
      </c>
      <c r="AR454" s="74" t="inlineStr">
        <is>
          <t>Regulatory Risk; Operational Risk; Reputational Risk — specific domains determined by framework scope</t>
        </is>
      </c>
      <c r="AS454" s="22" t="inlineStr">
        <is>
          <t>See official source — legal obligation, regulatory requirement, or voluntary standard as applicable</t>
        </is>
      </c>
      <c r="AT454" s="75" t="inlineStr">
        <is>
          <t>Administrative; Technical; Operational — specific distribution determined by framework content</t>
        </is>
      </c>
      <c r="AU454" s="79" t="inlineStr">
        <is>
          <t>1. Compliance status (compliant/non-compliant). 2. # open findings from last assessment. 3. % controls implemented. 4. Time to remediate findings. 5. Incident rate in framework scope area</t>
        </is>
      </c>
      <c r="AV454" s="80" t="inlineStr">
        <is>
          <t>Self-assessment; internal audit; external assessment as specified by issuing authority</t>
        </is>
      </c>
      <c r="AW454" s="81" t="inlineStr">
        <is>
          <t>ServiceNow GRC; IBM OpenPages; RSA Archer; MetricStream — all major GRC platforms support custom framework import. Contact vendor for framework-specific module</t>
        </is>
      </c>
      <c r="AX454" s="82" t="inlineStr">
        <is>
          <t>Third parties in scope must demonstrate equivalent compliance. Contractual compliance obligations; right-to-audit clauses; annual third-party assessment</t>
        </is>
      </c>
      <c r="AY454" s="83" t="inlineStr">
        <is>
          <t>Non-compliance: regulatory action by issuing authority; fines and penalties as specified; operational and reputational consequences</t>
        </is>
      </c>
      <c r="AZ454" s="80" t="inlineStr">
        <is>
          <t>Healthcare &amp; Life Sciences</t>
        </is>
      </c>
      <c r="BA454" s="41" t="inlineStr">
        <is>
          <t>Sector-Specific</t>
        </is>
      </c>
      <c r="BB454" s="591">
        <f>IF(E454="","",IF(ISNUMBER(SEARCH("Institutional theory and regulatory governance theory underpin",AI454)),"TEMPLATE",IF(LEN(AI454)&gt;100,"DEEP",IF(AI454="","SPARSE","SHALLOW"))))</f>
        <v/>
      </c>
      <c r="BC454" s="591">
        <f>IF(E454="","",D454&amp;"-"&amp;B454&amp;"-"&amp;E454)</f>
        <v/>
      </c>
      <c r="BD454" s="591">
        <f>IF(E454="","",SUBSTITUTE(SUBSTITUTE(B454&amp;"-"&amp;E454," ",""),":","-"))</f>
        <v/>
      </c>
      <c r="BE454" s="591">
        <f>IF(E454="","",IF(ISNUMBER(SEARCH("ECC",E454)),"NCA-ECC-2-2024",IF(ISNUMBER(SEARCH("OTCC",E454)),"NCA-ECC-2-2024",IF(ISNUMBER(SEARCH("CCC",E454)),"NCA-ECC-2-2024",IF(ISNUMBER(SEARCH("DCC",E454)),"NCA-ECC-2-2024",IF(ISNUMBER(SEARCH("CSCC",E454)),"NCA-ECC-2-2024",IF(ISNUMBER(SEARCH("PDPL-IR",E454)),"PDPL-2021",IF(ISNUMBER(SEARCH("PDPL-DTR",E454)),"PDPL-2021","NONE"))))))))</f>
        <v/>
      </c>
      <c r="BF454" s="594">
        <f>IF(E454="","",IF(BB454="DEEP",10,IF(BB454="SHALLOW",5,IF(BB454="TEMPLATE",3,1)))+IF(N454="HIGHEST",5,IF(N454="HIGH",3,IF(N454="MODERATE",1,0)))+IF(ISNUMBER(SEARCH("Mandatory",L454)),3,0))</f>
        <v/>
      </c>
    </row>
    <row r="455" ht="42" customHeight="1">
      <c r="A455" s="42" t="n">
        <v>406</v>
      </c>
      <c r="B455" s="412" t="inlineStr">
        <is>
          <t>NMHC</t>
        </is>
      </c>
      <c r="C455" s="44" t="inlineStr">
        <is>
          <t>Najran Health Cluster</t>
        </is>
      </c>
      <c r="D455" s="44" t="inlineStr">
        <is>
          <t>17. Regional Health Clusters</t>
        </is>
      </c>
      <c r="E455" s="412" t="inlineStr">
        <is>
          <t>MOH-PR</t>
        </is>
      </c>
      <c r="F455" s="45" t="inlineStr">
        <is>
          <t>Patient Rights Charter</t>
        </is>
      </c>
      <c r="G455" s="44" t="inlineStr">
        <is>
          <t>ميثاق حقوق المريض</t>
        </is>
      </c>
      <c r="H455" s="44" t="inlineStr">
        <is>
          <t>2019</t>
        </is>
      </c>
      <c r="I455" s="46" t="inlineStr">
        <is>
          <t>2012</t>
        </is>
      </c>
      <c r="J455" s="46" t="inlineStr">
        <is>
          <t>45</t>
        </is>
      </c>
      <c r="K455" s="44" t="inlineStr">
        <is>
          <t>MUST COMPLY WITH</t>
        </is>
      </c>
      <c r="L455" s="66" t="inlineStr">
        <is>
          <t>Mandatory Complier</t>
        </is>
      </c>
      <c r="M455" s="44" t="inlineStr">
        <is>
          <t>Najran Health Cluster facilities</t>
        </is>
      </c>
      <c r="N455" s="54" t="inlineStr">
        <is>
          <t>HIGH</t>
        </is>
      </c>
      <c r="O455" s="48" t="inlineStr">
        <is>
          <t>https://www.moh.gov.sa/en/</t>
        </is>
      </c>
      <c r="P455" s="44" t="inlineStr">
        <is>
          <t>MOH official</t>
        </is>
      </c>
      <c r="Q455" s="70" t="inlineStr">
        <is>
          <t>First Charter ~2012 → updated 2019</t>
        </is>
      </c>
      <c r="R455" s="70" t="inlineStr">
        <is>
          <t>45 rights and obligations. Key provisions: informed consent (including electronic consent for telemedicine), right to access medical records (digital access through NABIDH patient portal), right to privacy of health information, right to refuse treatment, right to second opinion. 2019 update added digital health rights (right to data portability from health apps)</t>
        </is>
      </c>
      <c r="S455" s="71" t="inlineStr">
        <is>
          <t>First: ~2012. Updated: 2019</t>
        </is>
      </c>
      <c r="T455" s="70" t="inlineStr">
        <is>
          <t>Review 2024-2025 expected to add AI/algorithmic transparency rights</t>
        </is>
      </c>
      <c r="U455" s="25" t="inlineStr">
        <is>
          <t>CURRENT — 2019 version</t>
        </is>
      </c>
      <c r="V455" s="70" t="inlineStr">
        <is>
          <t>Penalties defined by issuing authority; consult official source. NCA ECC-2 penalties apply if relevant</t>
        </is>
      </c>
      <c r="W455" s="72" t="inlineStr">
        <is>
          <t>Issuing authority and/or designated inspection department</t>
        </is>
      </c>
      <c r="X455" s="70" t="inlineStr">
        <is>
          <t>As specified in framework scope — consult official document</t>
        </is>
      </c>
      <c r="Y455" s="49" t="inlineStr">
        <is>
          <t>Both (unless specified otherwise in official document)</t>
        </is>
      </c>
      <c r="Z455" s="70" t="inlineStr">
        <is>
          <t>As defined by issuing authority</t>
        </is>
      </c>
      <c r="AA455" s="71" t="inlineStr">
        <is>
          <t>As defined by issuing authority</t>
        </is>
      </c>
      <c r="AB455" s="70" t="inlineStr">
        <is>
          <t>To be determined from framework text — see official source</t>
        </is>
      </c>
      <c r="AC455" s="70" t="inlineStr">
        <is>
          <t>See framework preamble for international standard references</t>
        </is>
      </c>
      <c r="AD455" s="49" t="inlineStr">
        <is>
          <t>Arabic (primary in KSA); English may be available</t>
        </is>
      </c>
      <c r="AE455" s="58" t="inlineStr">
        <is>
          <t>Mapped to relevant GH-ICGA layer — requires manual assessment</t>
        </is>
      </c>
      <c r="AF455" s="56" t="inlineStr">
        <is>
          <t>See official framework for maturity model details</t>
        </is>
      </c>
      <c r="AG455" s="70" t="inlineStr">
        <is>
          <t>Aligned with relevant Vision 2030 programme — see framework context</t>
        </is>
      </c>
      <c r="AH455" s="70" t="inlineStr">
        <is>
          <t>As specified in framework compliance requirements</t>
        </is>
      </c>
      <c r="AI455" s="73" t="inlineStr">
        <is>
          <t>Institutional theory and regulatory governance theory underpin all KSA regulatory frameworks. Specific theoretical basis varies by framework — consult academic literature via Google Scholar using framework name as search term.</t>
        </is>
      </c>
      <c r="AJ455" s="70" t="inlineStr">
        <is>
          <t>Academic debate varies by framework maturity and international adoption. For KSA-specific debate, consult: Almohammad &amp; Wills (2021) J Cybersecurity; Al-Khater et al. (2020) IEEE Access; Baker McKenzie KSA regulatory updates.</t>
        </is>
      </c>
      <c r="AK455" s="74" t="inlineStr">
        <is>
          <t>Known criticisms include: implementation gap between standards and practice; resource constraints for smaller healthcare entities; rapid technology evolution outpacing regulation. Consult framework evaluation literature for specifics.</t>
        </is>
      </c>
      <c r="AL455" s="75" t="inlineStr">
        <is>
          <t>Framework comparison requires contextual analysis. Key comparators: NIST CSF 2.0 (international benchmark), ISO 27001 (certifiable standard), ECC-2 (KSA mandatory baseline). See main database for cross-framework mapping.</t>
        </is>
      </c>
      <c r="AM455"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55" s="50" t="inlineStr">
        <is>
          <t>Official: Consult the official source URL in the database for the primary document. Training: ISACA, ISC2, RAPS, IAPP, and HIMSS offer professional development covering most regulatory domains. Estimated hours vary by framework complexity.</t>
        </is>
      </c>
      <c r="AO455" s="77" t="inlineStr">
        <is>
          <t>Relevance to GH-ICGA framework varies by layer — see GH-ICGA Layer Mapping column. All KSA mandatory frameworks are compliance inputs to GH-ICGA Layer 4. Frameworks with IoMT-specific provisions directly inform Layers 2 and 3.</t>
        </is>
      </c>
      <c r="AP455" s="51" t="inlineStr">
        <is>
          <t>G + C (Governance + Compliance — standard regulatory framework positioning)</t>
        </is>
      </c>
      <c r="AQ455" s="78" t="inlineStr">
        <is>
          <t>Senior management: accountability for framework compliance. Designated compliance officer: monitor requirements. All staff: awareness of applicable obligations</t>
        </is>
      </c>
      <c r="AR455" s="74" t="inlineStr">
        <is>
          <t>Regulatory Risk; Operational Risk; Reputational Risk — specific domains determined by framework scope</t>
        </is>
      </c>
      <c r="AS455" s="22" t="inlineStr">
        <is>
          <t>See official source — legal obligation, regulatory requirement, or voluntary standard as applicable</t>
        </is>
      </c>
      <c r="AT455" s="75" t="inlineStr">
        <is>
          <t>Administrative; Technical; Operational — specific distribution determined by framework content</t>
        </is>
      </c>
      <c r="AU455" s="79" t="inlineStr">
        <is>
          <t>1. Compliance status (compliant/non-compliant). 2. # open findings from last assessment. 3. % controls implemented. 4. Time to remediate findings. 5. Incident rate in framework scope area</t>
        </is>
      </c>
      <c r="AV455" s="80" t="inlineStr">
        <is>
          <t>Self-assessment; internal audit; external assessment as specified by issuing authority</t>
        </is>
      </c>
      <c r="AW455" s="81" t="inlineStr">
        <is>
          <t>ServiceNow GRC; IBM OpenPages; RSA Archer; MetricStream — all major GRC platforms support custom framework import. Contact vendor for framework-specific module</t>
        </is>
      </c>
      <c r="AX455" s="82" t="inlineStr">
        <is>
          <t>Third parties in scope must demonstrate equivalent compliance. Contractual compliance obligations; right-to-audit clauses; annual third-party assessment</t>
        </is>
      </c>
      <c r="AY455" s="83" t="inlineStr">
        <is>
          <t>Non-compliance: regulatory action by issuing authority; fines and penalties as specified; operational and reputational consequences</t>
        </is>
      </c>
      <c r="AZ455" s="80" t="inlineStr">
        <is>
          <t>Healthcare &amp; Life Sciences</t>
        </is>
      </c>
      <c r="BA455" s="41" t="inlineStr">
        <is>
          <t>Sector-Specific</t>
        </is>
      </c>
      <c r="BB455" s="591">
        <f>IF(E455="","",IF(ISNUMBER(SEARCH("Institutional theory and regulatory governance theory underpin",AI455)),"TEMPLATE",IF(LEN(AI455)&gt;100,"DEEP",IF(AI455="","SPARSE","SHALLOW"))))</f>
        <v/>
      </c>
      <c r="BC455" s="591">
        <f>IF(E455="","",D455&amp;"-"&amp;B455&amp;"-"&amp;E455)</f>
        <v/>
      </c>
      <c r="BD455" s="591">
        <f>IF(E455="","",SUBSTITUTE(SUBSTITUTE(B455&amp;"-"&amp;E455," ",""),":","-"))</f>
        <v/>
      </c>
      <c r="BE455" s="591">
        <f>IF(E455="","",IF(ISNUMBER(SEARCH("ECC",E455)),"NCA-ECC-2-2024",IF(ISNUMBER(SEARCH("OTCC",E455)),"NCA-ECC-2-2024",IF(ISNUMBER(SEARCH("CCC",E455)),"NCA-ECC-2-2024",IF(ISNUMBER(SEARCH("DCC",E455)),"NCA-ECC-2-2024",IF(ISNUMBER(SEARCH("CSCC",E455)),"NCA-ECC-2-2024",IF(ISNUMBER(SEARCH("PDPL-IR",E455)),"PDPL-2021",IF(ISNUMBER(SEARCH("PDPL-DTR",E455)),"PDPL-2021","NONE"))))))))</f>
        <v/>
      </c>
      <c r="BF455" s="594">
        <f>IF(E455="","",IF(BB455="DEEP",10,IF(BB455="SHALLOW",5,IF(BB455="TEMPLATE",3,1)))+IF(N455="HIGHEST",5,IF(N455="HIGH",3,IF(N455="MODERATE",1,0)))+IF(ISNUMBER(SEARCH("Mandatory",L455)),3,0))</f>
        <v/>
      </c>
    </row>
    <row r="456" ht="42" customHeight="1">
      <c r="A456" s="84" t="n">
        <v>407</v>
      </c>
      <c r="B456" s="411" t="inlineStr">
        <is>
          <t>NMHC</t>
        </is>
      </c>
      <c r="C456" s="70" t="inlineStr">
        <is>
          <t>Najran Health Cluster</t>
        </is>
      </c>
      <c r="D456" s="70" t="inlineStr">
        <is>
          <t>17. Regional Health Clusters</t>
        </is>
      </c>
      <c r="E456" s="411" t="inlineStr">
        <is>
          <t>CBAHI-HAS-H</t>
        </is>
      </c>
      <c r="F456" s="72" t="inlineStr">
        <is>
          <t>Hospital Accreditation Standards</t>
        </is>
      </c>
      <c r="G456" s="70" t="inlineStr">
        <is>
          <t>معايير اعتماد المستشفيات</t>
        </is>
      </c>
      <c r="H456" s="70" t="inlineStr">
        <is>
          <t>5th Ed. 2021</t>
        </is>
      </c>
      <c r="I456" s="71" t="inlineStr">
        <is>
          <t>2008</t>
        </is>
      </c>
      <c r="J456" s="71" t="inlineStr">
        <is>
          <t>298</t>
        </is>
      </c>
      <c r="K456" s="70" t="inlineStr">
        <is>
          <t>MUST COMPLY WITH</t>
        </is>
      </c>
      <c r="L456" s="92" t="inlineStr">
        <is>
          <t>Voluntary</t>
        </is>
      </c>
      <c r="M456" s="70" t="inlineStr">
        <is>
          <t>Najran Health Cluster hospitals pursuing CBAHI accreditation</t>
        </is>
      </c>
      <c r="N456" s="86" t="inlineStr">
        <is>
          <t>HIGHEST</t>
        </is>
      </c>
      <c r="O456" s="87" t="inlineStr">
        <is>
          <t>https://www.cbahi.gov.sa/</t>
        </is>
      </c>
      <c r="P456" s="70" t="inlineStr">
        <is>
          <t>CBAHI official</t>
        </is>
      </c>
      <c r="Q456" s="70" t="inlineStr">
        <is>
          <t>1st Ed 2008 → 2nd Ed 2011 → 3rd Ed 2014 → 4th Ed 2017 → 5th Ed 2021</t>
        </is>
      </c>
      <c r="R456" s="70" t="inlineStr">
        <is>
          <t>5th Edition (2021, current): 298 standards across domains including Patient and Family Rights, Patient Assessment, Care of Patients, Patient Safety, Medication Management, Infection Prevention, Facility Management, Staff Qualifications, Quality Improvement, Governance, HIT (Health Information Technology). HIT standards require EMR, NABIDH connectivity, access control, audit trails, downtime procedures. IoMT requirements added in 5th Ed: medical device integration standards, alarm management policy. Benchmarked against JCI standards</t>
        </is>
      </c>
      <c r="S456" s="71" t="inlineStr">
        <is>
          <t>1st Ed: 2008. 2nd: 2011. 3rd: 2014. 4th: 2017. 5th: 2021</t>
        </is>
      </c>
      <c r="T456" s="70" t="inlineStr">
        <is>
          <t>6th Edition expected 2025-2026</t>
        </is>
      </c>
      <c r="U456" s="25" t="inlineStr">
        <is>
          <t>CURRENT — 5th Edition 2021</t>
        </is>
      </c>
      <c r="V456" s="70" t="inlineStr">
        <is>
          <t>Accreditation denial; accreditation suspension; accreditation withdrawal; MOH facility licensing risk (accreditation linked to licensing in practice)</t>
        </is>
      </c>
      <c r="W456" s="72" t="inlineStr">
        <is>
          <t>CBAHI — Accreditation Survey Teams (peer surveyors); MOH recognises CBAHI as national accreditor</t>
        </is>
      </c>
      <c r="X456" s="70" t="inlineStr">
        <is>
          <t>Hospital (primary scope); Teaching Hospital; Specialist Centre</t>
        </is>
      </c>
      <c r="Y456" s="49" t="inlineStr">
        <is>
          <t>Both (voluntary but operationally required)</t>
        </is>
      </c>
      <c r="Z456" s="70" t="inlineStr">
        <is>
          <t>Full survey every 3 years; midterm (focused) survey at 18 months; unannounced visits; corrective action follow-up</t>
        </is>
      </c>
      <c r="AA456" s="71" t="inlineStr">
        <is>
          <t>Full survey: 3-year cycle. Midterm: 18 months. Unannounced: possible at any time</t>
        </is>
      </c>
      <c r="AB456" s="70" t="inlineStr">
        <is>
          <t>22 (HIT standards: medical device integration; alarm management policy mandatory; device maintenance logs; remote monitoring governance; downtime procedures; device inventory; cybersecurity of clinical systems as patient safety issue)</t>
        </is>
      </c>
      <c r="AC456" s="70" t="inlineStr">
        <is>
          <t>JCI (Joint Commission International) — benchmarked; ISQua (accreditation body accreditor); WHO Safe Hospitals Framework</t>
        </is>
      </c>
      <c r="AD456" s="22" t="inlineStr">
        <is>
          <t>Arabic + English (official bilingual)</t>
        </is>
      </c>
      <c r="AE456" s="26" t="inlineStr">
        <is>
          <t>Layer 1: Governance; Layer 4: Compliance; Layer 5: Assurance</t>
        </is>
      </c>
      <c r="AF456" s="27" t="inlineStr">
        <is>
          <t>Yes — Met / Partially Met / Not Met / Not Applicable per standard; overall accreditation decision = scored threshold</t>
        </is>
      </c>
      <c r="AG456" s="70" t="inlineStr">
        <is>
          <t>HSTP quality transformation; Vision 2030 healthcare quality targets (JCI/CBAHI accreditation for all tertiary hospitals)</t>
        </is>
      </c>
      <c r="AH456" s="70" t="inlineStr">
        <is>
          <t>Survey self-assessment; policy documentation; staff credential files; patient safety incident log; HIT system audit; quality improvement data; patient satisfaction scores</t>
        </is>
      </c>
      <c r="AI456" s="73" t="inlineStr">
        <is>
          <t>Healthcare quality theory (Donabedian 1988): structure-process-outcome triad. Accreditation theory: third-party external validation as quality assurance mechanism. Institutional isomorphism: accreditation spreads best practices through mimetic pressure. Patient safety culture theory (Reason 2000): systems-based safety vs blame culture.</t>
        </is>
      </c>
      <c r="AJ456" s="70" t="inlineStr">
        <is>
          <t>FOR: Almutairi et al. (2015) and Alkhenizan &amp; Shaw (2011) find CBAHI-accredited hospitals show measurable quality improvements; national benchmark grounded in Saudi context unlike JCI (US-centric); patient safety improvements documented post-accreditation. AGAINST: Voluntariness undermines universal coverage — only ~40% of KSA hospitals accredited (WHO PHSSR 2025); Greenfield &amp; Braithwaite (2008) meta-analysis questions causal link between accreditation and patient outcomes; survey preparation creates compliance-oriented behaviours rather than genuine quality improvement (gaming risk)</t>
        </is>
      </c>
      <c r="AK456" s="74" t="inlineStr">
        <is>
          <t>3-year survey cycle too long for rapid IoMT deployment environment; HIT standards in 5th Ed still less specific than HIMSS EMRAM Stage 6/7 requirements; cybersecurity standards within CBAHI remain minimal compared to NCA ECC-2 requirements; no dedicated IoMT governance chapter despite medical device proliferation; rural and small facility accreditation rates critically low</t>
        </is>
      </c>
      <c r="AL456" s="75" t="inlineStr">
        <is>
          <t>CBAHI vs JCI: JCI globally recognised; CBAHI nationally recognised — JCI preferred for medical tourism attracting hospitals. CBAHI vs HIMSS EMRAM: CBAHI is broad clinical; HIMSS EMRAM is digital health maturity-specific. CBAHI vs DNV: CBAHI similar survey model. CBAHI + HIMSS EMRAM combined = most comprehensive digital health quality picture for KSA hospitals</t>
        </is>
      </c>
      <c r="AM456" s="76" t="inlineStr">
        <is>
          <t>Alkhenizan A &amp; Shaw C (2011) 'Impact of Accreditation' Ann Saudi Med 31(4); Almutairi AF et al. (2015) 'Perceptions of CBAHI Accreditation' BMC Health Services Research; Donabedian A (1988) 'Quality of Care' JAMA 260(12); Greenfield D &amp; Braithwaite J (2008) 'Health Sector Accreditation Research' Int J Quality Health Care 20(3); WHO (2025) PHSSR Saudi Arabia</t>
        </is>
      </c>
      <c r="AN456" s="50" t="inlineStr">
        <is>
          <t>Official: CBAHI website (cbahi.gov.sa) — standards available to purchase. Training: CBAHI education programmes; surveyor training; CPHQ (Certified Professional in Healthcare Quality). Estimated: 60 hours for surveyors; 20 hours for department leads</t>
        </is>
      </c>
      <c r="AO456" s="77" t="inlineStr">
        <is>
          <t>GH-ICGA Layer 5 (Assurance) — CBAHI accreditation is the primary assurance mechanism for hospital IoMT governance. Thesis argument: CBAHI-HAS-H 5th Ed HIT standards need a cybersecurity annex for IoMT — GH-ICGA Layer 5 Assurance proposes an IoMT-specific evaluation framework that could be adopted within CBAHI survey process</t>
        </is>
      </c>
      <c r="AP456" s="51" t="inlineStr">
        <is>
          <t>G + C (Governance through quality standards + voluntary compliance assurance)</t>
        </is>
      </c>
      <c r="AQ456" s="78" t="inlineStr">
        <is>
          <t>CEO: accountable for accreditation status. CMO: responsible for clinical quality chapter compliance. CNO: responsible for nursing quality. Quality/Patient Safety Director: coordinates accreditation programme. Department heads: responsible for chapter compliance in their domain. Accreditation Committee: cross-functional governance body</t>
        </is>
      </c>
      <c r="AR456" s="74" t="inlineStr">
        <is>
          <t>Quality Risk; Patient Safety Risk; Operational Risk (accreditation loss = licensing risk); Reputational Risk; Regulatory Risk (MOH links accreditation to licensing in practice)</t>
        </is>
      </c>
      <c r="AS456" s="92" t="inlineStr">
        <is>
          <t>VOLUNTARY — but operationally MANDATORY (MOH licensing increasingly linked to CBAHI in practice; required for JCI-referencing hospitals and private insurance network participation)</t>
        </is>
      </c>
      <c r="AT456" s="75" t="inlineStr">
        <is>
          <t>Administrative (A): 150 controls — policies; procedures; governance; quality committees. Technical (T): 48 controls — HIT; equipment maintenance; diagnostic systems. Operational (O): 100 controls — clinical procedures; patient safety practices; staff competencies</t>
        </is>
      </c>
      <c r="AU456" s="79" t="inlineStr">
        <is>
          <t>1. CBAHI survey score per chapter (target ≥90% Met). 2. # sentinel events per 1,000 admissions. 3. Falls rate per 1,000 patient days. 4. Hospital-acquired infection rate. 5. Patient satisfaction score (target &gt;90%). 6. Medication error rate. 7. HIT compliance score (CBAHI HIT chapter)</t>
        </is>
      </c>
      <c r="AV456" s="80" t="inlineStr">
        <is>
          <t>CBAHI full survey (3-year cycle — 2-3 day on-site assessment); midterm survey (18 months — focused chapters); unannounced visit (possible any time); tracer methodology; document review; staff interviews; facility inspection</t>
        </is>
      </c>
      <c r="AW456" s="81" t="inlineStr">
        <is>
          <t>Accreditation Manager (CBAHI online platform); EQUIP (quality management platform); PowerDMS; Quantros; Press Ganey (patient satisfaction); Meditech/Epic quality modules; RL6 (incident reporting)</t>
        </is>
      </c>
      <c r="AX456" s="82" t="inlineStr">
        <is>
          <t>Contractors and service providers in clinical areas must meet CBAHI competency requirements; credentialing of contracted physicians required; outsourced services (laundry, catering, security) must meet CBAHI environment chapter standards; medical device vendors: CBAHI biomedical equipment requirements</t>
        </is>
      </c>
      <c r="AY456" s="83" t="inlineStr">
        <is>
          <t>Accreditation denial: cannot be MOH referral centre; excluded from major insurance networks; reputational damage. Accreditation suspension: immediate revenue impact from insurance exclusion. MOH can condition facility licence on CBAHI compliance</t>
        </is>
      </c>
      <c r="AZ456" s="80" t="inlineStr">
        <is>
          <t>Healthcare &amp; Life Sciences</t>
        </is>
      </c>
      <c r="BA456" s="41" t="inlineStr">
        <is>
          <t>Sector-Specific</t>
        </is>
      </c>
      <c r="BB456" s="591">
        <f>IF(E456="","",IF(ISNUMBER(SEARCH("Institutional theory and regulatory governance theory underpin",AI456)),"TEMPLATE",IF(LEN(AI456)&gt;100,"DEEP",IF(AI456="","SPARSE","SHALLOW"))))</f>
        <v/>
      </c>
      <c r="BC456" s="591">
        <f>IF(E456="","",D456&amp;"-"&amp;B456&amp;"-"&amp;E456)</f>
        <v/>
      </c>
      <c r="BD456" s="591">
        <f>IF(E456="","",SUBSTITUTE(SUBSTITUTE(B456&amp;"-"&amp;E456," ",""),":","-"))</f>
        <v/>
      </c>
      <c r="BE456" s="591">
        <f>IF(E456="","",IF(ISNUMBER(SEARCH("ECC",E456)),"NCA-ECC-2-2024",IF(ISNUMBER(SEARCH("OTCC",E456)),"NCA-ECC-2-2024",IF(ISNUMBER(SEARCH("CCC",E456)),"NCA-ECC-2-2024",IF(ISNUMBER(SEARCH("DCC",E456)),"NCA-ECC-2-2024",IF(ISNUMBER(SEARCH("CSCC",E456)),"NCA-ECC-2-2024",IF(ISNUMBER(SEARCH("PDPL-IR",E456)),"PDPL-2021",IF(ISNUMBER(SEARCH("PDPL-DTR",E456)),"PDPL-2021","NONE"))))))))</f>
        <v/>
      </c>
      <c r="BF456" s="594">
        <f>IF(E456="","",IF(BB456="DEEP",10,IF(BB456="SHALLOW",5,IF(BB456="TEMPLATE",3,1)))+IF(N456="HIGHEST",5,IF(N456="HIGH",3,IF(N456="MODERATE",1,0)))+IF(ISNUMBER(SEARCH("Mandatory",L456)),3,0))</f>
        <v/>
      </c>
    </row>
    <row r="457" ht="42" customHeight="1">
      <c r="A457" s="42" t="n">
        <v>408</v>
      </c>
      <c r="B457" s="412" t="inlineStr">
        <is>
          <t>NMHC</t>
        </is>
      </c>
      <c r="C457" s="44" t="inlineStr">
        <is>
          <t>Najran Health Cluster</t>
        </is>
      </c>
      <c r="D457" s="44" t="inlineStr">
        <is>
          <t>17. Regional Health Clusters</t>
        </is>
      </c>
      <c r="E457" s="412" t="inlineStr">
        <is>
          <t>NCA-ECC-2:2024</t>
        </is>
      </c>
      <c r="F457" s="45" t="inlineStr">
        <is>
          <t>Essential Cybersecurity Controls</t>
        </is>
      </c>
      <c r="G457" s="44" t="inlineStr">
        <is>
          <t>ضوابط الأمن السيبراني الأساسية</t>
        </is>
      </c>
      <c r="H457" s="44" t="inlineStr">
        <is>
          <t>ECC-2:2024</t>
        </is>
      </c>
      <c r="I457" s="46" t="inlineStr">
        <is>
          <t>2018</t>
        </is>
      </c>
      <c r="J457" s="46" t="inlineStr">
        <is>
          <t>108</t>
        </is>
      </c>
      <c r="K457" s="44" t="inlineStr">
        <is>
          <t>MUST COMPLY WITH</t>
        </is>
      </c>
      <c r="L457" s="66" t="inlineStr">
        <is>
          <t>Mandatory Complier</t>
        </is>
      </c>
      <c r="M457" s="44" t="inlineStr">
        <is>
          <t>Najran Health Cluster as government entity — hospital networks</t>
        </is>
      </c>
      <c r="N457" s="47" t="inlineStr">
        <is>
          <t>HIGHEST</t>
        </is>
      </c>
      <c r="O457" s="48" t="inlineStr">
        <is>
          <t>https://nca.gov.sa/</t>
        </is>
      </c>
      <c r="P457" s="44" t="inlineStr">
        <is>
          <t>NCA ECC scope</t>
        </is>
      </c>
      <c r="Q457" s="70" t="inlineStr">
        <is>
          <t>See official source for version history</t>
        </is>
      </c>
      <c r="R457" s="70" t="inlineStr">
        <is>
          <t>Framework issued by the relevant authority. Version details available on the official website referenced in the source URL column. The framework has been updated periodically since first issuance.</t>
        </is>
      </c>
      <c r="S457" s="71" t="inlineStr">
        <is>
          <t>See official source</t>
        </is>
      </c>
      <c r="T457" s="70" t="inlineStr">
        <is>
          <t>Updated as needed by the issuing authority</t>
        </is>
      </c>
      <c r="U457" s="25" t="inlineStr">
        <is>
          <t>CURRENT — consult official source for latest version</t>
        </is>
      </c>
      <c r="V457" s="70" t="inlineStr">
        <is>
          <t>Penalties defined by issuing authority; consult official source. NCA ECC-2 penalties apply if relevant</t>
        </is>
      </c>
      <c r="W457" s="72" t="inlineStr">
        <is>
          <t>Issuing authority and/or designated inspection department</t>
        </is>
      </c>
      <c r="X457" s="70" t="inlineStr">
        <is>
          <t>As specified in framework scope — consult official document</t>
        </is>
      </c>
      <c r="Y457" s="49" t="inlineStr">
        <is>
          <t>Both (unless specified otherwise in official document)</t>
        </is>
      </c>
      <c r="Z457" s="70" t="inlineStr">
        <is>
          <t>As defined by issuing authority</t>
        </is>
      </c>
      <c r="AA457" s="71" t="inlineStr">
        <is>
          <t>As defined by issuing authority</t>
        </is>
      </c>
      <c r="AB457" s="70" t="inlineStr">
        <is>
          <t>To be determined from framework text — see official source</t>
        </is>
      </c>
      <c r="AC457" s="70" t="inlineStr">
        <is>
          <t>See framework preamble for international standard references</t>
        </is>
      </c>
      <c r="AD457" s="49" t="inlineStr">
        <is>
          <t>Arabic (primary in KSA); English may be available</t>
        </is>
      </c>
      <c r="AE457" s="58" t="inlineStr">
        <is>
          <t>Mapped to relevant GH-ICGA layer — requires manual assessment</t>
        </is>
      </c>
      <c r="AF457" s="56" t="inlineStr">
        <is>
          <t>See official framework for maturity model details</t>
        </is>
      </c>
      <c r="AG457" s="70" t="inlineStr">
        <is>
          <t>Aligned with relevant Vision 2030 programme — see framework context</t>
        </is>
      </c>
      <c r="AH457" s="70" t="inlineStr">
        <is>
          <t>As specified in framework compliance requirements</t>
        </is>
      </c>
      <c r="AI457" s="73" t="inlineStr">
        <is>
          <t>Institutional theory and regulatory governance theory underpin all KSA regulatory frameworks. Specific theoretical basis varies by framework — consult academic literature via Google Scholar using framework name as search term.</t>
        </is>
      </c>
      <c r="AJ457" s="70" t="inlineStr">
        <is>
          <t>Academic debate varies by framework maturity and international adoption. For KSA-specific debate, consult: Almohammad &amp; Wills (2021) J Cybersecurity; Al-Khater et al. (2020) IEEE Access; Baker McKenzie KSA regulatory updates.</t>
        </is>
      </c>
      <c r="AK457" s="74" t="inlineStr">
        <is>
          <t>Known criticisms include: implementation gap between standards and practice; resource constraints for smaller healthcare entities; rapid technology evolution outpacing regulation. Consult framework evaluation literature for specifics.</t>
        </is>
      </c>
      <c r="AL457" s="75" t="inlineStr">
        <is>
          <t>Framework comparison requires contextual analysis. Key comparators: NIST CSF 2.0 (international benchmark), ISO 27001 (certifiable standard), ECC-2 (KSA mandatory baseline). See main database for cross-framework mapping.</t>
        </is>
      </c>
      <c r="AM457"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57" s="50" t="inlineStr">
        <is>
          <t>Official: Consult the official source URL in the database for the primary document. Training: ISACA, ISC2, RAPS, IAPP, and HIMSS offer professional development covering most regulatory domains. Estimated hours vary by framework complexity.</t>
        </is>
      </c>
      <c r="AO457" s="77" t="inlineStr">
        <is>
          <t>Relevance to GH-ICGA framework varies by layer — see GH-ICGA Layer Mapping column. All KSA mandatory frameworks are compliance inputs to GH-ICGA Layer 4. Frameworks with IoMT-specific provisions directly inform Layers 2 and 3.</t>
        </is>
      </c>
      <c r="AP457" s="51" t="inlineStr">
        <is>
          <t>G + C (Governance + Compliance — standard regulatory framework positioning)</t>
        </is>
      </c>
      <c r="AQ457" s="78" t="inlineStr">
        <is>
          <t>Senior management: accountability for framework compliance. Designated compliance officer: monitor requirements. All staff: awareness of applicable obligations</t>
        </is>
      </c>
      <c r="AR457" s="74" t="inlineStr">
        <is>
          <t>Regulatory Risk; Operational Risk; Reputational Risk — specific domains determined by framework scope</t>
        </is>
      </c>
      <c r="AS457" s="22" t="inlineStr">
        <is>
          <t>See official source — legal obligation, regulatory requirement, or voluntary standard as applicable</t>
        </is>
      </c>
      <c r="AT457" s="75" t="inlineStr">
        <is>
          <t>Administrative; Technical; Operational — specific distribution determined by framework content</t>
        </is>
      </c>
      <c r="AU457" s="79" t="inlineStr">
        <is>
          <t>1. Compliance status (compliant/non-compliant). 2. # open findings from last assessment. 3. % controls implemented. 4. Time to remediate findings. 5. Incident rate in framework scope area</t>
        </is>
      </c>
      <c r="AV457" s="80" t="inlineStr">
        <is>
          <t>Self-assessment; internal audit; external assessment as specified by issuing authority</t>
        </is>
      </c>
      <c r="AW457" s="81" t="inlineStr">
        <is>
          <t>ServiceNow GRC; IBM OpenPages; RSA Archer; MetricStream — all major GRC platforms support custom framework import. Contact vendor for framework-specific module</t>
        </is>
      </c>
      <c r="AX457" s="82" t="inlineStr">
        <is>
          <t>Third parties in scope must demonstrate equivalent compliance. Contractual compliance obligations; right-to-audit clauses; annual third-party assessment</t>
        </is>
      </c>
      <c r="AY457" s="83" t="inlineStr">
        <is>
          <t>Non-compliance: regulatory action by issuing authority; fines and penalties as specified; operational and reputational consequences</t>
        </is>
      </c>
      <c r="AZ457" s="80" t="inlineStr">
        <is>
          <t>ALL 17 SECTORS</t>
        </is>
      </c>
      <c r="BA457" s="34" t="inlineStr">
        <is>
          <t>YES — ALL SECTORS</t>
        </is>
      </c>
      <c r="BB457" s="591">
        <f>IF(E457="","",IF(ISNUMBER(SEARCH("Institutional theory and regulatory governance theory underpin",AI457)),"TEMPLATE",IF(LEN(AI457)&gt;100,"DEEP",IF(AI457="","SPARSE","SHALLOW"))))</f>
        <v/>
      </c>
      <c r="BC457" s="591">
        <f>IF(E457="","",D457&amp;"-"&amp;B457&amp;"-"&amp;E457)</f>
        <v/>
      </c>
      <c r="BD457" s="591">
        <f>IF(E457="","",SUBSTITUTE(SUBSTITUTE(B457&amp;"-"&amp;E457," ",""),":","-"))</f>
        <v/>
      </c>
      <c r="BE457" s="591">
        <f>IF(E457="","",IF(ISNUMBER(SEARCH("ECC",E457)),"NCA-ECC-2-2024",IF(ISNUMBER(SEARCH("OTCC",E457)),"NCA-ECC-2-2024",IF(ISNUMBER(SEARCH("CCC",E457)),"NCA-ECC-2-2024",IF(ISNUMBER(SEARCH("DCC",E457)),"NCA-ECC-2-2024",IF(ISNUMBER(SEARCH("CSCC",E457)),"NCA-ECC-2-2024",IF(ISNUMBER(SEARCH("PDPL-IR",E457)),"PDPL-2021",IF(ISNUMBER(SEARCH("PDPL-DTR",E457)),"PDPL-2021","NONE"))))))))</f>
        <v/>
      </c>
      <c r="BF457" s="594">
        <f>IF(E457="","",IF(BB457="DEEP",10,IF(BB457="SHALLOW",5,IF(BB457="TEMPLATE",3,1)))+IF(N457="HIGHEST",5,IF(N457="HIGH",3,IF(N457="MODERATE",1,0)))+IF(ISNUMBER(SEARCH("Mandatory",L457)),3,0))</f>
        <v/>
      </c>
    </row>
    <row r="458" ht="42" customHeight="1">
      <c r="A458" s="84" t="n">
        <v>409</v>
      </c>
      <c r="B458" s="411" t="inlineStr">
        <is>
          <t>NMHC</t>
        </is>
      </c>
      <c r="C458" s="70" t="inlineStr">
        <is>
          <t>Najran Health Cluster</t>
        </is>
      </c>
      <c r="D458" s="70" t="inlineStr">
        <is>
          <t>17. Regional Health Clusters</t>
        </is>
      </c>
      <c r="E458" s="411" t="inlineStr">
        <is>
          <t>PDPL-2021</t>
        </is>
      </c>
      <c r="F458" s="72" t="inlineStr">
        <is>
          <t>Personal Data Protection Law</t>
        </is>
      </c>
      <c r="G458" s="70" t="inlineStr">
        <is>
          <t>نظام حماية البيانات الشخصية</t>
        </is>
      </c>
      <c r="H458" s="70" t="inlineStr">
        <is>
          <t>2021+IR 2023</t>
        </is>
      </c>
      <c r="I458" s="71" t="inlineStr">
        <is>
          <t>2021</t>
        </is>
      </c>
      <c r="J458" s="71" t="inlineStr">
        <is>
          <t>45</t>
        </is>
      </c>
      <c r="K458" s="70" t="inlineStr">
        <is>
          <t>MUST COMPLY WITH</t>
        </is>
      </c>
      <c r="L458" s="66" t="inlineStr">
        <is>
          <t>Mandatory Complier</t>
        </is>
      </c>
      <c r="M458" s="70" t="inlineStr">
        <is>
          <t>Najran Health Cluster processes patient personal data</t>
        </is>
      </c>
      <c r="N458" s="86" t="inlineStr">
        <is>
          <t>HIGHEST</t>
        </is>
      </c>
      <c r="O458" s="87" t="inlineStr">
        <is>
          <t>https://sdaia.gov.sa/</t>
        </is>
      </c>
      <c r="P458" s="70" t="inlineStr">
        <is>
          <t>SDAIA</t>
        </is>
      </c>
      <c r="Q458" s="70" t="inlineStr">
        <is>
          <t>Royal Decree M/19 (16 Sep 2021) → amended Apr 2023</t>
        </is>
      </c>
      <c r="R458" s="70" t="inlineStr">
        <is>
          <t>Original (2021): 19 articles covering consent, data subject rights, controller obligations, sensitive data (health = sensitive), cross-border transfer. Apr 2023 amendment: strengthened enforcement, clarified health data provisions, aligned with PDPL-IR-2023. Grace period for compliance ended Sep 14, 2024. Penalties: up to SAR 5 million fine + 2 years imprisonment for sensitive data breach</t>
        </is>
      </c>
      <c r="S458" s="71" t="inlineStr">
        <is>
          <t>Issued: Sep 2021. Amended: Apr 2023. Fully enforceable: Sep 14, 2024</t>
        </is>
      </c>
      <c r="T458" s="70" t="inlineStr">
        <is>
          <t>SDAIA reviews annually; amendments expected 2025-2026</t>
        </is>
      </c>
      <c r="U458" s="25" t="inlineStr">
        <is>
          <t>CURRENT — fully enforceable since Sep 2024</t>
        </is>
      </c>
      <c r="V458" s="70" t="inlineStr">
        <is>
          <t>Criminal offence: up to 2 years imprisonment + SAR 3M fine for disclosing sensitive data (health data = sensitive); administrative fine up to SAR 5M; mandatory breach notification to SDAIA within 72 hours; data subject compensation claims</t>
        </is>
      </c>
      <c r="W458" s="72" t="inlineStr">
        <is>
          <t>SDAIA — Data Protection Authority (DPA functions); NDMO for government entities; courts for criminal penalties</t>
        </is>
      </c>
      <c r="X458" s="70" t="inlineStr">
        <is>
          <t>Hospital; Clinic; Lab; Pharmacy; Health IT Vendor; Health Insurer; Government Health Entity; Medical Device Manufacturer (all processing patient data)</t>
        </is>
      </c>
      <c r="Y458" s="49" t="inlineStr">
        <is>
          <t>Both + foreign entities processing data of KSA residents</t>
        </is>
      </c>
      <c r="Z458" s="70" t="inlineStr">
        <is>
          <t>SDAIA audit; controller self-assessment; DPO oversight; data subject complaints trigger investigation</t>
        </is>
      </c>
      <c r="AA458" s="71" t="inlineStr">
        <is>
          <t>Continuous (breach notification: 72 hours); annual DPO report; SDAIA random audits</t>
        </is>
      </c>
      <c r="AB458" s="70" t="inlineStr">
        <is>
          <t>12 (IoMT data minimisation; purpose limitation; consent management for wearable data; automated decision-making; data subject rights for IoMT-generated health data; cross-border transfer of IoMT data)</t>
        </is>
      </c>
      <c r="AC458" s="70" t="inlineStr">
        <is>
          <t>GDPR (substantial alignment — adequate protection basis); APEC Privacy Framework; ISO 29100; ISO 27701</t>
        </is>
      </c>
      <c r="AD458" s="49" t="inlineStr">
        <is>
          <t>Arabic (official); English translation (unofficial)</t>
        </is>
      </c>
      <c r="AE458" s="50" t="inlineStr">
        <is>
          <t>Layer 4: Compliance; Layer 2: Risk Management</t>
        </is>
      </c>
      <c r="AF458" s="60" t="inlineStr">
        <is>
          <t>No formal maturity model; SDAIA publishes compliance guidance</t>
        </is>
      </c>
      <c r="AG458" s="70" t="inlineStr">
        <is>
          <t>National Data Strategy; Vision 2030 Digital Economy; Digital Government transformation</t>
        </is>
      </c>
      <c r="AH458" s="70" t="inlineStr">
        <is>
          <t>Privacy notices; consent records; DPO appointment letter; data mapping/flow diagrams; breach notification records; DPIA for health data processing; controller registration</t>
        </is>
      </c>
      <c r="AI458" s="73" t="inlineStr">
        <is>
          <t>Privacy as fundamental right (Warren &amp; Brandeis 1890; Westin 1967). Contextual integrity theory (Nissenbaum 2004): health data flows must match medical context norms. Regulatory theory: data protection authority independence and enforcement. Information asymmetry theory: patients cannot protect their own data without regulation.</t>
        </is>
      </c>
      <c r="AJ458" s="70" t="inlineStr">
        <is>
          <t>FOR: Long-overdue — KSA had no comprehensive data protection law until 2021; health data explicitly protected as sensitive category; aligns KSA with global adequacy standards. AGAINST: Alrawabdeh (2014) and Aldawood &amp; Skinner (2019) documented Saudi privacy culture gap — regulation without public awareness is ineffective; 'GDPR-lite' criticism: exemptions broader than GDPR, enforcement weaker; health data provisions in IR still less specific than UK GDPR Schedule 1 conditions</t>
        </is>
      </c>
      <c r="AK458" s="74" t="inlineStr">
        <is>
          <t>No independent supervisory authority (SDAIA is both promoter and regulator — conflict of interest noted by Baker McKenzie 2025); patient data portability rights weaker than GDPR Article 20; no explicit right to explanation for AI-automated health decisions; cross-border transfer rules changed twice in 12 months (regulatory instability); small healthcare providers lack capacity for DPO requirements</t>
        </is>
      </c>
      <c r="AL458" s="75" t="inlineStr">
        <is>
          <t>PDPL vs GDPR: PDPL penalty lower (SAR 5M vs €20M); PDPL broader government exemptions; GDPR has independent DPA, PDPL does not. PDPL vs HIPAA: PDPL = all personal data (broader); HIPAA = US-specific health data only. PDPL vs UK GDPR: PDPL misses explicit Schedule 1 health data conditions. PDPL ahead of HIPAA on consent granularity; behind GDPR on enforcement independence</t>
        </is>
      </c>
      <c r="AM458" s="76" t="inlineStr">
        <is>
          <t>Baker McKenzie (2025) Saudi Arabia PDPL Global Data &amp; Cyber Handbook; Alrawabdeh W (2014) 'Internet and Social Media Challenges in Arab World' EJSR; Westin AF (1967) Privacy and Freedom NY Atheneum; Nissenbaum H (2004) 'Privacy as Contextual Integrity' Washington Law Review 79(1); CMS Law (2025) Saudi Arabia Data Protection &amp; Cybersecurity Expert Guide Oct 2025</t>
        </is>
      </c>
      <c r="AN458" s="50" t="inlineStr">
        <is>
          <t>Official: SDAIA website (sdaia.gov.sa) — Arabic + English. Training: IAPP CIPM/CIPP/E (privacy certifications applicable); OneTrust PDPL compliance course; Baker McKenzie PDPL compliance guide. Language: Arabic primary — strong Arabic reading recommended. Estimated: 50 hours for health sector DPO competence</t>
        </is>
      </c>
      <c r="AO458" s="77" t="inlineStr">
        <is>
          <t>PRIMARY driver for GH-ICGA Layer 4 (Compliance) — PDPL is the legal foundation for patient data governance in the preliminary GH-ICGA framework. Thesis argument: GH-ICGA Layer 4 operationalises PDPL requirements into IoMT-specific controls (consent management for wearable data; purpose limitation for monitoring streams; breach response for connected device incidents)</t>
        </is>
      </c>
      <c r="AP458" s="51" t="inlineStr">
        <is>
          <t>G + C (Governance + Compliance — strong compliance driver; risk implicit)</t>
        </is>
      </c>
      <c r="AQ458" s="78" t="inlineStr">
        <is>
          <t>Board/CEO: ultimate accountability for PDPL compliance. DPO: mandatory for large-scale health data processors — reports to highest management level. Privacy Committee: cross-functional oversight. All staff processing personal data: mandatory privacy awareness training annually</t>
        </is>
      </c>
      <c r="AR458" s="74" t="inlineStr">
        <is>
          <t>Privacy Risk (PRIMARY); Legal/Regulatory Risk; Reputational Risk; Strategic Risk (data monetisation constraints); Cross-Border Risk (data transfer restrictions)</t>
        </is>
      </c>
      <c r="AS458" s="22" t="inlineStr">
        <is>
          <t>LEGAL — Royal Decree M/19 2021 + Implementing Regulations Sep 2023. Criminal: imprisonment up to 2 years + SAR 3M fine for sensitive data disclosure. Administrative: SAR 5M maximum fine. Civil: data subject compensation claims</t>
        </is>
      </c>
      <c r="AT458" s="75" t="inlineStr">
        <is>
          <t>Administrative (A): consent management; privacy notices; DPO appointment; DPIA process; breach notification procedure. Technical (T): data minimisation; pseudonymisation; access controls for personal data; encryption. Operational (O): data retention enforcement; data subject rights fulfilment process; cross-border transfer review</t>
        </is>
      </c>
      <c r="AU458" s="79" t="inlineStr">
        <is>
          <t>1. # data subject rights requests fulfilled on time (target: 100% within 30 days). 2. # data breaches notified to SDAIA within 72h (target: 100%). 3. % staff completed privacy training (target: 100%). 4. # DPIAs completed for high-risk processing activities. 5. Data retention compliance rate (% records within policy). 6. % third-party processors with DPA agreements</t>
        </is>
      </c>
      <c r="AV458" s="80" t="inlineStr">
        <is>
          <t>Annual DPIA review; data mapping audit (controller record validation); consent record audit; breach response simulation (tabletop); access control review for personal data systems; third-party processor audit; SDAIA compliance self-assessment</t>
        </is>
      </c>
      <c r="AW458" s="81" t="inlineStr">
        <is>
          <t>OneTrust (market leader for PDPL); TrustArc; Nymity; DataGrail; Varonis (data discovery); Microsoft Purview (data classification). SDAIA National Data Governance Platform for registration. Arabic-capable tools preferred</t>
        </is>
      </c>
      <c r="AX458" s="82" t="inlineStr">
        <is>
          <t>All third-party data processors must have Data Processing Agreement (DPA). Processors must demonstrate equivalent PDPL compliance. Cross-border transfers require adequacy assessment or appropriate safeguards. Sub-processor disclosure mandatory. Annual processor risk assessment required</t>
        </is>
      </c>
      <c r="AY458" s="83" t="inlineStr">
        <is>
          <t>Non-compliance: SAR 5M administrative fine; criminal prosecution for sensitive data breach; SDAIA investigation; mandatory breach public disclosure. Business disruption: SDAIA can order processing suspension. Reputational: patient trust damage. Market: EU adequate protection status depends on PDPL enforcement credibility</t>
        </is>
      </c>
      <c r="AZ458" s="80" t="inlineStr">
        <is>
          <t>ALL 17 SECTORS — any entity processing personal data</t>
        </is>
      </c>
      <c r="BA458" s="34" t="inlineStr">
        <is>
          <t>YES — ALL SECTORS</t>
        </is>
      </c>
      <c r="BB458" s="591">
        <f>IF(E458="","",IF(ISNUMBER(SEARCH("Institutional theory and regulatory governance theory underpin",AI458)),"TEMPLATE",IF(LEN(AI458)&gt;100,"DEEP",IF(AI458="","SPARSE","SHALLOW"))))</f>
        <v/>
      </c>
      <c r="BC458" s="591">
        <f>IF(E458="","",D458&amp;"-"&amp;B458&amp;"-"&amp;E458)</f>
        <v/>
      </c>
      <c r="BD458" s="591">
        <f>IF(E458="","",SUBSTITUTE(SUBSTITUTE(B458&amp;"-"&amp;E458," ",""),":","-"))</f>
        <v/>
      </c>
      <c r="BE458" s="591">
        <f>IF(E458="","",IF(ISNUMBER(SEARCH("ECC",E458)),"NCA-ECC-2-2024",IF(ISNUMBER(SEARCH("OTCC",E458)),"NCA-ECC-2-2024",IF(ISNUMBER(SEARCH("CCC",E458)),"NCA-ECC-2-2024",IF(ISNUMBER(SEARCH("DCC",E458)),"NCA-ECC-2-2024",IF(ISNUMBER(SEARCH("CSCC",E458)),"NCA-ECC-2-2024",IF(ISNUMBER(SEARCH("PDPL-IR",E458)),"PDPL-2021",IF(ISNUMBER(SEARCH("PDPL-DTR",E458)),"PDPL-2021","NONE"))))))))</f>
        <v/>
      </c>
      <c r="BF458" s="594">
        <f>IF(E458="","",IF(BB458="DEEP",10,IF(BB458="SHALLOW",5,IF(BB458="TEMPLATE",3,1)))+IF(N458="HIGHEST",5,IF(N458="HIGH",3,IF(N458="MODERATE",1,0)))+IF(ISNUMBER(SEARCH("Mandatory",L458)),3,0))</f>
        <v/>
      </c>
    </row>
    <row r="459" ht="42" customHeight="1">
      <c r="A459" s="42" t="n">
        <v>410</v>
      </c>
      <c r="B459" s="412" t="inlineStr">
        <is>
          <t>NMHC</t>
        </is>
      </c>
      <c r="C459" s="44" t="inlineStr">
        <is>
          <t>Najran Health Cluster</t>
        </is>
      </c>
      <c r="D459" s="44" t="inlineStr">
        <is>
          <t>17. Regional Health Clusters</t>
        </is>
      </c>
      <c r="E459" s="412" t="inlineStr">
        <is>
          <t>MOH-TELE</t>
        </is>
      </c>
      <c r="F459" s="45" t="inlineStr">
        <is>
          <t>Telemedicine Regulations</t>
        </is>
      </c>
      <c r="G459" s="44" t="inlineStr">
        <is>
          <t>لائحة الرعاية الصحية عن بعد</t>
        </is>
      </c>
      <c r="H459" s="44" t="inlineStr">
        <is>
          <t>Late 2023</t>
        </is>
      </c>
      <c r="I459" s="46" t="inlineStr">
        <is>
          <t>2020</t>
        </is>
      </c>
      <c r="J459" s="46" t="inlineStr">
        <is>
          <t>38</t>
        </is>
      </c>
      <c r="K459" s="44" t="inlineStr">
        <is>
          <t>MUST COMPLY WITH</t>
        </is>
      </c>
      <c r="L459" s="66" t="inlineStr">
        <is>
          <t>Mandatory Complier</t>
        </is>
      </c>
      <c r="M459" s="44" t="inlineStr">
        <is>
          <t>Najran Health Cluster offering telemedicine services</t>
        </is>
      </c>
      <c r="N459" s="54" t="inlineStr">
        <is>
          <t>HIGH</t>
        </is>
      </c>
      <c r="O459" s="48" t="inlineStr">
        <is>
          <t>https://www.moh.gov.sa/en/</t>
        </is>
      </c>
      <c r="P459" s="44" t="inlineStr">
        <is>
          <t>MOH; Hammad &amp; Al-Mehdar 2025</t>
        </is>
      </c>
      <c r="Q459" s="70" t="inlineStr">
        <is>
          <t>COVID-19 emergency 2020 → comprehensive regulations late 2023</t>
        </is>
      </c>
      <c r="R459" s="70" t="inlineStr">
        <is>
          <t>2020 (emergency COVID telehealth rules): basic platform licensing, identity verification, audio/video minimum standards. Late 2023 (comprehensive update, 38 controls): platform licensing requirements; patient identity verification; cross-border telemedicine restrictions; controlled substance prescribing rules (limited); data protection (PDPL alignment); patient consent requirements; clinical documentation standards; coverage by health insurance; quality assurance audit requirements</t>
        </is>
      </c>
      <c r="S459" s="71" t="inlineStr">
        <is>
          <t>Emergency 2020. Comprehensive: late 2023</t>
        </is>
      </c>
      <c r="T459" s="70" t="inlineStr">
        <is>
          <t>Annual update; cross-border rules under active development 2025</t>
        </is>
      </c>
      <c r="U459" s="25" t="inlineStr">
        <is>
          <t>CURRENT — late 2023 comprehensive version</t>
        </is>
      </c>
      <c r="V459" s="70" t="inlineStr">
        <is>
          <t>Platform licence revocation; SAR 1M–5M fine (scale by offence); clinical professional disciplinary action by SCFHS</t>
        </is>
      </c>
      <c r="W459" s="72" t="inlineStr">
        <is>
          <t>MOH — eHealth General Directorate; CST (platform technical licensing); CCHI (insurance coverage compliance); SCFHS (clinical standards)</t>
        </is>
      </c>
      <c r="X459" s="70" t="inlineStr">
        <is>
          <t>Hospital (outpatient teleconsultation); Clinic; Health IT Vendor (platform developers); Health Insurer (reimbursement compliance)</t>
        </is>
      </c>
      <c r="Y459" s="22" t="inlineStr">
        <is>
          <t>Both</t>
        </is>
      </c>
      <c r="Z459" s="70" t="inlineStr">
        <is>
          <t>MOH platform licence audit (annual); CCHI insurance compliance check; SCFHS clinical quality audit</t>
        </is>
      </c>
      <c r="AA459" s="71" t="inlineStr">
        <is>
          <t>Annual licence renewal; random clinical quality audit</t>
        </is>
      </c>
      <c r="AB459" s="70" t="inlineStr">
        <is>
          <t>15 (remote patient monitoring integration; wearable device data for teleconsultation; IoMT vital sign display during video consultation; remote device prescription; teleICU monitoring requirements)</t>
        </is>
      </c>
      <c r="AC459" s="70" t="inlineStr">
        <is>
          <t>WHO Telemedicine Guidelines (2010/updated); ISO 13131:2021 (Telehealth); ATA (American Telemedicine Association) standards (reference)</t>
        </is>
      </c>
      <c r="AD459" s="49" t="inlineStr">
        <is>
          <t>Arabic (primary); English technical guidance</t>
        </is>
      </c>
      <c r="AE459" s="26" t="inlineStr">
        <is>
          <t>Layer 1: Governance; Layer 4: Compliance</t>
        </is>
      </c>
      <c r="AF459" s="60" t="inlineStr">
        <is>
          <t>No formal maturity model; licence tiers (basic/advanced platform)</t>
        </is>
      </c>
      <c r="AG459" s="70" t="inlineStr">
        <is>
          <t>HSTP telemedicine targets (30% uptake); SEHA Virtual Hospital; Vision 2030 healthcare access targets</t>
        </is>
      </c>
      <c r="AH459" s="70" t="inlineStr">
        <is>
          <t>Platform licence certificate; patient consent records; clinical documentation standards compliance; identity verification log; prescription records; NABIDH integration evidence</t>
        </is>
      </c>
      <c r="AI459" s="73" t="inlineStr">
        <is>
          <t>Telehealth adoption theory (LeRouge &amp; Garfield 2013): patient acceptance + clinician integration. Access theory: geography-equity argument for remote care. Digital health governance theory: platform regulation vs clinical regulation tension.</t>
        </is>
      </c>
      <c r="AJ459" s="70" t="inlineStr">
        <is>
          <t>FOR: COVID-19 proved telehealth viability at scale in KSA (Al-Ataawi et al. 2022); Sehhaty platform shows government commitment; removes geographic barriers consistent with Vision 2030 equity goals; IoMT remote monitoring reimbursement framework emerging. AGAINST: Clinical quality in telehealth still debated (Hollander &amp; Sites 2020); data sovereignty for cross-border telehealth unresolved; prescription via teleconsultation remains restricted limiting scope; rural connectivity gaps undermine access equity goal</t>
        </is>
      </c>
      <c r="AK459" s="74" t="inlineStr">
        <is>
          <t>Regulations still lag technology — VR/AR clinical applications not addressed; AI-assisted teleconsultation regulatory pathway unclear; cross-border telehealth restrictions create market fragmentation; no minimum quality standards for audio/video equipment; liability for technical failure not yet codified in regulation</t>
        </is>
      </c>
      <c r="AL459" s="75" t="inlineStr">
        <is>
          <t>MOH-TELE vs NHS TECS (UK): NHS TECS has DTAC (Digital Technology Assessment Criteria) for all digital health tools — KSA equivalent absent. MOH-TELE vs FCC/CMS telehealth (US): US has federal reimbursement codes (CPT); KSA CCHI integration still developing. MOH-TELE vs WHO Telemedicine Guidelines: broadly aligned but KSA-specific cross-border rules more restrictive than WHO recommends</t>
        </is>
      </c>
      <c r="AM459" s="76" t="inlineStr">
        <is>
          <t>Al-Ataawi A et al. (2022) 'Telehealth in Saudi Arabia During COVID-19' J Healthcare Informatics Res; Hollander JE &amp; Sites FD (2020) 'Telehealth Beyond COVID-19' NEJM 2020; Hammad &amp; Al-Mehdar (2025) Saudi Healthcare Regulatory Update; WHO (2010) Telemedicine Opportunities and Developments; LeRouge C &amp; Garfield MJ (2013) 'Crossing the Telemedicine Chasm' JAMIA 20(6)</t>
        </is>
      </c>
      <c r="AN459" s="50" t="inlineStr">
        <is>
          <t>Official: MOH website. Training: American Telemedicine Association (ATA) online courses; SEHA Virtual Hospital training programme; WHO telehealth competency framework. Estimated: 25 hours</t>
        </is>
      </c>
      <c r="AO459" s="77" t="inlineStr">
        <is>
          <t>GH-ICGA Layer 1 (Governance) — telehealth regulation defines the governance boundary for remote IoMT monitoring. Thesis relevance: GH-ICGA must address the governance overlap between MOH-TELE (clinical platform regulation) and NCA-ECC (cybersecurity) and PDPL (patient data) for remote monitoring scenarios</t>
        </is>
      </c>
      <c r="AP459" s="51" t="inlineStr">
        <is>
          <t>G + C (platform governance + clinical compliance)</t>
        </is>
      </c>
      <c r="AQ459" s="78" t="inlineStr">
        <is>
          <t>CEO: platform licence accountability. Medical Director: clinical quality governance. DPO: PDPL compliance for patient data on platform. Technical Director: platform security. Pharmacy Director: prescription management compliance</t>
        </is>
      </c>
      <c r="AR459" s="74" t="inlineStr">
        <is>
          <t>Clinical Risk (misdiagnosis via teleconsultation); Regulatory Risk (licence breach); Privacy Risk (patient data); Operational Risk (platform availability); Cross-Border Risk (international teleconsultation restrictions)</t>
        </is>
      </c>
      <c r="AS459" s="61" t="inlineStr">
        <is>
          <t>REGULATORY — MOH licensing requirement. Non-compliance: platform licence revocation; SAR 1M–5M fine; SCFHS action against clinicians</t>
        </is>
      </c>
      <c r="AT459" s="75" t="inlineStr">
        <is>
          <t>Administrative (A): 20 controls — licensing; consent; documentation; clinical protocols. Technical (T): 12 controls — platform security; identity verification; audio/video standards. Operational (O): 6 controls — prescribing workflow; referral protocol; audit trail</t>
        </is>
      </c>
      <c r="AU459" s="79" t="inlineStr">
        <is>
          <t>1. Patient consent collection rate (target 100% before each session). 2. Platform availability SLA compliance (target &gt;99.5%). 3. Identity verification success rate. 4. # clinical complaints per 1,000 teleconsultations. 5. Documentation compliance rate (target 100% consultation notes in NABIDH). 6. Prescription audit pass rate</t>
        </is>
      </c>
      <c r="AV459" s="80" t="inlineStr">
        <is>
          <t>Annual MOH licence renewal audit; CCHI insurance coverage compliance check; patient record documentation audit; platform security assessment; identity verification system test; NABIDH integration test</t>
        </is>
      </c>
      <c r="AW459" s="81" t="inlineStr">
        <is>
          <t>Sehhaty / Mawid (MOH official platforms); Nabdh; Cura Health; Vezeeta; Nubaqraa — all require MOH licensing. Security tools: FortiWeb (WAF); Auth0/Okta (identity); TeleVisit security frameworks</t>
        </is>
      </c>
      <c r="AX459" s="82" t="inlineStr">
        <is>
          <t>Platform vendors: MOH-licensed telemedicine solution mandatory; PDPL DPA required; NABIDH API certification; patient data not to be shared with third-party analytics without consent; international teleconsultation providers must be MOH-approved</t>
        </is>
      </c>
      <c r="AY459" s="83" t="inlineStr">
        <is>
          <t>Unlicensed platform: immediate shutdown; SAR fine; clinical professional disciplinary action. Licence revocation: complete business cessation. Patient harm via telemedicine: malpractice liability; SCFHS investigation</t>
        </is>
      </c>
      <c r="AZ459" s="80" t="inlineStr">
        <is>
          <t>Healthcare &amp; Life Sciences; ICT/Digital (platform providers)</t>
        </is>
      </c>
      <c r="BA459" s="41" t="inlineStr">
        <is>
          <t>Sector-Specific</t>
        </is>
      </c>
      <c r="BB459" s="591">
        <f>IF(E459="","",IF(ISNUMBER(SEARCH("Institutional theory and regulatory governance theory underpin",AI459)),"TEMPLATE",IF(LEN(AI459)&gt;100,"DEEP",IF(AI459="","SPARSE","SHALLOW"))))</f>
        <v/>
      </c>
      <c r="BC459" s="591">
        <f>IF(E459="","",D459&amp;"-"&amp;B459&amp;"-"&amp;E459)</f>
        <v/>
      </c>
      <c r="BD459" s="591">
        <f>IF(E459="","",SUBSTITUTE(SUBSTITUTE(B459&amp;"-"&amp;E459," ",""),":","-"))</f>
        <v/>
      </c>
      <c r="BE459" s="591">
        <f>IF(E459="","",IF(ISNUMBER(SEARCH("ECC",E459)),"NCA-ECC-2-2024",IF(ISNUMBER(SEARCH("OTCC",E459)),"NCA-ECC-2-2024",IF(ISNUMBER(SEARCH("CCC",E459)),"NCA-ECC-2-2024",IF(ISNUMBER(SEARCH("DCC",E459)),"NCA-ECC-2-2024",IF(ISNUMBER(SEARCH("CSCC",E459)),"NCA-ECC-2-2024",IF(ISNUMBER(SEARCH("PDPL-IR",E459)),"PDPL-2021",IF(ISNUMBER(SEARCH("PDPL-DTR",E459)),"PDPL-2021","NONE"))))))))</f>
        <v/>
      </c>
      <c r="BF459" s="594">
        <f>IF(E459="","",IF(BB459="DEEP",10,IF(BB459="SHALLOW",5,IF(BB459="TEMPLATE",3,1)))+IF(N459="HIGHEST",5,IF(N459="HIGH",3,IF(N459="MODERATE",1,0)))+IF(ISNUMBER(SEARCH("Mandatory",L459)),3,0))</f>
        <v/>
      </c>
    </row>
    <row r="460" ht="42" customHeight="1">
      <c r="A460" s="84" t="n">
        <v>411</v>
      </c>
      <c r="B460" s="411" t="inlineStr">
        <is>
          <t>NMHC</t>
        </is>
      </c>
      <c r="C460" s="70" t="inlineStr">
        <is>
          <t>Najran Health Cluster</t>
        </is>
      </c>
      <c r="D460" s="70" t="inlineStr">
        <is>
          <t>17. Regional Health Clusters</t>
        </is>
      </c>
      <c r="E460" s="411" t="inlineStr">
        <is>
          <t>NHIC-NABIDH</t>
        </is>
      </c>
      <c r="F460" s="72" t="inlineStr">
        <is>
          <t>NABIDH EHR Platform Standard</t>
        </is>
      </c>
      <c r="G460" s="70" t="inlineStr">
        <is>
          <t>معيار منصة نبض</t>
        </is>
      </c>
      <c r="H460" s="70" t="inlineStr">
        <is>
          <t>Mandatory 2024</t>
        </is>
      </c>
      <c r="I460" s="71" t="inlineStr">
        <is>
          <t>2018</t>
        </is>
      </c>
      <c r="J460" s="71" t="inlineStr">
        <is>
          <t>40</t>
        </is>
      </c>
      <c r="K460" s="70" t="inlineStr">
        <is>
          <t>MUST COMPLY WITH</t>
        </is>
      </c>
      <c r="L460" s="66" t="inlineStr">
        <is>
          <t>Mandatory Complier</t>
        </is>
      </c>
      <c r="M460" s="70" t="inlineStr">
        <is>
          <t>Najran Health Cluster hospitals — NABIDH interoperability</t>
        </is>
      </c>
      <c r="N460" s="86" t="inlineStr">
        <is>
          <t>HIGHEST</t>
        </is>
      </c>
      <c r="O460" s="87" t="inlineStr">
        <is>
          <t>https://nhic.gov.sa/</t>
        </is>
      </c>
      <c r="P460" s="70" t="inlineStr">
        <is>
          <t>NHIC</t>
        </is>
      </c>
      <c r="Q460" s="70" t="inlineStr">
        <is>
          <t>NABIDH launched 2018 (pilot) → FHIR R4 API 2022 → mandatory all facilities 2024</t>
        </is>
      </c>
      <c r="R460" s="70" t="inlineStr">
        <is>
          <t>2018 (pilot): 10 MOH hospitals. 2019-2021: health cluster rollout. 2022: FHIR R4 API standards published; private hospitals voluntary integration. 2023: API developer portal opened; 40 technical requirements published. 2024: MANDATORY — all healthcare facilities must connect; Private Health Institutions Law updated; penalties for non-connection: facility licensing at risk. NABIDH now the central patient data repository — 45M+ patient records as of 2024</t>
        </is>
      </c>
      <c r="S460" s="71" t="inlineStr">
        <is>
          <t>Launched: 2018. FHIR R4 API: 2022. Mandatory: 2024</t>
        </is>
      </c>
      <c r="T460" s="70" t="inlineStr">
        <is>
          <t>Continuous platform updates; API versioning quarterly</t>
        </is>
      </c>
      <c r="U460" s="25" t="inlineStr">
        <is>
          <t>CURRENT — mandatory as of 2024</t>
        </is>
      </c>
      <c r="V460" s="70" t="inlineStr">
        <is>
          <t>Facility unable to receive electronic referrals; excluded from national patient record; MOH licensing risk; procurement penalties</t>
        </is>
      </c>
      <c r="W460" s="72" t="inlineStr">
        <is>
          <t>NHIC — NABIDH Programme Office; MOH General Directorate of Health Informatics; regional health clusters</t>
        </is>
      </c>
      <c r="X460" s="70" t="inlineStr">
        <is>
          <t>Hospital; Clinic; Lab; Pharmacy — ALL healthcare facilities mandatory</t>
        </is>
      </c>
      <c r="Y460" s="22" t="inlineStr">
        <is>
          <t>Both</t>
        </is>
      </c>
      <c r="Z460" s="70" t="inlineStr">
        <is>
          <t>NHIC API conformance test; connectivity monitoring (automated); annual technical review</t>
        </is>
      </c>
      <c r="AA460" s="71" t="inlineStr">
        <is>
          <t>Continuous connectivity monitoring; annual audit</t>
        </is>
      </c>
      <c r="AB460" s="70" t="inlineStr">
        <is>
          <t>16 (NABIDH IoMT data ingestion API; remote monitoring data submission; wearable vital signs standardisation; IoMT device data consent management; IoMT-generated observation resources in FHIR)</t>
        </is>
      </c>
      <c r="AC460" s="70" t="inlineStr">
        <is>
          <t>HL7 FHIR R4 (mandatory); IHE profiles; SNOMED CT; ICD-10-CM; LOINC; HL7 CDA</t>
        </is>
      </c>
      <c r="AD460" s="49" t="inlineStr">
        <is>
          <t>Arabic + English (NABIDH technical specifications bilingual)</t>
        </is>
      </c>
      <c r="AE460" s="37" t="inlineStr">
        <is>
          <t>Layer 3: Technical Controls; Layer 4: Compliance; Layer 5: Assurance</t>
        </is>
      </c>
      <c r="AF460" s="27" t="inlineStr">
        <is>
          <t>Yes — 3 connectivity levels (Basic data exchange / Full longitudinal record / Advanced IoMT integration)</t>
        </is>
      </c>
      <c r="AG460" s="70" t="inlineStr">
        <is>
          <t>HSTP digital health; National EHR programme; NHIS integration; Vision 2030 connected healthcare</t>
        </is>
      </c>
      <c r="AH460" s="70" t="inlineStr">
        <is>
          <t>NABIDH connectivity certificate; API test results; FHIR conformance statement; patient consent records; data quality dashboard reports</t>
        </is>
      </c>
      <c r="AI460" s="73" t="inlineStr">
        <is>
          <t>Institutional theory and regulatory governance theory underpin all KSA regulatory frameworks. Specific theoretical basis varies by framework — consult academic literature via Google Scholar using framework name as search term.</t>
        </is>
      </c>
      <c r="AJ460" s="70" t="inlineStr">
        <is>
          <t>Academic debate varies by framework maturity and international adoption. For KSA-specific debate, consult: Almohammad &amp; Wills (2021) J Cybersecurity; Al-Khater et al. (2020) IEEE Access; Baker McKenzie KSA regulatory updates.</t>
        </is>
      </c>
      <c r="AK460" s="74" t="inlineStr">
        <is>
          <t>Known criticisms include: implementation gap between standards and practice; resource constraints for smaller healthcare entities; rapid technology evolution outpacing regulation. Consult framework evaluation literature for specifics.</t>
        </is>
      </c>
      <c r="AL460" s="75" t="inlineStr">
        <is>
          <t>Framework comparison requires contextual analysis. Key comparators: NIST CSF 2.0 (international benchmark), ISO 27001 (certifiable standard), ECC-2 (KSA mandatory baseline). See main database for cross-framework mapping.</t>
        </is>
      </c>
      <c r="AM460"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60" s="50" t="inlineStr">
        <is>
          <t>Official: Consult the official source URL in the database for the primary document. Training: ISACA, ISC2, RAPS, IAPP, and HIMSS offer professional development covering most regulatory domains. Estimated hours vary by framework complexity.</t>
        </is>
      </c>
      <c r="AO460" s="77" t="inlineStr">
        <is>
          <t>Relevance to GH-ICGA framework varies by layer — see GH-ICGA Layer Mapping column. All KSA mandatory frameworks are compliance inputs to GH-ICGA Layer 4. Frameworks with IoMT-specific provisions directly inform Layers 2 and 3.</t>
        </is>
      </c>
      <c r="AP460" s="51" t="inlineStr">
        <is>
          <t>G + C (Governance + Compliance — standard regulatory framework positioning)</t>
        </is>
      </c>
      <c r="AQ460" s="78" t="inlineStr">
        <is>
          <t>Senior management: accountability for framework compliance. Designated compliance officer: monitor requirements. All staff: awareness of applicable obligations</t>
        </is>
      </c>
      <c r="AR460" s="74" t="inlineStr">
        <is>
          <t>Regulatory Risk; Operational Risk; Reputational Risk — specific domains determined by framework scope</t>
        </is>
      </c>
      <c r="AS460" s="22" t="inlineStr">
        <is>
          <t>See official source — legal obligation, regulatory requirement, or voluntary standard as applicable</t>
        </is>
      </c>
      <c r="AT460" s="75" t="inlineStr">
        <is>
          <t>Administrative; Technical; Operational — specific distribution determined by framework content</t>
        </is>
      </c>
      <c r="AU460" s="79" t="inlineStr">
        <is>
          <t>1. Compliance status (compliant/non-compliant). 2. # open findings from last assessment. 3. % controls implemented. 4. Time to remediate findings. 5. Incident rate in framework scope area</t>
        </is>
      </c>
      <c r="AV460" s="80" t="inlineStr">
        <is>
          <t>Self-assessment; internal audit; external assessment as specified by issuing authority</t>
        </is>
      </c>
      <c r="AW460" s="81" t="inlineStr">
        <is>
          <t>ServiceNow GRC; IBM OpenPages; RSA Archer; MetricStream — all major GRC platforms support custom framework import. Contact vendor for framework-specific module</t>
        </is>
      </c>
      <c r="AX460" s="82" t="inlineStr">
        <is>
          <t>Third parties in scope must demonstrate equivalent compliance. Contractual compliance obligations; right-to-audit clauses; annual third-party assessment</t>
        </is>
      </c>
      <c r="AY460" s="83" t="inlineStr">
        <is>
          <t>Non-compliance: regulatory action by issuing authority; fines and penalties as specified; operational and reputational consequences</t>
        </is>
      </c>
      <c r="AZ460" s="80" t="inlineStr">
        <is>
          <t>Healthcare &amp; Life Sciences</t>
        </is>
      </c>
      <c r="BA460" s="41" t="inlineStr">
        <is>
          <t>Sector-Specific</t>
        </is>
      </c>
      <c r="BB460" s="591">
        <f>IF(E460="","",IF(ISNUMBER(SEARCH("Institutional theory and regulatory governance theory underpin",AI460)),"TEMPLATE",IF(LEN(AI460)&gt;100,"DEEP",IF(AI460="","SPARSE","SHALLOW"))))</f>
        <v/>
      </c>
      <c r="BC460" s="591">
        <f>IF(E460="","",D460&amp;"-"&amp;B460&amp;"-"&amp;E460)</f>
        <v/>
      </c>
      <c r="BD460" s="591">
        <f>IF(E460="","",SUBSTITUTE(SUBSTITUTE(B460&amp;"-"&amp;E460," ",""),":","-"))</f>
        <v/>
      </c>
      <c r="BE460" s="591">
        <f>IF(E460="","",IF(ISNUMBER(SEARCH("ECC",E460)),"NCA-ECC-2-2024",IF(ISNUMBER(SEARCH("OTCC",E460)),"NCA-ECC-2-2024",IF(ISNUMBER(SEARCH("CCC",E460)),"NCA-ECC-2-2024",IF(ISNUMBER(SEARCH("DCC",E460)),"NCA-ECC-2-2024",IF(ISNUMBER(SEARCH("CSCC",E460)),"NCA-ECC-2-2024",IF(ISNUMBER(SEARCH("PDPL-IR",E460)),"PDPL-2021",IF(ISNUMBER(SEARCH("PDPL-DTR",E460)),"PDPL-2021","NONE"))))))))</f>
        <v/>
      </c>
      <c r="BF460" s="594">
        <f>IF(E460="","",IF(BB460="DEEP",10,IF(BB460="SHALLOW",5,IF(BB460="TEMPLATE",3,1)))+IF(N460="HIGHEST",5,IF(N460="HIGH",3,IF(N460="MODERATE",1,0)))+IF(ISNUMBER(SEARCH("Mandatory",L460)),3,0))</f>
        <v/>
      </c>
    </row>
    <row r="461" ht="42" customHeight="1">
      <c r="A461" s="42" t="n">
        <v>412</v>
      </c>
      <c r="B461" s="412" t="inlineStr">
        <is>
          <t>NMHC</t>
        </is>
      </c>
      <c r="C461" s="44" t="inlineStr">
        <is>
          <t>Najran Health Cluster</t>
        </is>
      </c>
      <c r="D461" s="44" t="inlineStr">
        <is>
          <t>17. Regional Health Clusters</t>
        </is>
      </c>
      <c r="E461" s="412" t="inlineStr">
        <is>
          <t>NCA-OTCC</t>
        </is>
      </c>
      <c r="F461" s="45" t="inlineStr">
        <is>
          <t>OT Cybersecurity Controls</t>
        </is>
      </c>
      <c r="G461" s="44" t="inlineStr">
        <is>
          <t>ضوابط الأمن السيبراني للتقنيات التشغيلية</t>
        </is>
      </c>
      <c r="H461" s="44" t="inlineStr">
        <is>
          <t>OTCC-1:2022</t>
        </is>
      </c>
      <c r="I461" s="46" t="inlineStr">
        <is>
          <t>2022</t>
        </is>
      </c>
      <c r="J461" s="46" t="inlineStr">
        <is>
          <t>53</t>
        </is>
      </c>
      <c r="K461" s="44" t="inlineStr">
        <is>
          <t>MUST COMPLY WITH</t>
        </is>
      </c>
      <c r="L461" s="66" t="inlineStr">
        <is>
          <t>Mandatory Complier</t>
        </is>
      </c>
      <c r="M461" s="44" t="inlineStr">
        <is>
          <t>Najran Health Cluster medical device OT networks — CNI designation</t>
        </is>
      </c>
      <c r="N461" s="47" t="inlineStr">
        <is>
          <t>HIGHEST</t>
        </is>
      </c>
      <c r="O461" s="48" t="inlineStr">
        <is>
          <t>https://nca.gov.sa/</t>
        </is>
      </c>
      <c r="P461" s="44" t="inlineStr">
        <is>
          <t>NCA OTCC</t>
        </is>
      </c>
      <c r="Q461" s="70" t="inlineStr">
        <is>
          <t>See official source for version history</t>
        </is>
      </c>
      <c r="R461" s="70" t="inlineStr">
        <is>
          <t>Framework issued by the relevant authority. Version details available on the official website referenced in the source URL column. The framework has been updated periodically since first issuance.</t>
        </is>
      </c>
      <c r="S461" s="71" t="inlineStr">
        <is>
          <t>See official source</t>
        </is>
      </c>
      <c r="T461" s="70" t="inlineStr">
        <is>
          <t>Updated as needed by the issuing authority</t>
        </is>
      </c>
      <c r="U461" s="25" t="inlineStr">
        <is>
          <t>CURRENT — consult official source for latest version</t>
        </is>
      </c>
      <c r="V461" s="70" t="inlineStr">
        <is>
          <t>Penalties defined by issuing authority; consult official source. NCA ECC-2 penalties apply if relevant</t>
        </is>
      </c>
      <c r="W461" s="72" t="inlineStr">
        <is>
          <t>Issuing authority and/or designated inspection department</t>
        </is>
      </c>
      <c r="X461" s="70" t="inlineStr">
        <is>
          <t>As specified in framework scope — consult official document</t>
        </is>
      </c>
      <c r="Y461" s="49" t="inlineStr">
        <is>
          <t>Both (unless specified otherwise in official document)</t>
        </is>
      </c>
      <c r="Z461" s="70" t="inlineStr">
        <is>
          <t>As defined by issuing authority</t>
        </is>
      </c>
      <c r="AA461" s="71" t="inlineStr">
        <is>
          <t>As defined by issuing authority</t>
        </is>
      </c>
      <c r="AB461" s="70" t="inlineStr">
        <is>
          <t>To be determined from framework text — see official source</t>
        </is>
      </c>
      <c r="AC461" s="70" t="inlineStr">
        <is>
          <t>See framework preamble for international standard references</t>
        </is>
      </c>
      <c r="AD461" s="49" t="inlineStr">
        <is>
          <t>Arabic (primary in KSA); English may be available</t>
        </is>
      </c>
      <c r="AE461" s="58" t="inlineStr">
        <is>
          <t>Mapped to relevant GH-ICGA layer — requires manual assessment</t>
        </is>
      </c>
      <c r="AF461" s="56" t="inlineStr">
        <is>
          <t>See official framework for maturity model details</t>
        </is>
      </c>
      <c r="AG461" s="70" t="inlineStr">
        <is>
          <t>Aligned with relevant Vision 2030 programme — see framework context</t>
        </is>
      </c>
      <c r="AH461" s="70" t="inlineStr">
        <is>
          <t>As specified in framework compliance requirements</t>
        </is>
      </c>
      <c r="AI461" s="73" t="inlineStr">
        <is>
          <t>Institutional theory and regulatory governance theory underpin all KSA regulatory frameworks. Specific theoretical basis varies by framework — consult academic literature via Google Scholar using framework name as search term.</t>
        </is>
      </c>
      <c r="AJ461" s="70" t="inlineStr">
        <is>
          <t>Academic debate varies by framework maturity and international adoption. For KSA-specific debate, consult: Almohammad &amp; Wills (2021) J Cybersecurity; Al-Khater et al. (2020) IEEE Access; Baker McKenzie KSA regulatory updates.</t>
        </is>
      </c>
      <c r="AK461" s="74" t="inlineStr">
        <is>
          <t>Known criticisms include: implementation gap between standards and practice; resource constraints for smaller healthcare entities; rapid technology evolution outpacing regulation. Consult framework evaluation literature for specifics.</t>
        </is>
      </c>
      <c r="AL461" s="75" t="inlineStr">
        <is>
          <t>Framework comparison requires contextual analysis. Key comparators: NIST CSF 2.0 (international benchmark), ISO 27001 (certifiable standard), ECC-2 (KSA mandatory baseline). See main database for cross-framework mapping.</t>
        </is>
      </c>
      <c r="AM461"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61" s="50" t="inlineStr">
        <is>
          <t>Official: Consult the official source URL in the database for the primary document. Training: ISACA, ISC2, RAPS, IAPP, and HIMSS offer professional development covering most regulatory domains. Estimated hours vary by framework complexity.</t>
        </is>
      </c>
      <c r="AO461" s="77" t="inlineStr">
        <is>
          <t>Relevance to GH-ICGA framework varies by layer — see GH-ICGA Layer Mapping column. All KSA mandatory frameworks are compliance inputs to GH-ICGA Layer 4. Frameworks with IoMT-specific provisions directly inform Layers 2 and 3.</t>
        </is>
      </c>
      <c r="AP461" s="53" t="inlineStr">
        <is>
          <t>R + C (Risk and Compliance — technically oriented; governance implied)</t>
        </is>
      </c>
      <c r="AQ461" s="78" t="inlineStr">
        <is>
          <t>CISO/OT Security Manager: own OTCC compliance. Clinical Engineering/Biomedical Engineering: co-responsible for medical device OT compliance. CTO: responsible for OT architecture. Board: informed of OT risk posture annually. OT security roles: Saudi nationals required per ECC-2 Saudisation mandate</t>
        </is>
      </c>
      <c r="AR461" s="74" t="inlineStr">
        <is>
          <t>Cyber Risk (OT/ICS); Operational Risk (process disruption); Physical Safety Risk (clinical impact of OT compromise); Supply Chain Risk (OT vendor remote access); Availability Risk (OT always-on requirement)</t>
        </is>
      </c>
      <c r="AS461" s="22" t="inlineStr">
        <is>
          <t>LEGAL — Mandatory for CNI OT operators under NCA-REG-2024. Hospitals as CNI: healthcare OT networks are in scope. Penalties: NCA-REG-2024 (SAR 25M max) + potential operational shutdown of non-compliant OT systems</t>
        </is>
      </c>
      <c r="AT461" s="75" t="inlineStr">
        <is>
          <t>Technical (T): 40 controls — OT network segmentation; secure remote access; OT monitoring; patch management for ICS. Administrative (A): 8 controls — OT governance; vendor management; OT incident response. Operational (O): 5 controls — OT change management; OT BCP</t>
        </is>
      </c>
      <c r="AU461" s="79" t="inlineStr">
        <is>
          <t>1. % OT assets inventoried (target 100%). 2. % OT systems with current patches within defined window. 3. # OT network zone violations detected. 4. % third-party OT vendor accesses logged. 5. OT system availability rate (target &gt;99.9% for life-critical). 6. Time-to-detect OT anomaly (target &lt;15 min for CNI)</t>
        </is>
      </c>
      <c r="AV461" s="80" t="inlineStr">
        <is>
          <t>OT vulnerability scan (passive — non-disruptive tools: Claroty, Nozomi, Dragos); OT network traffic analysis; OT penetration test (annual — must not disrupt clinical operations); vendor remote access audit; zone/conduit diagram validation</t>
        </is>
      </c>
      <c r="AW461" s="81" t="inlineStr">
        <is>
          <t>Claroty (medical IoT OT visibility); Nozomi Networks; Dragos; Tenable.ot; Fortinet OT; Medigate (healthcare-specific OT). For GRC integration: ServiceNow OT module; IBM QRadar SIEM with OT signatures</t>
        </is>
      </c>
      <c r="AX461" s="82" t="inlineStr">
        <is>
          <t>All OT vendors with remote access: mandatory access logging; time-limited access; multi-factor authentication; vendor security assessment before engagement; NDA for OT architecture access; OT vendor incident notification within 4 hours</t>
        </is>
      </c>
      <c r="AY461" s="83" t="inlineStr">
        <is>
          <t>OT breach in hospital: potential life-critical impact (ventilator, infusion pump disruption); NCA shutdown order; SAR 25M fine; criminal referral; SFDA recall if device compromise detected; massive reputational and legal exposure</t>
        </is>
      </c>
      <c r="AZ461" s="80" t="inlineStr">
        <is>
          <t>Sector-specific — consult official source</t>
        </is>
      </c>
      <c r="BA461" s="41" t="inlineStr">
        <is>
          <t>Sector-Specific</t>
        </is>
      </c>
      <c r="BB461" s="591">
        <f>IF(E461="","",IF(ISNUMBER(SEARCH("Institutional theory and regulatory governance theory underpin",AI461)),"TEMPLATE",IF(LEN(AI461)&gt;100,"DEEP",IF(AI461="","SPARSE","SHALLOW"))))</f>
        <v/>
      </c>
      <c r="BC461" s="591">
        <f>IF(E461="","",D461&amp;"-"&amp;B461&amp;"-"&amp;E461)</f>
        <v/>
      </c>
      <c r="BD461" s="591">
        <f>IF(E461="","",SUBSTITUTE(SUBSTITUTE(B461&amp;"-"&amp;E461," ",""),":","-"))</f>
        <v/>
      </c>
      <c r="BE461" s="591">
        <f>IF(E461="","",IF(ISNUMBER(SEARCH("ECC",E461)),"NCA-ECC-2-2024",IF(ISNUMBER(SEARCH("OTCC",E461)),"NCA-ECC-2-2024",IF(ISNUMBER(SEARCH("CCC",E461)),"NCA-ECC-2-2024",IF(ISNUMBER(SEARCH("DCC",E461)),"NCA-ECC-2-2024",IF(ISNUMBER(SEARCH("CSCC",E461)),"NCA-ECC-2-2024",IF(ISNUMBER(SEARCH("PDPL-IR",E461)),"PDPL-2021",IF(ISNUMBER(SEARCH("PDPL-DTR",E461)),"PDPL-2021","NONE"))))))))</f>
        <v/>
      </c>
      <c r="BF461" s="594">
        <f>IF(E461="","",IF(BB461="DEEP",10,IF(BB461="SHALLOW",5,IF(BB461="TEMPLATE",3,1)))+IF(N461="HIGHEST",5,IF(N461="HIGH",3,IF(N461="MODERATE",1,0)))+IF(ISNUMBER(SEARCH("Mandatory",L461)),3,0))</f>
        <v/>
      </c>
    </row>
    <row r="462" ht="42" customHeight="1">
      <c r="A462" s="84" t="n">
        <v>413</v>
      </c>
      <c r="B462" s="411" t="inlineStr">
        <is>
          <t>QLHC</t>
        </is>
      </c>
      <c r="C462" s="70" t="inlineStr">
        <is>
          <t>Qassim Health Cluster</t>
        </is>
      </c>
      <c r="D462" s="70" t="inlineStr">
        <is>
          <t>17. Regional Health Clusters</t>
        </is>
      </c>
      <c r="E462" s="411" t="inlineStr">
        <is>
          <t>MOH-HIS</t>
        </is>
      </c>
      <c r="F462" s="72" t="inlineStr">
        <is>
          <t>Health Information System Standards</t>
        </is>
      </c>
      <c r="G462" s="70" t="inlineStr">
        <is>
          <t>معايير نظم المعلومات الصحية</t>
        </is>
      </c>
      <c r="H462" s="70" t="inlineStr">
        <is>
          <t>2024 update</t>
        </is>
      </c>
      <c r="I462" s="71" t="inlineStr">
        <is>
          <t>2010</t>
        </is>
      </c>
      <c r="J462" s="71" t="inlineStr">
        <is>
          <t>112</t>
        </is>
      </c>
      <c r="K462" s="70" t="inlineStr">
        <is>
          <t>MUST COMPLY WITH</t>
        </is>
      </c>
      <c r="L462" s="66" t="inlineStr">
        <is>
          <t>Mandatory Complier</t>
        </is>
      </c>
      <c r="M462" s="70" t="inlineStr">
        <is>
          <t>Qassim Health Cluster hospitals — mandatory HIS compliance</t>
        </is>
      </c>
      <c r="N462" s="86" t="inlineStr">
        <is>
          <t>HIGHEST</t>
        </is>
      </c>
      <c r="O462" s="87" t="inlineStr">
        <is>
          <t>https://www.moh.gov.sa/en/</t>
        </is>
      </c>
      <c r="P462" s="70" t="inlineStr">
        <is>
          <t>MOH official</t>
        </is>
      </c>
      <c r="Q462" s="70" t="inlineStr">
        <is>
          <t>First issued ~2010 → comprehensive update 2022 → mandatory EMR update 2024</t>
        </is>
      </c>
      <c r="R462" s="70" t="inlineStr">
        <is>
          <t>Progressive standards covering: 2010 (basic EHR requirements); 2015 (interoperability standards added); 2018 (NABIDH integration); 2020 (mobile health and telemedicine modules); 2022 (comprehensive 112-control update covering clinical systems, imaging, medication management, emergency, genomics, training); 2024 (mandatory EMR adoption for all MOH and private facilities aligned with NABIDH)</t>
        </is>
      </c>
      <c r="S462" s="71" t="inlineStr">
        <is>
          <t>First: 2010. Major update: 2022. EMR mandate: 2024</t>
        </is>
      </c>
      <c r="T462" s="70" t="inlineStr">
        <is>
          <t>Updated with NABIDH platform releases; typically annual minor updates</t>
        </is>
      </c>
      <c r="U462" s="25" t="inlineStr">
        <is>
          <t>CURRENT — 2024 version mandatory</t>
        </is>
      </c>
      <c r="V462" s="70" t="inlineStr">
        <is>
          <t>MOH facility licensing at risk; mandatory corrective action plan; financial penalties under Private Health Institutions Law; non-compliant systems barred from NABIDH connectivity</t>
        </is>
      </c>
      <c r="W462" s="72" t="inlineStr">
        <is>
          <t>MOH — Directorate of Health Information (DHI); regional health cluster inspection teams; NHIC for interoperability compliance</t>
        </is>
      </c>
      <c r="X462" s="70" t="inlineStr">
        <is>
          <t>Hospital; Clinic; Lab; Pharmacy (hospital); Government Health Entity</t>
        </is>
      </c>
      <c r="Y462" s="49" t="inlineStr">
        <is>
          <t>Both (mandatory for MOH facilities; mandatory for private facilities since 2024 PHILAW update)</t>
        </is>
      </c>
      <c r="Z462" s="70" t="inlineStr">
        <is>
          <t>MOH annual IT audit; NHIC interoperability assessment; CBAHI HIT standards review during accreditation</t>
        </is>
      </c>
      <c r="AA462" s="71" t="inlineStr">
        <is>
          <t>Annual MOH audit; NABIDH connectivity continuous monitoring</t>
        </is>
      </c>
      <c r="AB462" s="70" t="inlineStr">
        <is>
          <t>28 (medical device integration into HIS; alarm management; device data capture; IoMT workflow integration; remote monitoring data ingestion; device incident reporting to HIS)</t>
        </is>
      </c>
      <c r="AC462" s="70" t="inlineStr">
        <is>
          <t>HL7 FHIR R4 (interoperability); IHE profiles (integration); ISO 27799:2016 (health ISMS); DICOM (imaging)</t>
        </is>
      </c>
      <c r="AD462" s="49" t="inlineStr">
        <is>
          <t>Arabic (primary); English technical annexes</t>
        </is>
      </c>
      <c r="AE462" s="26" t="inlineStr">
        <is>
          <t>Layer 1: Governance; Layer 3: Technical Controls; Layer 4: Compliance</t>
        </is>
      </c>
      <c r="AF462" s="27" t="inlineStr">
        <is>
          <t>Yes — 4 implementation levels (Basic / Intermediate / Advanced / Optimised); MOH tracks facility scores</t>
        </is>
      </c>
      <c r="AG462" s="70" t="inlineStr">
        <is>
          <t>HSTP digital health; NABIDH national EHR; Vision 2030 healthcare quality targets</t>
        </is>
      </c>
      <c r="AH462" s="70" t="inlineStr">
        <is>
          <t>HIS system documentation; NABIDH connectivity certificate; interoperability test results; staff training records; system access audit logs; downtime contingency procedure</t>
        </is>
      </c>
      <c r="AI462" s="73" t="inlineStr">
        <is>
          <t>Health informatics systems theory (Shortliffe &amp; Cimino 2006): HIS as sociotechnical infrastructure. Interoperability theory (Kuperman 2011): semantic/syntactic/organisational interoperability levels. Technology adoption theory (TAM — Davis 1989): clinician adoption barriers to HIS.</t>
        </is>
      </c>
      <c r="AJ462" s="70" t="inlineStr">
        <is>
          <t>FOR: National standardisation essential for patient safety continuity (WHO 2019); NABIDH integration creates longitudinal patient record unavailable previously; IoMT data integration requirements push hospitals toward modern system architectures. AGAINST: Ajami &amp; Bagheri-Tadi (2013) and Aloudah et al. (2021) document implementation-reality gap in Saudi HIS — standards exist but compliance varies widely by facility tier; urban-rural HIS capacity gap poorly addressed; cybersecurity requirements within HIS standards historically weak (pre-NABIDH)</t>
        </is>
      </c>
      <c r="AK462" s="74" t="inlineStr">
        <is>
          <t>112 controls create compliance burden without proportionality guidance; small private clinics face disproportionate compliance cost; no formal HIS certification programme — self-declaration accepted; IoMT data standards not harmonised with international HL7 FHIR profiles; historical emphasis on data capture over data quality</t>
        </is>
      </c>
      <c r="AL462" s="75" t="inlineStr">
        <is>
          <t>MOH-HIS vs NHS Digital standards (UK): NHS has legally binding DCB standards with enforcement; MOH-HIS is ministerial directive with softer enforcement. MOH-HIS vs ONC Health IT Certification (US): US has federal certification; KSA moving toward certification (NABIDH conformance). MOH-HIS + NHIC-NABIDH = closest to ONC approach in KSA</t>
        </is>
      </c>
      <c r="AM462" s="76" t="inlineStr">
        <is>
          <t>Ajami S &amp; Bagheri-Tadi T (2013) 'Barriers for Adopting Electronic Health Records' MateriaSociomed 25(3); Aloudah N et al. (2021) 'Digital Health in Saudi Arabia' Sustainability 13(12); Shortliffe EH &amp; Cimino JJ (2006) Biomedical Informatics Springer; WHO (2019) Classification of Digital Interventions; Alotaibi YK &amp; Federico F (2017) 'Impact of Health IT on Patient Safety' Saudi Medical J 38(12)</t>
        </is>
      </c>
      <c r="AN462" s="50" t="inlineStr">
        <is>
          <t>Official: MOH website (moh.gov.sa). Training: CPHIMS (Certified Professional Health Informatics &amp; Information Management); HL7 FHIR Foundational (HL7.org); NHIC developer portal training (nhic.gov.sa). Language: Arabic primary. Estimated: 45 hours</t>
        </is>
      </c>
      <c r="AO462" s="77" t="inlineStr">
        <is>
          <t>GH-ICGA Layer 1 (Governance) + Layer 3 (Technical Controls) — MOH-HIS is the clinical data governance backbone that the preliminary GH-ICGA IoMT framework must integrate with. Thesis: GH-ICGA IoMT data model must align with HIS data standards to ensure IoMT device data flows into the national health record coherently</t>
        </is>
      </c>
      <c r="AP462" s="34" t="inlineStr">
        <is>
          <t>G + R + C (all three — clinical information governance foundation)</t>
        </is>
      </c>
      <c r="AQ462" s="78" t="inlineStr">
        <is>
          <t>Hospital CEO: accountable for HIS compliance. CIO/CMIO: responsible for HIS implementation and NABIDH connectivity. Clinical Informatics Committee: govern HIS standards adoption. Department Heads: responsible for clinical data quality in their systems</t>
        </is>
      </c>
      <c r="AR462" s="74" t="inlineStr">
        <is>
          <t>Operational Risk (HIS downtime = clinical risk); Patient Safety Risk; Data Quality Risk; Regulatory Risk (MOH non-compliance); Interoperability Risk (NABIDH disconnection)</t>
        </is>
      </c>
      <c r="AS462" s="61" t="inlineStr">
        <is>
          <t>REGULATORY — MOH ministerial directive. Mandatory for all licensed facilities. Non-compliance risks licensing. Enforced through MOH annual audit and NABIDH connectivity monitoring</t>
        </is>
      </c>
      <c r="AT462" s="75" t="inlineStr">
        <is>
          <t>Technical (T): 68 controls — system architecture; integration; security; availability; backup. Administrative (A): 28 controls — data governance; policies; training; documentation. Operational (O): 16 controls — downtime procedures; change management; vendor management</t>
        </is>
      </c>
      <c r="AU462" s="79" t="inlineStr">
        <is>
          <t>1. NABIDH connectivity status (connected/disconnected). 2. HIS downtime incidents per month (target &lt;4h/month). 3. Data quality score (completeness/accuracy) from NABIDH reports. 4. % clinical staff trained on HIS (target 100%). 5. Time-to-restore HIS after failure (target &lt;4h). 6. # HIS security incidents per quarter</t>
        </is>
      </c>
      <c r="AV462" s="80" t="inlineStr">
        <is>
          <t>Annual MOH HIS audit (documentation + system walk-through); NABIDH API conformance test (NHIC automated); data quality audit; HIS security assessment; downtime procedure simulation; user access review</t>
        </is>
      </c>
      <c r="AW462" s="81" t="inlineStr">
        <is>
          <t>Epic; Cerner (Oracle Health); Philips Tasy EMR; Meditech; InterSystems HealthShare — all NABIDH-integrated. For compliance: ServiceNow Healthcare; Qualio (quality management); NHIC developer portal for FHIR conformance testing</t>
        </is>
      </c>
      <c r="AX462" s="82" t="inlineStr">
        <is>
          <t>HIS vendors: must be MOH-approved/NABIDH-certified; contractual data protection obligations; source code escrow for critical systems; SLA for 99.9% uptime; mandatory SFDA notification if HIS failure affects medical devices; annual security assessment of HIS vendors</t>
        </is>
      </c>
      <c r="AY462" s="83" t="inlineStr">
        <is>
          <t>Non-compliance: MOH corrective action; facility licence conditions; NABIDH disconnection (loss of referrals, national patient record access); PHILAW 2024 penalties for private facilities. Clinical impact: patient safety risk from poor data quality or HIS unavailability</t>
        </is>
      </c>
      <c r="AZ462" s="80" t="inlineStr">
        <is>
          <t>Healthcare &amp; Life Sciences</t>
        </is>
      </c>
      <c r="BA462" s="41" t="inlineStr">
        <is>
          <t>Sector-Specific</t>
        </is>
      </c>
      <c r="BB462" s="591">
        <f>IF(E462="","",IF(ISNUMBER(SEARCH("Institutional theory and regulatory governance theory underpin",AI462)),"TEMPLATE",IF(LEN(AI462)&gt;100,"DEEP",IF(AI462="","SPARSE","SHALLOW"))))</f>
        <v/>
      </c>
      <c r="BC462" s="591">
        <f>IF(E462="","",D462&amp;"-"&amp;B462&amp;"-"&amp;E462)</f>
        <v/>
      </c>
      <c r="BD462" s="591">
        <f>IF(E462="","",SUBSTITUTE(SUBSTITUTE(B462&amp;"-"&amp;E462," ",""),":","-"))</f>
        <v/>
      </c>
      <c r="BE462" s="591">
        <f>IF(E462="","",IF(ISNUMBER(SEARCH("ECC",E462)),"NCA-ECC-2-2024",IF(ISNUMBER(SEARCH("OTCC",E462)),"NCA-ECC-2-2024",IF(ISNUMBER(SEARCH("CCC",E462)),"NCA-ECC-2-2024",IF(ISNUMBER(SEARCH("DCC",E462)),"NCA-ECC-2-2024",IF(ISNUMBER(SEARCH("CSCC",E462)),"NCA-ECC-2-2024",IF(ISNUMBER(SEARCH("PDPL-IR",E462)),"PDPL-2021",IF(ISNUMBER(SEARCH("PDPL-DTR",E462)),"PDPL-2021","NONE"))))))))</f>
        <v/>
      </c>
      <c r="BF462" s="594">
        <f>IF(E462="","",IF(BB462="DEEP",10,IF(BB462="SHALLOW",5,IF(BB462="TEMPLATE",3,1)))+IF(N462="HIGHEST",5,IF(N462="HIGH",3,IF(N462="MODERATE",1,0)))+IF(ISNUMBER(SEARCH("Mandatory",L462)),3,0))</f>
        <v/>
      </c>
    </row>
    <row r="463" ht="42" customHeight="1">
      <c r="A463" s="42" t="n">
        <v>414</v>
      </c>
      <c r="B463" s="412" t="inlineStr">
        <is>
          <t>QLHC</t>
        </is>
      </c>
      <c r="C463" s="44" t="inlineStr">
        <is>
          <t>Qassim Health Cluster</t>
        </is>
      </c>
      <c r="D463" s="44" t="inlineStr">
        <is>
          <t>17. Regional Health Clusters</t>
        </is>
      </c>
      <c r="E463" s="412" t="inlineStr">
        <is>
          <t>MOH-EMR-NABIDH</t>
        </is>
      </c>
      <c r="F463" s="45" t="inlineStr">
        <is>
          <t>EMR Standards / NABIDH</t>
        </is>
      </c>
      <c r="G463" s="44" t="inlineStr">
        <is>
          <t>معايير السجل الصحي الإلكتروني / نبض</t>
        </is>
      </c>
      <c r="H463" s="44" t="inlineStr">
        <is>
          <t>Mandatory 2024</t>
        </is>
      </c>
      <c r="I463" s="46" t="inlineStr">
        <is>
          <t>2010</t>
        </is>
      </c>
      <c r="J463" s="46" t="inlineStr">
        <is>
          <t>52</t>
        </is>
      </c>
      <c r="K463" s="44" t="inlineStr">
        <is>
          <t>MUST COMPLY WITH</t>
        </is>
      </c>
      <c r="L463" s="66" t="inlineStr">
        <is>
          <t>Mandatory Complier</t>
        </is>
      </c>
      <c r="M463" s="44" t="inlineStr">
        <is>
          <t>Qassim Health Cluster — mandatory NABIDH connectivity 2024</t>
        </is>
      </c>
      <c r="N463" s="47" t="inlineStr">
        <is>
          <t>HIGHEST</t>
        </is>
      </c>
      <c r="O463" s="48" t="inlineStr">
        <is>
          <t>https://www.moh.gov.sa/en/</t>
        </is>
      </c>
      <c r="P463" s="44" t="inlineStr">
        <is>
          <t>MOH/NHIC</t>
        </is>
      </c>
      <c r="Q463" s="70" t="inlineStr">
        <is>
          <t>NABIDH platform launched ~2018 → mandatory EMR adoption for all facilities 2024</t>
        </is>
      </c>
      <c r="R463" s="70" t="inlineStr">
        <is>
          <t>NABIDH (National Unified EHR Platform): v1 2018 (pilot MOH hospitals); 2019-2021 (rollout to health clusters); 2022 (private hospital voluntary integration); 2023 (API standards published based on FHIR R4); 2024 (mandatory for ALL healthcare facilities per Private Health Institutions Law update — complete patient longitudinal record across facilities). EMR standard covers 52 functional requirements including: CPOE, medication reconciliation, imaging integration, patient portal, audit logs</t>
        </is>
      </c>
      <c r="S463" s="71" t="inlineStr">
        <is>
          <t>NABIDH launched: 2018. Mandatory for all: 2024</t>
        </is>
      </c>
      <c r="T463" s="70" t="inlineStr">
        <is>
          <t>Continuously updated with NABIDH platform releases</t>
        </is>
      </c>
      <c r="U463" s="25" t="inlineStr">
        <is>
          <t>CURRENT — mandatory since 2024</t>
        </is>
      </c>
      <c r="V463" s="70" t="inlineStr">
        <is>
          <t>Facility licensing revocation; MOH enforcement action; barred from government referrals; penalties under PHILAW 2024</t>
        </is>
      </c>
      <c r="W463" s="72" t="inlineStr">
        <is>
          <t>MOH — NABIDH Programme Office; NHIC; regional health clusters monitor connectivity</t>
        </is>
      </c>
      <c r="X463" s="70" t="inlineStr">
        <is>
          <t>Hospital; Clinic; Lab; Pharmacy; Government Health Entity — ALL healthcare facilities mandatory</t>
        </is>
      </c>
      <c r="Y463" s="49" t="inlineStr">
        <is>
          <t>Both (mandatory since 2024 PHILAW update for all facilities)</t>
        </is>
      </c>
      <c r="Z463" s="70" t="inlineStr">
        <is>
          <t>NHIC connectivity assessment; NABIDH API conformance testing; MOH annual audit</t>
        </is>
      </c>
      <c r="AA463" s="71" t="inlineStr">
        <is>
          <t>Continuous (NABIDH connectivity monitored in real time); annual formal audit</t>
        </is>
      </c>
      <c r="AB463" s="70" t="inlineStr">
        <is>
          <t>22 (IoMT data integration to NABIDH: wearable data ingestion API; remote monitoring feeds; device-generated vital signs; medical device alerts to patient record; IoMT consent management in EHR)</t>
        </is>
      </c>
      <c r="AC463" s="70" t="inlineStr">
        <is>
          <t>HL7 FHIR R4; IHE (Integrating the Healthcare Enterprise); SNOMED CT; ICD-10; LOINC</t>
        </is>
      </c>
      <c r="AD463" s="49" t="inlineStr">
        <is>
          <t>Arabic + English (NABIDH technical specifications bilingual)</t>
        </is>
      </c>
      <c r="AE463" s="26" t="inlineStr">
        <is>
          <t>Layer 1: Governance; Layer 3: Technical Controls; Layer 4: Compliance; Layer 5: Assurance</t>
        </is>
      </c>
      <c r="AF463" s="27" t="inlineStr">
        <is>
          <t>Yes — NABIDH connectivity levels (1: Basic data exchange; 2: Full longitudinal record; 3: Advanced interoperability with IoMT); MOH tracks facility level</t>
        </is>
      </c>
      <c r="AG463" s="70" t="inlineStr">
        <is>
          <t>HSTP digital health transformation; NABIDH national EHR; NHIS claims integration</t>
        </is>
      </c>
      <c r="AH463" s="70" t="inlineStr">
        <is>
          <t>NABIDH connectivity certificate; API integration test reports; patient consent records for data sharing; EHR system validation; data quality reports</t>
        </is>
      </c>
      <c r="AI463" s="73" t="inlineStr">
        <is>
          <t>Institutional theory and regulatory governance theory underpin all KSA regulatory frameworks. Specific theoretical basis varies by framework — consult academic literature via Google Scholar using framework name as search term.</t>
        </is>
      </c>
      <c r="AJ463" s="70" t="inlineStr">
        <is>
          <t>Academic debate varies by framework maturity and international adoption. For KSA-specific debate, consult: Almohammad &amp; Wills (2021) J Cybersecurity; Al-Khater et al. (2020) IEEE Access; Baker McKenzie KSA regulatory updates.</t>
        </is>
      </c>
      <c r="AK463" s="74" t="inlineStr">
        <is>
          <t>Known criticisms include: implementation gap between standards and practice; resource constraints for smaller healthcare entities; rapid technology evolution outpacing regulation. Consult framework evaluation literature for specifics.</t>
        </is>
      </c>
      <c r="AL463" s="75" t="inlineStr">
        <is>
          <t>Framework comparison requires contextual analysis. Key comparators: NIST CSF 2.0 (international benchmark), ISO 27001 (certifiable standard), ECC-2 (KSA mandatory baseline). See main database for cross-framework mapping.</t>
        </is>
      </c>
      <c r="AM463"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63" s="50" t="inlineStr">
        <is>
          <t>Official: Consult the official source URL in the database for the primary document. Training: ISACA, ISC2, RAPS, IAPP, and HIMSS offer professional development covering most regulatory domains. Estimated hours vary by framework complexity.</t>
        </is>
      </c>
      <c r="AO463" s="77" t="inlineStr">
        <is>
          <t>Relevance to GH-ICGA framework varies by layer — see GH-ICGA Layer Mapping column. All KSA mandatory frameworks are compliance inputs to GH-ICGA Layer 4. Frameworks with IoMT-specific provisions directly inform Layers 2 and 3.</t>
        </is>
      </c>
      <c r="AP463" s="51" t="inlineStr">
        <is>
          <t>G + C (Governance + Compliance — standard regulatory framework positioning)</t>
        </is>
      </c>
      <c r="AQ463" s="78" t="inlineStr">
        <is>
          <t>Senior management: accountability for framework compliance. Designated compliance officer: monitor requirements. All staff: awareness of applicable obligations</t>
        </is>
      </c>
      <c r="AR463" s="74" t="inlineStr">
        <is>
          <t>Regulatory Risk; Operational Risk; Reputational Risk — specific domains determined by framework scope</t>
        </is>
      </c>
      <c r="AS463" s="22" t="inlineStr">
        <is>
          <t>See official source — legal obligation, regulatory requirement, or voluntary standard as applicable</t>
        </is>
      </c>
      <c r="AT463" s="75" t="inlineStr">
        <is>
          <t>Administrative; Technical; Operational — specific distribution determined by framework content</t>
        </is>
      </c>
      <c r="AU463" s="79" t="inlineStr">
        <is>
          <t>1. Compliance status (compliant/non-compliant). 2. # open findings from last assessment. 3. % controls implemented. 4. Time to remediate findings. 5. Incident rate in framework scope area</t>
        </is>
      </c>
      <c r="AV463" s="80" t="inlineStr">
        <is>
          <t>Self-assessment; internal audit; external assessment as specified by issuing authority</t>
        </is>
      </c>
      <c r="AW463" s="81" t="inlineStr">
        <is>
          <t>ServiceNow GRC; IBM OpenPages; RSA Archer; MetricStream — all major GRC platforms support custom framework import. Contact vendor for framework-specific module</t>
        </is>
      </c>
      <c r="AX463" s="82" t="inlineStr">
        <is>
          <t>Third parties in scope must demonstrate equivalent compliance. Contractual compliance obligations; right-to-audit clauses; annual third-party assessment</t>
        </is>
      </c>
      <c r="AY463" s="83" t="inlineStr">
        <is>
          <t>Non-compliance: regulatory action by issuing authority; fines and penalties as specified; operational and reputational consequences</t>
        </is>
      </c>
      <c r="AZ463" s="80" t="inlineStr">
        <is>
          <t>Healthcare &amp; Life Sciences</t>
        </is>
      </c>
      <c r="BA463" s="41" t="inlineStr">
        <is>
          <t>Sector-Specific</t>
        </is>
      </c>
      <c r="BB463" s="591">
        <f>IF(E463="","",IF(ISNUMBER(SEARCH("Institutional theory and regulatory governance theory underpin",AI463)),"TEMPLATE",IF(LEN(AI463)&gt;100,"DEEP",IF(AI463="","SPARSE","SHALLOW"))))</f>
        <v/>
      </c>
      <c r="BC463" s="591">
        <f>IF(E463="","",D463&amp;"-"&amp;B463&amp;"-"&amp;E463)</f>
        <v/>
      </c>
      <c r="BD463" s="591">
        <f>IF(E463="","",SUBSTITUTE(SUBSTITUTE(B463&amp;"-"&amp;E463," ",""),":","-"))</f>
        <v/>
      </c>
      <c r="BE463" s="591">
        <f>IF(E463="","",IF(ISNUMBER(SEARCH("ECC",E463)),"NCA-ECC-2-2024",IF(ISNUMBER(SEARCH("OTCC",E463)),"NCA-ECC-2-2024",IF(ISNUMBER(SEARCH("CCC",E463)),"NCA-ECC-2-2024",IF(ISNUMBER(SEARCH("DCC",E463)),"NCA-ECC-2-2024",IF(ISNUMBER(SEARCH("CSCC",E463)),"NCA-ECC-2-2024",IF(ISNUMBER(SEARCH("PDPL-IR",E463)),"PDPL-2021",IF(ISNUMBER(SEARCH("PDPL-DTR",E463)),"PDPL-2021","NONE"))))))))</f>
        <v/>
      </c>
      <c r="BF463" s="594">
        <f>IF(E463="","",IF(BB463="DEEP",10,IF(BB463="SHALLOW",5,IF(BB463="TEMPLATE",3,1)))+IF(N463="HIGHEST",5,IF(N463="HIGH",3,IF(N463="MODERATE",1,0)))+IF(ISNUMBER(SEARCH("Mandatory",L463)),3,0))</f>
        <v/>
      </c>
    </row>
    <row r="464" ht="42" customHeight="1">
      <c r="A464" s="84" t="n">
        <v>415</v>
      </c>
      <c r="B464" s="411" t="inlineStr">
        <is>
          <t>QLHC</t>
        </is>
      </c>
      <c r="C464" s="70" t="inlineStr">
        <is>
          <t>Qassim Health Cluster</t>
        </is>
      </c>
      <c r="D464" s="70" t="inlineStr">
        <is>
          <t>17. Regional Health Clusters</t>
        </is>
      </c>
      <c r="E464" s="411" t="inlineStr">
        <is>
          <t>MOH-PS</t>
        </is>
      </c>
      <c r="F464" s="72" t="inlineStr">
        <is>
          <t>Patient Safety Standards</t>
        </is>
      </c>
      <c r="G464" s="70" t="inlineStr">
        <is>
          <t>معايير سلامة المريض</t>
        </is>
      </c>
      <c r="H464" s="70" t="inlineStr">
        <is>
          <t>2024 update</t>
        </is>
      </c>
      <c r="I464" s="71" t="inlineStr">
        <is>
          <t>2015</t>
        </is>
      </c>
      <c r="J464" s="71" t="inlineStr">
        <is>
          <t>72</t>
        </is>
      </c>
      <c r="K464" s="70" t="inlineStr">
        <is>
          <t>MUST COMPLY WITH</t>
        </is>
      </c>
      <c r="L464" s="66" t="inlineStr">
        <is>
          <t>Mandatory Complier</t>
        </is>
      </c>
      <c r="M464" s="70" t="inlineStr">
        <is>
          <t>Qassim Health Cluster — patient safety compliance</t>
        </is>
      </c>
      <c r="N464" s="86" t="inlineStr">
        <is>
          <t>HIGHEST</t>
        </is>
      </c>
      <c r="O464" s="87" t="inlineStr">
        <is>
          <t>https://www.moh.gov.sa/en/</t>
        </is>
      </c>
      <c r="P464" s="70" t="inlineStr">
        <is>
          <t>MOH official</t>
        </is>
      </c>
      <c r="Q464" s="70" t="inlineStr">
        <is>
          <t>First issued ~2015 → updates 2020 → 2024 update</t>
        </is>
      </c>
      <c r="R464" s="70" t="inlineStr">
        <is>
          <t>Based on WHO and JCI patient safety frameworks. Covers: patient identification (minimum 2 identifiers), medication safety (high-alert medications protocol), surgical safety checklist, falls prevention, infection control, critical value reporting, handover communications (SBAR). 2020 update added COVID-19 IPC protocols. 2024 update adds IoMT device safety (alarm fatigue management, device connectivity requirements)</t>
        </is>
      </c>
      <c r="S464" s="71" t="inlineStr">
        <is>
          <t>First: ~2015. Updated: 2020, 2024</t>
        </is>
      </c>
      <c r="T464" s="70" t="inlineStr">
        <is>
          <t>Annual review with MOH patient safety incidents data</t>
        </is>
      </c>
      <c r="U464" s="25" t="inlineStr">
        <is>
          <t>CURRENT — 2024 version</t>
        </is>
      </c>
      <c r="V464" s="70" t="inlineStr">
        <is>
          <t>MOH corrective action order; facility licence conditions; public safety alert; criminal liability for gross negligence</t>
        </is>
      </c>
      <c r="W464" s="72" t="inlineStr">
        <is>
          <t>MOH — Patient Safety Centre; regional health cluster inspection; CBAHI (patient safety standards embedded in accreditation)</t>
        </is>
      </c>
      <c r="X464" s="70" t="inlineStr">
        <is>
          <t>Hospital; Clinic; Government Health Entity</t>
        </is>
      </c>
      <c r="Y464" s="22" t="inlineStr">
        <is>
          <t>Both</t>
        </is>
      </c>
      <c r="Z464" s="70" t="inlineStr">
        <is>
          <t>Annual MOH patient safety inspection; CBAHI survey (integrated); incident investigation</t>
        </is>
      </c>
      <c r="AA464" s="71" t="inlineStr">
        <is>
          <t>Annual; triggered by serious adverse event</t>
        </is>
      </c>
      <c r="AB464" s="70" t="inlineStr">
        <is>
          <t>14 (alarm fatigue management for IoMT devices; connected infusion pump safety; IV smart pump drug library governance; patient ID for IoMT devices; device failure response procedures; remote monitoring alert management)</t>
        </is>
      </c>
      <c r="AC464" s="70" t="inlineStr">
        <is>
          <t>WHO Patient Safety Challenges (Global Patient Safety Action Plan 2021-2030); JCI Patient Safety Goals; The Joint Commission NPSG</t>
        </is>
      </c>
      <c r="AD464" s="49" t="inlineStr">
        <is>
          <t>Arabic (primary); English reference</t>
        </is>
      </c>
      <c r="AE464" s="26" t="inlineStr">
        <is>
          <t>Layer 1: Governance; Layer 4: Compliance</t>
        </is>
      </c>
      <c r="AF464" s="27" t="inlineStr">
        <is>
          <t>Yes — patient safety maturity levels (Safety-I to Safety-III); MOH tracks facility scores</t>
        </is>
      </c>
      <c r="AG464" s="70" t="inlineStr">
        <is>
          <t>HSTP patient safety; Vision 2030 quality targets; National Patient Safety Centre</t>
        </is>
      </c>
      <c r="AH464" s="70" t="inlineStr">
        <is>
          <t>Incident reporting system data; patient safety walkround records; fall prevention audit; medication safety audit; CBAHI patient safety standards compliance</t>
        </is>
      </c>
      <c r="AI464" s="73" t="inlineStr">
        <is>
          <t>Institutional theory and regulatory governance theory underpin all KSA regulatory frameworks. Specific theoretical basis varies by framework — consult academic literature via Google Scholar using framework name as search term.</t>
        </is>
      </c>
      <c r="AJ464" s="70" t="inlineStr">
        <is>
          <t>Academic debate varies by framework maturity and international adoption. For KSA-specific debate, consult: Almohammad &amp; Wills (2021) J Cybersecurity; Al-Khater et al. (2020) IEEE Access; Baker McKenzie KSA regulatory updates.</t>
        </is>
      </c>
      <c r="AK464" s="74" t="inlineStr">
        <is>
          <t>Known criticisms include: implementation gap between standards and practice; resource constraints for smaller healthcare entities; rapid technology evolution outpacing regulation. Consult framework evaluation literature for specifics.</t>
        </is>
      </c>
      <c r="AL464" s="75" t="inlineStr">
        <is>
          <t>Framework comparison requires contextual analysis. Key comparators: NIST CSF 2.0 (international benchmark), ISO 27001 (certifiable standard), ECC-2 (KSA mandatory baseline). See main database for cross-framework mapping.</t>
        </is>
      </c>
      <c r="AM464"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64" s="50" t="inlineStr">
        <is>
          <t>Official: Consult the official source URL in the database for the primary document. Training: ISACA, ISC2, RAPS, IAPP, and HIMSS offer professional development covering most regulatory domains. Estimated hours vary by framework complexity.</t>
        </is>
      </c>
      <c r="AO464" s="77" t="inlineStr">
        <is>
          <t>Relevance to GH-ICGA framework varies by layer — see GH-ICGA Layer Mapping column. All KSA mandatory frameworks are compliance inputs to GH-ICGA Layer 4. Frameworks with IoMT-specific provisions directly inform Layers 2 and 3.</t>
        </is>
      </c>
      <c r="AP464" s="51" t="inlineStr">
        <is>
          <t>G + C (Governance + Compliance — standard regulatory framework positioning)</t>
        </is>
      </c>
      <c r="AQ464" s="78" t="inlineStr">
        <is>
          <t>Senior management: accountability for framework compliance. Designated compliance officer: monitor requirements. All staff: awareness of applicable obligations</t>
        </is>
      </c>
      <c r="AR464" s="74" t="inlineStr">
        <is>
          <t>Regulatory Risk; Operational Risk; Reputational Risk — specific domains determined by framework scope</t>
        </is>
      </c>
      <c r="AS464" s="22" t="inlineStr">
        <is>
          <t>See official source — legal obligation, regulatory requirement, or voluntary standard as applicable</t>
        </is>
      </c>
      <c r="AT464" s="75" t="inlineStr">
        <is>
          <t>Administrative; Technical; Operational — specific distribution determined by framework content</t>
        </is>
      </c>
      <c r="AU464" s="79" t="inlineStr">
        <is>
          <t>1. Compliance status (compliant/non-compliant). 2. # open findings from last assessment. 3. % controls implemented. 4. Time to remediate findings. 5. Incident rate in framework scope area</t>
        </is>
      </c>
      <c r="AV464" s="80" t="inlineStr">
        <is>
          <t>Self-assessment; internal audit; external assessment as specified by issuing authority</t>
        </is>
      </c>
      <c r="AW464" s="81" t="inlineStr">
        <is>
          <t>ServiceNow GRC; IBM OpenPages; RSA Archer; MetricStream — all major GRC platforms support custom framework import. Contact vendor for framework-specific module</t>
        </is>
      </c>
      <c r="AX464" s="82" t="inlineStr">
        <is>
          <t>Third parties in scope must demonstrate equivalent compliance. Contractual compliance obligations; right-to-audit clauses; annual third-party assessment</t>
        </is>
      </c>
      <c r="AY464" s="83" t="inlineStr">
        <is>
          <t>Non-compliance: regulatory action by issuing authority; fines and penalties as specified; operational and reputational consequences</t>
        </is>
      </c>
      <c r="AZ464" s="80" t="inlineStr">
        <is>
          <t>Healthcare &amp; Life Sciences</t>
        </is>
      </c>
      <c r="BA464" s="41" t="inlineStr">
        <is>
          <t>Sector-Specific</t>
        </is>
      </c>
      <c r="BB464" s="591">
        <f>IF(E464="","",IF(ISNUMBER(SEARCH("Institutional theory and regulatory governance theory underpin",AI464)),"TEMPLATE",IF(LEN(AI464)&gt;100,"DEEP",IF(AI464="","SPARSE","SHALLOW"))))</f>
        <v/>
      </c>
      <c r="BC464" s="591">
        <f>IF(E464="","",D464&amp;"-"&amp;B464&amp;"-"&amp;E464)</f>
        <v/>
      </c>
      <c r="BD464" s="591">
        <f>IF(E464="","",SUBSTITUTE(SUBSTITUTE(B464&amp;"-"&amp;E464," ",""),":","-"))</f>
        <v/>
      </c>
      <c r="BE464" s="591">
        <f>IF(E464="","",IF(ISNUMBER(SEARCH("ECC",E464)),"NCA-ECC-2-2024",IF(ISNUMBER(SEARCH("OTCC",E464)),"NCA-ECC-2-2024",IF(ISNUMBER(SEARCH("CCC",E464)),"NCA-ECC-2-2024",IF(ISNUMBER(SEARCH("DCC",E464)),"NCA-ECC-2-2024",IF(ISNUMBER(SEARCH("CSCC",E464)),"NCA-ECC-2-2024",IF(ISNUMBER(SEARCH("PDPL-IR",E464)),"PDPL-2021",IF(ISNUMBER(SEARCH("PDPL-DTR",E464)),"PDPL-2021","NONE"))))))))</f>
        <v/>
      </c>
      <c r="BF464" s="594">
        <f>IF(E464="","",IF(BB464="DEEP",10,IF(BB464="SHALLOW",5,IF(BB464="TEMPLATE",3,1)))+IF(N464="HIGHEST",5,IF(N464="HIGH",3,IF(N464="MODERATE",1,0)))+IF(ISNUMBER(SEARCH("Mandatory",L464)),3,0))</f>
        <v/>
      </c>
    </row>
    <row r="465" ht="42" customHeight="1">
      <c r="A465" s="42" t="n">
        <v>416</v>
      </c>
      <c r="B465" s="412" t="inlineStr">
        <is>
          <t>QLHC</t>
        </is>
      </c>
      <c r="C465" s="44" t="inlineStr">
        <is>
          <t>Qassim Health Cluster</t>
        </is>
      </c>
      <c r="D465" s="44" t="inlineStr">
        <is>
          <t>17. Regional Health Clusters</t>
        </is>
      </c>
      <c r="E465" s="412" t="inlineStr">
        <is>
          <t>MOH-PR</t>
        </is>
      </c>
      <c r="F465" s="45" t="inlineStr">
        <is>
          <t>Patient Rights Charter</t>
        </is>
      </c>
      <c r="G465" s="44" t="inlineStr">
        <is>
          <t>ميثاق حقوق المريض</t>
        </is>
      </c>
      <c r="H465" s="44" t="inlineStr">
        <is>
          <t>2019</t>
        </is>
      </c>
      <c r="I465" s="46" t="inlineStr">
        <is>
          <t>2012</t>
        </is>
      </c>
      <c r="J465" s="46" t="inlineStr">
        <is>
          <t>45</t>
        </is>
      </c>
      <c r="K465" s="44" t="inlineStr">
        <is>
          <t>MUST COMPLY WITH</t>
        </is>
      </c>
      <c r="L465" s="66" t="inlineStr">
        <is>
          <t>Mandatory Complier</t>
        </is>
      </c>
      <c r="M465" s="44" t="inlineStr">
        <is>
          <t>Qassim Health Cluster facilities</t>
        </is>
      </c>
      <c r="N465" s="54" t="inlineStr">
        <is>
          <t>HIGH</t>
        </is>
      </c>
      <c r="O465" s="48" t="inlineStr">
        <is>
          <t>https://www.moh.gov.sa/en/</t>
        </is>
      </c>
      <c r="P465" s="44" t="inlineStr">
        <is>
          <t>MOH official</t>
        </is>
      </c>
      <c r="Q465" s="70" t="inlineStr">
        <is>
          <t>First Charter ~2012 → updated 2019</t>
        </is>
      </c>
      <c r="R465" s="70" t="inlineStr">
        <is>
          <t>45 rights and obligations. Key provisions: informed consent (including electronic consent for telemedicine), right to access medical records (digital access through NABIDH patient portal), right to privacy of health information, right to refuse treatment, right to second opinion. 2019 update added digital health rights (right to data portability from health apps)</t>
        </is>
      </c>
      <c r="S465" s="71" t="inlineStr">
        <is>
          <t>First: ~2012. Updated: 2019</t>
        </is>
      </c>
      <c r="T465" s="70" t="inlineStr">
        <is>
          <t>Review 2024-2025 expected to add AI/algorithmic transparency rights</t>
        </is>
      </c>
      <c r="U465" s="25" t="inlineStr">
        <is>
          <t>CURRENT — 2019 version</t>
        </is>
      </c>
      <c r="V465" s="70" t="inlineStr">
        <is>
          <t>Penalties defined by issuing authority; consult official source. NCA ECC-2 penalties apply if relevant</t>
        </is>
      </c>
      <c r="W465" s="72" t="inlineStr">
        <is>
          <t>Issuing authority and/or designated inspection department</t>
        </is>
      </c>
      <c r="X465" s="70" t="inlineStr">
        <is>
          <t>As specified in framework scope — consult official document</t>
        </is>
      </c>
      <c r="Y465" s="49" t="inlineStr">
        <is>
          <t>Both (unless specified otherwise in official document)</t>
        </is>
      </c>
      <c r="Z465" s="70" t="inlineStr">
        <is>
          <t>As defined by issuing authority</t>
        </is>
      </c>
      <c r="AA465" s="71" t="inlineStr">
        <is>
          <t>As defined by issuing authority</t>
        </is>
      </c>
      <c r="AB465" s="70" t="inlineStr">
        <is>
          <t>To be determined from framework text — see official source</t>
        </is>
      </c>
      <c r="AC465" s="70" t="inlineStr">
        <is>
          <t>See framework preamble for international standard references</t>
        </is>
      </c>
      <c r="AD465" s="49" t="inlineStr">
        <is>
          <t>Arabic (primary in KSA); English may be available</t>
        </is>
      </c>
      <c r="AE465" s="58" t="inlineStr">
        <is>
          <t>Mapped to relevant GH-ICGA layer — requires manual assessment</t>
        </is>
      </c>
      <c r="AF465" s="56" t="inlineStr">
        <is>
          <t>See official framework for maturity model details</t>
        </is>
      </c>
      <c r="AG465" s="70" t="inlineStr">
        <is>
          <t>Aligned with relevant Vision 2030 programme — see framework context</t>
        </is>
      </c>
      <c r="AH465" s="70" t="inlineStr">
        <is>
          <t>As specified in framework compliance requirements</t>
        </is>
      </c>
      <c r="AI465" s="73" t="inlineStr">
        <is>
          <t>Institutional theory and regulatory governance theory underpin all KSA regulatory frameworks. Specific theoretical basis varies by framework — consult academic literature via Google Scholar using framework name as search term.</t>
        </is>
      </c>
      <c r="AJ465" s="70" t="inlineStr">
        <is>
          <t>Academic debate varies by framework maturity and international adoption. For KSA-specific debate, consult: Almohammad &amp; Wills (2021) J Cybersecurity; Al-Khater et al. (2020) IEEE Access; Baker McKenzie KSA regulatory updates.</t>
        </is>
      </c>
      <c r="AK465" s="74" t="inlineStr">
        <is>
          <t>Known criticisms include: implementation gap between standards and practice; resource constraints for smaller healthcare entities; rapid technology evolution outpacing regulation. Consult framework evaluation literature for specifics.</t>
        </is>
      </c>
      <c r="AL465" s="75" t="inlineStr">
        <is>
          <t>Framework comparison requires contextual analysis. Key comparators: NIST CSF 2.0 (international benchmark), ISO 27001 (certifiable standard), ECC-2 (KSA mandatory baseline). See main database for cross-framework mapping.</t>
        </is>
      </c>
      <c r="AM465"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65" s="50" t="inlineStr">
        <is>
          <t>Official: Consult the official source URL in the database for the primary document. Training: ISACA, ISC2, RAPS, IAPP, and HIMSS offer professional development covering most regulatory domains. Estimated hours vary by framework complexity.</t>
        </is>
      </c>
      <c r="AO465" s="77" t="inlineStr">
        <is>
          <t>Relevance to GH-ICGA framework varies by layer — see GH-ICGA Layer Mapping column. All KSA mandatory frameworks are compliance inputs to GH-ICGA Layer 4. Frameworks with IoMT-specific provisions directly inform Layers 2 and 3.</t>
        </is>
      </c>
      <c r="AP465" s="51" t="inlineStr">
        <is>
          <t>G + C (Governance + Compliance — standard regulatory framework positioning)</t>
        </is>
      </c>
      <c r="AQ465" s="78" t="inlineStr">
        <is>
          <t>Senior management: accountability for framework compliance. Designated compliance officer: monitor requirements. All staff: awareness of applicable obligations</t>
        </is>
      </c>
      <c r="AR465" s="74" t="inlineStr">
        <is>
          <t>Regulatory Risk; Operational Risk; Reputational Risk — specific domains determined by framework scope</t>
        </is>
      </c>
      <c r="AS465" s="22" t="inlineStr">
        <is>
          <t>See official source — legal obligation, regulatory requirement, or voluntary standard as applicable</t>
        </is>
      </c>
      <c r="AT465" s="75" t="inlineStr">
        <is>
          <t>Administrative; Technical; Operational — specific distribution determined by framework content</t>
        </is>
      </c>
      <c r="AU465" s="79" t="inlineStr">
        <is>
          <t>1. Compliance status (compliant/non-compliant). 2. # open findings from last assessment. 3. % controls implemented. 4. Time to remediate findings. 5. Incident rate in framework scope area</t>
        </is>
      </c>
      <c r="AV465" s="80" t="inlineStr">
        <is>
          <t>Self-assessment; internal audit; external assessment as specified by issuing authority</t>
        </is>
      </c>
      <c r="AW465" s="81" t="inlineStr">
        <is>
          <t>ServiceNow GRC; IBM OpenPages; RSA Archer; MetricStream — all major GRC platforms support custom framework import. Contact vendor for framework-specific module</t>
        </is>
      </c>
      <c r="AX465" s="82" t="inlineStr">
        <is>
          <t>Third parties in scope must demonstrate equivalent compliance. Contractual compliance obligations; right-to-audit clauses; annual third-party assessment</t>
        </is>
      </c>
      <c r="AY465" s="83" t="inlineStr">
        <is>
          <t>Non-compliance: regulatory action by issuing authority; fines and penalties as specified; operational and reputational consequences</t>
        </is>
      </c>
      <c r="AZ465" s="80" t="inlineStr">
        <is>
          <t>Healthcare &amp; Life Sciences</t>
        </is>
      </c>
      <c r="BA465" s="41" t="inlineStr">
        <is>
          <t>Sector-Specific</t>
        </is>
      </c>
      <c r="BB465" s="591">
        <f>IF(E465="","",IF(ISNUMBER(SEARCH("Institutional theory and regulatory governance theory underpin",AI465)),"TEMPLATE",IF(LEN(AI465)&gt;100,"DEEP",IF(AI465="","SPARSE","SHALLOW"))))</f>
        <v/>
      </c>
      <c r="BC465" s="591">
        <f>IF(E465="","",D465&amp;"-"&amp;B465&amp;"-"&amp;E465)</f>
        <v/>
      </c>
      <c r="BD465" s="591">
        <f>IF(E465="","",SUBSTITUTE(SUBSTITUTE(B465&amp;"-"&amp;E465," ",""),":","-"))</f>
        <v/>
      </c>
      <c r="BE465" s="591">
        <f>IF(E465="","",IF(ISNUMBER(SEARCH("ECC",E465)),"NCA-ECC-2-2024",IF(ISNUMBER(SEARCH("OTCC",E465)),"NCA-ECC-2-2024",IF(ISNUMBER(SEARCH("CCC",E465)),"NCA-ECC-2-2024",IF(ISNUMBER(SEARCH("DCC",E465)),"NCA-ECC-2-2024",IF(ISNUMBER(SEARCH("CSCC",E465)),"NCA-ECC-2-2024",IF(ISNUMBER(SEARCH("PDPL-IR",E465)),"PDPL-2021",IF(ISNUMBER(SEARCH("PDPL-DTR",E465)),"PDPL-2021","NONE"))))))))</f>
        <v/>
      </c>
      <c r="BF465" s="594">
        <f>IF(E465="","",IF(BB465="DEEP",10,IF(BB465="SHALLOW",5,IF(BB465="TEMPLATE",3,1)))+IF(N465="HIGHEST",5,IF(N465="HIGH",3,IF(N465="MODERATE",1,0)))+IF(ISNUMBER(SEARCH("Mandatory",L465)),3,0))</f>
        <v/>
      </c>
    </row>
    <row r="466" ht="42" customHeight="1">
      <c r="A466" s="84" t="n">
        <v>417</v>
      </c>
      <c r="B466" s="411" t="inlineStr">
        <is>
          <t>QLHC</t>
        </is>
      </c>
      <c r="C466" s="70" t="inlineStr">
        <is>
          <t>Qassim Health Cluster</t>
        </is>
      </c>
      <c r="D466" s="70" t="inlineStr">
        <is>
          <t>17. Regional Health Clusters</t>
        </is>
      </c>
      <c r="E466" s="411" t="inlineStr">
        <is>
          <t>CBAHI-HAS-H</t>
        </is>
      </c>
      <c r="F466" s="72" t="inlineStr">
        <is>
          <t>Hospital Accreditation Standards</t>
        </is>
      </c>
      <c r="G466" s="70" t="inlineStr">
        <is>
          <t>معايير اعتماد المستشفيات</t>
        </is>
      </c>
      <c r="H466" s="70" t="inlineStr">
        <is>
          <t>5th Ed. 2021</t>
        </is>
      </c>
      <c r="I466" s="71" t="inlineStr">
        <is>
          <t>2008</t>
        </is>
      </c>
      <c r="J466" s="71" t="inlineStr">
        <is>
          <t>298</t>
        </is>
      </c>
      <c r="K466" s="70" t="inlineStr">
        <is>
          <t>MUST COMPLY WITH</t>
        </is>
      </c>
      <c r="L466" s="92" t="inlineStr">
        <is>
          <t>Voluntary</t>
        </is>
      </c>
      <c r="M466" s="70" t="inlineStr">
        <is>
          <t>Qassim Health Cluster hospitals pursuing CBAHI accreditation</t>
        </is>
      </c>
      <c r="N466" s="86" t="inlineStr">
        <is>
          <t>HIGHEST</t>
        </is>
      </c>
      <c r="O466" s="87" t="inlineStr">
        <is>
          <t>https://www.cbahi.gov.sa/</t>
        </is>
      </c>
      <c r="P466" s="70" t="inlineStr">
        <is>
          <t>CBAHI official</t>
        </is>
      </c>
      <c r="Q466" s="70" t="inlineStr">
        <is>
          <t>1st Ed 2008 → 2nd Ed 2011 → 3rd Ed 2014 → 4th Ed 2017 → 5th Ed 2021</t>
        </is>
      </c>
      <c r="R466" s="70" t="inlineStr">
        <is>
          <t>5th Edition (2021, current): 298 standards across domains including Patient and Family Rights, Patient Assessment, Care of Patients, Patient Safety, Medication Management, Infection Prevention, Facility Management, Staff Qualifications, Quality Improvement, Governance, HIT (Health Information Technology). HIT standards require EMR, NABIDH connectivity, access control, audit trails, downtime procedures. IoMT requirements added in 5th Ed: medical device integration standards, alarm management policy. Benchmarked against JCI standards</t>
        </is>
      </c>
      <c r="S466" s="71" t="inlineStr">
        <is>
          <t>1st Ed: 2008. 2nd: 2011. 3rd: 2014. 4th: 2017. 5th: 2021</t>
        </is>
      </c>
      <c r="T466" s="70" t="inlineStr">
        <is>
          <t>6th Edition expected 2025-2026</t>
        </is>
      </c>
      <c r="U466" s="25" t="inlineStr">
        <is>
          <t>CURRENT — 5th Edition 2021</t>
        </is>
      </c>
      <c r="V466" s="70" t="inlineStr">
        <is>
          <t>Accreditation denial; accreditation suspension; accreditation withdrawal; MOH facility licensing risk (accreditation linked to licensing in practice)</t>
        </is>
      </c>
      <c r="W466" s="72" t="inlineStr">
        <is>
          <t>CBAHI — Accreditation Survey Teams (peer surveyors); MOH recognises CBAHI as national accreditor</t>
        </is>
      </c>
      <c r="X466" s="70" t="inlineStr">
        <is>
          <t>Hospital (primary scope); Teaching Hospital; Specialist Centre</t>
        </is>
      </c>
      <c r="Y466" s="49" t="inlineStr">
        <is>
          <t>Both (voluntary but operationally required)</t>
        </is>
      </c>
      <c r="Z466" s="70" t="inlineStr">
        <is>
          <t>Full survey every 3 years; midterm (focused) survey at 18 months; unannounced visits; corrective action follow-up</t>
        </is>
      </c>
      <c r="AA466" s="71" t="inlineStr">
        <is>
          <t>Full survey: 3-year cycle. Midterm: 18 months. Unannounced: possible at any time</t>
        </is>
      </c>
      <c r="AB466" s="70" t="inlineStr">
        <is>
          <t>22 (HIT standards: medical device integration; alarm management policy mandatory; device maintenance logs; remote monitoring governance; downtime procedures; device inventory; cybersecurity of clinical systems as patient safety issue)</t>
        </is>
      </c>
      <c r="AC466" s="70" t="inlineStr">
        <is>
          <t>JCI (Joint Commission International) — benchmarked; ISQua (accreditation body accreditor); WHO Safe Hospitals Framework</t>
        </is>
      </c>
      <c r="AD466" s="22" t="inlineStr">
        <is>
          <t>Arabic + English (official bilingual)</t>
        </is>
      </c>
      <c r="AE466" s="26" t="inlineStr">
        <is>
          <t>Layer 1: Governance; Layer 4: Compliance; Layer 5: Assurance</t>
        </is>
      </c>
      <c r="AF466" s="27" t="inlineStr">
        <is>
          <t>Yes — Met / Partially Met / Not Met / Not Applicable per standard; overall accreditation decision = scored threshold</t>
        </is>
      </c>
      <c r="AG466" s="70" t="inlineStr">
        <is>
          <t>HSTP quality transformation; Vision 2030 healthcare quality targets (JCI/CBAHI accreditation for all tertiary hospitals)</t>
        </is>
      </c>
      <c r="AH466" s="70" t="inlineStr">
        <is>
          <t>Survey self-assessment; policy documentation; staff credential files; patient safety incident log; HIT system audit; quality improvement data; patient satisfaction scores</t>
        </is>
      </c>
      <c r="AI466" s="73" t="inlineStr">
        <is>
          <t>Healthcare quality theory (Donabedian 1988): structure-process-outcome triad. Accreditation theory: third-party external validation as quality assurance mechanism. Institutional isomorphism: accreditation spreads best practices through mimetic pressure. Patient safety culture theory (Reason 2000): systems-based safety vs blame culture.</t>
        </is>
      </c>
      <c r="AJ466" s="70" t="inlineStr">
        <is>
          <t>FOR: Almutairi et al. (2015) and Alkhenizan &amp; Shaw (2011) find CBAHI-accredited hospitals show measurable quality improvements; national benchmark grounded in Saudi context unlike JCI (US-centric); patient safety improvements documented post-accreditation. AGAINST: Voluntariness undermines universal coverage — only ~40% of KSA hospitals accredited (WHO PHSSR 2025); Greenfield &amp; Braithwaite (2008) meta-analysis questions causal link between accreditation and patient outcomes; survey preparation creates compliance-oriented behaviours rather than genuine quality improvement (gaming risk)</t>
        </is>
      </c>
      <c r="AK466" s="74" t="inlineStr">
        <is>
          <t>3-year survey cycle too long for rapid IoMT deployment environment; HIT standards in 5th Ed still less specific than HIMSS EMRAM Stage 6/7 requirements; cybersecurity standards within CBAHI remain minimal compared to NCA ECC-2 requirements; no dedicated IoMT governance chapter despite medical device proliferation; rural and small facility accreditation rates critically low</t>
        </is>
      </c>
      <c r="AL466" s="75" t="inlineStr">
        <is>
          <t>CBAHI vs JCI: JCI globally recognised; CBAHI nationally recognised — JCI preferred for medical tourism attracting hospitals. CBAHI vs HIMSS EMRAM: CBAHI is broad clinical; HIMSS EMRAM is digital health maturity-specific. CBAHI vs DNV: CBAHI similar survey model. CBAHI + HIMSS EMRAM combined = most comprehensive digital health quality picture for KSA hospitals</t>
        </is>
      </c>
      <c r="AM466" s="76" t="inlineStr">
        <is>
          <t>Alkhenizan A &amp; Shaw C (2011) 'Impact of Accreditation' Ann Saudi Med 31(4); Almutairi AF et al. (2015) 'Perceptions of CBAHI Accreditation' BMC Health Services Research; Donabedian A (1988) 'Quality of Care' JAMA 260(12); Greenfield D &amp; Braithwaite J (2008) 'Health Sector Accreditation Research' Int J Quality Health Care 20(3); WHO (2025) PHSSR Saudi Arabia</t>
        </is>
      </c>
      <c r="AN466" s="50" t="inlineStr">
        <is>
          <t>Official: CBAHI website (cbahi.gov.sa) — standards available to purchase. Training: CBAHI education programmes; surveyor training; CPHQ (Certified Professional in Healthcare Quality). Estimated: 60 hours for surveyors; 20 hours for department leads</t>
        </is>
      </c>
      <c r="AO466" s="77" t="inlineStr">
        <is>
          <t>GH-ICGA Layer 5 (Assurance) — CBAHI accreditation is the primary assurance mechanism for hospital IoMT governance. Thesis argument: CBAHI-HAS-H 5th Ed HIT standards need a cybersecurity annex for IoMT — GH-ICGA Layer 5 Assurance proposes an IoMT-specific evaluation framework that could be adopted within CBAHI survey process</t>
        </is>
      </c>
      <c r="AP466" s="51" t="inlineStr">
        <is>
          <t>G + C (Governance through quality standards + voluntary compliance assurance)</t>
        </is>
      </c>
      <c r="AQ466" s="78" t="inlineStr">
        <is>
          <t>CEO: accountable for accreditation status. CMO: responsible for clinical quality chapter compliance. CNO: responsible for nursing quality. Quality/Patient Safety Director: coordinates accreditation programme. Department heads: responsible for chapter compliance in their domain. Accreditation Committee: cross-functional governance body</t>
        </is>
      </c>
      <c r="AR466" s="74" t="inlineStr">
        <is>
          <t>Quality Risk; Patient Safety Risk; Operational Risk (accreditation loss = licensing risk); Reputational Risk; Regulatory Risk (MOH links accreditation to licensing in practice)</t>
        </is>
      </c>
      <c r="AS466" s="92" t="inlineStr">
        <is>
          <t>VOLUNTARY — but operationally MANDATORY (MOH licensing increasingly linked to CBAHI in practice; required for JCI-referencing hospitals and private insurance network participation)</t>
        </is>
      </c>
      <c r="AT466" s="75" t="inlineStr">
        <is>
          <t>Administrative (A): 150 controls — policies; procedures; governance; quality committees. Technical (T): 48 controls — HIT; equipment maintenance; diagnostic systems. Operational (O): 100 controls — clinical procedures; patient safety practices; staff competencies</t>
        </is>
      </c>
      <c r="AU466" s="79" t="inlineStr">
        <is>
          <t>1. CBAHI survey score per chapter (target ≥90% Met). 2. # sentinel events per 1,000 admissions. 3. Falls rate per 1,000 patient days. 4. Hospital-acquired infection rate. 5. Patient satisfaction score (target &gt;90%). 6. Medication error rate. 7. HIT compliance score (CBAHI HIT chapter)</t>
        </is>
      </c>
      <c r="AV466" s="80" t="inlineStr">
        <is>
          <t>CBAHI full survey (3-year cycle — 2-3 day on-site assessment); midterm survey (18 months — focused chapters); unannounced visit (possible any time); tracer methodology; document review; staff interviews; facility inspection</t>
        </is>
      </c>
      <c r="AW466" s="81" t="inlineStr">
        <is>
          <t>Accreditation Manager (CBAHI online platform); EQUIP (quality management platform); PowerDMS; Quantros; Press Ganey (patient satisfaction); Meditech/Epic quality modules; RL6 (incident reporting)</t>
        </is>
      </c>
      <c r="AX466" s="82" t="inlineStr">
        <is>
          <t>Contractors and service providers in clinical areas must meet CBAHI competency requirements; credentialing of contracted physicians required; outsourced services (laundry, catering, security) must meet CBAHI environment chapter standards; medical device vendors: CBAHI biomedical equipment requirements</t>
        </is>
      </c>
      <c r="AY466" s="83" t="inlineStr">
        <is>
          <t>Accreditation denial: cannot be MOH referral centre; excluded from major insurance networks; reputational damage. Accreditation suspension: immediate revenue impact from insurance exclusion. MOH can condition facility licence on CBAHI compliance</t>
        </is>
      </c>
      <c r="AZ466" s="80" t="inlineStr">
        <is>
          <t>Healthcare &amp; Life Sciences</t>
        </is>
      </c>
      <c r="BA466" s="41" t="inlineStr">
        <is>
          <t>Sector-Specific</t>
        </is>
      </c>
      <c r="BB466" s="591">
        <f>IF(E466="","",IF(ISNUMBER(SEARCH("Institutional theory and regulatory governance theory underpin",AI466)),"TEMPLATE",IF(LEN(AI466)&gt;100,"DEEP",IF(AI466="","SPARSE","SHALLOW"))))</f>
        <v/>
      </c>
      <c r="BC466" s="591">
        <f>IF(E466="","",D466&amp;"-"&amp;B466&amp;"-"&amp;E466)</f>
        <v/>
      </c>
      <c r="BD466" s="591">
        <f>IF(E466="","",SUBSTITUTE(SUBSTITUTE(B466&amp;"-"&amp;E466," ",""),":","-"))</f>
        <v/>
      </c>
      <c r="BE466" s="591">
        <f>IF(E466="","",IF(ISNUMBER(SEARCH("ECC",E466)),"NCA-ECC-2-2024",IF(ISNUMBER(SEARCH("OTCC",E466)),"NCA-ECC-2-2024",IF(ISNUMBER(SEARCH("CCC",E466)),"NCA-ECC-2-2024",IF(ISNUMBER(SEARCH("DCC",E466)),"NCA-ECC-2-2024",IF(ISNUMBER(SEARCH("CSCC",E466)),"NCA-ECC-2-2024",IF(ISNUMBER(SEARCH("PDPL-IR",E466)),"PDPL-2021",IF(ISNUMBER(SEARCH("PDPL-DTR",E466)),"PDPL-2021","NONE"))))))))</f>
        <v/>
      </c>
      <c r="BF466" s="594">
        <f>IF(E466="","",IF(BB466="DEEP",10,IF(BB466="SHALLOW",5,IF(BB466="TEMPLATE",3,1)))+IF(N466="HIGHEST",5,IF(N466="HIGH",3,IF(N466="MODERATE",1,0)))+IF(ISNUMBER(SEARCH("Mandatory",L466)),3,0))</f>
        <v/>
      </c>
    </row>
    <row r="467" ht="42" customHeight="1">
      <c r="A467" s="42" t="n">
        <v>418</v>
      </c>
      <c r="B467" s="412" t="inlineStr">
        <is>
          <t>QLHC</t>
        </is>
      </c>
      <c r="C467" s="44" t="inlineStr">
        <is>
          <t>Qassim Health Cluster</t>
        </is>
      </c>
      <c r="D467" s="44" t="inlineStr">
        <is>
          <t>17. Regional Health Clusters</t>
        </is>
      </c>
      <c r="E467" s="412" t="inlineStr">
        <is>
          <t>NCA-ECC-2:2024</t>
        </is>
      </c>
      <c r="F467" s="45" t="inlineStr">
        <is>
          <t>Essential Cybersecurity Controls</t>
        </is>
      </c>
      <c r="G467" s="44" t="inlineStr">
        <is>
          <t>ضوابط الأمن السيبراني الأساسية</t>
        </is>
      </c>
      <c r="H467" s="44" t="inlineStr">
        <is>
          <t>ECC-2:2024</t>
        </is>
      </c>
      <c r="I467" s="46" t="inlineStr">
        <is>
          <t>2018</t>
        </is>
      </c>
      <c r="J467" s="46" t="inlineStr">
        <is>
          <t>108</t>
        </is>
      </c>
      <c r="K467" s="44" t="inlineStr">
        <is>
          <t>MUST COMPLY WITH</t>
        </is>
      </c>
      <c r="L467" s="66" t="inlineStr">
        <is>
          <t>Mandatory Complier</t>
        </is>
      </c>
      <c r="M467" s="44" t="inlineStr">
        <is>
          <t>Qassim Health Cluster as government entity — hospital networks</t>
        </is>
      </c>
      <c r="N467" s="47" t="inlineStr">
        <is>
          <t>HIGHEST</t>
        </is>
      </c>
      <c r="O467" s="48" t="inlineStr">
        <is>
          <t>https://nca.gov.sa/</t>
        </is>
      </c>
      <c r="P467" s="44" t="inlineStr">
        <is>
          <t>NCA ECC scope</t>
        </is>
      </c>
      <c r="Q467" s="70" t="inlineStr">
        <is>
          <t>See official source for version history</t>
        </is>
      </c>
      <c r="R467" s="70" t="inlineStr">
        <is>
          <t>Framework issued by the relevant authority. Version details available on the official website referenced in the source URL column. The framework has been updated periodically since first issuance.</t>
        </is>
      </c>
      <c r="S467" s="71" t="inlineStr">
        <is>
          <t>See official source</t>
        </is>
      </c>
      <c r="T467" s="70" t="inlineStr">
        <is>
          <t>Updated as needed by the issuing authority</t>
        </is>
      </c>
      <c r="U467" s="25" t="inlineStr">
        <is>
          <t>CURRENT — consult official source for latest version</t>
        </is>
      </c>
      <c r="V467" s="70" t="inlineStr">
        <is>
          <t>Penalties defined by issuing authority; consult official source. NCA ECC-2 penalties apply if relevant</t>
        </is>
      </c>
      <c r="W467" s="72" t="inlineStr">
        <is>
          <t>Issuing authority and/or designated inspection department</t>
        </is>
      </c>
      <c r="X467" s="70" t="inlineStr">
        <is>
          <t>As specified in framework scope — consult official document</t>
        </is>
      </c>
      <c r="Y467" s="49" t="inlineStr">
        <is>
          <t>Both (unless specified otherwise in official document)</t>
        </is>
      </c>
      <c r="Z467" s="70" t="inlineStr">
        <is>
          <t>As defined by issuing authority</t>
        </is>
      </c>
      <c r="AA467" s="71" t="inlineStr">
        <is>
          <t>As defined by issuing authority</t>
        </is>
      </c>
      <c r="AB467" s="70" t="inlineStr">
        <is>
          <t>To be determined from framework text — see official source</t>
        </is>
      </c>
      <c r="AC467" s="70" t="inlineStr">
        <is>
          <t>See framework preamble for international standard references</t>
        </is>
      </c>
      <c r="AD467" s="49" t="inlineStr">
        <is>
          <t>Arabic (primary in KSA); English may be available</t>
        </is>
      </c>
      <c r="AE467" s="58" t="inlineStr">
        <is>
          <t>Mapped to relevant GH-ICGA layer — requires manual assessment</t>
        </is>
      </c>
      <c r="AF467" s="56" t="inlineStr">
        <is>
          <t>See official framework for maturity model details</t>
        </is>
      </c>
      <c r="AG467" s="70" t="inlineStr">
        <is>
          <t>Aligned with relevant Vision 2030 programme — see framework context</t>
        </is>
      </c>
      <c r="AH467" s="70" t="inlineStr">
        <is>
          <t>As specified in framework compliance requirements</t>
        </is>
      </c>
      <c r="AI467" s="73" t="inlineStr">
        <is>
          <t>Institutional theory and regulatory governance theory underpin all KSA regulatory frameworks. Specific theoretical basis varies by framework — consult academic literature via Google Scholar using framework name as search term.</t>
        </is>
      </c>
      <c r="AJ467" s="70" t="inlineStr">
        <is>
          <t>Academic debate varies by framework maturity and international adoption. For KSA-specific debate, consult: Almohammad &amp; Wills (2021) J Cybersecurity; Al-Khater et al. (2020) IEEE Access; Baker McKenzie KSA regulatory updates.</t>
        </is>
      </c>
      <c r="AK467" s="74" t="inlineStr">
        <is>
          <t>Known criticisms include: implementation gap between standards and practice; resource constraints for smaller healthcare entities; rapid technology evolution outpacing regulation. Consult framework evaluation literature for specifics.</t>
        </is>
      </c>
      <c r="AL467" s="75" t="inlineStr">
        <is>
          <t>Framework comparison requires contextual analysis. Key comparators: NIST CSF 2.0 (international benchmark), ISO 27001 (certifiable standard), ECC-2 (KSA mandatory baseline). See main database for cross-framework mapping.</t>
        </is>
      </c>
      <c r="AM467"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67" s="50" t="inlineStr">
        <is>
          <t>Official: Consult the official source URL in the database for the primary document. Training: ISACA, ISC2, RAPS, IAPP, and HIMSS offer professional development covering most regulatory domains. Estimated hours vary by framework complexity.</t>
        </is>
      </c>
      <c r="AO467" s="77" t="inlineStr">
        <is>
          <t>Relevance to GH-ICGA framework varies by layer — see GH-ICGA Layer Mapping column. All KSA mandatory frameworks are compliance inputs to GH-ICGA Layer 4. Frameworks with IoMT-specific provisions directly inform Layers 2 and 3.</t>
        </is>
      </c>
      <c r="AP467" s="51" t="inlineStr">
        <is>
          <t>G + C (Governance + Compliance — standard regulatory framework positioning)</t>
        </is>
      </c>
      <c r="AQ467" s="78" t="inlineStr">
        <is>
          <t>Senior management: accountability for framework compliance. Designated compliance officer: monitor requirements. All staff: awareness of applicable obligations</t>
        </is>
      </c>
      <c r="AR467" s="74" t="inlineStr">
        <is>
          <t>Regulatory Risk; Operational Risk; Reputational Risk — specific domains determined by framework scope</t>
        </is>
      </c>
      <c r="AS467" s="22" t="inlineStr">
        <is>
          <t>See official source — legal obligation, regulatory requirement, or voluntary standard as applicable</t>
        </is>
      </c>
      <c r="AT467" s="75" t="inlineStr">
        <is>
          <t>Administrative; Technical; Operational — specific distribution determined by framework content</t>
        </is>
      </c>
      <c r="AU467" s="79" t="inlineStr">
        <is>
          <t>1. Compliance status (compliant/non-compliant). 2. # open findings from last assessment. 3. % controls implemented. 4. Time to remediate findings. 5. Incident rate in framework scope area</t>
        </is>
      </c>
      <c r="AV467" s="80" t="inlineStr">
        <is>
          <t>Self-assessment; internal audit; external assessment as specified by issuing authority</t>
        </is>
      </c>
      <c r="AW467" s="81" t="inlineStr">
        <is>
          <t>ServiceNow GRC; IBM OpenPages; RSA Archer; MetricStream — all major GRC platforms support custom framework import. Contact vendor for framework-specific module</t>
        </is>
      </c>
      <c r="AX467" s="82" t="inlineStr">
        <is>
          <t>Third parties in scope must demonstrate equivalent compliance. Contractual compliance obligations; right-to-audit clauses; annual third-party assessment</t>
        </is>
      </c>
      <c r="AY467" s="83" t="inlineStr">
        <is>
          <t>Non-compliance: regulatory action by issuing authority; fines and penalties as specified; operational and reputational consequences</t>
        </is>
      </c>
      <c r="AZ467" s="80" t="inlineStr">
        <is>
          <t>ALL 17 SECTORS</t>
        </is>
      </c>
      <c r="BA467" s="34" t="inlineStr">
        <is>
          <t>YES — ALL SECTORS</t>
        </is>
      </c>
      <c r="BB467" s="591">
        <f>IF(E467="","",IF(ISNUMBER(SEARCH("Institutional theory and regulatory governance theory underpin",AI467)),"TEMPLATE",IF(LEN(AI467)&gt;100,"DEEP",IF(AI467="","SPARSE","SHALLOW"))))</f>
        <v/>
      </c>
      <c r="BC467" s="591">
        <f>IF(E467="","",D467&amp;"-"&amp;B467&amp;"-"&amp;E467)</f>
        <v/>
      </c>
      <c r="BD467" s="591">
        <f>IF(E467="","",SUBSTITUTE(SUBSTITUTE(B467&amp;"-"&amp;E467," ",""),":","-"))</f>
        <v/>
      </c>
      <c r="BE467" s="591">
        <f>IF(E467="","",IF(ISNUMBER(SEARCH("ECC",E467)),"NCA-ECC-2-2024",IF(ISNUMBER(SEARCH("OTCC",E467)),"NCA-ECC-2-2024",IF(ISNUMBER(SEARCH("CCC",E467)),"NCA-ECC-2-2024",IF(ISNUMBER(SEARCH("DCC",E467)),"NCA-ECC-2-2024",IF(ISNUMBER(SEARCH("CSCC",E467)),"NCA-ECC-2-2024",IF(ISNUMBER(SEARCH("PDPL-IR",E467)),"PDPL-2021",IF(ISNUMBER(SEARCH("PDPL-DTR",E467)),"PDPL-2021","NONE"))))))))</f>
        <v/>
      </c>
      <c r="BF467" s="594">
        <f>IF(E467="","",IF(BB467="DEEP",10,IF(BB467="SHALLOW",5,IF(BB467="TEMPLATE",3,1)))+IF(N467="HIGHEST",5,IF(N467="HIGH",3,IF(N467="MODERATE",1,0)))+IF(ISNUMBER(SEARCH("Mandatory",L467)),3,0))</f>
        <v/>
      </c>
    </row>
    <row r="468" ht="42" customHeight="1">
      <c r="A468" s="84" t="n">
        <v>419</v>
      </c>
      <c r="B468" s="411" t="inlineStr">
        <is>
          <t>QLHC</t>
        </is>
      </c>
      <c r="C468" s="70" t="inlineStr">
        <is>
          <t>Qassim Health Cluster</t>
        </is>
      </c>
      <c r="D468" s="70" t="inlineStr">
        <is>
          <t>17. Regional Health Clusters</t>
        </is>
      </c>
      <c r="E468" s="411" t="inlineStr">
        <is>
          <t>PDPL-2021</t>
        </is>
      </c>
      <c r="F468" s="72" t="inlineStr">
        <is>
          <t>Personal Data Protection Law</t>
        </is>
      </c>
      <c r="G468" s="70" t="inlineStr">
        <is>
          <t>نظام حماية البيانات الشخصية</t>
        </is>
      </c>
      <c r="H468" s="70" t="inlineStr">
        <is>
          <t>2021+IR 2023</t>
        </is>
      </c>
      <c r="I468" s="71" t="inlineStr">
        <is>
          <t>2021</t>
        </is>
      </c>
      <c r="J468" s="71" t="inlineStr">
        <is>
          <t>45</t>
        </is>
      </c>
      <c r="K468" s="70" t="inlineStr">
        <is>
          <t>MUST COMPLY WITH</t>
        </is>
      </c>
      <c r="L468" s="66" t="inlineStr">
        <is>
          <t>Mandatory Complier</t>
        </is>
      </c>
      <c r="M468" s="70" t="inlineStr">
        <is>
          <t>Qassim Health Cluster processes patient personal data</t>
        </is>
      </c>
      <c r="N468" s="86" t="inlineStr">
        <is>
          <t>HIGHEST</t>
        </is>
      </c>
      <c r="O468" s="87" t="inlineStr">
        <is>
          <t>https://sdaia.gov.sa/</t>
        </is>
      </c>
      <c r="P468" s="70" t="inlineStr">
        <is>
          <t>SDAIA</t>
        </is>
      </c>
      <c r="Q468" s="70" t="inlineStr">
        <is>
          <t>Royal Decree M/19 (16 Sep 2021) → amended Apr 2023</t>
        </is>
      </c>
      <c r="R468" s="70" t="inlineStr">
        <is>
          <t>Original (2021): 19 articles covering consent, data subject rights, controller obligations, sensitive data (health = sensitive), cross-border transfer. Apr 2023 amendment: strengthened enforcement, clarified health data provisions, aligned with PDPL-IR-2023. Grace period for compliance ended Sep 14, 2024. Penalties: up to SAR 5 million fine + 2 years imprisonment for sensitive data breach</t>
        </is>
      </c>
      <c r="S468" s="71" t="inlineStr">
        <is>
          <t>Issued: Sep 2021. Amended: Apr 2023. Fully enforceable: Sep 14, 2024</t>
        </is>
      </c>
      <c r="T468" s="70" t="inlineStr">
        <is>
          <t>SDAIA reviews annually; amendments expected 2025-2026</t>
        </is>
      </c>
      <c r="U468" s="25" t="inlineStr">
        <is>
          <t>CURRENT — fully enforceable since Sep 2024</t>
        </is>
      </c>
      <c r="V468" s="70" t="inlineStr">
        <is>
          <t>Criminal offence: up to 2 years imprisonment + SAR 3M fine for disclosing sensitive data (health data = sensitive); administrative fine up to SAR 5M; mandatory breach notification to SDAIA within 72 hours; data subject compensation claims</t>
        </is>
      </c>
      <c r="W468" s="72" t="inlineStr">
        <is>
          <t>SDAIA — Data Protection Authority (DPA functions); NDMO for government entities; courts for criminal penalties</t>
        </is>
      </c>
      <c r="X468" s="70" t="inlineStr">
        <is>
          <t>Hospital; Clinic; Lab; Pharmacy; Health IT Vendor; Health Insurer; Government Health Entity; Medical Device Manufacturer (all processing patient data)</t>
        </is>
      </c>
      <c r="Y468" s="49" t="inlineStr">
        <is>
          <t>Both + foreign entities processing data of KSA residents</t>
        </is>
      </c>
      <c r="Z468" s="70" t="inlineStr">
        <is>
          <t>SDAIA audit; controller self-assessment; DPO oversight; data subject complaints trigger investigation</t>
        </is>
      </c>
      <c r="AA468" s="71" t="inlineStr">
        <is>
          <t>Continuous (breach notification: 72 hours); annual DPO report; SDAIA random audits</t>
        </is>
      </c>
      <c r="AB468" s="70" t="inlineStr">
        <is>
          <t>12 (IoMT data minimisation; purpose limitation; consent management for wearable data; automated decision-making; data subject rights for IoMT-generated health data; cross-border transfer of IoMT data)</t>
        </is>
      </c>
      <c r="AC468" s="70" t="inlineStr">
        <is>
          <t>GDPR (substantial alignment — adequate protection basis); APEC Privacy Framework; ISO 29100; ISO 27701</t>
        </is>
      </c>
      <c r="AD468" s="49" t="inlineStr">
        <is>
          <t>Arabic (official); English translation (unofficial)</t>
        </is>
      </c>
      <c r="AE468" s="50" t="inlineStr">
        <is>
          <t>Layer 4: Compliance; Layer 2: Risk Management</t>
        </is>
      </c>
      <c r="AF468" s="60" t="inlineStr">
        <is>
          <t>No formal maturity model; SDAIA publishes compliance guidance</t>
        </is>
      </c>
      <c r="AG468" s="70" t="inlineStr">
        <is>
          <t>National Data Strategy; Vision 2030 Digital Economy; Digital Government transformation</t>
        </is>
      </c>
      <c r="AH468" s="70" t="inlineStr">
        <is>
          <t>Privacy notices; consent records; DPO appointment letter; data mapping/flow diagrams; breach notification records; DPIA for health data processing; controller registration</t>
        </is>
      </c>
      <c r="AI468" s="73" t="inlineStr">
        <is>
          <t>Privacy as fundamental right (Warren &amp; Brandeis 1890; Westin 1967). Contextual integrity theory (Nissenbaum 2004): health data flows must match medical context norms. Regulatory theory: data protection authority independence and enforcement. Information asymmetry theory: patients cannot protect their own data without regulation.</t>
        </is>
      </c>
      <c r="AJ468" s="70" t="inlineStr">
        <is>
          <t>FOR: Long-overdue — KSA had no comprehensive data protection law until 2021; health data explicitly protected as sensitive category; aligns KSA with global adequacy standards. AGAINST: Alrawabdeh (2014) and Aldawood &amp; Skinner (2019) documented Saudi privacy culture gap — regulation without public awareness is ineffective; 'GDPR-lite' criticism: exemptions broader than GDPR, enforcement weaker; health data provisions in IR still less specific than UK GDPR Schedule 1 conditions</t>
        </is>
      </c>
      <c r="AK468" s="74" t="inlineStr">
        <is>
          <t>No independent supervisory authority (SDAIA is both promoter and regulator — conflict of interest noted by Baker McKenzie 2025); patient data portability rights weaker than GDPR Article 20; no explicit right to explanation for AI-automated health decisions; cross-border transfer rules changed twice in 12 months (regulatory instability); small healthcare providers lack capacity for DPO requirements</t>
        </is>
      </c>
      <c r="AL468" s="75" t="inlineStr">
        <is>
          <t>PDPL vs GDPR: PDPL penalty lower (SAR 5M vs €20M); PDPL broader government exemptions; GDPR has independent DPA, PDPL does not. PDPL vs HIPAA: PDPL = all personal data (broader); HIPAA = US-specific health data only. PDPL vs UK GDPR: PDPL misses explicit Schedule 1 health data conditions. PDPL ahead of HIPAA on consent granularity; behind GDPR on enforcement independence</t>
        </is>
      </c>
      <c r="AM468" s="76" t="inlineStr">
        <is>
          <t>Baker McKenzie (2025) Saudi Arabia PDPL Global Data &amp; Cyber Handbook; Alrawabdeh W (2014) 'Internet and Social Media Challenges in Arab World' EJSR; Westin AF (1967) Privacy and Freedom NY Atheneum; Nissenbaum H (2004) 'Privacy as Contextual Integrity' Washington Law Review 79(1); CMS Law (2025) Saudi Arabia Data Protection &amp; Cybersecurity Expert Guide Oct 2025</t>
        </is>
      </c>
      <c r="AN468" s="50" t="inlineStr">
        <is>
          <t>Official: SDAIA website (sdaia.gov.sa) — Arabic + English. Training: IAPP CIPM/CIPP/E (privacy certifications applicable); OneTrust PDPL compliance course; Baker McKenzie PDPL compliance guide. Language: Arabic primary — strong Arabic reading recommended. Estimated: 50 hours for health sector DPO competence</t>
        </is>
      </c>
      <c r="AO468" s="77" t="inlineStr">
        <is>
          <t>PRIMARY driver for GH-ICGA Layer 4 (Compliance) — PDPL is the legal foundation for patient data governance in the preliminary GH-ICGA framework. Thesis argument: GH-ICGA Layer 4 operationalises PDPL requirements into IoMT-specific controls (consent management for wearable data; purpose limitation for monitoring streams; breach response for connected device incidents)</t>
        </is>
      </c>
      <c r="AP468" s="51" t="inlineStr">
        <is>
          <t>G + C (Governance + Compliance — strong compliance driver; risk implicit)</t>
        </is>
      </c>
      <c r="AQ468" s="78" t="inlineStr">
        <is>
          <t>Board/CEO: ultimate accountability for PDPL compliance. DPO: mandatory for large-scale health data processors — reports to highest management level. Privacy Committee: cross-functional oversight. All staff processing personal data: mandatory privacy awareness training annually</t>
        </is>
      </c>
      <c r="AR468" s="74" t="inlineStr">
        <is>
          <t>Privacy Risk (PRIMARY); Legal/Regulatory Risk; Reputational Risk; Strategic Risk (data monetisation constraints); Cross-Border Risk (data transfer restrictions)</t>
        </is>
      </c>
      <c r="AS468" s="22" t="inlineStr">
        <is>
          <t>LEGAL — Royal Decree M/19 2021 + Implementing Regulations Sep 2023. Criminal: imprisonment up to 2 years + SAR 3M fine for sensitive data disclosure. Administrative: SAR 5M maximum fine. Civil: data subject compensation claims</t>
        </is>
      </c>
      <c r="AT468" s="75" t="inlineStr">
        <is>
          <t>Administrative (A): consent management; privacy notices; DPO appointment; DPIA process; breach notification procedure. Technical (T): data minimisation; pseudonymisation; access controls for personal data; encryption. Operational (O): data retention enforcement; data subject rights fulfilment process; cross-border transfer review</t>
        </is>
      </c>
      <c r="AU468" s="79" t="inlineStr">
        <is>
          <t>1. # data subject rights requests fulfilled on time (target: 100% within 30 days). 2. # data breaches notified to SDAIA within 72h (target: 100%). 3. % staff completed privacy training (target: 100%). 4. # DPIAs completed for high-risk processing activities. 5. Data retention compliance rate (% records within policy). 6. % third-party processors with DPA agreements</t>
        </is>
      </c>
      <c r="AV468" s="80" t="inlineStr">
        <is>
          <t>Annual DPIA review; data mapping audit (controller record validation); consent record audit; breach response simulation (tabletop); access control review for personal data systems; third-party processor audit; SDAIA compliance self-assessment</t>
        </is>
      </c>
      <c r="AW468" s="81" t="inlineStr">
        <is>
          <t>OneTrust (market leader for PDPL); TrustArc; Nymity; DataGrail; Varonis (data discovery); Microsoft Purview (data classification). SDAIA National Data Governance Platform for registration. Arabic-capable tools preferred</t>
        </is>
      </c>
      <c r="AX468" s="82" t="inlineStr">
        <is>
          <t>All third-party data processors must have Data Processing Agreement (DPA). Processors must demonstrate equivalent PDPL compliance. Cross-border transfers require adequacy assessment or appropriate safeguards. Sub-processor disclosure mandatory. Annual processor risk assessment required</t>
        </is>
      </c>
      <c r="AY468" s="83" t="inlineStr">
        <is>
          <t>Non-compliance: SAR 5M administrative fine; criminal prosecution for sensitive data breach; SDAIA investigation; mandatory breach public disclosure. Business disruption: SDAIA can order processing suspension. Reputational: patient trust damage. Market: EU adequate protection status depends on PDPL enforcement credibility</t>
        </is>
      </c>
      <c r="AZ468" s="80" t="inlineStr">
        <is>
          <t>ALL 17 SECTORS — any entity processing personal data</t>
        </is>
      </c>
      <c r="BA468" s="34" t="inlineStr">
        <is>
          <t>YES — ALL SECTORS</t>
        </is>
      </c>
      <c r="BB468" s="591">
        <f>IF(E468="","",IF(ISNUMBER(SEARCH("Institutional theory and regulatory governance theory underpin",AI468)),"TEMPLATE",IF(LEN(AI468)&gt;100,"DEEP",IF(AI468="","SPARSE","SHALLOW"))))</f>
        <v/>
      </c>
      <c r="BC468" s="591">
        <f>IF(E468="","",D468&amp;"-"&amp;B468&amp;"-"&amp;E468)</f>
        <v/>
      </c>
      <c r="BD468" s="591">
        <f>IF(E468="","",SUBSTITUTE(SUBSTITUTE(B468&amp;"-"&amp;E468," ",""),":","-"))</f>
        <v/>
      </c>
      <c r="BE468" s="591">
        <f>IF(E468="","",IF(ISNUMBER(SEARCH("ECC",E468)),"NCA-ECC-2-2024",IF(ISNUMBER(SEARCH("OTCC",E468)),"NCA-ECC-2-2024",IF(ISNUMBER(SEARCH("CCC",E468)),"NCA-ECC-2-2024",IF(ISNUMBER(SEARCH("DCC",E468)),"NCA-ECC-2-2024",IF(ISNUMBER(SEARCH("CSCC",E468)),"NCA-ECC-2-2024",IF(ISNUMBER(SEARCH("PDPL-IR",E468)),"PDPL-2021",IF(ISNUMBER(SEARCH("PDPL-DTR",E468)),"PDPL-2021","NONE"))))))))</f>
        <v/>
      </c>
      <c r="BF468" s="594">
        <f>IF(E468="","",IF(BB468="DEEP",10,IF(BB468="SHALLOW",5,IF(BB468="TEMPLATE",3,1)))+IF(N468="HIGHEST",5,IF(N468="HIGH",3,IF(N468="MODERATE",1,0)))+IF(ISNUMBER(SEARCH("Mandatory",L468)),3,0))</f>
        <v/>
      </c>
    </row>
    <row r="469" ht="42" customHeight="1">
      <c r="A469" s="42" t="n">
        <v>420</v>
      </c>
      <c r="B469" s="412" t="inlineStr">
        <is>
          <t>QLHC</t>
        </is>
      </c>
      <c r="C469" s="44" t="inlineStr">
        <is>
          <t>Qassim Health Cluster</t>
        </is>
      </c>
      <c r="D469" s="44" t="inlineStr">
        <is>
          <t>17. Regional Health Clusters</t>
        </is>
      </c>
      <c r="E469" s="412" t="inlineStr">
        <is>
          <t>MOH-TELE</t>
        </is>
      </c>
      <c r="F469" s="45" t="inlineStr">
        <is>
          <t>Telemedicine Regulations</t>
        </is>
      </c>
      <c r="G469" s="44" t="inlineStr">
        <is>
          <t>لائحة الرعاية الصحية عن بعد</t>
        </is>
      </c>
      <c r="H469" s="44" t="inlineStr">
        <is>
          <t>Late 2023</t>
        </is>
      </c>
      <c r="I469" s="46" t="inlineStr">
        <is>
          <t>2020</t>
        </is>
      </c>
      <c r="J469" s="46" t="inlineStr">
        <is>
          <t>38</t>
        </is>
      </c>
      <c r="K469" s="44" t="inlineStr">
        <is>
          <t>MUST COMPLY WITH</t>
        </is>
      </c>
      <c r="L469" s="66" t="inlineStr">
        <is>
          <t>Mandatory Complier</t>
        </is>
      </c>
      <c r="M469" s="44" t="inlineStr">
        <is>
          <t>Qassim Health Cluster offering telemedicine services</t>
        </is>
      </c>
      <c r="N469" s="54" t="inlineStr">
        <is>
          <t>HIGH</t>
        </is>
      </c>
      <c r="O469" s="48" t="inlineStr">
        <is>
          <t>https://www.moh.gov.sa/en/</t>
        </is>
      </c>
      <c r="P469" s="44" t="inlineStr">
        <is>
          <t>MOH; Hammad &amp; Al-Mehdar 2025</t>
        </is>
      </c>
      <c r="Q469" s="70" t="inlineStr">
        <is>
          <t>COVID-19 emergency 2020 → comprehensive regulations late 2023</t>
        </is>
      </c>
      <c r="R469" s="70" t="inlineStr">
        <is>
          <t>2020 (emergency COVID telehealth rules): basic platform licensing, identity verification, audio/video minimum standards. Late 2023 (comprehensive update, 38 controls): platform licensing requirements; patient identity verification; cross-border telemedicine restrictions; controlled substance prescribing rules (limited); data protection (PDPL alignment); patient consent requirements; clinical documentation standards; coverage by health insurance; quality assurance audit requirements</t>
        </is>
      </c>
      <c r="S469" s="71" t="inlineStr">
        <is>
          <t>Emergency 2020. Comprehensive: late 2023</t>
        </is>
      </c>
      <c r="T469" s="70" t="inlineStr">
        <is>
          <t>Annual update; cross-border rules under active development 2025</t>
        </is>
      </c>
      <c r="U469" s="25" t="inlineStr">
        <is>
          <t>CURRENT — late 2023 comprehensive version</t>
        </is>
      </c>
      <c r="V469" s="70" t="inlineStr">
        <is>
          <t>Platform licence revocation; SAR 1M–5M fine (scale by offence); clinical professional disciplinary action by SCFHS</t>
        </is>
      </c>
      <c r="W469" s="72" t="inlineStr">
        <is>
          <t>MOH — eHealth General Directorate; CST (platform technical licensing); CCHI (insurance coverage compliance); SCFHS (clinical standards)</t>
        </is>
      </c>
      <c r="X469" s="70" t="inlineStr">
        <is>
          <t>Hospital (outpatient teleconsultation); Clinic; Health IT Vendor (platform developers); Health Insurer (reimbursement compliance)</t>
        </is>
      </c>
      <c r="Y469" s="22" t="inlineStr">
        <is>
          <t>Both</t>
        </is>
      </c>
      <c r="Z469" s="70" t="inlineStr">
        <is>
          <t>MOH platform licence audit (annual); CCHI insurance compliance check; SCFHS clinical quality audit</t>
        </is>
      </c>
      <c r="AA469" s="71" t="inlineStr">
        <is>
          <t>Annual licence renewal; random clinical quality audit</t>
        </is>
      </c>
      <c r="AB469" s="70" t="inlineStr">
        <is>
          <t>15 (remote patient monitoring integration; wearable device data for teleconsultation; IoMT vital sign display during video consultation; remote device prescription; teleICU monitoring requirements)</t>
        </is>
      </c>
      <c r="AC469" s="70" t="inlineStr">
        <is>
          <t>WHO Telemedicine Guidelines (2010/updated); ISO 13131:2021 (Telehealth); ATA (American Telemedicine Association) standards (reference)</t>
        </is>
      </c>
      <c r="AD469" s="49" t="inlineStr">
        <is>
          <t>Arabic (primary); English technical guidance</t>
        </is>
      </c>
      <c r="AE469" s="26" t="inlineStr">
        <is>
          <t>Layer 1: Governance; Layer 4: Compliance</t>
        </is>
      </c>
      <c r="AF469" s="60" t="inlineStr">
        <is>
          <t>No formal maturity model; licence tiers (basic/advanced platform)</t>
        </is>
      </c>
      <c r="AG469" s="70" t="inlineStr">
        <is>
          <t>HSTP telemedicine targets (30% uptake); SEHA Virtual Hospital; Vision 2030 healthcare access targets</t>
        </is>
      </c>
      <c r="AH469" s="70" t="inlineStr">
        <is>
          <t>Platform licence certificate; patient consent records; clinical documentation standards compliance; identity verification log; prescription records; NABIDH integration evidence</t>
        </is>
      </c>
      <c r="AI469" s="73" t="inlineStr">
        <is>
          <t>Telehealth adoption theory (LeRouge &amp; Garfield 2013): patient acceptance + clinician integration. Access theory: geography-equity argument for remote care. Digital health governance theory: platform regulation vs clinical regulation tension.</t>
        </is>
      </c>
      <c r="AJ469" s="70" t="inlineStr">
        <is>
          <t>FOR: COVID-19 proved telehealth viability at scale in KSA (Al-Ataawi et al. 2022); Sehhaty platform shows government commitment; removes geographic barriers consistent with Vision 2030 equity goals; IoMT remote monitoring reimbursement framework emerging. AGAINST: Clinical quality in telehealth still debated (Hollander &amp; Sites 2020); data sovereignty for cross-border telehealth unresolved; prescription via teleconsultation remains restricted limiting scope; rural connectivity gaps undermine access equity goal</t>
        </is>
      </c>
      <c r="AK469" s="74" t="inlineStr">
        <is>
          <t>Regulations still lag technology — VR/AR clinical applications not addressed; AI-assisted teleconsultation regulatory pathway unclear; cross-border telehealth restrictions create market fragmentation; no minimum quality standards for audio/video equipment; liability for technical failure not yet codified in regulation</t>
        </is>
      </c>
      <c r="AL469" s="75" t="inlineStr">
        <is>
          <t>MOH-TELE vs NHS TECS (UK): NHS TECS has DTAC (Digital Technology Assessment Criteria) for all digital health tools — KSA equivalent absent. MOH-TELE vs FCC/CMS telehealth (US): US has federal reimbursement codes (CPT); KSA CCHI integration still developing. MOH-TELE vs WHO Telemedicine Guidelines: broadly aligned but KSA-specific cross-border rules more restrictive than WHO recommends</t>
        </is>
      </c>
      <c r="AM469" s="76" t="inlineStr">
        <is>
          <t>Al-Ataawi A et al. (2022) 'Telehealth in Saudi Arabia During COVID-19' J Healthcare Informatics Res; Hollander JE &amp; Sites FD (2020) 'Telehealth Beyond COVID-19' NEJM 2020; Hammad &amp; Al-Mehdar (2025) Saudi Healthcare Regulatory Update; WHO (2010) Telemedicine Opportunities and Developments; LeRouge C &amp; Garfield MJ (2013) 'Crossing the Telemedicine Chasm' JAMIA 20(6)</t>
        </is>
      </c>
      <c r="AN469" s="50" t="inlineStr">
        <is>
          <t>Official: MOH website. Training: American Telemedicine Association (ATA) online courses; SEHA Virtual Hospital training programme; WHO telehealth competency framework. Estimated: 25 hours</t>
        </is>
      </c>
      <c r="AO469" s="77" t="inlineStr">
        <is>
          <t>GH-ICGA Layer 1 (Governance) — telehealth regulation defines the governance boundary for remote IoMT monitoring. Thesis relevance: GH-ICGA must address the governance overlap between MOH-TELE (clinical platform regulation) and NCA-ECC (cybersecurity) and PDPL (patient data) for remote monitoring scenarios</t>
        </is>
      </c>
      <c r="AP469" s="51" t="inlineStr">
        <is>
          <t>G + C (platform governance + clinical compliance)</t>
        </is>
      </c>
      <c r="AQ469" s="78" t="inlineStr">
        <is>
          <t>CEO: platform licence accountability. Medical Director: clinical quality governance. DPO: PDPL compliance for patient data on platform. Technical Director: platform security. Pharmacy Director: prescription management compliance</t>
        </is>
      </c>
      <c r="AR469" s="74" t="inlineStr">
        <is>
          <t>Clinical Risk (misdiagnosis via teleconsultation); Regulatory Risk (licence breach); Privacy Risk (patient data); Operational Risk (platform availability); Cross-Border Risk (international teleconsultation restrictions)</t>
        </is>
      </c>
      <c r="AS469" s="61" t="inlineStr">
        <is>
          <t>REGULATORY — MOH licensing requirement. Non-compliance: platform licence revocation; SAR 1M–5M fine; SCFHS action against clinicians</t>
        </is>
      </c>
      <c r="AT469" s="75" t="inlineStr">
        <is>
          <t>Administrative (A): 20 controls — licensing; consent; documentation; clinical protocols. Technical (T): 12 controls — platform security; identity verification; audio/video standards. Operational (O): 6 controls — prescribing workflow; referral protocol; audit trail</t>
        </is>
      </c>
      <c r="AU469" s="79" t="inlineStr">
        <is>
          <t>1. Patient consent collection rate (target 100% before each session). 2. Platform availability SLA compliance (target &gt;99.5%). 3. Identity verification success rate. 4. # clinical complaints per 1,000 teleconsultations. 5. Documentation compliance rate (target 100% consultation notes in NABIDH). 6. Prescription audit pass rate</t>
        </is>
      </c>
      <c r="AV469" s="80" t="inlineStr">
        <is>
          <t>Annual MOH licence renewal audit; CCHI insurance coverage compliance check; patient record documentation audit; platform security assessment; identity verification system test; NABIDH integration test</t>
        </is>
      </c>
      <c r="AW469" s="81" t="inlineStr">
        <is>
          <t>Sehhaty / Mawid (MOH official platforms); Nabdh; Cura Health; Vezeeta; Nubaqraa — all require MOH licensing. Security tools: FortiWeb (WAF); Auth0/Okta (identity); TeleVisit security frameworks</t>
        </is>
      </c>
      <c r="AX469" s="82" t="inlineStr">
        <is>
          <t>Platform vendors: MOH-licensed telemedicine solution mandatory; PDPL DPA required; NABIDH API certification; patient data not to be shared with third-party analytics without consent; international teleconsultation providers must be MOH-approved</t>
        </is>
      </c>
      <c r="AY469" s="83" t="inlineStr">
        <is>
          <t>Unlicensed platform: immediate shutdown; SAR fine; clinical professional disciplinary action. Licence revocation: complete business cessation. Patient harm via telemedicine: malpractice liability; SCFHS investigation</t>
        </is>
      </c>
      <c r="AZ469" s="80" t="inlineStr">
        <is>
          <t>Healthcare &amp; Life Sciences; ICT/Digital (platform providers)</t>
        </is>
      </c>
      <c r="BA469" s="41" t="inlineStr">
        <is>
          <t>Sector-Specific</t>
        </is>
      </c>
      <c r="BB469" s="591">
        <f>IF(E469="","",IF(ISNUMBER(SEARCH("Institutional theory and regulatory governance theory underpin",AI469)),"TEMPLATE",IF(LEN(AI469)&gt;100,"DEEP",IF(AI469="","SPARSE","SHALLOW"))))</f>
        <v/>
      </c>
      <c r="BC469" s="591">
        <f>IF(E469="","",D469&amp;"-"&amp;B469&amp;"-"&amp;E469)</f>
        <v/>
      </c>
      <c r="BD469" s="591">
        <f>IF(E469="","",SUBSTITUTE(SUBSTITUTE(B469&amp;"-"&amp;E469," ",""),":","-"))</f>
        <v/>
      </c>
      <c r="BE469" s="591">
        <f>IF(E469="","",IF(ISNUMBER(SEARCH("ECC",E469)),"NCA-ECC-2-2024",IF(ISNUMBER(SEARCH("OTCC",E469)),"NCA-ECC-2-2024",IF(ISNUMBER(SEARCH("CCC",E469)),"NCA-ECC-2-2024",IF(ISNUMBER(SEARCH("DCC",E469)),"NCA-ECC-2-2024",IF(ISNUMBER(SEARCH("CSCC",E469)),"NCA-ECC-2-2024",IF(ISNUMBER(SEARCH("PDPL-IR",E469)),"PDPL-2021",IF(ISNUMBER(SEARCH("PDPL-DTR",E469)),"PDPL-2021","NONE"))))))))</f>
        <v/>
      </c>
      <c r="BF469" s="594">
        <f>IF(E469="","",IF(BB469="DEEP",10,IF(BB469="SHALLOW",5,IF(BB469="TEMPLATE",3,1)))+IF(N469="HIGHEST",5,IF(N469="HIGH",3,IF(N469="MODERATE",1,0)))+IF(ISNUMBER(SEARCH("Mandatory",L469)),3,0))</f>
        <v/>
      </c>
    </row>
    <row r="470" ht="42" customHeight="1">
      <c r="A470" s="84" t="n">
        <v>421</v>
      </c>
      <c r="B470" s="411" t="inlineStr">
        <is>
          <t>QLHC</t>
        </is>
      </c>
      <c r="C470" s="70" t="inlineStr">
        <is>
          <t>Qassim Health Cluster</t>
        </is>
      </c>
      <c r="D470" s="70" t="inlineStr">
        <is>
          <t>17. Regional Health Clusters</t>
        </is>
      </c>
      <c r="E470" s="411" t="inlineStr">
        <is>
          <t>NHIC-NABIDH</t>
        </is>
      </c>
      <c r="F470" s="72" t="inlineStr">
        <is>
          <t>NABIDH EHR Platform Standard</t>
        </is>
      </c>
      <c r="G470" s="70" t="inlineStr">
        <is>
          <t>معيار منصة نبض</t>
        </is>
      </c>
      <c r="H470" s="70" t="inlineStr">
        <is>
          <t>Mandatory 2024</t>
        </is>
      </c>
      <c r="I470" s="71" t="inlineStr">
        <is>
          <t>2018</t>
        </is>
      </c>
      <c r="J470" s="71" t="inlineStr">
        <is>
          <t>40</t>
        </is>
      </c>
      <c r="K470" s="70" t="inlineStr">
        <is>
          <t>MUST COMPLY WITH</t>
        </is>
      </c>
      <c r="L470" s="66" t="inlineStr">
        <is>
          <t>Mandatory Complier</t>
        </is>
      </c>
      <c r="M470" s="70" t="inlineStr">
        <is>
          <t>Qassim Health Cluster hospitals — NABIDH interoperability</t>
        </is>
      </c>
      <c r="N470" s="86" t="inlineStr">
        <is>
          <t>HIGHEST</t>
        </is>
      </c>
      <c r="O470" s="87" t="inlineStr">
        <is>
          <t>https://nhic.gov.sa/</t>
        </is>
      </c>
      <c r="P470" s="70" t="inlineStr">
        <is>
          <t>NHIC</t>
        </is>
      </c>
      <c r="Q470" s="70" t="inlineStr">
        <is>
          <t>NABIDH launched 2018 (pilot) → FHIR R4 API 2022 → mandatory all facilities 2024</t>
        </is>
      </c>
      <c r="R470" s="70" t="inlineStr">
        <is>
          <t>2018 (pilot): 10 MOH hospitals. 2019-2021: health cluster rollout. 2022: FHIR R4 API standards published; private hospitals voluntary integration. 2023: API developer portal opened; 40 technical requirements published. 2024: MANDATORY — all healthcare facilities must connect; Private Health Institutions Law updated; penalties for non-connection: facility licensing at risk. NABIDH now the central patient data repository — 45M+ patient records as of 2024</t>
        </is>
      </c>
      <c r="S470" s="71" t="inlineStr">
        <is>
          <t>Launched: 2018. FHIR R4 API: 2022. Mandatory: 2024</t>
        </is>
      </c>
      <c r="T470" s="70" t="inlineStr">
        <is>
          <t>Continuous platform updates; API versioning quarterly</t>
        </is>
      </c>
      <c r="U470" s="25" t="inlineStr">
        <is>
          <t>CURRENT — mandatory as of 2024</t>
        </is>
      </c>
      <c r="V470" s="70" t="inlineStr">
        <is>
          <t>Facility unable to receive electronic referrals; excluded from national patient record; MOH licensing risk; procurement penalties</t>
        </is>
      </c>
      <c r="W470" s="72" t="inlineStr">
        <is>
          <t>NHIC — NABIDH Programme Office; MOH General Directorate of Health Informatics; regional health clusters</t>
        </is>
      </c>
      <c r="X470" s="70" t="inlineStr">
        <is>
          <t>Hospital; Clinic; Lab; Pharmacy — ALL healthcare facilities mandatory</t>
        </is>
      </c>
      <c r="Y470" s="22" t="inlineStr">
        <is>
          <t>Both</t>
        </is>
      </c>
      <c r="Z470" s="70" t="inlineStr">
        <is>
          <t>NHIC API conformance test; connectivity monitoring (automated); annual technical review</t>
        </is>
      </c>
      <c r="AA470" s="71" t="inlineStr">
        <is>
          <t>Continuous connectivity monitoring; annual audit</t>
        </is>
      </c>
      <c r="AB470" s="70" t="inlineStr">
        <is>
          <t>16 (NABIDH IoMT data ingestion API; remote monitoring data submission; wearable vital signs standardisation; IoMT device data consent management; IoMT-generated observation resources in FHIR)</t>
        </is>
      </c>
      <c r="AC470" s="70" t="inlineStr">
        <is>
          <t>HL7 FHIR R4 (mandatory); IHE profiles; SNOMED CT; ICD-10-CM; LOINC; HL7 CDA</t>
        </is>
      </c>
      <c r="AD470" s="49" t="inlineStr">
        <is>
          <t>Arabic + English (NABIDH technical specifications bilingual)</t>
        </is>
      </c>
      <c r="AE470" s="37" t="inlineStr">
        <is>
          <t>Layer 3: Technical Controls; Layer 4: Compliance; Layer 5: Assurance</t>
        </is>
      </c>
      <c r="AF470" s="27" t="inlineStr">
        <is>
          <t>Yes — 3 connectivity levels (Basic data exchange / Full longitudinal record / Advanced IoMT integration)</t>
        </is>
      </c>
      <c r="AG470" s="70" t="inlineStr">
        <is>
          <t>HSTP digital health; National EHR programme; NHIS integration; Vision 2030 connected healthcare</t>
        </is>
      </c>
      <c r="AH470" s="70" t="inlineStr">
        <is>
          <t>NABIDH connectivity certificate; API test results; FHIR conformance statement; patient consent records; data quality dashboard reports</t>
        </is>
      </c>
      <c r="AI470" s="73" t="inlineStr">
        <is>
          <t>Institutional theory and regulatory governance theory underpin all KSA regulatory frameworks. Specific theoretical basis varies by framework — consult academic literature via Google Scholar using framework name as search term.</t>
        </is>
      </c>
      <c r="AJ470" s="70" t="inlineStr">
        <is>
          <t>Academic debate varies by framework maturity and international adoption. For KSA-specific debate, consult: Almohammad &amp; Wills (2021) J Cybersecurity; Al-Khater et al. (2020) IEEE Access; Baker McKenzie KSA regulatory updates.</t>
        </is>
      </c>
      <c r="AK470" s="74" t="inlineStr">
        <is>
          <t>Known criticisms include: implementation gap between standards and practice; resource constraints for smaller healthcare entities; rapid technology evolution outpacing regulation. Consult framework evaluation literature for specifics.</t>
        </is>
      </c>
      <c r="AL470" s="75" t="inlineStr">
        <is>
          <t>Framework comparison requires contextual analysis. Key comparators: NIST CSF 2.0 (international benchmark), ISO 27001 (certifiable standard), ECC-2 (KSA mandatory baseline). See main database for cross-framework mapping.</t>
        </is>
      </c>
      <c r="AM470"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70" s="50" t="inlineStr">
        <is>
          <t>Official: Consult the official source URL in the database for the primary document. Training: ISACA, ISC2, RAPS, IAPP, and HIMSS offer professional development covering most regulatory domains. Estimated hours vary by framework complexity.</t>
        </is>
      </c>
      <c r="AO470" s="77" t="inlineStr">
        <is>
          <t>Relevance to GH-ICGA framework varies by layer — see GH-ICGA Layer Mapping column. All KSA mandatory frameworks are compliance inputs to GH-ICGA Layer 4. Frameworks with IoMT-specific provisions directly inform Layers 2 and 3.</t>
        </is>
      </c>
      <c r="AP470" s="51" t="inlineStr">
        <is>
          <t>G + C (Governance + Compliance — standard regulatory framework positioning)</t>
        </is>
      </c>
      <c r="AQ470" s="78" t="inlineStr">
        <is>
          <t>Senior management: accountability for framework compliance. Designated compliance officer: monitor requirements. All staff: awareness of applicable obligations</t>
        </is>
      </c>
      <c r="AR470" s="74" t="inlineStr">
        <is>
          <t>Regulatory Risk; Operational Risk; Reputational Risk — specific domains determined by framework scope</t>
        </is>
      </c>
      <c r="AS470" s="22" t="inlineStr">
        <is>
          <t>See official source — legal obligation, regulatory requirement, or voluntary standard as applicable</t>
        </is>
      </c>
      <c r="AT470" s="75" t="inlineStr">
        <is>
          <t>Administrative; Technical; Operational — specific distribution determined by framework content</t>
        </is>
      </c>
      <c r="AU470" s="79" t="inlineStr">
        <is>
          <t>1. Compliance status (compliant/non-compliant). 2. # open findings from last assessment. 3. % controls implemented. 4. Time to remediate findings. 5. Incident rate in framework scope area</t>
        </is>
      </c>
      <c r="AV470" s="80" t="inlineStr">
        <is>
          <t>Self-assessment; internal audit; external assessment as specified by issuing authority</t>
        </is>
      </c>
      <c r="AW470" s="81" t="inlineStr">
        <is>
          <t>ServiceNow GRC; IBM OpenPages; RSA Archer; MetricStream — all major GRC platforms support custom framework import. Contact vendor for framework-specific module</t>
        </is>
      </c>
      <c r="AX470" s="82" t="inlineStr">
        <is>
          <t>Third parties in scope must demonstrate equivalent compliance. Contractual compliance obligations; right-to-audit clauses; annual third-party assessment</t>
        </is>
      </c>
      <c r="AY470" s="83" t="inlineStr">
        <is>
          <t>Non-compliance: regulatory action by issuing authority; fines and penalties as specified; operational and reputational consequences</t>
        </is>
      </c>
      <c r="AZ470" s="80" t="inlineStr">
        <is>
          <t>Healthcare &amp; Life Sciences</t>
        </is>
      </c>
      <c r="BA470" s="41" t="inlineStr">
        <is>
          <t>Sector-Specific</t>
        </is>
      </c>
      <c r="BB470" s="591">
        <f>IF(E470="","",IF(ISNUMBER(SEARCH("Institutional theory and regulatory governance theory underpin",AI470)),"TEMPLATE",IF(LEN(AI470)&gt;100,"DEEP",IF(AI470="","SPARSE","SHALLOW"))))</f>
        <v/>
      </c>
      <c r="BC470" s="591">
        <f>IF(E470="","",D470&amp;"-"&amp;B470&amp;"-"&amp;E470)</f>
        <v/>
      </c>
      <c r="BD470" s="591">
        <f>IF(E470="","",SUBSTITUTE(SUBSTITUTE(B470&amp;"-"&amp;E470," ",""),":","-"))</f>
        <v/>
      </c>
      <c r="BE470" s="591">
        <f>IF(E470="","",IF(ISNUMBER(SEARCH("ECC",E470)),"NCA-ECC-2-2024",IF(ISNUMBER(SEARCH("OTCC",E470)),"NCA-ECC-2-2024",IF(ISNUMBER(SEARCH("CCC",E470)),"NCA-ECC-2-2024",IF(ISNUMBER(SEARCH("DCC",E470)),"NCA-ECC-2-2024",IF(ISNUMBER(SEARCH("CSCC",E470)),"NCA-ECC-2-2024",IF(ISNUMBER(SEARCH("PDPL-IR",E470)),"PDPL-2021",IF(ISNUMBER(SEARCH("PDPL-DTR",E470)),"PDPL-2021","NONE"))))))))</f>
        <v/>
      </c>
      <c r="BF470" s="594">
        <f>IF(E470="","",IF(BB470="DEEP",10,IF(BB470="SHALLOW",5,IF(BB470="TEMPLATE",3,1)))+IF(N470="HIGHEST",5,IF(N470="HIGH",3,IF(N470="MODERATE",1,0)))+IF(ISNUMBER(SEARCH("Mandatory",L470)),3,0))</f>
        <v/>
      </c>
    </row>
    <row r="471" ht="42" customHeight="1">
      <c r="A471" s="42" t="n">
        <v>422</v>
      </c>
      <c r="B471" s="412" t="inlineStr">
        <is>
          <t>QLHC</t>
        </is>
      </c>
      <c r="C471" s="44" t="inlineStr">
        <is>
          <t>Qassim Health Cluster</t>
        </is>
      </c>
      <c r="D471" s="44" t="inlineStr">
        <is>
          <t>17. Regional Health Clusters</t>
        </is>
      </c>
      <c r="E471" s="412" t="inlineStr">
        <is>
          <t>NCA-OTCC</t>
        </is>
      </c>
      <c r="F471" s="45" t="inlineStr">
        <is>
          <t>OT Cybersecurity Controls</t>
        </is>
      </c>
      <c r="G471" s="44" t="inlineStr">
        <is>
          <t>ضوابط الأمن السيبراني للتقنيات التشغيلية</t>
        </is>
      </c>
      <c r="H471" s="44" t="inlineStr">
        <is>
          <t>OTCC-1:2022</t>
        </is>
      </c>
      <c r="I471" s="46" t="inlineStr">
        <is>
          <t>2022</t>
        </is>
      </c>
      <c r="J471" s="46" t="inlineStr">
        <is>
          <t>53</t>
        </is>
      </c>
      <c r="K471" s="44" t="inlineStr">
        <is>
          <t>MUST COMPLY WITH</t>
        </is>
      </c>
      <c r="L471" s="66" t="inlineStr">
        <is>
          <t>Mandatory Complier</t>
        </is>
      </c>
      <c r="M471" s="44" t="inlineStr">
        <is>
          <t>Qassim Health Cluster medical device OT networks — CNI designation</t>
        </is>
      </c>
      <c r="N471" s="47" t="inlineStr">
        <is>
          <t>HIGHEST</t>
        </is>
      </c>
      <c r="O471" s="48" t="inlineStr">
        <is>
          <t>https://nca.gov.sa/</t>
        </is>
      </c>
      <c r="P471" s="44" t="inlineStr">
        <is>
          <t>NCA OTCC</t>
        </is>
      </c>
      <c r="Q471" s="70" t="inlineStr">
        <is>
          <t>See official source for version history</t>
        </is>
      </c>
      <c r="R471" s="70" t="inlineStr">
        <is>
          <t>Framework issued by the relevant authority. Version details available on the official website referenced in the source URL column. The framework has been updated periodically since first issuance.</t>
        </is>
      </c>
      <c r="S471" s="71" t="inlineStr">
        <is>
          <t>See official source</t>
        </is>
      </c>
      <c r="T471" s="70" t="inlineStr">
        <is>
          <t>Updated as needed by the issuing authority</t>
        </is>
      </c>
      <c r="U471" s="25" t="inlineStr">
        <is>
          <t>CURRENT — consult official source for latest version</t>
        </is>
      </c>
      <c r="V471" s="70" t="inlineStr">
        <is>
          <t>Penalties defined by issuing authority; consult official source. NCA ECC-2 penalties apply if relevant</t>
        </is>
      </c>
      <c r="W471" s="72" t="inlineStr">
        <is>
          <t>Issuing authority and/or designated inspection department</t>
        </is>
      </c>
      <c r="X471" s="70" t="inlineStr">
        <is>
          <t>As specified in framework scope — consult official document</t>
        </is>
      </c>
      <c r="Y471" s="49" t="inlineStr">
        <is>
          <t>Both (unless specified otherwise in official document)</t>
        </is>
      </c>
      <c r="Z471" s="70" t="inlineStr">
        <is>
          <t>As defined by issuing authority</t>
        </is>
      </c>
      <c r="AA471" s="71" t="inlineStr">
        <is>
          <t>As defined by issuing authority</t>
        </is>
      </c>
      <c r="AB471" s="70" t="inlineStr">
        <is>
          <t>To be determined from framework text — see official source</t>
        </is>
      </c>
      <c r="AC471" s="70" t="inlineStr">
        <is>
          <t>See framework preamble for international standard references</t>
        </is>
      </c>
      <c r="AD471" s="49" t="inlineStr">
        <is>
          <t>Arabic (primary in KSA); English may be available</t>
        </is>
      </c>
      <c r="AE471" s="58" t="inlineStr">
        <is>
          <t>Mapped to relevant GH-ICGA layer — requires manual assessment</t>
        </is>
      </c>
      <c r="AF471" s="56" t="inlineStr">
        <is>
          <t>See official framework for maturity model details</t>
        </is>
      </c>
      <c r="AG471" s="70" t="inlineStr">
        <is>
          <t>Aligned with relevant Vision 2030 programme — see framework context</t>
        </is>
      </c>
      <c r="AH471" s="70" t="inlineStr">
        <is>
          <t>As specified in framework compliance requirements</t>
        </is>
      </c>
      <c r="AI471" s="73" t="inlineStr">
        <is>
          <t>Institutional theory and regulatory governance theory underpin all KSA regulatory frameworks. Specific theoretical basis varies by framework — consult academic literature via Google Scholar using framework name as search term.</t>
        </is>
      </c>
      <c r="AJ471" s="70" t="inlineStr">
        <is>
          <t>Academic debate varies by framework maturity and international adoption. For KSA-specific debate, consult: Almohammad &amp; Wills (2021) J Cybersecurity; Al-Khater et al. (2020) IEEE Access; Baker McKenzie KSA regulatory updates.</t>
        </is>
      </c>
      <c r="AK471" s="74" t="inlineStr">
        <is>
          <t>Known criticisms include: implementation gap between standards and practice; resource constraints for smaller healthcare entities; rapid technology evolution outpacing regulation. Consult framework evaluation literature for specifics.</t>
        </is>
      </c>
      <c r="AL471" s="75" t="inlineStr">
        <is>
          <t>Framework comparison requires contextual analysis. Key comparators: NIST CSF 2.0 (international benchmark), ISO 27001 (certifiable standard), ECC-2 (KSA mandatory baseline). See main database for cross-framework mapping.</t>
        </is>
      </c>
      <c r="AM471"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71" s="50" t="inlineStr">
        <is>
          <t>Official: Consult the official source URL in the database for the primary document. Training: ISACA, ISC2, RAPS, IAPP, and HIMSS offer professional development covering most regulatory domains. Estimated hours vary by framework complexity.</t>
        </is>
      </c>
      <c r="AO471" s="77" t="inlineStr">
        <is>
          <t>Relevance to GH-ICGA framework varies by layer — see GH-ICGA Layer Mapping column. All KSA mandatory frameworks are compliance inputs to GH-ICGA Layer 4. Frameworks with IoMT-specific provisions directly inform Layers 2 and 3.</t>
        </is>
      </c>
      <c r="AP471" s="53" t="inlineStr">
        <is>
          <t>R + C (Risk and Compliance — technically oriented; governance implied)</t>
        </is>
      </c>
      <c r="AQ471" s="78" t="inlineStr">
        <is>
          <t>CISO/OT Security Manager: own OTCC compliance. Clinical Engineering/Biomedical Engineering: co-responsible for medical device OT compliance. CTO: responsible for OT architecture. Board: informed of OT risk posture annually. OT security roles: Saudi nationals required per ECC-2 Saudisation mandate</t>
        </is>
      </c>
      <c r="AR471" s="74" t="inlineStr">
        <is>
          <t>Cyber Risk (OT/ICS); Operational Risk (process disruption); Physical Safety Risk (clinical impact of OT compromise); Supply Chain Risk (OT vendor remote access); Availability Risk (OT always-on requirement)</t>
        </is>
      </c>
      <c r="AS471" s="22" t="inlineStr">
        <is>
          <t>LEGAL — Mandatory for CNI OT operators under NCA-REG-2024. Hospitals as CNI: healthcare OT networks are in scope. Penalties: NCA-REG-2024 (SAR 25M max) + potential operational shutdown of non-compliant OT systems</t>
        </is>
      </c>
      <c r="AT471" s="75" t="inlineStr">
        <is>
          <t>Technical (T): 40 controls — OT network segmentation; secure remote access; OT monitoring; patch management for ICS. Administrative (A): 8 controls — OT governance; vendor management; OT incident response. Operational (O): 5 controls — OT change management; OT BCP</t>
        </is>
      </c>
      <c r="AU471" s="79" t="inlineStr">
        <is>
          <t>1. % OT assets inventoried (target 100%). 2. % OT systems with current patches within defined window. 3. # OT network zone violations detected. 4. % third-party OT vendor accesses logged. 5. OT system availability rate (target &gt;99.9% for life-critical). 6. Time-to-detect OT anomaly (target &lt;15 min for CNI)</t>
        </is>
      </c>
      <c r="AV471" s="80" t="inlineStr">
        <is>
          <t>OT vulnerability scan (passive — non-disruptive tools: Claroty, Nozomi, Dragos); OT network traffic analysis; OT penetration test (annual — must not disrupt clinical operations); vendor remote access audit; zone/conduit diagram validation</t>
        </is>
      </c>
      <c r="AW471" s="81" t="inlineStr">
        <is>
          <t>Claroty (medical IoT OT visibility); Nozomi Networks; Dragos; Tenable.ot; Fortinet OT; Medigate (healthcare-specific OT). For GRC integration: ServiceNow OT module; IBM QRadar SIEM with OT signatures</t>
        </is>
      </c>
      <c r="AX471" s="82" t="inlineStr">
        <is>
          <t>All OT vendors with remote access: mandatory access logging; time-limited access; multi-factor authentication; vendor security assessment before engagement; NDA for OT architecture access; OT vendor incident notification within 4 hours</t>
        </is>
      </c>
      <c r="AY471" s="83" t="inlineStr">
        <is>
          <t>OT breach in hospital: potential life-critical impact (ventilator, infusion pump disruption); NCA shutdown order; SAR 25M fine; criminal referral; SFDA recall if device compromise detected; massive reputational and legal exposure</t>
        </is>
      </c>
      <c r="AZ471" s="80" t="inlineStr">
        <is>
          <t>Sector-specific — consult official source</t>
        </is>
      </c>
      <c r="BA471" s="41" t="inlineStr">
        <is>
          <t>Sector-Specific</t>
        </is>
      </c>
      <c r="BB471" s="591">
        <f>IF(E471="","",IF(ISNUMBER(SEARCH("Institutional theory and regulatory governance theory underpin",AI471)),"TEMPLATE",IF(LEN(AI471)&gt;100,"DEEP",IF(AI471="","SPARSE","SHALLOW"))))</f>
        <v/>
      </c>
      <c r="BC471" s="591">
        <f>IF(E471="","",D471&amp;"-"&amp;B471&amp;"-"&amp;E471)</f>
        <v/>
      </c>
      <c r="BD471" s="591">
        <f>IF(E471="","",SUBSTITUTE(SUBSTITUTE(B471&amp;"-"&amp;E471," ",""),":","-"))</f>
        <v/>
      </c>
      <c r="BE471" s="591">
        <f>IF(E471="","",IF(ISNUMBER(SEARCH("ECC",E471)),"NCA-ECC-2-2024",IF(ISNUMBER(SEARCH("OTCC",E471)),"NCA-ECC-2-2024",IF(ISNUMBER(SEARCH("CCC",E471)),"NCA-ECC-2-2024",IF(ISNUMBER(SEARCH("DCC",E471)),"NCA-ECC-2-2024",IF(ISNUMBER(SEARCH("CSCC",E471)),"NCA-ECC-2-2024",IF(ISNUMBER(SEARCH("PDPL-IR",E471)),"PDPL-2021",IF(ISNUMBER(SEARCH("PDPL-DTR",E471)),"PDPL-2021","NONE"))))))))</f>
        <v/>
      </c>
      <c r="BF471" s="594">
        <f>IF(E471="","",IF(BB471="DEEP",10,IF(BB471="SHALLOW",5,IF(BB471="TEMPLATE",3,1)))+IF(N471="HIGHEST",5,IF(N471="HIGH",3,IF(N471="MODERATE",1,0)))+IF(ISNUMBER(SEARCH("Mandatory",L471)),3,0))</f>
        <v/>
      </c>
    </row>
    <row r="472" ht="42" customHeight="1">
      <c r="A472" s="84" t="n">
        <v>423</v>
      </c>
      <c r="B472" s="411" t="inlineStr">
        <is>
          <t>HALHC</t>
        </is>
      </c>
      <c r="C472" s="70" t="inlineStr">
        <is>
          <t>Hail Health Cluster</t>
        </is>
      </c>
      <c r="D472" s="70" t="inlineStr">
        <is>
          <t>17. Regional Health Clusters</t>
        </is>
      </c>
      <c r="E472" s="411" t="inlineStr">
        <is>
          <t>MOH-HIS</t>
        </is>
      </c>
      <c r="F472" s="72" t="inlineStr">
        <is>
          <t>Health Information System Standards</t>
        </is>
      </c>
      <c r="G472" s="70" t="inlineStr">
        <is>
          <t>معايير نظم المعلومات الصحية</t>
        </is>
      </c>
      <c r="H472" s="70" t="inlineStr">
        <is>
          <t>2024 update</t>
        </is>
      </c>
      <c r="I472" s="71" t="inlineStr">
        <is>
          <t>2010</t>
        </is>
      </c>
      <c r="J472" s="71" t="inlineStr">
        <is>
          <t>112</t>
        </is>
      </c>
      <c r="K472" s="70" t="inlineStr">
        <is>
          <t>MUST COMPLY WITH</t>
        </is>
      </c>
      <c r="L472" s="66" t="inlineStr">
        <is>
          <t>Mandatory Complier</t>
        </is>
      </c>
      <c r="M472" s="70" t="inlineStr">
        <is>
          <t>Hail Health Cluster hospitals — mandatory HIS compliance</t>
        </is>
      </c>
      <c r="N472" s="86" t="inlineStr">
        <is>
          <t>HIGHEST</t>
        </is>
      </c>
      <c r="O472" s="87" t="inlineStr">
        <is>
          <t>https://www.moh.gov.sa/en/</t>
        </is>
      </c>
      <c r="P472" s="70" t="inlineStr">
        <is>
          <t>MOH official</t>
        </is>
      </c>
      <c r="Q472" s="70" t="inlineStr">
        <is>
          <t>First issued ~2010 → comprehensive update 2022 → mandatory EMR update 2024</t>
        </is>
      </c>
      <c r="R472" s="70" t="inlineStr">
        <is>
          <t>Progressive standards covering: 2010 (basic EHR requirements); 2015 (interoperability standards added); 2018 (NABIDH integration); 2020 (mobile health and telemedicine modules); 2022 (comprehensive 112-control update covering clinical systems, imaging, medication management, emergency, genomics, training); 2024 (mandatory EMR adoption for all MOH and private facilities aligned with NABIDH)</t>
        </is>
      </c>
      <c r="S472" s="71" t="inlineStr">
        <is>
          <t>First: 2010. Major update: 2022. EMR mandate: 2024</t>
        </is>
      </c>
      <c r="T472" s="70" t="inlineStr">
        <is>
          <t>Updated with NABIDH platform releases; typically annual minor updates</t>
        </is>
      </c>
      <c r="U472" s="25" t="inlineStr">
        <is>
          <t>CURRENT — 2024 version mandatory</t>
        </is>
      </c>
      <c r="V472" s="70" t="inlineStr">
        <is>
          <t>MOH facility licensing at risk; mandatory corrective action plan; financial penalties under Private Health Institutions Law; non-compliant systems barred from NABIDH connectivity</t>
        </is>
      </c>
      <c r="W472" s="72" t="inlineStr">
        <is>
          <t>MOH — Directorate of Health Information (DHI); regional health cluster inspection teams; NHIC for interoperability compliance</t>
        </is>
      </c>
      <c r="X472" s="70" t="inlineStr">
        <is>
          <t>Hospital; Clinic; Lab; Pharmacy (hospital); Government Health Entity</t>
        </is>
      </c>
      <c r="Y472" s="49" t="inlineStr">
        <is>
          <t>Both (mandatory for MOH facilities; mandatory for private facilities since 2024 PHILAW update)</t>
        </is>
      </c>
      <c r="Z472" s="70" t="inlineStr">
        <is>
          <t>MOH annual IT audit; NHIC interoperability assessment; CBAHI HIT standards review during accreditation</t>
        </is>
      </c>
      <c r="AA472" s="71" t="inlineStr">
        <is>
          <t>Annual MOH audit; NABIDH connectivity continuous monitoring</t>
        </is>
      </c>
      <c r="AB472" s="70" t="inlineStr">
        <is>
          <t>28 (medical device integration into HIS; alarm management; device data capture; IoMT workflow integration; remote monitoring data ingestion; device incident reporting to HIS)</t>
        </is>
      </c>
      <c r="AC472" s="70" t="inlineStr">
        <is>
          <t>HL7 FHIR R4 (interoperability); IHE profiles (integration); ISO 27799:2016 (health ISMS); DICOM (imaging)</t>
        </is>
      </c>
      <c r="AD472" s="49" t="inlineStr">
        <is>
          <t>Arabic (primary); English technical annexes</t>
        </is>
      </c>
      <c r="AE472" s="26" t="inlineStr">
        <is>
          <t>Layer 1: Governance; Layer 3: Technical Controls; Layer 4: Compliance</t>
        </is>
      </c>
      <c r="AF472" s="27" t="inlineStr">
        <is>
          <t>Yes — 4 implementation levels (Basic / Intermediate / Advanced / Optimised); MOH tracks facility scores</t>
        </is>
      </c>
      <c r="AG472" s="70" t="inlineStr">
        <is>
          <t>HSTP digital health; NABIDH national EHR; Vision 2030 healthcare quality targets</t>
        </is>
      </c>
      <c r="AH472" s="70" t="inlineStr">
        <is>
          <t>HIS system documentation; NABIDH connectivity certificate; interoperability test results; staff training records; system access audit logs; downtime contingency procedure</t>
        </is>
      </c>
      <c r="AI472" s="73" t="inlineStr">
        <is>
          <t>Health informatics systems theory (Shortliffe &amp; Cimino 2006): HIS as sociotechnical infrastructure. Interoperability theory (Kuperman 2011): semantic/syntactic/organisational interoperability levels. Technology adoption theory (TAM — Davis 1989): clinician adoption barriers to HIS.</t>
        </is>
      </c>
      <c r="AJ472" s="70" t="inlineStr">
        <is>
          <t>FOR: National standardisation essential for patient safety continuity (WHO 2019); NABIDH integration creates longitudinal patient record unavailable previously; IoMT data integration requirements push hospitals toward modern system architectures. AGAINST: Ajami &amp; Bagheri-Tadi (2013) and Aloudah et al. (2021) document implementation-reality gap in Saudi HIS — standards exist but compliance varies widely by facility tier; urban-rural HIS capacity gap poorly addressed; cybersecurity requirements within HIS standards historically weak (pre-NABIDH)</t>
        </is>
      </c>
      <c r="AK472" s="74" t="inlineStr">
        <is>
          <t>112 controls create compliance burden without proportionality guidance; small private clinics face disproportionate compliance cost; no formal HIS certification programme — self-declaration accepted; IoMT data standards not harmonised with international HL7 FHIR profiles; historical emphasis on data capture over data quality</t>
        </is>
      </c>
      <c r="AL472" s="75" t="inlineStr">
        <is>
          <t>MOH-HIS vs NHS Digital standards (UK): NHS has legally binding DCB standards with enforcement; MOH-HIS is ministerial directive with softer enforcement. MOH-HIS vs ONC Health IT Certification (US): US has federal certification; KSA moving toward certification (NABIDH conformance). MOH-HIS + NHIC-NABIDH = closest to ONC approach in KSA</t>
        </is>
      </c>
      <c r="AM472" s="76" t="inlineStr">
        <is>
          <t>Ajami S &amp; Bagheri-Tadi T (2013) 'Barriers for Adopting Electronic Health Records' MateriaSociomed 25(3); Aloudah N et al. (2021) 'Digital Health in Saudi Arabia' Sustainability 13(12); Shortliffe EH &amp; Cimino JJ (2006) Biomedical Informatics Springer; WHO (2019) Classification of Digital Interventions; Alotaibi YK &amp; Federico F (2017) 'Impact of Health IT on Patient Safety' Saudi Medical J 38(12)</t>
        </is>
      </c>
      <c r="AN472" s="50" t="inlineStr">
        <is>
          <t>Official: MOH website (moh.gov.sa). Training: CPHIMS (Certified Professional Health Informatics &amp; Information Management); HL7 FHIR Foundational (HL7.org); NHIC developer portal training (nhic.gov.sa). Language: Arabic primary. Estimated: 45 hours</t>
        </is>
      </c>
      <c r="AO472" s="77" t="inlineStr">
        <is>
          <t>GH-ICGA Layer 1 (Governance) + Layer 3 (Technical Controls) — MOH-HIS is the clinical data governance backbone that the preliminary GH-ICGA IoMT framework must integrate with. Thesis: GH-ICGA IoMT data model must align with HIS data standards to ensure IoMT device data flows into the national health record coherently</t>
        </is>
      </c>
      <c r="AP472" s="34" t="inlineStr">
        <is>
          <t>G + R + C (all three — clinical information governance foundation)</t>
        </is>
      </c>
      <c r="AQ472" s="78" t="inlineStr">
        <is>
          <t>Hospital CEO: accountable for HIS compliance. CIO/CMIO: responsible for HIS implementation and NABIDH connectivity. Clinical Informatics Committee: govern HIS standards adoption. Department Heads: responsible for clinical data quality in their systems</t>
        </is>
      </c>
      <c r="AR472" s="74" t="inlineStr">
        <is>
          <t>Operational Risk (HIS downtime = clinical risk); Patient Safety Risk; Data Quality Risk; Regulatory Risk (MOH non-compliance); Interoperability Risk (NABIDH disconnection)</t>
        </is>
      </c>
      <c r="AS472" s="61" t="inlineStr">
        <is>
          <t>REGULATORY — MOH ministerial directive. Mandatory for all licensed facilities. Non-compliance risks licensing. Enforced through MOH annual audit and NABIDH connectivity monitoring</t>
        </is>
      </c>
      <c r="AT472" s="75" t="inlineStr">
        <is>
          <t>Technical (T): 68 controls — system architecture; integration; security; availability; backup. Administrative (A): 28 controls — data governance; policies; training; documentation. Operational (O): 16 controls — downtime procedures; change management; vendor management</t>
        </is>
      </c>
      <c r="AU472" s="79" t="inlineStr">
        <is>
          <t>1. NABIDH connectivity status (connected/disconnected). 2. HIS downtime incidents per month (target &lt;4h/month). 3. Data quality score (completeness/accuracy) from NABIDH reports. 4. % clinical staff trained on HIS (target 100%). 5. Time-to-restore HIS after failure (target &lt;4h). 6. # HIS security incidents per quarter</t>
        </is>
      </c>
      <c r="AV472" s="80" t="inlineStr">
        <is>
          <t>Annual MOH HIS audit (documentation + system walk-through); NABIDH API conformance test (NHIC automated); data quality audit; HIS security assessment; downtime procedure simulation; user access review</t>
        </is>
      </c>
      <c r="AW472" s="81" t="inlineStr">
        <is>
          <t>Epic; Cerner (Oracle Health); Philips Tasy EMR; Meditech; InterSystems HealthShare — all NABIDH-integrated. For compliance: ServiceNow Healthcare; Qualio (quality management); NHIC developer portal for FHIR conformance testing</t>
        </is>
      </c>
      <c r="AX472" s="82" t="inlineStr">
        <is>
          <t>HIS vendors: must be MOH-approved/NABIDH-certified; contractual data protection obligations; source code escrow for critical systems; SLA for 99.9% uptime; mandatory SFDA notification if HIS failure affects medical devices; annual security assessment of HIS vendors</t>
        </is>
      </c>
      <c r="AY472" s="83" t="inlineStr">
        <is>
          <t>Non-compliance: MOH corrective action; facility licence conditions; NABIDH disconnection (loss of referrals, national patient record access); PHILAW 2024 penalties for private facilities. Clinical impact: patient safety risk from poor data quality or HIS unavailability</t>
        </is>
      </c>
      <c r="AZ472" s="80" t="inlineStr">
        <is>
          <t>Healthcare &amp; Life Sciences</t>
        </is>
      </c>
      <c r="BA472" s="41" t="inlineStr">
        <is>
          <t>Sector-Specific</t>
        </is>
      </c>
      <c r="BB472" s="591">
        <f>IF(E472="","",IF(ISNUMBER(SEARCH("Institutional theory and regulatory governance theory underpin",AI472)),"TEMPLATE",IF(LEN(AI472)&gt;100,"DEEP",IF(AI472="","SPARSE","SHALLOW"))))</f>
        <v/>
      </c>
      <c r="BC472" s="591">
        <f>IF(E472="","",D472&amp;"-"&amp;B472&amp;"-"&amp;E472)</f>
        <v/>
      </c>
      <c r="BD472" s="591">
        <f>IF(E472="","",SUBSTITUTE(SUBSTITUTE(B472&amp;"-"&amp;E472," ",""),":","-"))</f>
        <v/>
      </c>
      <c r="BE472" s="591">
        <f>IF(E472="","",IF(ISNUMBER(SEARCH("ECC",E472)),"NCA-ECC-2-2024",IF(ISNUMBER(SEARCH("OTCC",E472)),"NCA-ECC-2-2024",IF(ISNUMBER(SEARCH("CCC",E472)),"NCA-ECC-2-2024",IF(ISNUMBER(SEARCH("DCC",E472)),"NCA-ECC-2-2024",IF(ISNUMBER(SEARCH("CSCC",E472)),"NCA-ECC-2-2024",IF(ISNUMBER(SEARCH("PDPL-IR",E472)),"PDPL-2021",IF(ISNUMBER(SEARCH("PDPL-DTR",E472)),"PDPL-2021","NONE"))))))))</f>
        <v/>
      </c>
      <c r="BF472" s="594">
        <f>IF(E472="","",IF(BB472="DEEP",10,IF(BB472="SHALLOW",5,IF(BB472="TEMPLATE",3,1)))+IF(N472="HIGHEST",5,IF(N472="HIGH",3,IF(N472="MODERATE",1,0)))+IF(ISNUMBER(SEARCH("Mandatory",L472)),3,0))</f>
        <v/>
      </c>
    </row>
    <row r="473" ht="42" customHeight="1">
      <c r="A473" s="42" t="n">
        <v>424</v>
      </c>
      <c r="B473" s="412" t="inlineStr">
        <is>
          <t>HALHC</t>
        </is>
      </c>
      <c r="C473" s="44" t="inlineStr">
        <is>
          <t>Hail Health Cluster</t>
        </is>
      </c>
      <c r="D473" s="44" t="inlineStr">
        <is>
          <t>17. Regional Health Clusters</t>
        </is>
      </c>
      <c r="E473" s="412" t="inlineStr">
        <is>
          <t>MOH-EMR-NABIDH</t>
        </is>
      </c>
      <c r="F473" s="45" t="inlineStr">
        <is>
          <t>EMR Standards / NABIDH</t>
        </is>
      </c>
      <c r="G473" s="44" t="inlineStr">
        <is>
          <t>معايير السجل الصحي الإلكتروني / نبض</t>
        </is>
      </c>
      <c r="H473" s="44" t="inlineStr">
        <is>
          <t>Mandatory 2024</t>
        </is>
      </c>
      <c r="I473" s="46" t="inlineStr">
        <is>
          <t>2010</t>
        </is>
      </c>
      <c r="J473" s="46" t="inlineStr">
        <is>
          <t>52</t>
        </is>
      </c>
      <c r="K473" s="44" t="inlineStr">
        <is>
          <t>MUST COMPLY WITH</t>
        </is>
      </c>
      <c r="L473" s="66" t="inlineStr">
        <is>
          <t>Mandatory Complier</t>
        </is>
      </c>
      <c r="M473" s="44" t="inlineStr">
        <is>
          <t>Hail Health Cluster — mandatory NABIDH connectivity 2024</t>
        </is>
      </c>
      <c r="N473" s="47" t="inlineStr">
        <is>
          <t>HIGHEST</t>
        </is>
      </c>
      <c r="O473" s="48" t="inlineStr">
        <is>
          <t>https://www.moh.gov.sa/en/</t>
        </is>
      </c>
      <c r="P473" s="44" t="inlineStr">
        <is>
          <t>MOH/NHIC</t>
        </is>
      </c>
      <c r="Q473" s="70" t="inlineStr">
        <is>
          <t>NABIDH platform launched ~2018 → mandatory EMR adoption for all facilities 2024</t>
        </is>
      </c>
      <c r="R473" s="70" t="inlineStr">
        <is>
          <t>NABIDH (National Unified EHR Platform): v1 2018 (pilot MOH hospitals); 2019-2021 (rollout to health clusters); 2022 (private hospital voluntary integration); 2023 (API standards published based on FHIR R4); 2024 (mandatory for ALL healthcare facilities per Private Health Institutions Law update — complete patient longitudinal record across facilities). EMR standard covers 52 functional requirements including: CPOE, medication reconciliation, imaging integration, patient portal, audit logs</t>
        </is>
      </c>
      <c r="S473" s="71" t="inlineStr">
        <is>
          <t>NABIDH launched: 2018. Mandatory for all: 2024</t>
        </is>
      </c>
      <c r="T473" s="70" t="inlineStr">
        <is>
          <t>Continuously updated with NABIDH platform releases</t>
        </is>
      </c>
      <c r="U473" s="25" t="inlineStr">
        <is>
          <t>CURRENT — mandatory since 2024</t>
        </is>
      </c>
      <c r="V473" s="70" t="inlineStr">
        <is>
          <t>Facility licensing revocation; MOH enforcement action; barred from government referrals; penalties under PHILAW 2024</t>
        </is>
      </c>
      <c r="W473" s="72" t="inlineStr">
        <is>
          <t>MOH — NABIDH Programme Office; NHIC; regional health clusters monitor connectivity</t>
        </is>
      </c>
      <c r="X473" s="70" t="inlineStr">
        <is>
          <t>Hospital; Clinic; Lab; Pharmacy; Government Health Entity — ALL healthcare facilities mandatory</t>
        </is>
      </c>
      <c r="Y473" s="49" t="inlineStr">
        <is>
          <t>Both (mandatory since 2024 PHILAW update for all facilities)</t>
        </is>
      </c>
      <c r="Z473" s="70" t="inlineStr">
        <is>
          <t>NHIC connectivity assessment; NABIDH API conformance testing; MOH annual audit</t>
        </is>
      </c>
      <c r="AA473" s="71" t="inlineStr">
        <is>
          <t>Continuous (NABIDH connectivity monitored in real time); annual formal audit</t>
        </is>
      </c>
      <c r="AB473" s="70" t="inlineStr">
        <is>
          <t>22 (IoMT data integration to NABIDH: wearable data ingestion API; remote monitoring feeds; device-generated vital signs; medical device alerts to patient record; IoMT consent management in EHR)</t>
        </is>
      </c>
      <c r="AC473" s="70" t="inlineStr">
        <is>
          <t>HL7 FHIR R4; IHE (Integrating the Healthcare Enterprise); SNOMED CT; ICD-10; LOINC</t>
        </is>
      </c>
      <c r="AD473" s="49" t="inlineStr">
        <is>
          <t>Arabic + English (NABIDH technical specifications bilingual)</t>
        </is>
      </c>
      <c r="AE473" s="26" t="inlineStr">
        <is>
          <t>Layer 1: Governance; Layer 3: Technical Controls; Layer 4: Compliance; Layer 5: Assurance</t>
        </is>
      </c>
      <c r="AF473" s="27" t="inlineStr">
        <is>
          <t>Yes — NABIDH connectivity levels (1: Basic data exchange; 2: Full longitudinal record; 3: Advanced interoperability with IoMT); MOH tracks facility level</t>
        </is>
      </c>
      <c r="AG473" s="70" t="inlineStr">
        <is>
          <t>HSTP digital health transformation; NABIDH national EHR; NHIS claims integration</t>
        </is>
      </c>
      <c r="AH473" s="70" t="inlineStr">
        <is>
          <t>NABIDH connectivity certificate; API integration test reports; patient consent records for data sharing; EHR system validation; data quality reports</t>
        </is>
      </c>
      <c r="AI473" s="73" t="inlineStr">
        <is>
          <t>Institutional theory and regulatory governance theory underpin all KSA regulatory frameworks. Specific theoretical basis varies by framework — consult academic literature via Google Scholar using framework name as search term.</t>
        </is>
      </c>
      <c r="AJ473" s="70" t="inlineStr">
        <is>
          <t>Academic debate varies by framework maturity and international adoption. For KSA-specific debate, consult: Almohammad &amp; Wills (2021) J Cybersecurity; Al-Khater et al. (2020) IEEE Access; Baker McKenzie KSA regulatory updates.</t>
        </is>
      </c>
      <c r="AK473" s="74" t="inlineStr">
        <is>
          <t>Known criticisms include: implementation gap between standards and practice; resource constraints for smaller healthcare entities; rapid technology evolution outpacing regulation. Consult framework evaluation literature for specifics.</t>
        </is>
      </c>
      <c r="AL473" s="75" t="inlineStr">
        <is>
          <t>Framework comparison requires contextual analysis. Key comparators: NIST CSF 2.0 (international benchmark), ISO 27001 (certifiable standard), ECC-2 (KSA mandatory baseline). See main database for cross-framework mapping.</t>
        </is>
      </c>
      <c r="AM473"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73" s="50" t="inlineStr">
        <is>
          <t>Official: Consult the official source URL in the database for the primary document. Training: ISACA, ISC2, RAPS, IAPP, and HIMSS offer professional development covering most regulatory domains. Estimated hours vary by framework complexity.</t>
        </is>
      </c>
      <c r="AO473" s="77" t="inlineStr">
        <is>
          <t>Relevance to GH-ICGA framework varies by layer — see GH-ICGA Layer Mapping column. All KSA mandatory frameworks are compliance inputs to GH-ICGA Layer 4. Frameworks with IoMT-specific provisions directly inform Layers 2 and 3.</t>
        </is>
      </c>
      <c r="AP473" s="51" t="inlineStr">
        <is>
          <t>G + C (Governance + Compliance — standard regulatory framework positioning)</t>
        </is>
      </c>
      <c r="AQ473" s="78" t="inlineStr">
        <is>
          <t>Senior management: accountability for framework compliance. Designated compliance officer: monitor requirements. All staff: awareness of applicable obligations</t>
        </is>
      </c>
      <c r="AR473" s="74" t="inlineStr">
        <is>
          <t>Regulatory Risk; Operational Risk; Reputational Risk — specific domains determined by framework scope</t>
        </is>
      </c>
      <c r="AS473" s="22" t="inlineStr">
        <is>
          <t>See official source — legal obligation, regulatory requirement, or voluntary standard as applicable</t>
        </is>
      </c>
      <c r="AT473" s="75" t="inlineStr">
        <is>
          <t>Administrative; Technical; Operational — specific distribution determined by framework content</t>
        </is>
      </c>
      <c r="AU473" s="79" t="inlineStr">
        <is>
          <t>1. Compliance status (compliant/non-compliant). 2. # open findings from last assessment. 3. % controls implemented. 4. Time to remediate findings. 5. Incident rate in framework scope area</t>
        </is>
      </c>
      <c r="AV473" s="80" t="inlineStr">
        <is>
          <t>Self-assessment; internal audit; external assessment as specified by issuing authority</t>
        </is>
      </c>
      <c r="AW473" s="81" t="inlineStr">
        <is>
          <t>ServiceNow GRC; IBM OpenPages; RSA Archer; MetricStream — all major GRC platforms support custom framework import. Contact vendor for framework-specific module</t>
        </is>
      </c>
      <c r="AX473" s="82" t="inlineStr">
        <is>
          <t>Third parties in scope must demonstrate equivalent compliance. Contractual compliance obligations; right-to-audit clauses; annual third-party assessment</t>
        </is>
      </c>
      <c r="AY473" s="83" t="inlineStr">
        <is>
          <t>Non-compliance: regulatory action by issuing authority; fines and penalties as specified; operational and reputational consequences</t>
        </is>
      </c>
      <c r="AZ473" s="80" t="inlineStr">
        <is>
          <t>Healthcare &amp; Life Sciences</t>
        </is>
      </c>
      <c r="BA473" s="41" t="inlineStr">
        <is>
          <t>Sector-Specific</t>
        </is>
      </c>
      <c r="BB473" s="591">
        <f>IF(E473="","",IF(ISNUMBER(SEARCH("Institutional theory and regulatory governance theory underpin",AI473)),"TEMPLATE",IF(LEN(AI473)&gt;100,"DEEP",IF(AI473="","SPARSE","SHALLOW"))))</f>
        <v/>
      </c>
      <c r="BC473" s="591">
        <f>IF(E473="","",D473&amp;"-"&amp;B473&amp;"-"&amp;E473)</f>
        <v/>
      </c>
      <c r="BD473" s="591">
        <f>IF(E473="","",SUBSTITUTE(SUBSTITUTE(B473&amp;"-"&amp;E473," ",""),":","-"))</f>
        <v/>
      </c>
      <c r="BE473" s="591">
        <f>IF(E473="","",IF(ISNUMBER(SEARCH("ECC",E473)),"NCA-ECC-2-2024",IF(ISNUMBER(SEARCH("OTCC",E473)),"NCA-ECC-2-2024",IF(ISNUMBER(SEARCH("CCC",E473)),"NCA-ECC-2-2024",IF(ISNUMBER(SEARCH("DCC",E473)),"NCA-ECC-2-2024",IF(ISNUMBER(SEARCH("CSCC",E473)),"NCA-ECC-2-2024",IF(ISNUMBER(SEARCH("PDPL-IR",E473)),"PDPL-2021",IF(ISNUMBER(SEARCH("PDPL-DTR",E473)),"PDPL-2021","NONE"))))))))</f>
        <v/>
      </c>
      <c r="BF473" s="594">
        <f>IF(E473="","",IF(BB473="DEEP",10,IF(BB473="SHALLOW",5,IF(BB473="TEMPLATE",3,1)))+IF(N473="HIGHEST",5,IF(N473="HIGH",3,IF(N473="MODERATE",1,0)))+IF(ISNUMBER(SEARCH("Mandatory",L473)),3,0))</f>
        <v/>
      </c>
    </row>
    <row r="474" ht="42" customHeight="1">
      <c r="A474" s="84" t="n">
        <v>425</v>
      </c>
      <c r="B474" s="411" t="inlineStr">
        <is>
          <t>HALHC</t>
        </is>
      </c>
      <c r="C474" s="70" t="inlineStr">
        <is>
          <t>Hail Health Cluster</t>
        </is>
      </c>
      <c r="D474" s="70" t="inlineStr">
        <is>
          <t>17. Regional Health Clusters</t>
        </is>
      </c>
      <c r="E474" s="411" t="inlineStr">
        <is>
          <t>MOH-PS</t>
        </is>
      </c>
      <c r="F474" s="72" t="inlineStr">
        <is>
          <t>Patient Safety Standards</t>
        </is>
      </c>
      <c r="G474" s="70" t="inlineStr">
        <is>
          <t>معايير سلامة المريض</t>
        </is>
      </c>
      <c r="H474" s="70" t="inlineStr">
        <is>
          <t>2024 update</t>
        </is>
      </c>
      <c r="I474" s="71" t="inlineStr">
        <is>
          <t>2015</t>
        </is>
      </c>
      <c r="J474" s="71" t="inlineStr">
        <is>
          <t>72</t>
        </is>
      </c>
      <c r="K474" s="70" t="inlineStr">
        <is>
          <t>MUST COMPLY WITH</t>
        </is>
      </c>
      <c r="L474" s="66" t="inlineStr">
        <is>
          <t>Mandatory Complier</t>
        </is>
      </c>
      <c r="M474" s="70" t="inlineStr">
        <is>
          <t>Hail Health Cluster — patient safety compliance</t>
        </is>
      </c>
      <c r="N474" s="86" t="inlineStr">
        <is>
          <t>HIGHEST</t>
        </is>
      </c>
      <c r="O474" s="87" t="inlineStr">
        <is>
          <t>https://www.moh.gov.sa/en/</t>
        </is>
      </c>
      <c r="P474" s="70" t="inlineStr">
        <is>
          <t>MOH official</t>
        </is>
      </c>
      <c r="Q474" s="70" t="inlineStr">
        <is>
          <t>First issued ~2015 → updates 2020 → 2024 update</t>
        </is>
      </c>
      <c r="R474" s="70" t="inlineStr">
        <is>
          <t>Based on WHO and JCI patient safety frameworks. Covers: patient identification (minimum 2 identifiers), medication safety (high-alert medications protocol), surgical safety checklist, falls prevention, infection control, critical value reporting, handover communications (SBAR). 2020 update added COVID-19 IPC protocols. 2024 update adds IoMT device safety (alarm fatigue management, device connectivity requirements)</t>
        </is>
      </c>
      <c r="S474" s="71" t="inlineStr">
        <is>
          <t>First: ~2015. Updated: 2020, 2024</t>
        </is>
      </c>
      <c r="T474" s="70" t="inlineStr">
        <is>
          <t>Annual review with MOH patient safety incidents data</t>
        </is>
      </c>
      <c r="U474" s="25" t="inlineStr">
        <is>
          <t>CURRENT — 2024 version</t>
        </is>
      </c>
      <c r="V474" s="70" t="inlineStr">
        <is>
          <t>MOH corrective action order; facility licence conditions; public safety alert; criminal liability for gross negligence</t>
        </is>
      </c>
      <c r="W474" s="72" t="inlineStr">
        <is>
          <t>MOH — Patient Safety Centre; regional health cluster inspection; CBAHI (patient safety standards embedded in accreditation)</t>
        </is>
      </c>
      <c r="X474" s="70" t="inlineStr">
        <is>
          <t>Hospital; Clinic; Government Health Entity</t>
        </is>
      </c>
      <c r="Y474" s="22" t="inlineStr">
        <is>
          <t>Both</t>
        </is>
      </c>
      <c r="Z474" s="70" t="inlineStr">
        <is>
          <t>Annual MOH patient safety inspection; CBAHI survey (integrated); incident investigation</t>
        </is>
      </c>
      <c r="AA474" s="71" t="inlineStr">
        <is>
          <t>Annual; triggered by serious adverse event</t>
        </is>
      </c>
      <c r="AB474" s="70" t="inlineStr">
        <is>
          <t>14 (alarm fatigue management for IoMT devices; connected infusion pump safety; IV smart pump drug library governance; patient ID for IoMT devices; device failure response procedures; remote monitoring alert management)</t>
        </is>
      </c>
      <c r="AC474" s="70" t="inlineStr">
        <is>
          <t>WHO Patient Safety Challenges (Global Patient Safety Action Plan 2021-2030); JCI Patient Safety Goals; The Joint Commission NPSG</t>
        </is>
      </c>
      <c r="AD474" s="49" t="inlineStr">
        <is>
          <t>Arabic (primary); English reference</t>
        </is>
      </c>
      <c r="AE474" s="26" t="inlineStr">
        <is>
          <t>Layer 1: Governance; Layer 4: Compliance</t>
        </is>
      </c>
      <c r="AF474" s="27" t="inlineStr">
        <is>
          <t>Yes — patient safety maturity levels (Safety-I to Safety-III); MOH tracks facility scores</t>
        </is>
      </c>
      <c r="AG474" s="70" t="inlineStr">
        <is>
          <t>HSTP patient safety; Vision 2030 quality targets; National Patient Safety Centre</t>
        </is>
      </c>
      <c r="AH474" s="70" t="inlineStr">
        <is>
          <t>Incident reporting system data; patient safety walkround records; fall prevention audit; medication safety audit; CBAHI patient safety standards compliance</t>
        </is>
      </c>
      <c r="AI474" s="73" t="inlineStr">
        <is>
          <t>Institutional theory and regulatory governance theory underpin all KSA regulatory frameworks. Specific theoretical basis varies by framework — consult academic literature via Google Scholar using framework name as search term.</t>
        </is>
      </c>
      <c r="AJ474" s="70" t="inlineStr">
        <is>
          <t>Academic debate varies by framework maturity and international adoption. For KSA-specific debate, consult: Almohammad &amp; Wills (2021) J Cybersecurity; Al-Khater et al. (2020) IEEE Access; Baker McKenzie KSA regulatory updates.</t>
        </is>
      </c>
      <c r="AK474" s="74" t="inlineStr">
        <is>
          <t>Known criticisms include: implementation gap between standards and practice; resource constraints for smaller healthcare entities; rapid technology evolution outpacing regulation. Consult framework evaluation literature for specifics.</t>
        </is>
      </c>
      <c r="AL474" s="75" t="inlineStr">
        <is>
          <t>Framework comparison requires contextual analysis. Key comparators: NIST CSF 2.0 (international benchmark), ISO 27001 (certifiable standard), ECC-2 (KSA mandatory baseline). See main database for cross-framework mapping.</t>
        </is>
      </c>
      <c r="AM474"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74" s="50" t="inlineStr">
        <is>
          <t>Official: Consult the official source URL in the database for the primary document. Training: ISACA, ISC2, RAPS, IAPP, and HIMSS offer professional development covering most regulatory domains. Estimated hours vary by framework complexity.</t>
        </is>
      </c>
      <c r="AO474" s="77" t="inlineStr">
        <is>
          <t>Relevance to GH-ICGA framework varies by layer — see GH-ICGA Layer Mapping column. All KSA mandatory frameworks are compliance inputs to GH-ICGA Layer 4. Frameworks with IoMT-specific provisions directly inform Layers 2 and 3.</t>
        </is>
      </c>
      <c r="AP474" s="51" t="inlineStr">
        <is>
          <t>G + C (Governance + Compliance — standard regulatory framework positioning)</t>
        </is>
      </c>
      <c r="AQ474" s="78" t="inlineStr">
        <is>
          <t>Senior management: accountability for framework compliance. Designated compliance officer: monitor requirements. All staff: awareness of applicable obligations</t>
        </is>
      </c>
      <c r="AR474" s="74" t="inlineStr">
        <is>
          <t>Regulatory Risk; Operational Risk; Reputational Risk — specific domains determined by framework scope</t>
        </is>
      </c>
      <c r="AS474" s="22" t="inlineStr">
        <is>
          <t>See official source — legal obligation, regulatory requirement, or voluntary standard as applicable</t>
        </is>
      </c>
      <c r="AT474" s="75" t="inlineStr">
        <is>
          <t>Administrative; Technical; Operational — specific distribution determined by framework content</t>
        </is>
      </c>
      <c r="AU474" s="79" t="inlineStr">
        <is>
          <t>1. Compliance status (compliant/non-compliant). 2. # open findings from last assessment. 3. % controls implemented. 4. Time to remediate findings. 5. Incident rate in framework scope area</t>
        </is>
      </c>
      <c r="AV474" s="80" t="inlineStr">
        <is>
          <t>Self-assessment; internal audit; external assessment as specified by issuing authority</t>
        </is>
      </c>
      <c r="AW474" s="81" t="inlineStr">
        <is>
          <t>ServiceNow GRC; IBM OpenPages; RSA Archer; MetricStream — all major GRC platforms support custom framework import. Contact vendor for framework-specific module</t>
        </is>
      </c>
      <c r="AX474" s="82" t="inlineStr">
        <is>
          <t>Third parties in scope must demonstrate equivalent compliance. Contractual compliance obligations; right-to-audit clauses; annual third-party assessment</t>
        </is>
      </c>
      <c r="AY474" s="83" t="inlineStr">
        <is>
          <t>Non-compliance: regulatory action by issuing authority; fines and penalties as specified; operational and reputational consequences</t>
        </is>
      </c>
      <c r="AZ474" s="80" t="inlineStr">
        <is>
          <t>Healthcare &amp; Life Sciences</t>
        </is>
      </c>
      <c r="BA474" s="41" t="inlineStr">
        <is>
          <t>Sector-Specific</t>
        </is>
      </c>
      <c r="BB474" s="591">
        <f>IF(E474="","",IF(ISNUMBER(SEARCH("Institutional theory and regulatory governance theory underpin",AI474)),"TEMPLATE",IF(LEN(AI474)&gt;100,"DEEP",IF(AI474="","SPARSE","SHALLOW"))))</f>
        <v/>
      </c>
      <c r="BC474" s="591">
        <f>IF(E474="","",D474&amp;"-"&amp;B474&amp;"-"&amp;E474)</f>
        <v/>
      </c>
      <c r="BD474" s="591">
        <f>IF(E474="","",SUBSTITUTE(SUBSTITUTE(B474&amp;"-"&amp;E474," ",""),":","-"))</f>
        <v/>
      </c>
      <c r="BE474" s="591">
        <f>IF(E474="","",IF(ISNUMBER(SEARCH("ECC",E474)),"NCA-ECC-2-2024",IF(ISNUMBER(SEARCH("OTCC",E474)),"NCA-ECC-2-2024",IF(ISNUMBER(SEARCH("CCC",E474)),"NCA-ECC-2-2024",IF(ISNUMBER(SEARCH("DCC",E474)),"NCA-ECC-2-2024",IF(ISNUMBER(SEARCH("CSCC",E474)),"NCA-ECC-2-2024",IF(ISNUMBER(SEARCH("PDPL-IR",E474)),"PDPL-2021",IF(ISNUMBER(SEARCH("PDPL-DTR",E474)),"PDPL-2021","NONE"))))))))</f>
        <v/>
      </c>
      <c r="BF474" s="594">
        <f>IF(E474="","",IF(BB474="DEEP",10,IF(BB474="SHALLOW",5,IF(BB474="TEMPLATE",3,1)))+IF(N474="HIGHEST",5,IF(N474="HIGH",3,IF(N474="MODERATE",1,0)))+IF(ISNUMBER(SEARCH("Mandatory",L474)),3,0))</f>
        <v/>
      </c>
    </row>
    <row r="475" ht="42" customHeight="1">
      <c r="A475" s="42" t="n">
        <v>426</v>
      </c>
      <c r="B475" s="412" t="inlineStr">
        <is>
          <t>HALHC</t>
        </is>
      </c>
      <c r="C475" s="44" t="inlineStr">
        <is>
          <t>Hail Health Cluster</t>
        </is>
      </c>
      <c r="D475" s="44" t="inlineStr">
        <is>
          <t>17. Regional Health Clusters</t>
        </is>
      </c>
      <c r="E475" s="412" t="inlineStr">
        <is>
          <t>MOH-PR</t>
        </is>
      </c>
      <c r="F475" s="45" t="inlineStr">
        <is>
          <t>Patient Rights Charter</t>
        </is>
      </c>
      <c r="G475" s="44" t="inlineStr">
        <is>
          <t>ميثاق حقوق المريض</t>
        </is>
      </c>
      <c r="H475" s="44" t="inlineStr">
        <is>
          <t>2019</t>
        </is>
      </c>
      <c r="I475" s="46" t="inlineStr">
        <is>
          <t>2012</t>
        </is>
      </c>
      <c r="J475" s="46" t="inlineStr">
        <is>
          <t>45</t>
        </is>
      </c>
      <c r="K475" s="44" t="inlineStr">
        <is>
          <t>MUST COMPLY WITH</t>
        </is>
      </c>
      <c r="L475" s="66" t="inlineStr">
        <is>
          <t>Mandatory Complier</t>
        </is>
      </c>
      <c r="M475" s="44" t="inlineStr">
        <is>
          <t>Hail Health Cluster facilities</t>
        </is>
      </c>
      <c r="N475" s="54" t="inlineStr">
        <is>
          <t>HIGH</t>
        </is>
      </c>
      <c r="O475" s="48" t="inlineStr">
        <is>
          <t>https://www.moh.gov.sa/en/</t>
        </is>
      </c>
      <c r="P475" s="44" t="inlineStr">
        <is>
          <t>MOH official</t>
        </is>
      </c>
      <c r="Q475" s="70" t="inlineStr">
        <is>
          <t>First Charter ~2012 → updated 2019</t>
        </is>
      </c>
      <c r="R475" s="70" t="inlineStr">
        <is>
          <t>45 rights and obligations. Key provisions: informed consent (including electronic consent for telemedicine), right to access medical records (digital access through NABIDH patient portal), right to privacy of health information, right to refuse treatment, right to second opinion. 2019 update added digital health rights (right to data portability from health apps)</t>
        </is>
      </c>
      <c r="S475" s="71" t="inlineStr">
        <is>
          <t>First: ~2012. Updated: 2019</t>
        </is>
      </c>
      <c r="T475" s="70" t="inlineStr">
        <is>
          <t>Review 2024-2025 expected to add AI/algorithmic transparency rights</t>
        </is>
      </c>
      <c r="U475" s="25" t="inlineStr">
        <is>
          <t>CURRENT — 2019 version</t>
        </is>
      </c>
      <c r="V475" s="70" t="inlineStr">
        <is>
          <t>Penalties defined by issuing authority; consult official source. NCA ECC-2 penalties apply if relevant</t>
        </is>
      </c>
      <c r="W475" s="72" t="inlineStr">
        <is>
          <t>Issuing authority and/or designated inspection department</t>
        </is>
      </c>
      <c r="X475" s="70" t="inlineStr">
        <is>
          <t>As specified in framework scope — consult official document</t>
        </is>
      </c>
      <c r="Y475" s="49" t="inlineStr">
        <is>
          <t>Both (unless specified otherwise in official document)</t>
        </is>
      </c>
      <c r="Z475" s="70" t="inlineStr">
        <is>
          <t>As defined by issuing authority</t>
        </is>
      </c>
      <c r="AA475" s="71" t="inlineStr">
        <is>
          <t>As defined by issuing authority</t>
        </is>
      </c>
      <c r="AB475" s="70" t="inlineStr">
        <is>
          <t>To be determined from framework text — see official source</t>
        </is>
      </c>
      <c r="AC475" s="70" t="inlineStr">
        <is>
          <t>See framework preamble for international standard references</t>
        </is>
      </c>
      <c r="AD475" s="49" t="inlineStr">
        <is>
          <t>Arabic (primary in KSA); English may be available</t>
        </is>
      </c>
      <c r="AE475" s="58" t="inlineStr">
        <is>
          <t>Mapped to relevant GH-ICGA layer — requires manual assessment</t>
        </is>
      </c>
      <c r="AF475" s="56" t="inlineStr">
        <is>
          <t>See official framework for maturity model details</t>
        </is>
      </c>
      <c r="AG475" s="70" t="inlineStr">
        <is>
          <t>Aligned with relevant Vision 2030 programme — see framework context</t>
        </is>
      </c>
      <c r="AH475" s="70" t="inlineStr">
        <is>
          <t>As specified in framework compliance requirements</t>
        </is>
      </c>
      <c r="AI475" s="73" t="inlineStr">
        <is>
          <t>Institutional theory and regulatory governance theory underpin all KSA regulatory frameworks. Specific theoretical basis varies by framework — consult academic literature via Google Scholar using framework name as search term.</t>
        </is>
      </c>
      <c r="AJ475" s="70" t="inlineStr">
        <is>
          <t>Academic debate varies by framework maturity and international adoption. For KSA-specific debate, consult: Almohammad &amp; Wills (2021) J Cybersecurity; Al-Khater et al. (2020) IEEE Access; Baker McKenzie KSA regulatory updates.</t>
        </is>
      </c>
      <c r="AK475" s="74" t="inlineStr">
        <is>
          <t>Known criticisms include: implementation gap between standards and practice; resource constraints for smaller healthcare entities; rapid technology evolution outpacing regulation. Consult framework evaluation literature for specifics.</t>
        </is>
      </c>
      <c r="AL475" s="75" t="inlineStr">
        <is>
          <t>Framework comparison requires contextual analysis. Key comparators: NIST CSF 2.0 (international benchmark), ISO 27001 (certifiable standard), ECC-2 (KSA mandatory baseline). See main database for cross-framework mapping.</t>
        </is>
      </c>
      <c r="AM475"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75" s="50" t="inlineStr">
        <is>
          <t>Official: Consult the official source URL in the database for the primary document. Training: ISACA, ISC2, RAPS, IAPP, and HIMSS offer professional development covering most regulatory domains. Estimated hours vary by framework complexity.</t>
        </is>
      </c>
      <c r="AO475" s="77" t="inlineStr">
        <is>
          <t>Relevance to GH-ICGA framework varies by layer — see GH-ICGA Layer Mapping column. All KSA mandatory frameworks are compliance inputs to GH-ICGA Layer 4. Frameworks with IoMT-specific provisions directly inform Layers 2 and 3.</t>
        </is>
      </c>
      <c r="AP475" s="51" t="inlineStr">
        <is>
          <t>G + C (Governance + Compliance — standard regulatory framework positioning)</t>
        </is>
      </c>
      <c r="AQ475" s="78" t="inlineStr">
        <is>
          <t>Senior management: accountability for framework compliance. Designated compliance officer: monitor requirements. All staff: awareness of applicable obligations</t>
        </is>
      </c>
      <c r="AR475" s="74" t="inlineStr">
        <is>
          <t>Regulatory Risk; Operational Risk; Reputational Risk — specific domains determined by framework scope</t>
        </is>
      </c>
      <c r="AS475" s="22" t="inlineStr">
        <is>
          <t>See official source — legal obligation, regulatory requirement, or voluntary standard as applicable</t>
        </is>
      </c>
      <c r="AT475" s="75" t="inlineStr">
        <is>
          <t>Administrative; Technical; Operational — specific distribution determined by framework content</t>
        </is>
      </c>
      <c r="AU475" s="79" t="inlineStr">
        <is>
          <t>1. Compliance status (compliant/non-compliant). 2. # open findings from last assessment. 3. % controls implemented. 4. Time to remediate findings. 5. Incident rate in framework scope area</t>
        </is>
      </c>
      <c r="AV475" s="80" t="inlineStr">
        <is>
          <t>Self-assessment; internal audit; external assessment as specified by issuing authority</t>
        </is>
      </c>
      <c r="AW475" s="81" t="inlineStr">
        <is>
          <t>ServiceNow GRC; IBM OpenPages; RSA Archer; MetricStream — all major GRC platforms support custom framework import. Contact vendor for framework-specific module</t>
        </is>
      </c>
      <c r="AX475" s="82" t="inlineStr">
        <is>
          <t>Third parties in scope must demonstrate equivalent compliance. Contractual compliance obligations; right-to-audit clauses; annual third-party assessment</t>
        </is>
      </c>
      <c r="AY475" s="83" t="inlineStr">
        <is>
          <t>Non-compliance: regulatory action by issuing authority; fines and penalties as specified; operational and reputational consequences</t>
        </is>
      </c>
      <c r="AZ475" s="80" t="inlineStr">
        <is>
          <t>Healthcare &amp; Life Sciences</t>
        </is>
      </c>
      <c r="BA475" s="41" t="inlineStr">
        <is>
          <t>Sector-Specific</t>
        </is>
      </c>
      <c r="BB475" s="591">
        <f>IF(E475="","",IF(ISNUMBER(SEARCH("Institutional theory and regulatory governance theory underpin",AI475)),"TEMPLATE",IF(LEN(AI475)&gt;100,"DEEP",IF(AI475="","SPARSE","SHALLOW"))))</f>
        <v/>
      </c>
      <c r="BC475" s="591">
        <f>IF(E475="","",D475&amp;"-"&amp;B475&amp;"-"&amp;E475)</f>
        <v/>
      </c>
      <c r="BD475" s="591">
        <f>IF(E475="","",SUBSTITUTE(SUBSTITUTE(B475&amp;"-"&amp;E475," ",""),":","-"))</f>
        <v/>
      </c>
      <c r="BE475" s="591">
        <f>IF(E475="","",IF(ISNUMBER(SEARCH("ECC",E475)),"NCA-ECC-2-2024",IF(ISNUMBER(SEARCH("OTCC",E475)),"NCA-ECC-2-2024",IF(ISNUMBER(SEARCH("CCC",E475)),"NCA-ECC-2-2024",IF(ISNUMBER(SEARCH("DCC",E475)),"NCA-ECC-2-2024",IF(ISNUMBER(SEARCH("CSCC",E475)),"NCA-ECC-2-2024",IF(ISNUMBER(SEARCH("PDPL-IR",E475)),"PDPL-2021",IF(ISNUMBER(SEARCH("PDPL-DTR",E475)),"PDPL-2021","NONE"))))))))</f>
        <v/>
      </c>
      <c r="BF475" s="594">
        <f>IF(E475="","",IF(BB475="DEEP",10,IF(BB475="SHALLOW",5,IF(BB475="TEMPLATE",3,1)))+IF(N475="HIGHEST",5,IF(N475="HIGH",3,IF(N475="MODERATE",1,0)))+IF(ISNUMBER(SEARCH("Mandatory",L475)),3,0))</f>
        <v/>
      </c>
    </row>
    <row r="476" ht="42" customHeight="1">
      <c r="A476" s="84" t="n">
        <v>427</v>
      </c>
      <c r="B476" s="411" t="inlineStr">
        <is>
          <t>HALHC</t>
        </is>
      </c>
      <c r="C476" s="70" t="inlineStr">
        <is>
          <t>Hail Health Cluster</t>
        </is>
      </c>
      <c r="D476" s="70" t="inlineStr">
        <is>
          <t>17. Regional Health Clusters</t>
        </is>
      </c>
      <c r="E476" s="411" t="inlineStr">
        <is>
          <t>CBAHI-HAS-H</t>
        </is>
      </c>
      <c r="F476" s="72" t="inlineStr">
        <is>
          <t>Hospital Accreditation Standards</t>
        </is>
      </c>
      <c r="G476" s="70" t="inlineStr">
        <is>
          <t>معايير اعتماد المستشفيات</t>
        </is>
      </c>
      <c r="H476" s="70" t="inlineStr">
        <is>
          <t>5th Ed. 2021</t>
        </is>
      </c>
      <c r="I476" s="71" t="inlineStr">
        <is>
          <t>2008</t>
        </is>
      </c>
      <c r="J476" s="71" t="inlineStr">
        <is>
          <t>298</t>
        </is>
      </c>
      <c r="K476" s="70" t="inlineStr">
        <is>
          <t>MUST COMPLY WITH</t>
        </is>
      </c>
      <c r="L476" s="92" t="inlineStr">
        <is>
          <t>Voluntary</t>
        </is>
      </c>
      <c r="M476" s="70" t="inlineStr">
        <is>
          <t>Hail Health Cluster hospitals pursuing CBAHI accreditation</t>
        </is>
      </c>
      <c r="N476" s="86" t="inlineStr">
        <is>
          <t>HIGHEST</t>
        </is>
      </c>
      <c r="O476" s="87" t="inlineStr">
        <is>
          <t>https://www.cbahi.gov.sa/</t>
        </is>
      </c>
      <c r="P476" s="70" t="inlineStr">
        <is>
          <t>CBAHI official</t>
        </is>
      </c>
      <c r="Q476" s="70" t="inlineStr">
        <is>
          <t>1st Ed 2008 → 2nd Ed 2011 → 3rd Ed 2014 → 4th Ed 2017 → 5th Ed 2021</t>
        </is>
      </c>
      <c r="R476" s="70" t="inlineStr">
        <is>
          <t>5th Edition (2021, current): 298 standards across domains including Patient and Family Rights, Patient Assessment, Care of Patients, Patient Safety, Medication Management, Infection Prevention, Facility Management, Staff Qualifications, Quality Improvement, Governance, HIT (Health Information Technology). HIT standards require EMR, NABIDH connectivity, access control, audit trails, downtime procedures. IoMT requirements added in 5th Ed: medical device integration standards, alarm management policy. Benchmarked against JCI standards</t>
        </is>
      </c>
      <c r="S476" s="71" t="inlineStr">
        <is>
          <t>1st Ed: 2008. 2nd: 2011. 3rd: 2014. 4th: 2017. 5th: 2021</t>
        </is>
      </c>
      <c r="T476" s="70" t="inlineStr">
        <is>
          <t>6th Edition expected 2025-2026</t>
        </is>
      </c>
      <c r="U476" s="25" t="inlineStr">
        <is>
          <t>CURRENT — 5th Edition 2021</t>
        </is>
      </c>
      <c r="V476" s="70" t="inlineStr">
        <is>
          <t>Accreditation denial; accreditation suspension; accreditation withdrawal; MOH facility licensing risk (accreditation linked to licensing in practice)</t>
        </is>
      </c>
      <c r="W476" s="72" t="inlineStr">
        <is>
          <t>CBAHI — Accreditation Survey Teams (peer surveyors); MOH recognises CBAHI as national accreditor</t>
        </is>
      </c>
      <c r="X476" s="70" t="inlineStr">
        <is>
          <t>Hospital (primary scope); Teaching Hospital; Specialist Centre</t>
        </is>
      </c>
      <c r="Y476" s="49" t="inlineStr">
        <is>
          <t>Both (voluntary but operationally required)</t>
        </is>
      </c>
      <c r="Z476" s="70" t="inlineStr">
        <is>
          <t>Full survey every 3 years; midterm (focused) survey at 18 months; unannounced visits; corrective action follow-up</t>
        </is>
      </c>
      <c r="AA476" s="71" t="inlineStr">
        <is>
          <t>Full survey: 3-year cycle. Midterm: 18 months. Unannounced: possible at any time</t>
        </is>
      </c>
      <c r="AB476" s="70" t="inlineStr">
        <is>
          <t>22 (HIT standards: medical device integration; alarm management policy mandatory; device maintenance logs; remote monitoring governance; downtime procedures; device inventory; cybersecurity of clinical systems as patient safety issue)</t>
        </is>
      </c>
      <c r="AC476" s="70" t="inlineStr">
        <is>
          <t>JCI (Joint Commission International) — benchmarked; ISQua (accreditation body accreditor); WHO Safe Hospitals Framework</t>
        </is>
      </c>
      <c r="AD476" s="22" t="inlineStr">
        <is>
          <t>Arabic + English (official bilingual)</t>
        </is>
      </c>
      <c r="AE476" s="26" t="inlineStr">
        <is>
          <t>Layer 1: Governance; Layer 4: Compliance; Layer 5: Assurance</t>
        </is>
      </c>
      <c r="AF476" s="27" t="inlineStr">
        <is>
          <t>Yes — Met / Partially Met / Not Met / Not Applicable per standard; overall accreditation decision = scored threshold</t>
        </is>
      </c>
      <c r="AG476" s="70" t="inlineStr">
        <is>
          <t>HSTP quality transformation; Vision 2030 healthcare quality targets (JCI/CBAHI accreditation for all tertiary hospitals)</t>
        </is>
      </c>
      <c r="AH476" s="70" t="inlineStr">
        <is>
          <t>Survey self-assessment; policy documentation; staff credential files; patient safety incident log; HIT system audit; quality improvement data; patient satisfaction scores</t>
        </is>
      </c>
      <c r="AI476" s="73" t="inlineStr">
        <is>
          <t>Healthcare quality theory (Donabedian 1988): structure-process-outcome triad. Accreditation theory: third-party external validation as quality assurance mechanism. Institutional isomorphism: accreditation spreads best practices through mimetic pressure. Patient safety culture theory (Reason 2000): systems-based safety vs blame culture.</t>
        </is>
      </c>
      <c r="AJ476" s="70" t="inlineStr">
        <is>
          <t>FOR: Almutairi et al. (2015) and Alkhenizan &amp; Shaw (2011) find CBAHI-accredited hospitals show measurable quality improvements; national benchmark grounded in Saudi context unlike JCI (US-centric); patient safety improvements documented post-accreditation. AGAINST: Voluntariness undermines universal coverage — only ~40% of KSA hospitals accredited (WHO PHSSR 2025); Greenfield &amp; Braithwaite (2008) meta-analysis questions causal link between accreditation and patient outcomes; survey preparation creates compliance-oriented behaviours rather than genuine quality improvement (gaming risk)</t>
        </is>
      </c>
      <c r="AK476" s="74" t="inlineStr">
        <is>
          <t>3-year survey cycle too long for rapid IoMT deployment environment; HIT standards in 5th Ed still less specific than HIMSS EMRAM Stage 6/7 requirements; cybersecurity standards within CBAHI remain minimal compared to NCA ECC-2 requirements; no dedicated IoMT governance chapter despite medical device proliferation; rural and small facility accreditation rates critically low</t>
        </is>
      </c>
      <c r="AL476" s="75" t="inlineStr">
        <is>
          <t>CBAHI vs JCI: JCI globally recognised; CBAHI nationally recognised — JCI preferred for medical tourism attracting hospitals. CBAHI vs HIMSS EMRAM: CBAHI is broad clinical; HIMSS EMRAM is digital health maturity-specific. CBAHI vs DNV: CBAHI similar survey model. CBAHI + HIMSS EMRAM combined = most comprehensive digital health quality picture for KSA hospitals</t>
        </is>
      </c>
      <c r="AM476" s="76" t="inlineStr">
        <is>
          <t>Alkhenizan A &amp; Shaw C (2011) 'Impact of Accreditation' Ann Saudi Med 31(4); Almutairi AF et al. (2015) 'Perceptions of CBAHI Accreditation' BMC Health Services Research; Donabedian A (1988) 'Quality of Care' JAMA 260(12); Greenfield D &amp; Braithwaite J (2008) 'Health Sector Accreditation Research' Int J Quality Health Care 20(3); WHO (2025) PHSSR Saudi Arabia</t>
        </is>
      </c>
      <c r="AN476" s="50" t="inlineStr">
        <is>
          <t>Official: CBAHI website (cbahi.gov.sa) — standards available to purchase. Training: CBAHI education programmes; surveyor training; CPHQ (Certified Professional in Healthcare Quality). Estimated: 60 hours for surveyors; 20 hours for department leads</t>
        </is>
      </c>
      <c r="AO476" s="77" t="inlineStr">
        <is>
          <t>GH-ICGA Layer 5 (Assurance) — CBAHI accreditation is the primary assurance mechanism for hospital IoMT governance. Thesis argument: CBAHI-HAS-H 5th Ed HIT standards need a cybersecurity annex for IoMT — GH-ICGA Layer 5 Assurance proposes an IoMT-specific evaluation framework that could be adopted within CBAHI survey process</t>
        </is>
      </c>
      <c r="AP476" s="51" t="inlineStr">
        <is>
          <t>G + C (Governance through quality standards + voluntary compliance assurance)</t>
        </is>
      </c>
      <c r="AQ476" s="78" t="inlineStr">
        <is>
          <t>CEO: accountable for accreditation status. CMO: responsible for clinical quality chapter compliance. CNO: responsible for nursing quality. Quality/Patient Safety Director: coordinates accreditation programme. Department heads: responsible for chapter compliance in their domain. Accreditation Committee: cross-functional governance body</t>
        </is>
      </c>
      <c r="AR476" s="74" t="inlineStr">
        <is>
          <t>Quality Risk; Patient Safety Risk; Operational Risk (accreditation loss = licensing risk); Reputational Risk; Regulatory Risk (MOH links accreditation to licensing in practice)</t>
        </is>
      </c>
      <c r="AS476" s="92" t="inlineStr">
        <is>
          <t>VOLUNTARY — but operationally MANDATORY (MOH licensing increasingly linked to CBAHI in practice; required for JCI-referencing hospitals and private insurance network participation)</t>
        </is>
      </c>
      <c r="AT476" s="75" t="inlineStr">
        <is>
          <t>Administrative (A): 150 controls — policies; procedures; governance; quality committees. Technical (T): 48 controls — HIT; equipment maintenance; diagnostic systems. Operational (O): 100 controls — clinical procedures; patient safety practices; staff competencies</t>
        </is>
      </c>
      <c r="AU476" s="79" t="inlineStr">
        <is>
          <t>1. CBAHI survey score per chapter (target ≥90% Met). 2. # sentinel events per 1,000 admissions. 3. Falls rate per 1,000 patient days. 4. Hospital-acquired infection rate. 5. Patient satisfaction score (target &gt;90%). 6. Medication error rate. 7. HIT compliance score (CBAHI HIT chapter)</t>
        </is>
      </c>
      <c r="AV476" s="80" t="inlineStr">
        <is>
          <t>CBAHI full survey (3-year cycle — 2-3 day on-site assessment); midterm survey (18 months — focused chapters); unannounced visit (possible any time); tracer methodology; document review; staff interviews; facility inspection</t>
        </is>
      </c>
      <c r="AW476" s="81" t="inlineStr">
        <is>
          <t>Accreditation Manager (CBAHI online platform); EQUIP (quality management platform); PowerDMS; Quantros; Press Ganey (patient satisfaction); Meditech/Epic quality modules; RL6 (incident reporting)</t>
        </is>
      </c>
      <c r="AX476" s="82" t="inlineStr">
        <is>
          <t>Contractors and service providers in clinical areas must meet CBAHI competency requirements; credentialing of contracted physicians required; outsourced services (laundry, catering, security) must meet CBAHI environment chapter standards; medical device vendors: CBAHI biomedical equipment requirements</t>
        </is>
      </c>
      <c r="AY476" s="83" t="inlineStr">
        <is>
          <t>Accreditation denial: cannot be MOH referral centre; excluded from major insurance networks; reputational damage. Accreditation suspension: immediate revenue impact from insurance exclusion. MOH can condition facility licence on CBAHI compliance</t>
        </is>
      </c>
      <c r="AZ476" s="80" t="inlineStr">
        <is>
          <t>Healthcare &amp; Life Sciences</t>
        </is>
      </c>
      <c r="BA476" s="41" t="inlineStr">
        <is>
          <t>Sector-Specific</t>
        </is>
      </c>
      <c r="BB476" s="591">
        <f>IF(E476="","",IF(ISNUMBER(SEARCH("Institutional theory and regulatory governance theory underpin",AI476)),"TEMPLATE",IF(LEN(AI476)&gt;100,"DEEP",IF(AI476="","SPARSE","SHALLOW"))))</f>
        <v/>
      </c>
      <c r="BC476" s="591">
        <f>IF(E476="","",D476&amp;"-"&amp;B476&amp;"-"&amp;E476)</f>
        <v/>
      </c>
      <c r="BD476" s="591">
        <f>IF(E476="","",SUBSTITUTE(SUBSTITUTE(B476&amp;"-"&amp;E476," ",""),":","-"))</f>
        <v/>
      </c>
      <c r="BE476" s="591">
        <f>IF(E476="","",IF(ISNUMBER(SEARCH("ECC",E476)),"NCA-ECC-2-2024",IF(ISNUMBER(SEARCH("OTCC",E476)),"NCA-ECC-2-2024",IF(ISNUMBER(SEARCH("CCC",E476)),"NCA-ECC-2-2024",IF(ISNUMBER(SEARCH("DCC",E476)),"NCA-ECC-2-2024",IF(ISNUMBER(SEARCH("CSCC",E476)),"NCA-ECC-2-2024",IF(ISNUMBER(SEARCH("PDPL-IR",E476)),"PDPL-2021",IF(ISNUMBER(SEARCH("PDPL-DTR",E476)),"PDPL-2021","NONE"))))))))</f>
        <v/>
      </c>
      <c r="BF476" s="594">
        <f>IF(E476="","",IF(BB476="DEEP",10,IF(BB476="SHALLOW",5,IF(BB476="TEMPLATE",3,1)))+IF(N476="HIGHEST",5,IF(N476="HIGH",3,IF(N476="MODERATE",1,0)))+IF(ISNUMBER(SEARCH("Mandatory",L476)),3,0))</f>
        <v/>
      </c>
    </row>
    <row r="477" ht="42" customHeight="1">
      <c r="A477" s="42" t="n">
        <v>428</v>
      </c>
      <c r="B477" s="412" t="inlineStr">
        <is>
          <t>HALHC</t>
        </is>
      </c>
      <c r="C477" s="44" t="inlineStr">
        <is>
          <t>Hail Health Cluster</t>
        </is>
      </c>
      <c r="D477" s="44" t="inlineStr">
        <is>
          <t>17. Regional Health Clusters</t>
        </is>
      </c>
      <c r="E477" s="412" t="inlineStr">
        <is>
          <t>NCA-ECC-2:2024</t>
        </is>
      </c>
      <c r="F477" s="45" t="inlineStr">
        <is>
          <t>Essential Cybersecurity Controls</t>
        </is>
      </c>
      <c r="G477" s="44" t="inlineStr">
        <is>
          <t>ضوابط الأمن السيبراني الأساسية</t>
        </is>
      </c>
      <c r="H477" s="44" t="inlineStr">
        <is>
          <t>ECC-2:2024</t>
        </is>
      </c>
      <c r="I477" s="46" t="inlineStr">
        <is>
          <t>2018</t>
        </is>
      </c>
      <c r="J477" s="46" t="inlineStr">
        <is>
          <t>108</t>
        </is>
      </c>
      <c r="K477" s="44" t="inlineStr">
        <is>
          <t>MUST COMPLY WITH</t>
        </is>
      </c>
      <c r="L477" s="66" t="inlineStr">
        <is>
          <t>Mandatory Complier</t>
        </is>
      </c>
      <c r="M477" s="44" t="inlineStr">
        <is>
          <t>Hail Health Cluster as government entity — hospital networks</t>
        </is>
      </c>
      <c r="N477" s="47" t="inlineStr">
        <is>
          <t>HIGHEST</t>
        </is>
      </c>
      <c r="O477" s="48" t="inlineStr">
        <is>
          <t>https://nca.gov.sa/</t>
        </is>
      </c>
      <c r="P477" s="44" t="inlineStr">
        <is>
          <t>NCA ECC scope</t>
        </is>
      </c>
      <c r="Q477" s="70" t="inlineStr">
        <is>
          <t>See official source for version history</t>
        </is>
      </c>
      <c r="R477" s="70" t="inlineStr">
        <is>
          <t>Framework issued by the relevant authority. Version details available on the official website referenced in the source URL column. The framework has been updated periodically since first issuance.</t>
        </is>
      </c>
      <c r="S477" s="71" t="inlineStr">
        <is>
          <t>See official source</t>
        </is>
      </c>
      <c r="T477" s="70" t="inlineStr">
        <is>
          <t>Updated as needed by the issuing authority</t>
        </is>
      </c>
      <c r="U477" s="25" t="inlineStr">
        <is>
          <t>CURRENT — consult official source for latest version</t>
        </is>
      </c>
      <c r="V477" s="70" t="inlineStr">
        <is>
          <t>Penalties defined by issuing authority; consult official source. NCA ECC-2 penalties apply if relevant</t>
        </is>
      </c>
      <c r="W477" s="72" t="inlineStr">
        <is>
          <t>Issuing authority and/or designated inspection department</t>
        </is>
      </c>
      <c r="X477" s="70" t="inlineStr">
        <is>
          <t>As specified in framework scope — consult official document</t>
        </is>
      </c>
      <c r="Y477" s="49" t="inlineStr">
        <is>
          <t>Both (unless specified otherwise in official document)</t>
        </is>
      </c>
      <c r="Z477" s="70" t="inlineStr">
        <is>
          <t>As defined by issuing authority</t>
        </is>
      </c>
      <c r="AA477" s="71" t="inlineStr">
        <is>
          <t>As defined by issuing authority</t>
        </is>
      </c>
      <c r="AB477" s="70" t="inlineStr">
        <is>
          <t>To be determined from framework text — see official source</t>
        </is>
      </c>
      <c r="AC477" s="70" t="inlineStr">
        <is>
          <t>See framework preamble for international standard references</t>
        </is>
      </c>
      <c r="AD477" s="49" t="inlineStr">
        <is>
          <t>Arabic (primary in KSA); English may be available</t>
        </is>
      </c>
      <c r="AE477" s="58" t="inlineStr">
        <is>
          <t>Mapped to relevant GH-ICGA layer — requires manual assessment</t>
        </is>
      </c>
      <c r="AF477" s="56" t="inlineStr">
        <is>
          <t>See official framework for maturity model details</t>
        </is>
      </c>
      <c r="AG477" s="70" t="inlineStr">
        <is>
          <t>Aligned with relevant Vision 2030 programme — see framework context</t>
        </is>
      </c>
      <c r="AH477" s="70" t="inlineStr">
        <is>
          <t>As specified in framework compliance requirements</t>
        </is>
      </c>
      <c r="AI477" s="73" t="inlineStr">
        <is>
          <t>Institutional theory and regulatory governance theory underpin all KSA regulatory frameworks. Specific theoretical basis varies by framework — consult academic literature via Google Scholar using framework name as search term.</t>
        </is>
      </c>
      <c r="AJ477" s="70" t="inlineStr">
        <is>
          <t>Academic debate varies by framework maturity and international adoption. For KSA-specific debate, consult: Almohammad &amp; Wills (2021) J Cybersecurity; Al-Khater et al. (2020) IEEE Access; Baker McKenzie KSA regulatory updates.</t>
        </is>
      </c>
      <c r="AK477" s="74" t="inlineStr">
        <is>
          <t>Known criticisms include: implementation gap between standards and practice; resource constraints for smaller healthcare entities; rapid technology evolution outpacing regulation. Consult framework evaluation literature for specifics.</t>
        </is>
      </c>
      <c r="AL477" s="75" t="inlineStr">
        <is>
          <t>Framework comparison requires contextual analysis. Key comparators: NIST CSF 2.0 (international benchmark), ISO 27001 (certifiable standard), ECC-2 (KSA mandatory baseline). See main database for cross-framework mapping.</t>
        </is>
      </c>
      <c r="AM477"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77" s="50" t="inlineStr">
        <is>
          <t>Official: Consult the official source URL in the database for the primary document. Training: ISACA, ISC2, RAPS, IAPP, and HIMSS offer professional development covering most regulatory domains. Estimated hours vary by framework complexity.</t>
        </is>
      </c>
      <c r="AO477" s="77" t="inlineStr">
        <is>
          <t>Relevance to GH-ICGA framework varies by layer — see GH-ICGA Layer Mapping column. All KSA mandatory frameworks are compliance inputs to GH-ICGA Layer 4. Frameworks with IoMT-specific provisions directly inform Layers 2 and 3.</t>
        </is>
      </c>
      <c r="AP477" s="51" t="inlineStr">
        <is>
          <t>G + C (Governance + Compliance — standard regulatory framework positioning)</t>
        </is>
      </c>
      <c r="AQ477" s="78" t="inlineStr">
        <is>
          <t>Senior management: accountability for framework compliance. Designated compliance officer: monitor requirements. All staff: awareness of applicable obligations</t>
        </is>
      </c>
      <c r="AR477" s="74" t="inlineStr">
        <is>
          <t>Regulatory Risk; Operational Risk; Reputational Risk — specific domains determined by framework scope</t>
        </is>
      </c>
      <c r="AS477" s="22" t="inlineStr">
        <is>
          <t>See official source — legal obligation, regulatory requirement, or voluntary standard as applicable</t>
        </is>
      </c>
      <c r="AT477" s="75" t="inlineStr">
        <is>
          <t>Administrative; Technical; Operational — specific distribution determined by framework content</t>
        </is>
      </c>
      <c r="AU477" s="79" t="inlineStr">
        <is>
          <t>1. Compliance status (compliant/non-compliant). 2. # open findings from last assessment. 3. % controls implemented. 4. Time to remediate findings. 5. Incident rate in framework scope area</t>
        </is>
      </c>
      <c r="AV477" s="80" t="inlineStr">
        <is>
          <t>Self-assessment; internal audit; external assessment as specified by issuing authority</t>
        </is>
      </c>
      <c r="AW477" s="81" t="inlineStr">
        <is>
          <t>ServiceNow GRC; IBM OpenPages; RSA Archer; MetricStream — all major GRC platforms support custom framework import. Contact vendor for framework-specific module</t>
        </is>
      </c>
      <c r="AX477" s="82" t="inlineStr">
        <is>
          <t>Third parties in scope must demonstrate equivalent compliance. Contractual compliance obligations; right-to-audit clauses; annual third-party assessment</t>
        </is>
      </c>
      <c r="AY477" s="83" t="inlineStr">
        <is>
          <t>Non-compliance: regulatory action by issuing authority; fines and penalties as specified; operational and reputational consequences</t>
        </is>
      </c>
      <c r="AZ477" s="80" t="inlineStr">
        <is>
          <t>ALL 17 SECTORS</t>
        </is>
      </c>
      <c r="BA477" s="34" t="inlineStr">
        <is>
          <t>YES — ALL SECTORS</t>
        </is>
      </c>
      <c r="BB477" s="591">
        <f>IF(E477="","",IF(ISNUMBER(SEARCH("Institutional theory and regulatory governance theory underpin",AI477)),"TEMPLATE",IF(LEN(AI477)&gt;100,"DEEP",IF(AI477="","SPARSE","SHALLOW"))))</f>
        <v/>
      </c>
      <c r="BC477" s="591">
        <f>IF(E477="","",D477&amp;"-"&amp;B477&amp;"-"&amp;E477)</f>
        <v/>
      </c>
      <c r="BD477" s="591">
        <f>IF(E477="","",SUBSTITUTE(SUBSTITUTE(B477&amp;"-"&amp;E477," ",""),":","-"))</f>
        <v/>
      </c>
      <c r="BE477" s="591">
        <f>IF(E477="","",IF(ISNUMBER(SEARCH("ECC",E477)),"NCA-ECC-2-2024",IF(ISNUMBER(SEARCH("OTCC",E477)),"NCA-ECC-2-2024",IF(ISNUMBER(SEARCH("CCC",E477)),"NCA-ECC-2-2024",IF(ISNUMBER(SEARCH("DCC",E477)),"NCA-ECC-2-2024",IF(ISNUMBER(SEARCH("CSCC",E477)),"NCA-ECC-2-2024",IF(ISNUMBER(SEARCH("PDPL-IR",E477)),"PDPL-2021",IF(ISNUMBER(SEARCH("PDPL-DTR",E477)),"PDPL-2021","NONE"))))))))</f>
        <v/>
      </c>
      <c r="BF477" s="594">
        <f>IF(E477="","",IF(BB477="DEEP",10,IF(BB477="SHALLOW",5,IF(BB477="TEMPLATE",3,1)))+IF(N477="HIGHEST",5,IF(N477="HIGH",3,IF(N477="MODERATE",1,0)))+IF(ISNUMBER(SEARCH("Mandatory",L477)),3,0))</f>
        <v/>
      </c>
    </row>
    <row r="478" ht="42" customHeight="1">
      <c r="A478" s="84" t="n">
        <v>429</v>
      </c>
      <c r="B478" s="411" t="inlineStr">
        <is>
          <t>HALHC</t>
        </is>
      </c>
      <c r="C478" s="70" t="inlineStr">
        <is>
          <t>Hail Health Cluster</t>
        </is>
      </c>
      <c r="D478" s="70" t="inlineStr">
        <is>
          <t>17. Regional Health Clusters</t>
        </is>
      </c>
      <c r="E478" s="411" t="inlineStr">
        <is>
          <t>PDPL-2021</t>
        </is>
      </c>
      <c r="F478" s="72" t="inlineStr">
        <is>
          <t>Personal Data Protection Law</t>
        </is>
      </c>
      <c r="G478" s="70" t="inlineStr">
        <is>
          <t>نظام حماية البيانات الشخصية</t>
        </is>
      </c>
      <c r="H478" s="70" t="inlineStr">
        <is>
          <t>2021+IR 2023</t>
        </is>
      </c>
      <c r="I478" s="71" t="inlineStr">
        <is>
          <t>2021</t>
        </is>
      </c>
      <c r="J478" s="71" t="inlineStr">
        <is>
          <t>45</t>
        </is>
      </c>
      <c r="K478" s="70" t="inlineStr">
        <is>
          <t>MUST COMPLY WITH</t>
        </is>
      </c>
      <c r="L478" s="66" t="inlineStr">
        <is>
          <t>Mandatory Complier</t>
        </is>
      </c>
      <c r="M478" s="70" t="inlineStr">
        <is>
          <t>Hail Health Cluster processes patient personal data</t>
        </is>
      </c>
      <c r="N478" s="86" t="inlineStr">
        <is>
          <t>HIGHEST</t>
        </is>
      </c>
      <c r="O478" s="87" t="inlineStr">
        <is>
          <t>https://sdaia.gov.sa/</t>
        </is>
      </c>
      <c r="P478" s="70" t="inlineStr">
        <is>
          <t>SDAIA</t>
        </is>
      </c>
      <c r="Q478" s="70" t="inlineStr">
        <is>
          <t>Royal Decree M/19 (16 Sep 2021) → amended Apr 2023</t>
        </is>
      </c>
      <c r="R478" s="70" t="inlineStr">
        <is>
          <t>Original (2021): 19 articles covering consent, data subject rights, controller obligations, sensitive data (health = sensitive), cross-border transfer. Apr 2023 amendment: strengthened enforcement, clarified health data provisions, aligned with PDPL-IR-2023. Grace period for compliance ended Sep 14, 2024. Penalties: up to SAR 5 million fine + 2 years imprisonment for sensitive data breach</t>
        </is>
      </c>
      <c r="S478" s="71" t="inlineStr">
        <is>
          <t>Issued: Sep 2021. Amended: Apr 2023. Fully enforceable: Sep 14, 2024</t>
        </is>
      </c>
      <c r="T478" s="70" t="inlineStr">
        <is>
          <t>SDAIA reviews annually; amendments expected 2025-2026</t>
        </is>
      </c>
      <c r="U478" s="25" t="inlineStr">
        <is>
          <t>CURRENT — fully enforceable since Sep 2024</t>
        </is>
      </c>
      <c r="V478" s="70" t="inlineStr">
        <is>
          <t>Criminal offence: up to 2 years imprisonment + SAR 3M fine for disclosing sensitive data (health data = sensitive); administrative fine up to SAR 5M; mandatory breach notification to SDAIA within 72 hours; data subject compensation claims</t>
        </is>
      </c>
      <c r="W478" s="72" t="inlineStr">
        <is>
          <t>SDAIA — Data Protection Authority (DPA functions); NDMO for government entities; courts for criminal penalties</t>
        </is>
      </c>
      <c r="X478" s="70" t="inlineStr">
        <is>
          <t>Hospital; Clinic; Lab; Pharmacy; Health IT Vendor; Health Insurer; Government Health Entity; Medical Device Manufacturer (all processing patient data)</t>
        </is>
      </c>
      <c r="Y478" s="49" t="inlineStr">
        <is>
          <t>Both + foreign entities processing data of KSA residents</t>
        </is>
      </c>
      <c r="Z478" s="70" t="inlineStr">
        <is>
          <t>SDAIA audit; controller self-assessment; DPO oversight; data subject complaints trigger investigation</t>
        </is>
      </c>
      <c r="AA478" s="71" t="inlineStr">
        <is>
          <t>Continuous (breach notification: 72 hours); annual DPO report; SDAIA random audits</t>
        </is>
      </c>
      <c r="AB478" s="70" t="inlineStr">
        <is>
          <t>12 (IoMT data minimisation; purpose limitation; consent management for wearable data; automated decision-making; data subject rights for IoMT-generated health data; cross-border transfer of IoMT data)</t>
        </is>
      </c>
      <c r="AC478" s="70" t="inlineStr">
        <is>
          <t>GDPR (substantial alignment — adequate protection basis); APEC Privacy Framework; ISO 29100; ISO 27701</t>
        </is>
      </c>
      <c r="AD478" s="49" t="inlineStr">
        <is>
          <t>Arabic (official); English translation (unofficial)</t>
        </is>
      </c>
      <c r="AE478" s="50" t="inlineStr">
        <is>
          <t>Layer 4: Compliance; Layer 2: Risk Management</t>
        </is>
      </c>
      <c r="AF478" s="60" t="inlineStr">
        <is>
          <t>No formal maturity model; SDAIA publishes compliance guidance</t>
        </is>
      </c>
      <c r="AG478" s="70" t="inlineStr">
        <is>
          <t>National Data Strategy; Vision 2030 Digital Economy; Digital Government transformation</t>
        </is>
      </c>
      <c r="AH478" s="70" t="inlineStr">
        <is>
          <t>Privacy notices; consent records; DPO appointment letter; data mapping/flow diagrams; breach notification records; DPIA for health data processing; controller registration</t>
        </is>
      </c>
      <c r="AI478" s="73" t="inlineStr">
        <is>
          <t>Privacy as fundamental right (Warren &amp; Brandeis 1890; Westin 1967). Contextual integrity theory (Nissenbaum 2004): health data flows must match medical context norms. Regulatory theory: data protection authority independence and enforcement. Information asymmetry theory: patients cannot protect their own data without regulation.</t>
        </is>
      </c>
      <c r="AJ478" s="70" t="inlineStr">
        <is>
          <t>FOR: Long-overdue — KSA had no comprehensive data protection law until 2021; health data explicitly protected as sensitive category; aligns KSA with global adequacy standards. AGAINST: Alrawabdeh (2014) and Aldawood &amp; Skinner (2019) documented Saudi privacy culture gap — regulation without public awareness is ineffective; 'GDPR-lite' criticism: exemptions broader than GDPR, enforcement weaker; health data provisions in IR still less specific than UK GDPR Schedule 1 conditions</t>
        </is>
      </c>
      <c r="AK478" s="74" t="inlineStr">
        <is>
          <t>No independent supervisory authority (SDAIA is both promoter and regulator — conflict of interest noted by Baker McKenzie 2025); patient data portability rights weaker than GDPR Article 20; no explicit right to explanation for AI-automated health decisions; cross-border transfer rules changed twice in 12 months (regulatory instability); small healthcare providers lack capacity for DPO requirements</t>
        </is>
      </c>
      <c r="AL478" s="75" t="inlineStr">
        <is>
          <t>PDPL vs GDPR: PDPL penalty lower (SAR 5M vs €20M); PDPL broader government exemptions; GDPR has independent DPA, PDPL does not. PDPL vs HIPAA: PDPL = all personal data (broader); HIPAA = US-specific health data only. PDPL vs UK GDPR: PDPL misses explicit Schedule 1 health data conditions. PDPL ahead of HIPAA on consent granularity; behind GDPR on enforcement independence</t>
        </is>
      </c>
      <c r="AM478" s="76" t="inlineStr">
        <is>
          <t>Baker McKenzie (2025) Saudi Arabia PDPL Global Data &amp; Cyber Handbook; Alrawabdeh W (2014) 'Internet and Social Media Challenges in Arab World' EJSR; Westin AF (1967) Privacy and Freedom NY Atheneum; Nissenbaum H (2004) 'Privacy as Contextual Integrity' Washington Law Review 79(1); CMS Law (2025) Saudi Arabia Data Protection &amp; Cybersecurity Expert Guide Oct 2025</t>
        </is>
      </c>
      <c r="AN478" s="50" t="inlineStr">
        <is>
          <t>Official: SDAIA website (sdaia.gov.sa) — Arabic + English. Training: IAPP CIPM/CIPP/E (privacy certifications applicable); OneTrust PDPL compliance course; Baker McKenzie PDPL compliance guide. Language: Arabic primary — strong Arabic reading recommended. Estimated: 50 hours for health sector DPO competence</t>
        </is>
      </c>
      <c r="AO478" s="77" t="inlineStr">
        <is>
          <t>PRIMARY driver for GH-ICGA Layer 4 (Compliance) — PDPL is the legal foundation for patient data governance in the preliminary GH-ICGA framework. Thesis argument: GH-ICGA Layer 4 operationalises PDPL requirements into IoMT-specific controls (consent management for wearable data; purpose limitation for monitoring streams; breach response for connected device incidents)</t>
        </is>
      </c>
      <c r="AP478" s="51" t="inlineStr">
        <is>
          <t>G + C (Governance + Compliance — strong compliance driver; risk implicit)</t>
        </is>
      </c>
      <c r="AQ478" s="78" t="inlineStr">
        <is>
          <t>Board/CEO: ultimate accountability for PDPL compliance. DPO: mandatory for large-scale health data processors — reports to highest management level. Privacy Committee: cross-functional oversight. All staff processing personal data: mandatory privacy awareness training annually</t>
        </is>
      </c>
      <c r="AR478" s="74" t="inlineStr">
        <is>
          <t>Privacy Risk (PRIMARY); Legal/Regulatory Risk; Reputational Risk; Strategic Risk (data monetisation constraints); Cross-Border Risk (data transfer restrictions)</t>
        </is>
      </c>
      <c r="AS478" s="22" t="inlineStr">
        <is>
          <t>LEGAL — Royal Decree M/19 2021 + Implementing Regulations Sep 2023. Criminal: imprisonment up to 2 years + SAR 3M fine for sensitive data disclosure. Administrative: SAR 5M maximum fine. Civil: data subject compensation claims</t>
        </is>
      </c>
      <c r="AT478" s="75" t="inlineStr">
        <is>
          <t>Administrative (A): consent management; privacy notices; DPO appointment; DPIA process; breach notification procedure. Technical (T): data minimisation; pseudonymisation; access controls for personal data; encryption. Operational (O): data retention enforcement; data subject rights fulfilment process; cross-border transfer review</t>
        </is>
      </c>
      <c r="AU478" s="79" t="inlineStr">
        <is>
          <t>1. # data subject rights requests fulfilled on time (target: 100% within 30 days). 2. # data breaches notified to SDAIA within 72h (target: 100%). 3. % staff completed privacy training (target: 100%). 4. # DPIAs completed for high-risk processing activities. 5. Data retention compliance rate (% records within policy). 6. % third-party processors with DPA agreements</t>
        </is>
      </c>
      <c r="AV478" s="80" t="inlineStr">
        <is>
          <t>Annual DPIA review; data mapping audit (controller record validation); consent record audit; breach response simulation (tabletop); access control review for personal data systems; third-party processor audit; SDAIA compliance self-assessment</t>
        </is>
      </c>
      <c r="AW478" s="81" t="inlineStr">
        <is>
          <t>OneTrust (market leader for PDPL); TrustArc; Nymity; DataGrail; Varonis (data discovery); Microsoft Purview (data classification). SDAIA National Data Governance Platform for registration. Arabic-capable tools preferred</t>
        </is>
      </c>
      <c r="AX478" s="82" t="inlineStr">
        <is>
          <t>All third-party data processors must have Data Processing Agreement (DPA). Processors must demonstrate equivalent PDPL compliance. Cross-border transfers require adequacy assessment or appropriate safeguards. Sub-processor disclosure mandatory. Annual processor risk assessment required</t>
        </is>
      </c>
      <c r="AY478" s="83" t="inlineStr">
        <is>
          <t>Non-compliance: SAR 5M administrative fine; criminal prosecution for sensitive data breach; SDAIA investigation; mandatory breach public disclosure. Business disruption: SDAIA can order processing suspension. Reputational: patient trust damage. Market: EU adequate protection status depends on PDPL enforcement credibility</t>
        </is>
      </c>
      <c r="AZ478" s="80" t="inlineStr">
        <is>
          <t>ALL 17 SECTORS — any entity processing personal data</t>
        </is>
      </c>
      <c r="BA478" s="34" t="inlineStr">
        <is>
          <t>YES — ALL SECTORS</t>
        </is>
      </c>
      <c r="BB478" s="591">
        <f>IF(E478="","",IF(ISNUMBER(SEARCH("Institutional theory and regulatory governance theory underpin",AI478)),"TEMPLATE",IF(LEN(AI478)&gt;100,"DEEP",IF(AI478="","SPARSE","SHALLOW"))))</f>
        <v/>
      </c>
      <c r="BC478" s="591">
        <f>IF(E478="","",D478&amp;"-"&amp;B478&amp;"-"&amp;E478)</f>
        <v/>
      </c>
      <c r="BD478" s="591">
        <f>IF(E478="","",SUBSTITUTE(SUBSTITUTE(B478&amp;"-"&amp;E478," ",""),":","-"))</f>
        <v/>
      </c>
      <c r="BE478" s="591">
        <f>IF(E478="","",IF(ISNUMBER(SEARCH("ECC",E478)),"NCA-ECC-2-2024",IF(ISNUMBER(SEARCH("OTCC",E478)),"NCA-ECC-2-2024",IF(ISNUMBER(SEARCH("CCC",E478)),"NCA-ECC-2-2024",IF(ISNUMBER(SEARCH("DCC",E478)),"NCA-ECC-2-2024",IF(ISNUMBER(SEARCH("CSCC",E478)),"NCA-ECC-2-2024",IF(ISNUMBER(SEARCH("PDPL-IR",E478)),"PDPL-2021",IF(ISNUMBER(SEARCH("PDPL-DTR",E478)),"PDPL-2021","NONE"))))))))</f>
        <v/>
      </c>
      <c r="BF478" s="594">
        <f>IF(E478="","",IF(BB478="DEEP",10,IF(BB478="SHALLOW",5,IF(BB478="TEMPLATE",3,1)))+IF(N478="HIGHEST",5,IF(N478="HIGH",3,IF(N478="MODERATE",1,0)))+IF(ISNUMBER(SEARCH("Mandatory",L478)),3,0))</f>
        <v/>
      </c>
    </row>
    <row r="479" ht="42" customHeight="1">
      <c r="A479" s="42" t="n">
        <v>430</v>
      </c>
      <c r="B479" s="412" t="inlineStr">
        <is>
          <t>HALHC</t>
        </is>
      </c>
      <c r="C479" s="44" t="inlineStr">
        <is>
          <t>Hail Health Cluster</t>
        </is>
      </c>
      <c r="D479" s="44" t="inlineStr">
        <is>
          <t>17. Regional Health Clusters</t>
        </is>
      </c>
      <c r="E479" s="412" t="inlineStr">
        <is>
          <t>MOH-TELE</t>
        </is>
      </c>
      <c r="F479" s="45" t="inlineStr">
        <is>
          <t>Telemedicine Regulations</t>
        </is>
      </c>
      <c r="G479" s="44" t="inlineStr">
        <is>
          <t>لائحة الرعاية الصحية عن بعد</t>
        </is>
      </c>
      <c r="H479" s="44" t="inlineStr">
        <is>
          <t>Late 2023</t>
        </is>
      </c>
      <c r="I479" s="46" t="inlineStr">
        <is>
          <t>2020</t>
        </is>
      </c>
      <c r="J479" s="46" t="inlineStr">
        <is>
          <t>38</t>
        </is>
      </c>
      <c r="K479" s="44" t="inlineStr">
        <is>
          <t>MUST COMPLY WITH</t>
        </is>
      </c>
      <c r="L479" s="66" t="inlineStr">
        <is>
          <t>Mandatory Complier</t>
        </is>
      </c>
      <c r="M479" s="44" t="inlineStr">
        <is>
          <t>Hail Health Cluster offering telemedicine services</t>
        </is>
      </c>
      <c r="N479" s="54" t="inlineStr">
        <is>
          <t>HIGH</t>
        </is>
      </c>
      <c r="O479" s="48" t="inlineStr">
        <is>
          <t>https://www.moh.gov.sa/en/</t>
        </is>
      </c>
      <c r="P479" s="44" t="inlineStr">
        <is>
          <t>MOH; Hammad &amp; Al-Mehdar 2025</t>
        </is>
      </c>
      <c r="Q479" s="70" t="inlineStr">
        <is>
          <t>COVID-19 emergency 2020 → comprehensive regulations late 2023</t>
        </is>
      </c>
      <c r="R479" s="70" t="inlineStr">
        <is>
          <t>2020 (emergency COVID telehealth rules): basic platform licensing, identity verification, audio/video minimum standards. Late 2023 (comprehensive update, 38 controls): platform licensing requirements; patient identity verification; cross-border telemedicine restrictions; controlled substance prescribing rules (limited); data protection (PDPL alignment); patient consent requirements; clinical documentation standards; coverage by health insurance; quality assurance audit requirements</t>
        </is>
      </c>
      <c r="S479" s="71" t="inlineStr">
        <is>
          <t>Emergency 2020. Comprehensive: late 2023</t>
        </is>
      </c>
      <c r="T479" s="70" t="inlineStr">
        <is>
          <t>Annual update; cross-border rules under active development 2025</t>
        </is>
      </c>
      <c r="U479" s="25" t="inlineStr">
        <is>
          <t>CURRENT — late 2023 comprehensive version</t>
        </is>
      </c>
      <c r="V479" s="70" t="inlineStr">
        <is>
          <t>Platform licence revocation; SAR 1M–5M fine (scale by offence); clinical professional disciplinary action by SCFHS</t>
        </is>
      </c>
      <c r="W479" s="72" t="inlineStr">
        <is>
          <t>MOH — eHealth General Directorate; CST (platform technical licensing); CCHI (insurance coverage compliance); SCFHS (clinical standards)</t>
        </is>
      </c>
      <c r="X479" s="70" t="inlineStr">
        <is>
          <t>Hospital (outpatient teleconsultation); Clinic; Health IT Vendor (platform developers); Health Insurer (reimbursement compliance)</t>
        </is>
      </c>
      <c r="Y479" s="22" t="inlineStr">
        <is>
          <t>Both</t>
        </is>
      </c>
      <c r="Z479" s="70" t="inlineStr">
        <is>
          <t>MOH platform licence audit (annual); CCHI insurance compliance check; SCFHS clinical quality audit</t>
        </is>
      </c>
      <c r="AA479" s="71" t="inlineStr">
        <is>
          <t>Annual licence renewal; random clinical quality audit</t>
        </is>
      </c>
      <c r="AB479" s="70" t="inlineStr">
        <is>
          <t>15 (remote patient monitoring integration; wearable device data for teleconsultation; IoMT vital sign display during video consultation; remote device prescription; teleICU monitoring requirements)</t>
        </is>
      </c>
      <c r="AC479" s="70" t="inlineStr">
        <is>
          <t>WHO Telemedicine Guidelines (2010/updated); ISO 13131:2021 (Telehealth); ATA (American Telemedicine Association) standards (reference)</t>
        </is>
      </c>
      <c r="AD479" s="49" t="inlineStr">
        <is>
          <t>Arabic (primary); English technical guidance</t>
        </is>
      </c>
      <c r="AE479" s="26" t="inlineStr">
        <is>
          <t>Layer 1: Governance; Layer 4: Compliance</t>
        </is>
      </c>
      <c r="AF479" s="60" t="inlineStr">
        <is>
          <t>No formal maturity model; licence tiers (basic/advanced platform)</t>
        </is>
      </c>
      <c r="AG479" s="70" t="inlineStr">
        <is>
          <t>HSTP telemedicine targets (30% uptake); SEHA Virtual Hospital; Vision 2030 healthcare access targets</t>
        </is>
      </c>
      <c r="AH479" s="70" t="inlineStr">
        <is>
          <t>Platform licence certificate; patient consent records; clinical documentation standards compliance; identity verification log; prescription records; NABIDH integration evidence</t>
        </is>
      </c>
      <c r="AI479" s="73" t="inlineStr">
        <is>
          <t>Telehealth adoption theory (LeRouge &amp; Garfield 2013): patient acceptance + clinician integration. Access theory: geography-equity argument for remote care. Digital health governance theory: platform regulation vs clinical regulation tension.</t>
        </is>
      </c>
      <c r="AJ479" s="70" t="inlineStr">
        <is>
          <t>FOR: COVID-19 proved telehealth viability at scale in KSA (Al-Ataawi et al. 2022); Sehhaty platform shows government commitment; removes geographic barriers consistent with Vision 2030 equity goals; IoMT remote monitoring reimbursement framework emerging. AGAINST: Clinical quality in telehealth still debated (Hollander &amp; Sites 2020); data sovereignty for cross-border telehealth unresolved; prescription via teleconsultation remains restricted limiting scope; rural connectivity gaps undermine access equity goal</t>
        </is>
      </c>
      <c r="AK479" s="74" t="inlineStr">
        <is>
          <t>Regulations still lag technology — VR/AR clinical applications not addressed; AI-assisted teleconsultation regulatory pathway unclear; cross-border telehealth restrictions create market fragmentation; no minimum quality standards for audio/video equipment; liability for technical failure not yet codified in regulation</t>
        </is>
      </c>
      <c r="AL479" s="75" t="inlineStr">
        <is>
          <t>MOH-TELE vs NHS TECS (UK): NHS TECS has DTAC (Digital Technology Assessment Criteria) for all digital health tools — KSA equivalent absent. MOH-TELE vs FCC/CMS telehealth (US): US has federal reimbursement codes (CPT); KSA CCHI integration still developing. MOH-TELE vs WHO Telemedicine Guidelines: broadly aligned but KSA-specific cross-border rules more restrictive than WHO recommends</t>
        </is>
      </c>
      <c r="AM479" s="76" t="inlineStr">
        <is>
          <t>Al-Ataawi A et al. (2022) 'Telehealth in Saudi Arabia During COVID-19' J Healthcare Informatics Res; Hollander JE &amp; Sites FD (2020) 'Telehealth Beyond COVID-19' NEJM 2020; Hammad &amp; Al-Mehdar (2025) Saudi Healthcare Regulatory Update; WHO (2010) Telemedicine Opportunities and Developments; LeRouge C &amp; Garfield MJ (2013) 'Crossing the Telemedicine Chasm' JAMIA 20(6)</t>
        </is>
      </c>
      <c r="AN479" s="50" t="inlineStr">
        <is>
          <t>Official: MOH website. Training: American Telemedicine Association (ATA) online courses; SEHA Virtual Hospital training programme; WHO telehealth competency framework. Estimated: 25 hours</t>
        </is>
      </c>
      <c r="AO479" s="77" t="inlineStr">
        <is>
          <t>GH-ICGA Layer 1 (Governance) — telehealth regulation defines the governance boundary for remote IoMT monitoring. Thesis relevance: GH-ICGA must address the governance overlap between MOH-TELE (clinical platform regulation) and NCA-ECC (cybersecurity) and PDPL (patient data) for remote monitoring scenarios</t>
        </is>
      </c>
      <c r="AP479" s="51" t="inlineStr">
        <is>
          <t>G + C (platform governance + clinical compliance)</t>
        </is>
      </c>
      <c r="AQ479" s="78" t="inlineStr">
        <is>
          <t>CEO: platform licence accountability. Medical Director: clinical quality governance. DPO: PDPL compliance for patient data on platform. Technical Director: platform security. Pharmacy Director: prescription management compliance</t>
        </is>
      </c>
      <c r="AR479" s="74" t="inlineStr">
        <is>
          <t>Clinical Risk (misdiagnosis via teleconsultation); Regulatory Risk (licence breach); Privacy Risk (patient data); Operational Risk (platform availability); Cross-Border Risk (international teleconsultation restrictions)</t>
        </is>
      </c>
      <c r="AS479" s="61" t="inlineStr">
        <is>
          <t>REGULATORY — MOH licensing requirement. Non-compliance: platform licence revocation; SAR 1M–5M fine; SCFHS action against clinicians</t>
        </is>
      </c>
      <c r="AT479" s="75" t="inlineStr">
        <is>
          <t>Administrative (A): 20 controls — licensing; consent; documentation; clinical protocols. Technical (T): 12 controls — platform security; identity verification; audio/video standards. Operational (O): 6 controls — prescribing workflow; referral protocol; audit trail</t>
        </is>
      </c>
      <c r="AU479" s="79" t="inlineStr">
        <is>
          <t>1. Patient consent collection rate (target 100% before each session). 2. Platform availability SLA compliance (target &gt;99.5%). 3. Identity verification success rate. 4. # clinical complaints per 1,000 teleconsultations. 5. Documentation compliance rate (target 100% consultation notes in NABIDH). 6. Prescription audit pass rate</t>
        </is>
      </c>
      <c r="AV479" s="80" t="inlineStr">
        <is>
          <t>Annual MOH licence renewal audit; CCHI insurance coverage compliance check; patient record documentation audit; platform security assessment; identity verification system test; NABIDH integration test</t>
        </is>
      </c>
      <c r="AW479" s="81" t="inlineStr">
        <is>
          <t>Sehhaty / Mawid (MOH official platforms); Nabdh; Cura Health; Vezeeta; Nubaqraa — all require MOH licensing. Security tools: FortiWeb (WAF); Auth0/Okta (identity); TeleVisit security frameworks</t>
        </is>
      </c>
      <c r="AX479" s="82" t="inlineStr">
        <is>
          <t>Platform vendors: MOH-licensed telemedicine solution mandatory; PDPL DPA required; NABIDH API certification; patient data not to be shared with third-party analytics without consent; international teleconsultation providers must be MOH-approved</t>
        </is>
      </c>
      <c r="AY479" s="83" t="inlineStr">
        <is>
          <t>Unlicensed platform: immediate shutdown; SAR fine; clinical professional disciplinary action. Licence revocation: complete business cessation. Patient harm via telemedicine: malpractice liability; SCFHS investigation</t>
        </is>
      </c>
      <c r="AZ479" s="80" t="inlineStr">
        <is>
          <t>Healthcare &amp; Life Sciences; ICT/Digital (platform providers)</t>
        </is>
      </c>
      <c r="BA479" s="41" t="inlineStr">
        <is>
          <t>Sector-Specific</t>
        </is>
      </c>
      <c r="BB479" s="591">
        <f>IF(E479="","",IF(ISNUMBER(SEARCH("Institutional theory and regulatory governance theory underpin",AI479)),"TEMPLATE",IF(LEN(AI479)&gt;100,"DEEP",IF(AI479="","SPARSE","SHALLOW"))))</f>
        <v/>
      </c>
      <c r="BC479" s="591">
        <f>IF(E479="","",D479&amp;"-"&amp;B479&amp;"-"&amp;E479)</f>
        <v/>
      </c>
      <c r="BD479" s="591">
        <f>IF(E479="","",SUBSTITUTE(SUBSTITUTE(B479&amp;"-"&amp;E479," ",""),":","-"))</f>
        <v/>
      </c>
      <c r="BE479" s="591">
        <f>IF(E479="","",IF(ISNUMBER(SEARCH("ECC",E479)),"NCA-ECC-2-2024",IF(ISNUMBER(SEARCH("OTCC",E479)),"NCA-ECC-2-2024",IF(ISNUMBER(SEARCH("CCC",E479)),"NCA-ECC-2-2024",IF(ISNUMBER(SEARCH("DCC",E479)),"NCA-ECC-2-2024",IF(ISNUMBER(SEARCH("CSCC",E479)),"NCA-ECC-2-2024",IF(ISNUMBER(SEARCH("PDPL-IR",E479)),"PDPL-2021",IF(ISNUMBER(SEARCH("PDPL-DTR",E479)),"PDPL-2021","NONE"))))))))</f>
        <v/>
      </c>
      <c r="BF479" s="594">
        <f>IF(E479="","",IF(BB479="DEEP",10,IF(BB479="SHALLOW",5,IF(BB479="TEMPLATE",3,1)))+IF(N479="HIGHEST",5,IF(N479="HIGH",3,IF(N479="MODERATE",1,0)))+IF(ISNUMBER(SEARCH("Mandatory",L479)),3,0))</f>
        <v/>
      </c>
    </row>
    <row r="480" ht="42" customHeight="1">
      <c r="A480" s="84" t="n">
        <v>431</v>
      </c>
      <c r="B480" s="411" t="inlineStr">
        <is>
          <t>HALHC</t>
        </is>
      </c>
      <c r="C480" s="70" t="inlineStr">
        <is>
          <t>Hail Health Cluster</t>
        </is>
      </c>
      <c r="D480" s="70" t="inlineStr">
        <is>
          <t>17. Regional Health Clusters</t>
        </is>
      </c>
      <c r="E480" s="411" t="inlineStr">
        <is>
          <t>NHIC-NABIDH</t>
        </is>
      </c>
      <c r="F480" s="72" t="inlineStr">
        <is>
          <t>NABIDH EHR Platform Standard</t>
        </is>
      </c>
      <c r="G480" s="70" t="inlineStr">
        <is>
          <t>معيار منصة نبض</t>
        </is>
      </c>
      <c r="H480" s="70" t="inlineStr">
        <is>
          <t>Mandatory 2024</t>
        </is>
      </c>
      <c r="I480" s="71" t="inlineStr">
        <is>
          <t>2018</t>
        </is>
      </c>
      <c r="J480" s="71" t="inlineStr">
        <is>
          <t>40</t>
        </is>
      </c>
      <c r="K480" s="70" t="inlineStr">
        <is>
          <t>MUST COMPLY WITH</t>
        </is>
      </c>
      <c r="L480" s="66" t="inlineStr">
        <is>
          <t>Mandatory Complier</t>
        </is>
      </c>
      <c r="M480" s="70" t="inlineStr">
        <is>
          <t>Hail Health Cluster hospitals — NABIDH interoperability</t>
        </is>
      </c>
      <c r="N480" s="86" t="inlineStr">
        <is>
          <t>HIGHEST</t>
        </is>
      </c>
      <c r="O480" s="87" t="inlineStr">
        <is>
          <t>https://nhic.gov.sa/</t>
        </is>
      </c>
      <c r="P480" s="70" t="inlineStr">
        <is>
          <t>NHIC</t>
        </is>
      </c>
      <c r="Q480" s="70" t="inlineStr">
        <is>
          <t>NABIDH launched 2018 (pilot) → FHIR R4 API 2022 → mandatory all facilities 2024</t>
        </is>
      </c>
      <c r="R480" s="70" t="inlineStr">
        <is>
          <t>2018 (pilot): 10 MOH hospitals. 2019-2021: health cluster rollout. 2022: FHIR R4 API standards published; private hospitals voluntary integration. 2023: API developer portal opened; 40 technical requirements published. 2024: MANDATORY — all healthcare facilities must connect; Private Health Institutions Law updated; penalties for non-connection: facility licensing at risk. NABIDH now the central patient data repository — 45M+ patient records as of 2024</t>
        </is>
      </c>
      <c r="S480" s="71" t="inlineStr">
        <is>
          <t>Launched: 2018. FHIR R4 API: 2022. Mandatory: 2024</t>
        </is>
      </c>
      <c r="T480" s="70" t="inlineStr">
        <is>
          <t>Continuous platform updates; API versioning quarterly</t>
        </is>
      </c>
      <c r="U480" s="25" t="inlineStr">
        <is>
          <t>CURRENT — mandatory as of 2024</t>
        </is>
      </c>
      <c r="V480" s="70" t="inlineStr">
        <is>
          <t>Facility unable to receive electronic referrals; excluded from national patient record; MOH licensing risk; procurement penalties</t>
        </is>
      </c>
      <c r="W480" s="72" t="inlineStr">
        <is>
          <t>NHIC — NABIDH Programme Office; MOH General Directorate of Health Informatics; regional health clusters</t>
        </is>
      </c>
      <c r="X480" s="70" t="inlineStr">
        <is>
          <t>Hospital; Clinic; Lab; Pharmacy — ALL healthcare facilities mandatory</t>
        </is>
      </c>
      <c r="Y480" s="22" t="inlineStr">
        <is>
          <t>Both</t>
        </is>
      </c>
      <c r="Z480" s="70" t="inlineStr">
        <is>
          <t>NHIC API conformance test; connectivity monitoring (automated); annual technical review</t>
        </is>
      </c>
      <c r="AA480" s="71" t="inlineStr">
        <is>
          <t>Continuous connectivity monitoring; annual audit</t>
        </is>
      </c>
      <c r="AB480" s="70" t="inlineStr">
        <is>
          <t>16 (NABIDH IoMT data ingestion API; remote monitoring data submission; wearable vital signs standardisation; IoMT device data consent management; IoMT-generated observation resources in FHIR)</t>
        </is>
      </c>
      <c r="AC480" s="70" t="inlineStr">
        <is>
          <t>HL7 FHIR R4 (mandatory); IHE profiles; SNOMED CT; ICD-10-CM; LOINC; HL7 CDA</t>
        </is>
      </c>
      <c r="AD480" s="49" t="inlineStr">
        <is>
          <t>Arabic + English (NABIDH technical specifications bilingual)</t>
        </is>
      </c>
      <c r="AE480" s="37" t="inlineStr">
        <is>
          <t>Layer 3: Technical Controls; Layer 4: Compliance; Layer 5: Assurance</t>
        </is>
      </c>
      <c r="AF480" s="27" t="inlineStr">
        <is>
          <t>Yes — 3 connectivity levels (Basic data exchange / Full longitudinal record / Advanced IoMT integration)</t>
        </is>
      </c>
      <c r="AG480" s="70" t="inlineStr">
        <is>
          <t>HSTP digital health; National EHR programme; NHIS integration; Vision 2030 connected healthcare</t>
        </is>
      </c>
      <c r="AH480" s="70" t="inlineStr">
        <is>
          <t>NABIDH connectivity certificate; API test results; FHIR conformance statement; patient consent records; data quality dashboard reports</t>
        </is>
      </c>
      <c r="AI480" s="73" t="inlineStr">
        <is>
          <t>Institutional theory and regulatory governance theory underpin all KSA regulatory frameworks. Specific theoretical basis varies by framework — consult academic literature via Google Scholar using framework name as search term.</t>
        </is>
      </c>
      <c r="AJ480" s="70" t="inlineStr">
        <is>
          <t>Academic debate varies by framework maturity and international adoption. For KSA-specific debate, consult: Almohammad &amp; Wills (2021) J Cybersecurity; Al-Khater et al. (2020) IEEE Access; Baker McKenzie KSA regulatory updates.</t>
        </is>
      </c>
      <c r="AK480" s="74" t="inlineStr">
        <is>
          <t>Known criticisms include: implementation gap between standards and practice; resource constraints for smaller healthcare entities; rapid technology evolution outpacing regulation. Consult framework evaluation literature for specifics.</t>
        </is>
      </c>
      <c r="AL480" s="75" t="inlineStr">
        <is>
          <t>Framework comparison requires contextual analysis. Key comparators: NIST CSF 2.0 (international benchmark), ISO 27001 (certifiable standard), ECC-2 (KSA mandatory baseline). See main database for cross-framework mapping.</t>
        </is>
      </c>
      <c r="AM480"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80" s="50" t="inlineStr">
        <is>
          <t>Official: Consult the official source URL in the database for the primary document. Training: ISACA, ISC2, RAPS, IAPP, and HIMSS offer professional development covering most regulatory domains. Estimated hours vary by framework complexity.</t>
        </is>
      </c>
      <c r="AO480" s="77" t="inlineStr">
        <is>
          <t>Relevance to GH-ICGA framework varies by layer — see GH-ICGA Layer Mapping column. All KSA mandatory frameworks are compliance inputs to GH-ICGA Layer 4. Frameworks with IoMT-specific provisions directly inform Layers 2 and 3.</t>
        </is>
      </c>
      <c r="AP480" s="51" t="inlineStr">
        <is>
          <t>G + C (Governance + Compliance — standard regulatory framework positioning)</t>
        </is>
      </c>
      <c r="AQ480" s="78" t="inlineStr">
        <is>
          <t>Senior management: accountability for framework compliance. Designated compliance officer: monitor requirements. All staff: awareness of applicable obligations</t>
        </is>
      </c>
      <c r="AR480" s="74" t="inlineStr">
        <is>
          <t>Regulatory Risk; Operational Risk; Reputational Risk — specific domains determined by framework scope</t>
        </is>
      </c>
      <c r="AS480" s="22" t="inlineStr">
        <is>
          <t>See official source — legal obligation, regulatory requirement, or voluntary standard as applicable</t>
        </is>
      </c>
      <c r="AT480" s="75" t="inlineStr">
        <is>
          <t>Administrative; Technical; Operational — specific distribution determined by framework content</t>
        </is>
      </c>
      <c r="AU480" s="79" t="inlineStr">
        <is>
          <t>1. Compliance status (compliant/non-compliant). 2. # open findings from last assessment. 3. % controls implemented. 4. Time to remediate findings. 5. Incident rate in framework scope area</t>
        </is>
      </c>
      <c r="AV480" s="80" t="inlineStr">
        <is>
          <t>Self-assessment; internal audit; external assessment as specified by issuing authority</t>
        </is>
      </c>
      <c r="AW480" s="81" t="inlineStr">
        <is>
          <t>ServiceNow GRC; IBM OpenPages; RSA Archer; MetricStream — all major GRC platforms support custom framework import. Contact vendor for framework-specific module</t>
        </is>
      </c>
      <c r="AX480" s="82" t="inlineStr">
        <is>
          <t>Third parties in scope must demonstrate equivalent compliance. Contractual compliance obligations; right-to-audit clauses; annual third-party assessment</t>
        </is>
      </c>
      <c r="AY480" s="83" t="inlineStr">
        <is>
          <t>Non-compliance: regulatory action by issuing authority; fines and penalties as specified; operational and reputational consequences</t>
        </is>
      </c>
      <c r="AZ480" s="80" t="inlineStr">
        <is>
          <t>Healthcare &amp; Life Sciences</t>
        </is>
      </c>
      <c r="BA480" s="41" t="inlineStr">
        <is>
          <t>Sector-Specific</t>
        </is>
      </c>
      <c r="BB480" s="591">
        <f>IF(E480="","",IF(ISNUMBER(SEARCH("Institutional theory and regulatory governance theory underpin",AI480)),"TEMPLATE",IF(LEN(AI480)&gt;100,"DEEP",IF(AI480="","SPARSE","SHALLOW"))))</f>
        <v/>
      </c>
      <c r="BC480" s="591">
        <f>IF(E480="","",D480&amp;"-"&amp;B480&amp;"-"&amp;E480)</f>
        <v/>
      </c>
      <c r="BD480" s="591">
        <f>IF(E480="","",SUBSTITUTE(SUBSTITUTE(B480&amp;"-"&amp;E480," ",""),":","-"))</f>
        <v/>
      </c>
      <c r="BE480" s="591">
        <f>IF(E480="","",IF(ISNUMBER(SEARCH("ECC",E480)),"NCA-ECC-2-2024",IF(ISNUMBER(SEARCH("OTCC",E480)),"NCA-ECC-2-2024",IF(ISNUMBER(SEARCH("CCC",E480)),"NCA-ECC-2-2024",IF(ISNUMBER(SEARCH("DCC",E480)),"NCA-ECC-2-2024",IF(ISNUMBER(SEARCH("CSCC",E480)),"NCA-ECC-2-2024",IF(ISNUMBER(SEARCH("PDPL-IR",E480)),"PDPL-2021",IF(ISNUMBER(SEARCH("PDPL-DTR",E480)),"PDPL-2021","NONE"))))))))</f>
        <v/>
      </c>
      <c r="BF480" s="594">
        <f>IF(E480="","",IF(BB480="DEEP",10,IF(BB480="SHALLOW",5,IF(BB480="TEMPLATE",3,1)))+IF(N480="HIGHEST",5,IF(N480="HIGH",3,IF(N480="MODERATE",1,0)))+IF(ISNUMBER(SEARCH("Mandatory",L480)),3,0))</f>
        <v/>
      </c>
    </row>
    <row r="481" ht="42" customHeight="1">
      <c r="A481" s="42" t="n">
        <v>432</v>
      </c>
      <c r="B481" s="412" t="inlineStr">
        <is>
          <t>HALHC</t>
        </is>
      </c>
      <c r="C481" s="44" t="inlineStr">
        <is>
          <t>Hail Health Cluster</t>
        </is>
      </c>
      <c r="D481" s="44" t="inlineStr">
        <is>
          <t>17. Regional Health Clusters</t>
        </is>
      </c>
      <c r="E481" s="412" t="inlineStr">
        <is>
          <t>NCA-OTCC</t>
        </is>
      </c>
      <c r="F481" s="45" t="inlineStr">
        <is>
          <t>OT Cybersecurity Controls</t>
        </is>
      </c>
      <c r="G481" s="44" t="inlineStr">
        <is>
          <t>ضوابط الأمن السيبراني للتقنيات التشغيلية</t>
        </is>
      </c>
      <c r="H481" s="44" t="inlineStr">
        <is>
          <t>OTCC-1:2022</t>
        </is>
      </c>
      <c r="I481" s="46" t="inlineStr">
        <is>
          <t>2022</t>
        </is>
      </c>
      <c r="J481" s="46" t="inlineStr">
        <is>
          <t>53</t>
        </is>
      </c>
      <c r="K481" s="44" t="inlineStr">
        <is>
          <t>MUST COMPLY WITH</t>
        </is>
      </c>
      <c r="L481" s="66" t="inlineStr">
        <is>
          <t>Mandatory Complier</t>
        </is>
      </c>
      <c r="M481" s="44" t="inlineStr">
        <is>
          <t>Hail Health Cluster medical device OT networks — CNI designation</t>
        </is>
      </c>
      <c r="N481" s="47" t="inlineStr">
        <is>
          <t>HIGHEST</t>
        </is>
      </c>
      <c r="O481" s="48" t="inlineStr">
        <is>
          <t>https://nca.gov.sa/</t>
        </is>
      </c>
      <c r="P481" s="44" t="inlineStr">
        <is>
          <t>NCA OTCC</t>
        </is>
      </c>
      <c r="Q481" s="70" t="inlineStr">
        <is>
          <t>See official source for version history</t>
        </is>
      </c>
      <c r="R481" s="70" t="inlineStr">
        <is>
          <t>Framework issued by the relevant authority. Version details available on the official website referenced in the source URL column. The framework has been updated periodically since first issuance.</t>
        </is>
      </c>
      <c r="S481" s="71" t="inlineStr">
        <is>
          <t>See official source</t>
        </is>
      </c>
      <c r="T481" s="70" t="inlineStr">
        <is>
          <t>Updated as needed by the issuing authority</t>
        </is>
      </c>
      <c r="U481" s="25" t="inlineStr">
        <is>
          <t>CURRENT — consult official source for latest version</t>
        </is>
      </c>
      <c r="V481" s="70" t="inlineStr">
        <is>
          <t>Penalties defined by issuing authority; consult official source. NCA ECC-2 penalties apply if relevant</t>
        </is>
      </c>
      <c r="W481" s="72" t="inlineStr">
        <is>
          <t>Issuing authority and/or designated inspection department</t>
        </is>
      </c>
      <c r="X481" s="70" t="inlineStr">
        <is>
          <t>As specified in framework scope — consult official document</t>
        </is>
      </c>
      <c r="Y481" s="49" t="inlineStr">
        <is>
          <t>Both (unless specified otherwise in official document)</t>
        </is>
      </c>
      <c r="Z481" s="70" t="inlineStr">
        <is>
          <t>As defined by issuing authority</t>
        </is>
      </c>
      <c r="AA481" s="71" t="inlineStr">
        <is>
          <t>As defined by issuing authority</t>
        </is>
      </c>
      <c r="AB481" s="70" t="inlineStr">
        <is>
          <t>To be determined from framework text — see official source</t>
        </is>
      </c>
      <c r="AC481" s="70" t="inlineStr">
        <is>
          <t>See framework preamble for international standard references</t>
        </is>
      </c>
      <c r="AD481" s="49" t="inlineStr">
        <is>
          <t>Arabic (primary in KSA); English may be available</t>
        </is>
      </c>
      <c r="AE481" s="58" t="inlineStr">
        <is>
          <t>Mapped to relevant GH-ICGA layer — requires manual assessment</t>
        </is>
      </c>
      <c r="AF481" s="56" t="inlineStr">
        <is>
          <t>See official framework for maturity model details</t>
        </is>
      </c>
      <c r="AG481" s="70" t="inlineStr">
        <is>
          <t>Aligned with relevant Vision 2030 programme — see framework context</t>
        </is>
      </c>
      <c r="AH481" s="70" t="inlineStr">
        <is>
          <t>As specified in framework compliance requirements</t>
        </is>
      </c>
      <c r="AI481" s="73" t="inlineStr">
        <is>
          <t>Institutional theory and regulatory governance theory underpin all KSA regulatory frameworks. Specific theoretical basis varies by framework — consult academic literature via Google Scholar using framework name as search term.</t>
        </is>
      </c>
      <c r="AJ481" s="70" t="inlineStr">
        <is>
          <t>Academic debate varies by framework maturity and international adoption. For KSA-specific debate, consult: Almohammad &amp; Wills (2021) J Cybersecurity; Al-Khater et al. (2020) IEEE Access; Baker McKenzie KSA regulatory updates.</t>
        </is>
      </c>
      <c r="AK481" s="74" t="inlineStr">
        <is>
          <t>Known criticisms include: implementation gap between standards and practice; resource constraints for smaller healthcare entities; rapid technology evolution outpacing regulation. Consult framework evaluation literature for specifics.</t>
        </is>
      </c>
      <c r="AL481" s="75" t="inlineStr">
        <is>
          <t>Framework comparison requires contextual analysis. Key comparators: NIST CSF 2.0 (international benchmark), ISO 27001 (certifiable standard), ECC-2 (KSA mandatory baseline). See main database for cross-framework mapping.</t>
        </is>
      </c>
      <c r="AM481"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81" s="50" t="inlineStr">
        <is>
          <t>Official: Consult the official source URL in the database for the primary document. Training: ISACA, ISC2, RAPS, IAPP, and HIMSS offer professional development covering most regulatory domains. Estimated hours vary by framework complexity.</t>
        </is>
      </c>
      <c r="AO481" s="77" t="inlineStr">
        <is>
          <t>Relevance to GH-ICGA framework varies by layer — see GH-ICGA Layer Mapping column. All KSA mandatory frameworks are compliance inputs to GH-ICGA Layer 4. Frameworks with IoMT-specific provisions directly inform Layers 2 and 3.</t>
        </is>
      </c>
      <c r="AP481" s="53" t="inlineStr">
        <is>
          <t>R + C (Risk and Compliance — technically oriented; governance implied)</t>
        </is>
      </c>
      <c r="AQ481" s="78" t="inlineStr">
        <is>
          <t>CISO/OT Security Manager: own OTCC compliance. Clinical Engineering/Biomedical Engineering: co-responsible for medical device OT compliance. CTO: responsible for OT architecture. Board: informed of OT risk posture annually. OT security roles: Saudi nationals required per ECC-2 Saudisation mandate</t>
        </is>
      </c>
      <c r="AR481" s="74" t="inlineStr">
        <is>
          <t>Cyber Risk (OT/ICS); Operational Risk (process disruption); Physical Safety Risk (clinical impact of OT compromise); Supply Chain Risk (OT vendor remote access); Availability Risk (OT always-on requirement)</t>
        </is>
      </c>
      <c r="AS481" s="22" t="inlineStr">
        <is>
          <t>LEGAL — Mandatory for CNI OT operators under NCA-REG-2024. Hospitals as CNI: healthcare OT networks are in scope. Penalties: NCA-REG-2024 (SAR 25M max) + potential operational shutdown of non-compliant OT systems</t>
        </is>
      </c>
      <c r="AT481" s="75" t="inlineStr">
        <is>
          <t>Technical (T): 40 controls — OT network segmentation; secure remote access; OT monitoring; patch management for ICS. Administrative (A): 8 controls — OT governance; vendor management; OT incident response. Operational (O): 5 controls — OT change management; OT BCP</t>
        </is>
      </c>
      <c r="AU481" s="79" t="inlineStr">
        <is>
          <t>1. % OT assets inventoried (target 100%). 2. % OT systems with current patches within defined window. 3. # OT network zone violations detected. 4. % third-party OT vendor accesses logged. 5. OT system availability rate (target &gt;99.9% for life-critical). 6. Time-to-detect OT anomaly (target &lt;15 min for CNI)</t>
        </is>
      </c>
      <c r="AV481" s="80" t="inlineStr">
        <is>
          <t>OT vulnerability scan (passive — non-disruptive tools: Claroty, Nozomi, Dragos); OT network traffic analysis; OT penetration test (annual — must not disrupt clinical operations); vendor remote access audit; zone/conduit diagram validation</t>
        </is>
      </c>
      <c r="AW481" s="81" t="inlineStr">
        <is>
          <t>Claroty (medical IoT OT visibility); Nozomi Networks; Dragos; Tenable.ot; Fortinet OT; Medigate (healthcare-specific OT). For GRC integration: ServiceNow OT module; IBM QRadar SIEM with OT signatures</t>
        </is>
      </c>
      <c r="AX481" s="82" t="inlineStr">
        <is>
          <t>All OT vendors with remote access: mandatory access logging; time-limited access; multi-factor authentication; vendor security assessment before engagement; NDA for OT architecture access; OT vendor incident notification within 4 hours</t>
        </is>
      </c>
      <c r="AY481" s="83" t="inlineStr">
        <is>
          <t>OT breach in hospital: potential life-critical impact (ventilator, infusion pump disruption); NCA shutdown order; SAR 25M fine; criminal referral; SFDA recall if device compromise detected; massive reputational and legal exposure</t>
        </is>
      </c>
      <c r="AZ481" s="80" t="inlineStr">
        <is>
          <t>Sector-specific — consult official source</t>
        </is>
      </c>
      <c r="BA481" s="41" t="inlineStr">
        <is>
          <t>Sector-Specific</t>
        </is>
      </c>
      <c r="BB481" s="591">
        <f>IF(E481="","",IF(ISNUMBER(SEARCH("Institutional theory and regulatory governance theory underpin",AI481)),"TEMPLATE",IF(LEN(AI481)&gt;100,"DEEP",IF(AI481="","SPARSE","SHALLOW"))))</f>
        <v/>
      </c>
      <c r="BC481" s="591">
        <f>IF(E481="","",D481&amp;"-"&amp;B481&amp;"-"&amp;E481)</f>
        <v/>
      </c>
      <c r="BD481" s="591">
        <f>IF(E481="","",SUBSTITUTE(SUBSTITUTE(B481&amp;"-"&amp;E481," ",""),":","-"))</f>
        <v/>
      </c>
      <c r="BE481" s="591">
        <f>IF(E481="","",IF(ISNUMBER(SEARCH("ECC",E481)),"NCA-ECC-2-2024",IF(ISNUMBER(SEARCH("OTCC",E481)),"NCA-ECC-2-2024",IF(ISNUMBER(SEARCH("CCC",E481)),"NCA-ECC-2-2024",IF(ISNUMBER(SEARCH("DCC",E481)),"NCA-ECC-2-2024",IF(ISNUMBER(SEARCH("CSCC",E481)),"NCA-ECC-2-2024",IF(ISNUMBER(SEARCH("PDPL-IR",E481)),"PDPL-2021",IF(ISNUMBER(SEARCH("PDPL-DTR",E481)),"PDPL-2021","NONE"))))))))</f>
        <v/>
      </c>
      <c r="BF481" s="594">
        <f>IF(E481="","",IF(BB481="DEEP",10,IF(BB481="SHALLOW",5,IF(BB481="TEMPLATE",3,1)))+IF(N481="HIGHEST",5,IF(N481="HIGH",3,IF(N481="MODERATE",1,0)))+IF(ISNUMBER(SEARCH("Mandatory",L481)),3,0))</f>
        <v/>
      </c>
    </row>
    <row r="482" ht="42" customHeight="1">
      <c r="A482" s="84" t="n">
        <v>433</v>
      </c>
      <c r="B482" s="411" t="inlineStr">
        <is>
          <t>NRHC</t>
        </is>
      </c>
      <c r="C482" s="70" t="inlineStr">
        <is>
          <t>Northern Borders Health Cluster</t>
        </is>
      </c>
      <c r="D482" s="70" t="inlineStr">
        <is>
          <t>17. Regional Health Clusters</t>
        </is>
      </c>
      <c r="E482" s="411" t="inlineStr">
        <is>
          <t>MOH-HIS</t>
        </is>
      </c>
      <c r="F482" s="72" t="inlineStr">
        <is>
          <t>Health Information System Standards</t>
        </is>
      </c>
      <c r="G482" s="70" t="inlineStr">
        <is>
          <t>معايير نظم المعلومات الصحية</t>
        </is>
      </c>
      <c r="H482" s="70" t="inlineStr">
        <is>
          <t>2024 update</t>
        </is>
      </c>
      <c r="I482" s="71" t="inlineStr">
        <is>
          <t>2010</t>
        </is>
      </c>
      <c r="J482" s="71" t="inlineStr">
        <is>
          <t>112</t>
        </is>
      </c>
      <c r="K482" s="70" t="inlineStr">
        <is>
          <t>MUST COMPLY WITH</t>
        </is>
      </c>
      <c r="L482" s="66" t="inlineStr">
        <is>
          <t>Mandatory Complier</t>
        </is>
      </c>
      <c r="M482" s="70" t="inlineStr">
        <is>
          <t>Northern Borders Health Cluster hospitals — mandatory HIS compliance</t>
        </is>
      </c>
      <c r="N482" s="86" t="inlineStr">
        <is>
          <t>HIGHEST</t>
        </is>
      </c>
      <c r="O482" s="87" t="inlineStr">
        <is>
          <t>https://www.moh.gov.sa/en/</t>
        </is>
      </c>
      <c r="P482" s="70" t="inlineStr">
        <is>
          <t>MOH official</t>
        </is>
      </c>
      <c r="Q482" s="70" t="inlineStr">
        <is>
          <t>First issued ~2010 → comprehensive update 2022 → mandatory EMR update 2024</t>
        </is>
      </c>
      <c r="R482" s="70" t="inlineStr">
        <is>
          <t>Progressive standards covering: 2010 (basic EHR requirements); 2015 (interoperability standards added); 2018 (NABIDH integration); 2020 (mobile health and telemedicine modules); 2022 (comprehensive 112-control update covering clinical systems, imaging, medication management, emergency, genomics, training); 2024 (mandatory EMR adoption for all MOH and private facilities aligned with NABIDH)</t>
        </is>
      </c>
      <c r="S482" s="71" t="inlineStr">
        <is>
          <t>First: 2010. Major update: 2022. EMR mandate: 2024</t>
        </is>
      </c>
      <c r="T482" s="70" t="inlineStr">
        <is>
          <t>Updated with NABIDH platform releases; typically annual minor updates</t>
        </is>
      </c>
      <c r="U482" s="25" t="inlineStr">
        <is>
          <t>CURRENT — 2024 version mandatory</t>
        </is>
      </c>
      <c r="V482" s="70" t="inlineStr">
        <is>
          <t>MOH facility licensing at risk; mandatory corrective action plan; financial penalties under Private Health Institutions Law; non-compliant systems barred from NABIDH connectivity</t>
        </is>
      </c>
      <c r="W482" s="72" t="inlineStr">
        <is>
          <t>MOH — Directorate of Health Information (DHI); regional health cluster inspection teams; NHIC for interoperability compliance</t>
        </is>
      </c>
      <c r="X482" s="70" t="inlineStr">
        <is>
          <t>Hospital; Clinic; Lab; Pharmacy (hospital); Government Health Entity</t>
        </is>
      </c>
      <c r="Y482" s="49" t="inlineStr">
        <is>
          <t>Both (mandatory for MOH facilities; mandatory for private facilities since 2024 PHILAW update)</t>
        </is>
      </c>
      <c r="Z482" s="70" t="inlineStr">
        <is>
          <t>MOH annual IT audit; NHIC interoperability assessment; CBAHI HIT standards review during accreditation</t>
        </is>
      </c>
      <c r="AA482" s="71" t="inlineStr">
        <is>
          <t>Annual MOH audit; NABIDH connectivity continuous monitoring</t>
        </is>
      </c>
      <c r="AB482" s="70" t="inlineStr">
        <is>
          <t>28 (medical device integration into HIS; alarm management; device data capture; IoMT workflow integration; remote monitoring data ingestion; device incident reporting to HIS)</t>
        </is>
      </c>
      <c r="AC482" s="70" t="inlineStr">
        <is>
          <t>HL7 FHIR R4 (interoperability); IHE profiles (integration); ISO 27799:2016 (health ISMS); DICOM (imaging)</t>
        </is>
      </c>
      <c r="AD482" s="49" t="inlineStr">
        <is>
          <t>Arabic (primary); English technical annexes</t>
        </is>
      </c>
      <c r="AE482" s="26" t="inlineStr">
        <is>
          <t>Layer 1: Governance; Layer 3: Technical Controls; Layer 4: Compliance</t>
        </is>
      </c>
      <c r="AF482" s="27" t="inlineStr">
        <is>
          <t>Yes — 4 implementation levels (Basic / Intermediate / Advanced / Optimised); MOH tracks facility scores</t>
        </is>
      </c>
      <c r="AG482" s="70" t="inlineStr">
        <is>
          <t>HSTP digital health; NABIDH national EHR; Vision 2030 healthcare quality targets</t>
        </is>
      </c>
      <c r="AH482" s="70" t="inlineStr">
        <is>
          <t>HIS system documentation; NABIDH connectivity certificate; interoperability test results; staff training records; system access audit logs; downtime contingency procedure</t>
        </is>
      </c>
      <c r="AI482" s="73" t="inlineStr">
        <is>
          <t>Health informatics systems theory (Shortliffe &amp; Cimino 2006): HIS as sociotechnical infrastructure. Interoperability theory (Kuperman 2011): semantic/syntactic/organisational interoperability levels. Technology adoption theory (TAM — Davis 1989): clinician adoption barriers to HIS.</t>
        </is>
      </c>
      <c r="AJ482" s="70" t="inlineStr">
        <is>
          <t>FOR: National standardisation essential for patient safety continuity (WHO 2019); NABIDH integration creates longitudinal patient record unavailable previously; IoMT data integration requirements push hospitals toward modern system architectures. AGAINST: Ajami &amp; Bagheri-Tadi (2013) and Aloudah et al. (2021) document implementation-reality gap in Saudi HIS — standards exist but compliance varies widely by facility tier; urban-rural HIS capacity gap poorly addressed; cybersecurity requirements within HIS standards historically weak (pre-NABIDH)</t>
        </is>
      </c>
      <c r="AK482" s="74" t="inlineStr">
        <is>
          <t>112 controls create compliance burden without proportionality guidance; small private clinics face disproportionate compliance cost; no formal HIS certification programme — self-declaration accepted; IoMT data standards not harmonised with international HL7 FHIR profiles; historical emphasis on data capture over data quality</t>
        </is>
      </c>
      <c r="AL482" s="75" t="inlineStr">
        <is>
          <t>MOH-HIS vs NHS Digital standards (UK): NHS has legally binding DCB standards with enforcement; MOH-HIS is ministerial directive with softer enforcement. MOH-HIS vs ONC Health IT Certification (US): US has federal certification; KSA moving toward certification (NABIDH conformance). MOH-HIS + NHIC-NABIDH = closest to ONC approach in KSA</t>
        </is>
      </c>
      <c r="AM482" s="76" t="inlineStr">
        <is>
          <t>Ajami S &amp; Bagheri-Tadi T (2013) 'Barriers for Adopting Electronic Health Records' MateriaSociomed 25(3); Aloudah N et al. (2021) 'Digital Health in Saudi Arabia' Sustainability 13(12); Shortliffe EH &amp; Cimino JJ (2006) Biomedical Informatics Springer; WHO (2019) Classification of Digital Interventions; Alotaibi YK &amp; Federico F (2017) 'Impact of Health IT on Patient Safety' Saudi Medical J 38(12)</t>
        </is>
      </c>
      <c r="AN482" s="50" t="inlineStr">
        <is>
          <t>Official: MOH website (moh.gov.sa). Training: CPHIMS (Certified Professional Health Informatics &amp; Information Management); HL7 FHIR Foundational (HL7.org); NHIC developer portal training (nhic.gov.sa). Language: Arabic primary. Estimated: 45 hours</t>
        </is>
      </c>
      <c r="AO482" s="77" t="inlineStr">
        <is>
          <t>GH-ICGA Layer 1 (Governance) + Layer 3 (Technical Controls) — MOH-HIS is the clinical data governance backbone that the preliminary GH-ICGA IoMT framework must integrate with. Thesis: GH-ICGA IoMT data model must align with HIS data standards to ensure IoMT device data flows into the national health record coherently</t>
        </is>
      </c>
      <c r="AP482" s="34" t="inlineStr">
        <is>
          <t>G + R + C (all three — clinical information governance foundation)</t>
        </is>
      </c>
      <c r="AQ482" s="78" t="inlineStr">
        <is>
          <t>Hospital CEO: accountable for HIS compliance. CIO/CMIO: responsible for HIS implementation and NABIDH connectivity. Clinical Informatics Committee: govern HIS standards adoption. Department Heads: responsible for clinical data quality in their systems</t>
        </is>
      </c>
      <c r="AR482" s="74" t="inlineStr">
        <is>
          <t>Operational Risk (HIS downtime = clinical risk); Patient Safety Risk; Data Quality Risk; Regulatory Risk (MOH non-compliance); Interoperability Risk (NABIDH disconnection)</t>
        </is>
      </c>
      <c r="AS482" s="61" t="inlineStr">
        <is>
          <t>REGULATORY — MOH ministerial directive. Mandatory for all licensed facilities. Non-compliance risks licensing. Enforced through MOH annual audit and NABIDH connectivity monitoring</t>
        </is>
      </c>
      <c r="AT482" s="75" t="inlineStr">
        <is>
          <t>Technical (T): 68 controls — system architecture; integration; security; availability; backup. Administrative (A): 28 controls — data governance; policies; training; documentation. Operational (O): 16 controls — downtime procedures; change management; vendor management</t>
        </is>
      </c>
      <c r="AU482" s="79" t="inlineStr">
        <is>
          <t>1. NABIDH connectivity status (connected/disconnected). 2. HIS downtime incidents per month (target &lt;4h/month). 3. Data quality score (completeness/accuracy) from NABIDH reports. 4. % clinical staff trained on HIS (target 100%). 5. Time-to-restore HIS after failure (target &lt;4h). 6. # HIS security incidents per quarter</t>
        </is>
      </c>
      <c r="AV482" s="80" t="inlineStr">
        <is>
          <t>Annual MOH HIS audit (documentation + system walk-through); NABIDH API conformance test (NHIC automated); data quality audit; HIS security assessment; downtime procedure simulation; user access review</t>
        </is>
      </c>
      <c r="AW482" s="81" t="inlineStr">
        <is>
          <t>Epic; Cerner (Oracle Health); Philips Tasy EMR; Meditech; InterSystems HealthShare — all NABIDH-integrated. For compliance: ServiceNow Healthcare; Qualio (quality management); NHIC developer portal for FHIR conformance testing</t>
        </is>
      </c>
      <c r="AX482" s="82" t="inlineStr">
        <is>
          <t>HIS vendors: must be MOH-approved/NABIDH-certified; contractual data protection obligations; source code escrow for critical systems; SLA for 99.9% uptime; mandatory SFDA notification if HIS failure affects medical devices; annual security assessment of HIS vendors</t>
        </is>
      </c>
      <c r="AY482" s="83" t="inlineStr">
        <is>
          <t>Non-compliance: MOH corrective action; facility licence conditions; NABIDH disconnection (loss of referrals, national patient record access); PHILAW 2024 penalties for private facilities. Clinical impact: patient safety risk from poor data quality or HIS unavailability</t>
        </is>
      </c>
      <c r="AZ482" s="80" t="inlineStr">
        <is>
          <t>Healthcare &amp; Life Sciences</t>
        </is>
      </c>
      <c r="BA482" s="41" t="inlineStr">
        <is>
          <t>Sector-Specific</t>
        </is>
      </c>
      <c r="BB482" s="591">
        <f>IF(E482="","",IF(ISNUMBER(SEARCH("Institutional theory and regulatory governance theory underpin",AI482)),"TEMPLATE",IF(LEN(AI482)&gt;100,"DEEP",IF(AI482="","SPARSE","SHALLOW"))))</f>
        <v/>
      </c>
      <c r="BC482" s="591">
        <f>IF(E482="","",D482&amp;"-"&amp;B482&amp;"-"&amp;E482)</f>
        <v/>
      </c>
      <c r="BD482" s="591">
        <f>IF(E482="","",SUBSTITUTE(SUBSTITUTE(B482&amp;"-"&amp;E482," ",""),":","-"))</f>
        <v/>
      </c>
      <c r="BE482" s="591">
        <f>IF(E482="","",IF(ISNUMBER(SEARCH("ECC",E482)),"NCA-ECC-2-2024",IF(ISNUMBER(SEARCH("OTCC",E482)),"NCA-ECC-2-2024",IF(ISNUMBER(SEARCH("CCC",E482)),"NCA-ECC-2-2024",IF(ISNUMBER(SEARCH("DCC",E482)),"NCA-ECC-2-2024",IF(ISNUMBER(SEARCH("CSCC",E482)),"NCA-ECC-2-2024",IF(ISNUMBER(SEARCH("PDPL-IR",E482)),"PDPL-2021",IF(ISNUMBER(SEARCH("PDPL-DTR",E482)),"PDPL-2021","NONE"))))))))</f>
        <v/>
      </c>
      <c r="BF482" s="594">
        <f>IF(E482="","",IF(BB482="DEEP",10,IF(BB482="SHALLOW",5,IF(BB482="TEMPLATE",3,1)))+IF(N482="HIGHEST",5,IF(N482="HIGH",3,IF(N482="MODERATE",1,0)))+IF(ISNUMBER(SEARCH("Mandatory",L482)),3,0))</f>
        <v/>
      </c>
    </row>
    <row r="483" ht="42" customHeight="1">
      <c r="A483" s="42" t="n">
        <v>434</v>
      </c>
      <c r="B483" s="412" t="inlineStr">
        <is>
          <t>NRHC</t>
        </is>
      </c>
      <c r="C483" s="44" t="inlineStr">
        <is>
          <t>Northern Borders Health Cluster</t>
        </is>
      </c>
      <c r="D483" s="44" t="inlineStr">
        <is>
          <t>17. Regional Health Clusters</t>
        </is>
      </c>
      <c r="E483" s="412" t="inlineStr">
        <is>
          <t>MOH-EMR-NABIDH</t>
        </is>
      </c>
      <c r="F483" s="45" t="inlineStr">
        <is>
          <t>EMR Standards / NABIDH</t>
        </is>
      </c>
      <c r="G483" s="44" t="inlineStr">
        <is>
          <t>معايير السجل الصحي الإلكتروني / نبض</t>
        </is>
      </c>
      <c r="H483" s="44" t="inlineStr">
        <is>
          <t>Mandatory 2024</t>
        </is>
      </c>
      <c r="I483" s="46" t="inlineStr">
        <is>
          <t>2010</t>
        </is>
      </c>
      <c r="J483" s="46" t="inlineStr">
        <is>
          <t>52</t>
        </is>
      </c>
      <c r="K483" s="44" t="inlineStr">
        <is>
          <t>MUST COMPLY WITH</t>
        </is>
      </c>
      <c r="L483" s="66" t="inlineStr">
        <is>
          <t>Mandatory Complier</t>
        </is>
      </c>
      <c r="M483" s="44" t="inlineStr">
        <is>
          <t>Northern Borders Health Cluster — mandatory NABIDH connectivity 2024</t>
        </is>
      </c>
      <c r="N483" s="47" t="inlineStr">
        <is>
          <t>HIGHEST</t>
        </is>
      </c>
      <c r="O483" s="48" t="inlineStr">
        <is>
          <t>https://www.moh.gov.sa/en/</t>
        </is>
      </c>
      <c r="P483" s="44" t="inlineStr">
        <is>
          <t>MOH/NHIC</t>
        </is>
      </c>
      <c r="Q483" s="70" t="inlineStr">
        <is>
          <t>NABIDH platform launched ~2018 → mandatory EMR adoption for all facilities 2024</t>
        </is>
      </c>
      <c r="R483" s="70" t="inlineStr">
        <is>
          <t>NABIDH (National Unified EHR Platform): v1 2018 (pilot MOH hospitals); 2019-2021 (rollout to health clusters); 2022 (private hospital voluntary integration); 2023 (API standards published based on FHIR R4); 2024 (mandatory for ALL healthcare facilities per Private Health Institutions Law update — complete patient longitudinal record across facilities). EMR standard covers 52 functional requirements including: CPOE, medication reconciliation, imaging integration, patient portal, audit logs</t>
        </is>
      </c>
      <c r="S483" s="71" t="inlineStr">
        <is>
          <t>NABIDH launched: 2018. Mandatory for all: 2024</t>
        </is>
      </c>
      <c r="T483" s="70" t="inlineStr">
        <is>
          <t>Continuously updated with NABIDH platform releases</t>
        </is>
      </c>
      <c r="U483" s="25" t="inlineStr">
        <is>
          <t>CURRENT — mandatory since 2024</t>
        </is>
      </c>
      <c r="V483" s="70" t="inlineStr">
        <is>
          <t>Facility licensing revocation; MOH enforcement action; barred from government referrals; penalties under PHILAW 2024</t>
        </is>
      </c>
      <c r="W483" s="72" t="inlineStr">
        <is>
          <t>MOH — NABIDH Programme Office; NHIC; regional health clusters monitor connectivity</t>
        </is>
      </c>
      <c r="X483" s="70" t="inlineStr">
        <is>
          <t>Hospital; Clinic; Lab; Pharmacy; Government Health Entity — ALL healthcare facilities mandatory</t>
        </is>
      </c>
      <c r="Y483" s="49" t="inlineStr">
        <is>
          <t>Both (mandatory since 2024 PHILAW update for all facilities)</t>
        </is>
      </c>
      <c r="Z483" s="70" t="inlineStr">
        <is>
          <t>NHIC connectivity assessment; NABIDH API conformance testing; MOH annual audit</t>
        </is>
      </c>
      <c r="AA483" s="71" t="inlineStr">
        <is>
          <t>Continuous (NABIDH connectivity monitored in real time); annual formal audit</t>
        </is>
      </c>
      <c r="AB483" s="70" t="inlineStr">
        <is>
          <t>22 (IoMT data integration to NABIDH: wearable data ingestion API; remote monitoring feeds; device-generated vital signs; medical device alerts to patient record; IoMT consent management in EHR)</t>
        </is>
      </c>
      <c r="AC483" s="70" t="inlineStr">
        <is>
          <t>HL7 FHIR R4; IHE (Integrating the Healthcare Enterprise); SNOMED CT; ICD-10; LOINC</t>
        </is>
      </c>
      <c r="AD483" s="49" t="inlineStr">
        <is>
          <t>Arabic + English (NABIDH technical specifications bilingual)</t>
        </is>
      </c>
      <c r="AE483" s="26" t="inlineStr">
        <is>
          <t>Layer 1: Governance; Layer 3: Technical Controls; Layer 4: Compliance; Layer 5: Assurance</t>
        </is>
      </c>
      <c r="AF483" s="27" t="inlineStr">
        <is>
          <t>Yes — NABIDH connectivity levels (1: Basic data exchange; 2: Full longitudinal record; 3: Advanced interoperability with IoMT); MOH tracks facility level</t>
        </is>
      </c>
      <c r="AG483" s="70" t="inlineStr">
        <is>
          <t>HSTP digital health transformation; NABIDH national EHR; NHIS claims integration</t>
        </is>
      </c>
      <c r="AH483" s="70" t="inlineStr">
        <is>
          <t>NABIDH connectivity certificate; API integration test reports; patient consent records for data sharing; EHR system validation; data quality reports</t>
        </is>
      </c>
      <c r="AI483" s="73" t="inlineStr">
        <is>
          <t>Institutional theory and regulatory governance theory underpin all KSA regulatory frameworks. Specific theoretical basis varies by framework — consult academic literature via Google Scholar using framework name as search term.</t>
        </is>
      </c>
      <c r="AJ483" s="70" t="inlineStr">
        <is>
          <t>Academic debate varies by framework maturity and international adoption. For KSA-specific debate, consult: Almohammad &amp; Wills (2021) J Cybersecurity; Al-Khater et al. (2020) IEEE Access; Baker McKenzie KSA regulatory updates.</t>
        </is>
      </c>
      <c r="AK483" s="74" t="inlineStr">
        <is>
          <t>Known criticisms include: implementation gap between standards and practice; resource constraints for smaller healthcare entities; rapid technology evolution outpacing regulation. Consult framework evaluation literature for specifics.</t>
        </is>
      </c>
      <c r="AL483" s="75" t="inlineStr">
        <is>
          <t>Framework comparison requires contextual analysis. Key comparators: NIST CSF 2.0 (international benchmark), ISO 27001 (certifiable standard), ECC-2 (KSA mandatory baseline). See main database for cross-framework mapping.</t>
        </is>
      </c>
      <c r="AM483"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83" s="50" t="inlineStr">
        <is>
          <t>Official: Consult the official source URL in the database for the primary document. Training: ISACA, ISC2, RAPS, IAPP, and HIMSS offer professional development covering most regulatory domains. Estimated hours vary by framework complexity.</t>
        </is>
      </c>
      <c r="AO483" s="77" t="inlineStr">
        <is>
          <t>Relevance to GH-ICGA framework varies by layer — see GH-ICGA Layer Mapping column. All KSA mandatory frameworks are compliance inputs to GH-ICGA Layer 4. Frameworks with IoMT-specific provisions directly inform Layers 2 and 3.</t>
        </is>
      </c>
      <c r="AP483" s="51" t="inlineStr">
        <is>
          <t>G + C (Governance + Compliance — standard regulatory framework positioning)</t>
        </is>
      </c>
      <c r="AQ483" s="78" t="inlineStr">
        <is>
          <t>Senior management: accountability for framework compliance. Designated compliance officer: monitor requirements. All staff: awareness of applicable obligations</t>
        </is>
      </c>
      <c r="AR483" s="74" t="inlineStr">
        <is>
          <t>Regulatory Risk; Operational Risk; Reputational Risk — specific domains determined by framework scope</t>
        </is>
      </c>
      <c r="AS483" s="22" t="inlineStr">
        <is>
          <t>See official source — legal obligation, regulatory requirement, or voluntary standard as applicable</t>
        </is>
      </c>
      <c r="AT483" s="75" t="inlineStr">
        <is>
          <t>Administrative; Technical; Operational — specific distribution determined by framework content</t>
        </is>
      </c>
      <c r="AU483" s="79" t="inlineStr">
        <is>
          <t>1. Compliance status (compliant/non-compliant). 2. # open findings from last assessment. 3. % controls implemented. 4. Time to remediate findings. 5. Incident rate in framework scope area</t>
        </is>
      </c>
      <c r="AV483" s="80" t="inlineStr">
        <is>
          <t>Self-assessment; internal audit; external assessment as specified by issuing authority</t>
        </is>
      </c>
      <c r="AW483" s="81" t="inlineStr">
        <is>
          <t>ServiceNow GRC; IBM OpenPages; RSA Archer; MetricStream — all major GRC platforms support custom framework import. Contact vendor for framework-specific module</t>
        </is>
      </c>
      <c r="AX483" s="82" t="inlineStr">
        <is>
          <t>Third parties in scope must demonstrate equivalent compliance. Contractual compliance obligations; right-to-audit clauses; annual third-party assessment</t>
        </is>
      </c>
      <c r="AY483" s="83" t="inlineStr">
        <is>
          <t>Non-compliance: regulatory action by issuing authority; fines and penalties as specified; operational and reputational consequences</t>
        </is>
      </c>
      <c r="AZ483" s="80" t="inlineStr">
        <is>
          <t>Healthcare &amp; Life Sciences</t>
        </is>
      </c>
      <c r="BA483" s="41" t="inlineStr">
        <is>
          <t>Sector-Specific</t>
        </is>
      </c>
      <c r="BB483" s="591">
        <f>IF(E483="","",IF(ISNUMBER(SEARCH("Institutional theory and regulatory governance theory underpin",AI483)),"TEMPLATE",IF(LEN(AI483)&gt;100,"DEEP",IF(AI483="","SPARSE","SHALLOW"))))</f>
        <v/>
      </c>
      <c r="BC483" s="591">
        <f>IF(E483="","",D483&amp;"-"&amp;B483&amp;"-"&amp;E483)</f>
        <v/>
      </c>
      <c r="BD483" s="591">
        <f>IF(E483="","",SUBSTITUTE(SUBSTITUTE(B483&amp;"-"&amp;E483," ",""),":","-"))</f>
        <v/>
      </c>
      <c r="BE483" s="591">
        <f>IF(E483="","",IF(ISNUMBER(SEARCH("ECC",E483)),"NCA-ECC-2-2024",IF(ISNUMBER(SEARCH("OTCC",E483)),"NCA-ECC-2-2024",IF(ISNUMBER(SEARCH("CCC",E483)),"NCA-ECC-2-2024",IF(ISNUMBER(SEARCH("DCC",E483)),"NCA-ECC-2-2024",IF(ISNUMBER(SEARCH("CSCC",E483)),"NCA-ECC-2-2024",IF(ISNUMBER(SEARCH("PDPL-IR",E483)),"PDPL-2021",IF(ISNUMBER(SEARCH("PDPL-DTR",E483)),"PDPL-2021","NONE"))))))))</f>
        <v/>
      </c>
      <c r="BF483" s="594">
        <f>IF(E483="","",IF(BB483="DEEP",10,IF(BB483="SHALLOW",5,IF(BB483="TEMPLATE",3,1)))+IF(N483="HIGHEST",5,IF(N483="HIGH",3,IF(N483="MODERATE",1,0)))+IF(ISNUMBER(SEARCH("Mandatory",L483)),3,0))</f>
        <v/>
      </c>
    </row>
    <row r="484" ht="42" customHeight="1">
      <c r="A484" s="84" t="n">
        <v>435</v>
      </c>
      <c r="B484" s="411" t="inlineStr">
        <is>
          <t>NRHC</t>
        </is>
      </c>
      <c r="C484" s="70" t="inlineStr">
        <is>
          <t>Northern Borders Health Cluster</t>
        </is>
      </c>
      <c r="D484" s="70" t="inlineStr">
        <is>
          <t>17. Regional Health Clusters</t>
        </is>
      </c>
      <c r="E484" s="411" t="inlineStr">
        <is>
          <t>MOH-PS</t>
        </is>
      </c>
      <c r="F484" s="72" t="inlineStr">
        <is>
          <t>Patient Safety Standards</t>
        </is>
      </c>
      <c r="G484" s="70" t="inlineStr">
        <is>
          <t>معايير سلامة المريض</t>
        </is>
      </c>
      <c r="H484" s="70" t="inlineStr">
        <is>
          <t>2024 update</t>
        </is>
      </c>
      <c r="I484" s="71" t="inlineStr">
        <is>
          <t>2015</t>
        </is>
      </c>
      <c r="J484" s="71" t="inlineStr">
        <is>
          <t>72</t>
        </is>
      </c>
      <c r="K484" s="70" t="inlineStr">
        <is>
          <t>MUST COMPLY WITH</t>
        </is>
      </c>
      <c r="L484" s="66" t="inlineStr">
        <is>
          <t>Mandatory Complier</t>
        </is>
      </c>
      <c r="M484" s="70" t="inlineStr">
        <is>
          <t>Northern Borders Health Cluster — patient safety compliance</t>
        </is>
      </c>
      <c r="N484" s="86" t="inlineStr">
        <is>
          <t>HIGHEST</t>
        </is>
      </c>
      <c r="O484" s="87" t="inlineStr">
        <is>
          <t>https://www.moh.gov.sa/en/</t>
        </is>
      </c>
      <c r="P484" s="70" t="inlineStr">
        <is>
          <t>MOH official</t>
        </is>
      </c>
      <c r="Q484" s="70" t="inlineStr">
        <is>
          <t>First issued ~2015 → updates 2020 → 2024 update</t>
        </is>
      </c>
      <c r="R484" s="70" t="inlineStr">
        <is>
          <t>Based on WHO and JCI patient safety frameworks. Covers: patient identification (minimum 2 identifiers), medication safety (high-alert medications protocol), surgical safety checklist, falls prevention, infection control, critical value reporting, handover communications (SBAR). 2020 update added COVID-19 IPC protocols. 2024 update adds IoMT device safety (alarm fatigue management, device connectivity requirements)</t>
        </is>
      </c>
      <c r="S484" s="71" t="inlineStr">
        <is>
          <t>First: ~2015. Updated: 2020, 2024</t>
        </is>
      </c>
      <c r="T484" s="70" t="inlineStr">
        <is>
          <t>Annual review with MOH patient safety incidents data</t>
        </is>
      </c>
      <c r="U484" s="25" t="inlineStr">
        <is>
          <t>CURRENT — 2024 version</t>
        </is>
      </c>
      <c r="V484" s="70" t="inlineStr">
        <is>
          <t>MOH corrective action order; facility licence conditions; public safety alert; criminal liability for gross negligence</t>
        </is>
      </c>
      <c r="W484" s="72" t="inlineStr">
        <is>
          <t>MOH — Patient Safety Centre; regional health cluster inspection; CBAHI (patient safety standards embedded in accreditation)</t>
        </is>
      </c>
      <c r="X484" s="70" t="inlineStr">
        <is>
          <t>Hospital; Clinic; Government Health Entity</t>
        </is>
      </c>
      <c r="Y484" s="22" t="inlineStr">
        <is>
          <t>Both</t>
        </is>
      </c>
      <c r="Z484" s="70" t="inlineStr">
        <is>
          <t>Annual MOH patient safety inspection; CBAHI survey (integrated); incident investigation</t>
        </is>
      </c>
      <c r="AA484" s="71" t="inlineStr">
        <is>
          <t>Annual; triggered by serious adverse event</t>
        </is>
      </c>
      <c r="AB484" s="70" t="inlineStr">
        <is>
          <t>14 (alarm fatigue management for IoMT devices; connected infusion pump safety; IV smart pump drug library governance; patient ID for IoMT devices; device failure response procedures; remote monitoring alert management)</t>
        </is>
      </c>
      <c r="AC484" s="70" t="inlineStr">
        <is>
          <t>WHO Patient Safety Challenges (Global Patient Safety Action Plan 2021-2030); JCI Patient Safety Goals; The Joint Commission NPSG</t>
        </is>
      </c>
      <c r="AD484" s="49" t="inlineStr">
        <is>
          <t>Arabic (primary); English reference</t>
        </is>
      </c>
      <c r="AE484" s="26" t="inlineStr">
        <is>
          <t>Layer 1: Governance; Layer 4: Compliance</t>
        </is>
      </c>
      <c r="AF484" s="27" t="inlineStr">
        <is>
          <t>Yes — patient safety maturity levels (Safety-I to Safety-III); MOH tracks facility scores</t>
        </is>
      </c>
      <c r="AG484" s="70" t="inlineStr">
        <is>
          <t>HSTP patient safety; Vision 2030 quality targets; National Patient Safety Centre</t>
        </is>
      </c>
      <c r="AH484" s="70" t="inlineStr">
        <is>
          <t>Incident reporting system data; patient safety walkround records; fall prevention audit; medication safety audit; CBAHI patient safety standards compliance</t>
        </is>
      </c>
      <c r="AI484" s="73" t="inlineStr">
        <is>
          <t>Institutional theory and regulatory governance theory underpin all KSA regulatory frameworks. Specific theoretical basis varies by framework — consult academic literature via Google Scholar using framework name as search term.</t>
        </is>
      </c>
      <c r="AJ484" s="70" t="inlineStr">
        <is>
          <t>Academic debate varies by framework maturity and international adoption. For KSA-specific debate, consult: Almohammad &amp; Wills (2021) J Cybersecurity; Al-Khater et al. (2020) IEEE Access; Baker McKenzie KSA regulatory updates.</t>
        </is>
      </c>
      <c r="AK484" s="74" t="inlineStr">
        <is>
          <t>Known criticisms include: implementation gap between standards and practice; resource constraints for smaller healthcare entities; rapid technology evolution outpacing regulation. Consult framework evaluation literature for specifics.</t>
        </is>
      </c>
      <c r="AL484" s="75" t="inlineStr">
        <is>
          <t>Framework comparison requires contextual analysis. Key comparators: NIST CSF 2.0 (international benchmark), ISO 27001 (certifiable standard), ECC-2 (KSA mandatory baseline). See main database for cross-framework mapping.</t>
        </is>
      </c>
      <c r="AM484"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84" s="50" t="inlineStr">
        <is>
          <t>Official: Consult the official source URL in the database for the primary document. Training: ISACA, ISC2, RAPS, IAPP, and HIMSS offer professional development covering most regulatory domains. Estimated hours vary by framework complexity.</t>
        </is>
      </c>
      <c r="AO484" s="77" t="inlineStr">
        <is>
          <t>Relevance to GH-ICGA framework varies by layer — see GH-ICGA Layer Mapping column. All KSA mandatory frameworks are compliance inputs to GH-ICGA Layer 4. Frameworks with IoMT-specific provisions directly inform Layers 2 and 3.</t>
        </is>
      </c>
      <c r="AP484" s="51" t="inlineStr">
        <is>
          <t>G + C (Governance + Compliance — standard regulatory framework positioning)</t>
        </is>
      </c>
      <c r="AQ484" s="78" t="inlineStr">
        <is>
          <t>Senior management: accountability for framework compliance. Designated compliance officer: monitor requirements. All staff: awareness of applicable obligations</t>
        </is>
      </c>
      <c r="AR484" s="74" t="inlineStr">
        <is>
          <t>Regulatory Risk; Operational Risk; Reputational Risk — specific domains determined by framework scope</t>
        </is>
      </c>
      <c r="AS484" s="22" t="inlineStr">
        <is>
          <t>See official source — legal obligation, regulatory requirement, or voluntary standard as applicable</t>
        </is>
      </c>
      <c r="AT484" s="75" t="inlineStr">
        <is>
          <t>Administrative; Technical; Operational — specific distribution determined by framework content</t>
        </is>
      </c>
      <c r="AU484" s="79" t="inlineStr">
        <is>
          <t>1. Compliance status (compliant/non-compliant). 2. # open findings from last assessment. 3. % controls implemented. 4. Time to remediate findings. 5. Incident rate in framework scope area</t>
        </is>
      </c>
      <c r="AV484" s="80" t="inlineStr">
        <is>
          <t>Self-assessment; internal audit; external assessment as specified by issuing authority</t>
        </is>
      </c>
      <c r="AW484" s="81" t="inlineStr">
        <is>
          <t>ServiceNow GRC; IBM OpenPages; RSA Archer; MetricStream — all major GRC platforms support custom framework import. Contact vendor for framework-specific module</t>
        </is>
      </c>
      <c r="AX484" s="82" t="inlineStr">
        <is>
          <t>Third parties in scope must demonstrate equivalent compliance. Contractual compliance obligations; right-to-audit clauses; annual third-party assessment</t>
        </is>
      </c>
      <c r="AY484" s="83" t="inlineStr">
        <is>
          <t>Non-compliance: regulatory action by issuing authority; fines and penalties as specified; operational and reputational consequences</t>
        </is>
      </c>
      <c r="AZ484" s="80" t="inlineStr">
        <is>
          <t>Healthcare &amp; Life Sciences</t>
        </is>
      </c>
      <c r="BA484" s="41" t="inlineStr">
        <is>
          <t>Sector-Specific</t>
        </is>
      </c>
      <c r="BB484" s="591">
        <f>IF(E484="","",IF(ISNUMBER(SEARCH("Institutional theory and regulatory governance theory underpin",AI484)),"TEMPLATE",IF(LEN(AI484)&gt;100,"DEEP",IF(AI484="","SPARSE","SHALLOW"))))</f>
        <v/>
      </c>
      <c r="BC484" s="591">
        <f>IF(E484="","",D484&amp;"-"&amp;B484&amp;"-"&amp;E484)</f>
        <v/>
      </c>
      <c r="BD484" s="591">
        <f>IF(E484="","",SUBSTITUTE(SUBSTITUTE(B484&amp;"-"&amp;E484," ",""),":","-"))</f>
        <v/>
      </c>
      <c r="BE484" s="591">
        <f>IF(E484="","",IF(ISNUMBER(SEARCH("ECC",E484)),"NCA-ECC-2-2024",IF(ISNUMBER(SEARCH("OTCC",E484)),"NCA-ECC-2-2024",IF(ISNUMBER(SEARCH("CCC",E484)),"NCA-ECC-2-2024",IF(ISNUMBER(SEARCH("DCC",E484)),"NCA-ECC-2-2024",IF(ISNUMBER(SEARCH("CSCC",E484)),"NCA-ECC-2-2024",IF(ISNUMBER(SEARCH("PDPL-IR",E484)),"PDPL-2021",IF(ISNUMBER(SEARCH("PDPL-DTR",E484)),"PDPL-2021","NONE"))))))))</f>
        <v/>
      </c>
      <c r="BF484" s="594">
        <f>IF(E484="","",IF(BB484="DEEP",10,IF(BB484="SHALLOW",5,IF(BB484="TEMPLATE",3,1)))+IF(N484="HIGHEST",5,IF(N484="HIGH",3,IF(N484="MODERATE",1,0)))+IF(ISNUMBER(SEARCH("Mandatory",L484)),3,0))</f>
        <v/>
      </c>
    </row>
    <row r="485" ht="42" customHeight="1">
      <c r="A485" s="42" t="n">
        <v>436</v>
      </c>
      <c r="B485" s="412" t="inlineStr">
        <is>
          <t>NRHC</t>
        </is>
      </c>
      <c r="C485" s="44" t="inlineStr">
        <is>
          <t>Northern Borders Health Cluster</t>
        </is>
      </c>
      <c r="D485" s="44" t="inlineStr">
        <is>
          <t>17. Regional Health Clusters</t>
        </is>
      </c>
      <c r="E485" s="412" t="inlineStr">
        <is>
          <t>MOH-PR</t>
        </is>
      </c>
      <c r="F485" s="45" t="inlineStr">
        <is>
          <t>Patient Rights Charter</t>
        </is>
      </c>
      <c r="G485" s="44" t="inlineStr">
        <is>
          <t>ميثاق حقوق المريض</t>
        </is>
      </c>
      <c r="H485" s="44" t="inlineStr">
        <is>
          <t>2019</t>
        </is>
      </c>
      <c r="I485" s="46" t="inlineStr">
        <is>
          <t>2012</t>
        </is>
      </c>
      <c r="J485" s="46" t="inlineStr">
        <is>
          <t>45</t>
        </is>
      </c>
      <c r="K485" s="44" t="inlineStr">
        <is>
          <t>MUST COMPLY WITH</t>
        </is>
      </c>
      <c r="L485" s="66" t="inlineStr">
        <is>
          <t>Mandatory Complier</t>
        </is>
      </c>
      <c r="M485" s="44" t="inlineStr">
        <is>
          <t>Northern Borders Health Cluster facilities</t>
        </is>
      </c>
      <c r="N485" s="54" t="inlineStr">
        <is>
          <t>HIGH</t>
        </is>
      </c>
      <c r="O485" s="48" t="inlineStr">
        <is>
          <t>https://www.moh.gov.sa/en/</t>
        </is>
      </c>
      <c r="P485" s="44" t="inlineStr">
        <is>
          <t>MOH official</t>
        </is>
      </c>
      <c r="Q485" s="70" t="inlineStr">
        <is>
          <t>First Charter ~2012 → updated 2019</t>
        </is>
      </c>
      <c r="R485" s="70" t="inlineStr">
        <is>
          <t>45 rights and obligations. Key provisions: informed consent (including electronic consent for telemedicine), right to access medical records (digital access through NABIDH patient portal), right to privacy of health information, right to refuse treatment, right to second opinion. 2019 update added digital health rights (right to data portability from health apps)</t>
        </is>
      </c>
      <c r="S485" s="71" t="inlineStr">
        <is>
          <t>First: ~2012. Updated: 2019</t>
        </is>
      </c>
      <c r="T485" s="70" t="inlineStr">
        <is>
          <t>Review 2024-2025 expected to add AI/algorithmic transparency rights</t>
        </is>
      </c>
      <c r="U485" s="25" t="inlineStr">
        <is>
          <t>CURRENT — 2019 version</t>
        </is>
      </c>
      <c r="V485" s="70" t="inlineStr">
        <is>
          <t>Penalties defined by issuing authority; consult official source. NCA ECC-2 penalties apply if relevant</t>
        </is>
      </c>
      <c r="W485" s="72" t="inlineStr">
        <is>
          <t>Issuing authority and/or designated inspection department</t>
        </is>
      </c>
      <c r="X485" s="70" t="inlineStr">
        <is>
          <t>As specified in framework scope — consult official document</t>
        </is>
      </c>
      <c r="Y485" s="49" t="inlineStr">
        <is>
          <t>Both (unless specified otherwise in official document)</t>
        </is>
      </c>
      <c r="Z485" s="70" t="inlineStr">
        <is>
          <t>As defined by issuing authority</t>
        </is>
      </c>
      <c r="AA485" s="71" t="inlineStr">
        <is>
          <t>As defined by issuing authority</t>
        </is>
      </c>
      <c r="AB485" s="70" t="inlineStr">
        <is>
          <t>To be determined from framework text — see official source</t>
        </is>
      </c>
      <c r="AC485" s="70" t="inlineStr">
        <is>
          <t>See framework preamble for international standard references</t>
        </is>
      </c>
      <c r="AD485" s="49" t="inlineStr">
        <is>
          <t>Arabic (primary in KSA); English may be available</t>
        </is>
      </c>
      <c r="AE485" s="58" t="inlineStr">
        <is>
          <t>Mapped to relevant GH-ICGA layer — requires manual assessment</t>
        </is>
      </c>
      <c r="AF485" s="56" t="inlineStr">
        <is>
          <t>See official framework for maturity model details</t>
        </is>
      </c>
      <c r="AG485" s="70" t="inlineStr">
        <is>
          <t>Aligned with relevant Vision 2030 programme — see framework context</t>
        </is>
      </c>
      <c r="AH485" s="70" t="inlineStr">
        <is>
          <t>As specified in framework compliance requirements</t>
        </is>
      </c>
      <c r="AI485" s="73" t="inlineStr">
        <is>
          <t>Institutional theory and regulatory governance theory underpin all KSA regulatory frameworks. Specific theoretical basis varies by framework — consult academic literature via Google Scholar using framework name as search term.</t>
        </is>
      </c>
      <c r="AJ485" s="70" t="inlineStr">
        <is>
          <t>Academic debate varies by framework maturity and international adoption. For KSA-specific debate, consult: Almohammad &amp; Wills (2021) J Cybersecurity; Al-Khater et al. (2020) IEEE Access; Baker McKenzie KSA regulatory updates.</t>
        </is>
      </c>
      <c r="AK485" s="74" t="inlineStr">
        <is>
          <t>Known criticisms include: implementation gap between standards and practice; resource constraints for smaller healthcare entities; rapid technology evolution outpacing regulation. Consult framework evaluation literature for specifics.</t>
        </is>
      </c>
      <c r="AL485" s="75" t="inlineStr">
        <is>
          <t>Framework comparison requires contextual analysis. Key comparators: NIST CSF 2.0 (international benchmark), ISO 27001 (certifiable standard), ECC-2 (KSA mandatory baseline). See main database for cross-framework mapping.</t>
        </is>
      </c>
      <c r="AM485"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85" s="50" t="inlineStr">
        <is>
          <t>Official: Consult the official source URL in the database for the primary document. Training: ISACA, ISC2, RAPS, IAPP, and HIMSS offer professional development covering most regulatory domains. Estimated hours vary by framework complexity.</t>
        </is>
      </c>
      <c r="AO485" s="77" t="inlineStr">
        <is>
          <t>Relevance to GH-ICGA framework varies by layer — see GH-ICGA Layer Mapping column. All KSA mandatory frameworks are compliance inputs to GH-ICGA Layer 4. Frameworks with IoMT-specific provisions directly inform Layers 2 and 3.</t>
        </is>
      </c>
      <c r="AP485" s="51" t="inlineStr">
        <is>
          <t>G + C (Governance + Compliance — standard regulatory framework positioning)</t>
        </is>
      </c>
      <c r="AQ485" s="78" t="inlineStr">
        <is>
          <t>Senior management: accountability for framework compliance. Designated compliance officer: monitor requirements. All staff: awareness of applicable obligations</t>
        </is>
      </c>
      <c r="AR485" s="74" t="inlineStr">
        <is>
          <t>Regulatory Risk; Operational Risk; Reputational Risk — specific domains determined by framework scope</t>
        </is>
      </c>
      <c r="AS485" s="22" t="inlineStr">
        <is>
          <t>See official source — legal obligation, regulatory requirement, or voluntary standard as applicable</t>
        </is>
      </c>
      <c r="AT485" s="75" t="inlineStr">
        <is>
          <t>Administrative; Technical; Operational — specific distribution determined by framework content</t>
        </is>
      </c>
      <c r="AU485" s="79" t="inlineStr">
        <is>
          <t>1. Compliance status (compliant/non-compliant). 2. # open findings from last assessment. 3. % controls implemented. 4. Time to remediate findings. 5. Incident rate in framework scope area</t>
        </is>
      </c>
      <c r="AV485" s="80" t="inlineStr">
        <is>
          <t>Self-assessment; internal audit; external assessment as specified by issuing authority</t>
        </is>
      </c>
      <c r="AW485" s="81" t="inlineStr">
        <is>
          <t>ServiceNow GRC; IBM OpenPages; RSA Archer; MetricStream — all major GRC platforms support custom framework import. Contact vendor for framework-specific module</t>
        </is>
      </c>
      <c r="AX485" s="82" t="inlineStr">
        <is>
          <t>Third parties in scope must demonstrate equivalent compliance. Contractual compliance obligations; right-to-audit clauses; annual third-party assessment</t>
        </is>
      </c>
      <c r="AY485" s="83" t="inlineStr">
        <is>
          <t>Non-compliance: regulatory action by issuing authority; fines and penalties as specified; operational and reputational consequences</t>
        </is>
      </c>
      <c r="AZ485" s="80" t="inlineStr">
        <is>
          <t>Healthcare &amp; Life Sciences</t>
        </is>
      </c>
      <c r="BA485" s="41" t="inlineStr">
        <is>
          <t>Sector-Specific</t>
        </is>
      </c>
      <c r="BB485" s="591">
        <f>IF(E485="","",IF(ISNUMBER(SEARCH("Institutional theory and regulatory governance theory underpin",AI485)),"TEMPLATE",IF(LEN(AI485)&gt;100,"DEEP",IF(AI485="","SPARSE","SHALLOW"))))</f>
        <v/>
      </c>
      <c r="BC485" s="591">
        <f>IF(E485="","",D485&amp;"-"&amp;B485&amp;"-"&amp;E485)</f>
        <v/>
      </c>
      <c r="BD485" s="591">
        <f>IF(E485="","",SUBSTITUTE(SUBSTITUTE(B485&amp;"-"&amp;E485," ",""),":","-"))</f>
        <v/>
      </c>
      <c r="BE485" s="591">
        <f>IF(E485="","",IF(ISNUMBER(SEARCH("ECC",E485)),"NCA-ECC-2-2024",IF(ISNUMBER(SEARCH("OTCC",E485)),"NCA-ECC-2-2024",IF(ISNUMBER(SEARCH("CCC",E485)),"NCA-ECC-2-2024",IF(ISNUMBER(SEARCH("DCC",E485)),"NCA-ECC-2-2024",IF(ISNUMBER(SEARCH("CSCC",E485)),"NCA-ECC-2-2024",IF(ISNUMBER(SEARCH("PDPL-IR",E485)),"PDPL-2021",IF(ISNUMBER(SEARCH("PDPL-DTR",E485)),"PDPL-2021","NONE"))))))))</f>
        <v/>
      </c>
      <c r="BF485" s="594">
        <f>IF(E485="","",IF(BB485="DEEP",10,IF(BB485="SHALLOW",5,IF(BB485="TEMPLATE",3,1)))+IF(N485="HIGHEST",5,IF(N485="HIGH",3,IF(N485="MODERATE",1,0)))+IF(ISNUMBER(SEARCH("Mandatory",L485)),3,0))</f>
        <v/>
      </c>
    </row>
    <row r="486" ht="42" customHeight="1">
      <c r="A486" s="84" t="n">
        <v>437</v>
      </c>
      <c r="B486" s="411" t="inlineStr">
        <is>
          <t>NRHC</t>
        </is>
      </c>
      <c r="C486" s="70" t="inlineStr">
        <is>
          <t>Northern Borders Health Cluster</t>
        </is>
      </c>
      <c r="D486" s="70" t="inlineStr">
        <is>
          <t>17. Regional Health Clusters</t>
        </is>
      </c>
      <c r="E486" s="411" t="inlineStr">
        <is>
          <t>CBAHI-HAS-H</t>
        </is>
      </c>
      <c r="F486" s="72" t="inlineStr">
        <is>
          <t>Hospital Accreditation Standards</t>
        </is>
      </c>
      <c r="G486" s="70" t="inlineStr">
        <is>
          <t>معايير اعتماد المستشفيات</t>
        </is>
      </c>
      <c r="H486" s="70" t="inlineStr">
        <is>
          <t>5th Ed. 2021</t>
        </is>
      </c>
      <c r="I486" s="71" t="inlineStr">
        <is>
          <t>2008</t>
        </is>
      </c>
      <c r="J486" s="71" t="inlineStr">
        <is>
          <t>298</t>
        </is>
      </c>
      <c r="K486" s="70" t="inlineStr">
        <is>
          <t>MUST COMPLY WITH</t>
        </is>
      </c>
      <c r="L486" s="92" t="inlineStr">
        <is>
          <t>Voluntary</t>
        </is>
      </c>
      <c r="M486" s="70" t="inlineStr">
        <is>
          <t>Northern Borders Health Cluster hospitals pursuing CBAHI accreditation</t>
        </is>
      </c>
      <c r="N486" s="86" t="inlineStr">
        <is>
          <t>HIGHEST</t>
        </is>
      </c>
      <c r="O486" s="87" t="inlineStr">
        <is>
          <t>https://www.cbahi.gov.sa/</t>
        </is>
      </c>
      <c r="P486" s="70" t="inlineStr">
        <is>
          <t>CBAHI official</t>
        </is>
      </c>
      <c r="Q486" s="70" t="inlineStr">
        <is>
          <t>1st Ed 2008 → 2nd Ed 2011 → 3rd Ed 2014 → 4th Ed 2017 → 5th Ed 2021</t>
        </is>
      </c>
      <c r="R486" s="70" t="inlineStr">
        <is>
          <t>5th Edition (2021, current): 298 standards across domains including Patient and Family Rights, Patient Assessment, Care of Patients, Patient Safety, Medication Management, Infection Prevention, Facility Management, Staff Qualifications, Quality Improvement, Governance, HIT (Health Information Technology). HIT standards require EMR, NABIDH connectivity, access control, audit trails, downtime procedures. IoMT requirements added in 5th Ed: medical device integration standards, alarm management policy. Benchmarked against JCI standards</t>
        </is>
      </c>
      <c r="S486" s="71" t="inlineStr">
        <is>
          <t>1st Ed: 2008. 2nd: 2011. 3rd: 2014. 4th: 2017. 5th: 2021</t>
        </is>
      </c>
      <c r="T486" s="70" t="inlineStr">
        <is>
          <t>6th Edition expected 2025-2026</t>
        </is>
      </c>
      <c r="U486" s="25" t="inlineStr">
        <is>
          <t>CURRENT — 5th Edition 2021</t>
        </is>
      </c>
      <c r="V486" s="70" t="inlineStr">
        <is>
          <t>Accreditation denial; accreditation suspension; accreditation withdrawal; MOH facility licensing risk (accreditation linked to licensing in practice)</t>
        </is>
      </c>
      <c r="W486" s="72" t="inlineStr">
        <is>
          <t>CBAHI — Accreditation Survey Teams (peer surveyors); MOH recognises CBAHI as national accreditor</t>
        </is>
      </c>
      <c r="X486" s="70" t="inlineStr">
        <is>
          <t>Hospital (primary scope); Teaching Hospital; Specialist Centre</t>
        </is>
      </c>
      <c r="Y486" s="49" t="inlineStr">
        <is>
          <t>Both (voluntary but operationally required)</t>
        </is>
      </c>
      <c r="Z486" s="70" t="inlineStr">
        <is>
          <t>Full survey every 3 years; midterm (focused) survey at 18 months; unannounced visits; corrective action follow-up</t>
        </is>
      </c>
      <c r="AA486" s="71" t="inlineStr">
        <is>
          <t>Full survey: 3-year cycle. Midterm: 18 months. Unannounced: possible at any time</t>
        </is>
      </c>
      <c r="AB486" s="70" t="inlineStr">
        <is>
          <t>22 (HIT standards: medical device integration; alarm management policy mandatory; device maintenance logs; remote monitoring governance; downtime procedures; device inventory; cybersecurity of clinical systems as patient safety issue)</t>
        </is>
      </c>
      <c r="AC486" s="70" t="inlineStr">
        <is>
          <t>JCI (Joint Commission International) — benchmarked; ISQua (accreditation body accreditor); WHO Safe Hospitals Framework</t>
        </is>
      </c>
      <c r="AD486" s="22" t="inlineStr">
        <is>
          <t>Arabic + English (official bilingual)</t>
        </is>
      </c>
      <c r="AE486" s="26" t="inlineStr">
        <is>
          <t>Layer 1: Governance; Layer 4: Compliance; Layer 5: Assurance</t>
        </is>
      </c>
      <c r="AF486" s="27" t="inlineStr">
        <is>
          <t>Yes — Met / Partially Met / Not Met / Not Applicable per standard; overall accreditation decision = scored threshold</t>
        </is>
      </c>
      <c r="AG486" s="70" t="inlineStr">
        <is>
          <t>HSTP quality transformation; Vision 2030 healthcare quality targets (JCI/CBAHI accreditation for all tertiary hospitals)</t>
        </is>
      </c>
      <c r="AH486" s="70" t="inlineStr">
        <is>
          <t>Survey self-assessment; policy documentation; staff credential files; patient safety incident log; HIT system audit; quality improvement data; patient satisfaction scores</t>
        </is>
      </c>
      <c r="AI486" s="73" t="inlineStr">
        <is>
          <t>Healthcare quality theory (Donabedian 1988): structure-process-outcome triad. Accreditation theory: third-party external validation as quality assurance mechanism. Institutional isomorphism: accreditation spreads best practices through mimetic pressure. Patient safety culture theory (Reason 2000): systems-based safety vs blame culture.</t>
        </is>
      </c>
      <c r="AJ486" s="70" t="inlineStr">
        <is>
          <t>FOR: Almutairi et al. (2015) and Alkhenizan &amp; Shaw (2011) find CBAHI-accredited hospitals show measurable quality improvements; national benchmark grounded in Saudi context unlike JCI (US-centric); patient safety improvements documented post-accreditation. AGAINST: Voluntariness undermines universal coverage — only ~40% of KSA hospitals accredited (WHO PHSSR 2025); Greenfield &amp; Braithwaite (2008) meta-analysis questions causal link between accreditation and patient outcomes; survey preparation creates compliance-oriented behaviours rather than genuine quality improvement (gaming risk)</t>
        </is>
      </c>
      <c r="AK486" s="74" t="inlineStr">
        <is>
          <t>3-year survey cycle too long for rapid IoMT deployment environment; HIT standards in 5th Ed still less specific than HIMSS EMRAM Stage 6/7 requirements; cybersecurity standards within CBAHI remain minimal compared to NCA ECC-2 requirements; no dedicated IoMT governance chapter despite medical device proliferation; rural and small facility accreditation rates critically low</t>
        </is>
      </c>
      <c r="AL486" s="75" t="inlineStr">
        <is>
          <t>CBAHI vs JCI: JCI globally recognised; CBAHI nationally recognised — JCI preferred for medical tourism attracting hospitals. CBAHI vs HIMSS EMRAM: CBAHI is broad clinical; HIMSS EMRAM is digital health maturity-specific. CBAHI vs DNV: CBAHI similar survey model. CBAHI + HIMSS EMRAM combined = most comprehensive digital health quality picture for KSA hospitals</t>
        </is>
      </c>
      <c r="AM486" s="76" t="inlineStr">
        <is>
          <t>Alkhenizan A &amp; Shaw C (2011) 'Impact of Accreditation' Ann Saudi Med 31(4); Almutairi AF et al. (2015) 'Perceptions of CBAHI Accreditation' BMC Health Services Research; Donabedian A (1988) 'Quality of Care' JAMA 260(12); Greenfield D &amp; Braithwaite J (2008) 'Health Sector Accreditation Research' Int J Quality Health Care 20(3); WHO (2025) PHSSR Saudi Arabia</t>
        </is>
      </c>
      <c r="AN486" s="50" t="inlineStr">
        <is>
          <t>Official: CBAHI website (cbahi.gov.sa) — standards available to purchase. Training: CBAHI education programmes; surveyor training; CPHQ (Certified Professional in Healthcare Quality). Estimated: 60 hours for surveyors; 20 hours for department leads</t>
        </is>
      </c>
      <c r="AO486" s="77" t="inlineStr">
        <is>
          <t>GH-ICGA Layer 5 (Assurance) — CBAHI accreditation is the primary assurance mechanism for hospital IoMT governance. Thesis argument: CBAHI-HAS-H 5th Ed HIT standards need a cybersecurity annex for IoMT — GH-ICGA Layer 5 Assurance proposes an IoMT-specific evaluation framework that could be adopted within CBAHI survey process</t>
        </is>
      </c>
      <c r="AP486" s="51" t="inlineStr">
        <is>
          <t>G + C (Governance through quality standards + voluntary compliance assurance)</t>
        </is>
      </c>
      <c r="AQ486" s="78" t="inlineStr">
        <is>
          <t>CEO: accountable for accreditation status. CMO: responsible for clinical quality chapter compliance. CNO: responsible for nursing quality. Quality/Patient Safety Director: coordinates accreditation programme. Department heads: responsible for chapter compliance in their domain. Accreditation Committee: cross-functional governance body</t>
        </is>
      </c>
      <c r="AR486" s="74" t="inlineStr">
        <is>
          <t>Quality Risk; Patient Safety Risk; Operational Risk (accreditation loss = licensing risk); Reputational Risk; Regulatory Risk (MOH links accreditation to licensing in practice)</t>
        </is>
      </c>
      <c r="AS486" s="92" t="inlineStr">
        <is>
          <t>VOLUNTARY — but operationally MANDATORY (MOH licensing increasingly linked to CBAHI in practice; required for JCI-referencing hospitals and private insurance network participation)</t>
        </is>
      </c>
      <c r="AT486" s="75" t="inlineStr">
        <is>
          <t>Administrative (A): 150 controls — policies; procedures; governance; quality committees. Technical (T): 48 controls — HIT; equipment maintenance; diagnostic systems. Operational (O): 100 controls — clinical procedures; patient safety practices; staff competencies</t>
        </is>
      </c>
      <c r="AU486" s="79" t="inlineStr">
        <is>
          <t>1. CBAHI survey score per chapter (target ≥90% Met). 2. # sentinel events per 1,000 admissions. 3. Falls rate per 1,000 patient days. 4. Hospital-acquired infection rate. 5. Patient satisfaction score (target &gt;90%). 6. Medication error rate. 7. HIT compliance score (CBAHI HIT chapter)</t>
        </is>
      </c>
      <c r="AV486" s="80" t="inlineStr">
        <is>
          <t>CBAHI full survey (3-year cycle — 2-3 day on-site assessment); midterm survey (18 months — focused chapters); unannounced visit (possible any time); tracer methodology; document review; staff interviews; facility inspection</t>
        </is>
      </c>
      <c r="AW486" s="81" t="inlineStr">
        <is>
          <t>Accreditation Manager (CBAHI online platform); EQUIP (quality management platform); PowerDMS; Quantros; Press Ganey (patient satisfaction); Meditech/Epic quality modules; RL6 (incident reporting)</t>
        </is>
      </c>
      <c r="AX486" s="82" t="inlineStr">
        <is>
          <t>Contractors and service providers in clinical areas must meet CBAHI competency requirements; credentialing of contracted physicians required; outsourced services (laundry, catering, security) must meet CBAHI environment chapter standards; medical device vendors: CBAHI biomedical equipment requirements</t>
        </is>
      </c>
      <c r="AY486" s="83" t="inlineStr">
        <is>
          <t>Accreditation denial: cannot be MOH referral centre; excluded from major insurance networks; reputational damage. Accreditation suspension: immediate revenue impact from insurance exclusion. MOH can condition facility licence on CBAHI compliance</t>
        </is>
      </c>
      <c r="AZ486" s="80" t="inlineStr">
        <is>
          <t>Healthcare &amp; Life Sciences</t>
        </is>
      </c>
      <c r="BA486" s="41" t="inlineStr">
        <is>
          <t>Sector-Specific</t>
        </is>
      </c>
      <c r="BB486" s="591">
        <f>IF(E486="","",IF(ISNUMBER(SEARCH("Institutional theory and regulatory governance theory underpin",AI486)),"TEMPLATE",IF(LEN(AI486)&gt;100,"DEEP",IF(AI486="","SPARSE","SHALLOW"))))</f>
        <v/>
      </c>
      <c r="BC486" s="591">
        <f>IF(E486="","",D486&amp;"-"&amp;B486&amp;"-"&amp;E486)</f>
        <v/>
      </c>
      <c r="BD486" s="591">
        <f>IF(E486="","",SUBSTITUTE(SUBSTITUTE(B486&amp;"-"&amp;E486," ",""),":","-"))</f>
        <v/>
      </c>
      <c r="BE486" s="591">
        <f>IF(E486="","",IF(ISNUMBER(SEARCH("ECC",E486)),"NCA-ECC-2-2024",IF(ISNUMBER(SEARCH("OTCC",E486)),"NCA-ECC-2-2024",IF(ISNUMBER(SEARCH("CCC",E486)),"NCA-ECC-2-2024",IF(ISNUMBER(SEARCH("DCC",E486)),"NCA-ECC-2-2024",IF(ISNUMBER(SEARCH("CSCC",E486)),"NCA-ECC-2-2024",IF(ISNUMBER(SEARCH("PDPL-IR",E486)),"PDPL-2021",IF(ISNUMBER(SEARCH("PDPL-DTR",E486)),"PDPL-2021","NONE"))))))))</f>
        <v/>
      </c>
      <c r="BF486" s="594">
        <f>IF(E486="","",IF(BB486="DEEP",10,IF(BB486="SHALLOW",5,IF(BB486="TEMPLATE",3,1)))+IF(N486="HIGHEST",5,IF(N486="HIGH",3,IF(N486="MODERATE",1,0)))+IF(ISNUMBER(SEARCH("Mandatory",L486)),3,0))</f>
        <v/>
      </c>
    </row>
    <row r="487" ht="42" customHeight="1">
      <c r="A487" s="42" t="n">
        <v>438</v>
      </c>
      <c r="B487" s="412" t="inlineStr">
        <is>
          <t>NRHC</t>
        </is>
      </c>
      <c r="C487" s="44" t="inlineStr">
        <is>
          <t>Northern Borders Health Cluster</t>
        </is>
      </c>
      <c r="D487" s="44" t="inlineStr">
        <is>
          <t>17. Regional Health Clusters</t>
        </is>
      </c>
      <c r="E487" s="412" t="inlineStr">
        <is>
          <t>NCA-ECC-2:2024</t>
        </is>
      </c>
      <c r="F487" s="45" t="inlineStr">
        <is>
          <t>Essential Cybersecurity Controls</t>
        </is>
      </c>
      <c r="G487" s="44" t="inlineStr">
        <is>
          <t>ضوابط الأمن السيبراني الأساسية</t>
        </is>
      </c>
      <c r="H487" s="44" t="inlineStr">
        <is>
          <t>ECC-2:2024</t>
        </is>
      </c>
      <c r="I487" s="46" t="inlineStr">
        <is>
          <t>2018</t>
        </is>
      </c>
      <c r="J487" s="46" t="inlineStr">
        <is>
          <t>108</t>
        </is>
      </c>
      <c r="K487" s="44" t="inlineStr">
        <is>
          <t>MUST COMPLY WITH</t>
        </is>
      </c>
      <c r="L487" s="66" t="inlineStr">
        <is>
          <t>Mandatory Complier</t>
        </is>
      </c>
      <c r="M487" s="44" t="inlineStr">
        <is>
          <t>Northern Borders Health Cluster as government entity — hospital networks</t>
        </is>
      </c>
      <c r="N487" s="47" t="inlineStr">
        <is>
          <t>HIGHEST</t>
        </is>
      </c>
      <c r="O487" s="48" t="inlineStr">
        <is>
          <t>https://nca.gov.sa/</t>
        </is>
      </c>
      <c r="P487" s="44" t="inlineStr">
        <is>
          <t>NCA ECC scope</t>
        </is>
      </c>
      <c r="Q487" s="70" t="inlineStr">
        <is>
          <t>See official source for version history</t>
        </is>
      </c>
      <c r="R487" s="70" t="inlineStr">
        <is>
          <t>Framework issued by the relevant authority. Version details available on the official website referenced in the source URL column. The framework has been updated periodically since first issuance.</t>
        </is>
      </c>
      <c r="S487" s="71" t="inlineStr">
        <is>
          <t>See official source</t>
        </is>
      </c>
      <c r="T487" s="70" t="inlineStr">
        <is>
          <t>Updated as needed by the issuing authority</t>
        </is>
      </c>
      <c r="U487" s="25" t="inlineStr">
        <is>
          <t>CURRENT — consult official source for latest version</t>
        </is>
      </c>
      <c r="V487" s="70" t="inlineStr">
        <is>
          <t>Penalties defined by issuing authority; consult official source. NCA ECC-2 penalties apply if relevant</t>
        </is>
      </c>
      <c r="W487" s="72" t="inlineStr">
        <is>
          <t>Issuing authority and/or designated inspection department</t>
        </is>
      </c>
      <c r="X487" s="70" t="inlineStr">
        <is>
          <t>As specified in framework scope — consult official document</t>
        </is>
      </c>
      <c r="Y487" s="49" t="inlineStr">
        <is>
          <t>Both (unless specified otherwise in official document)</t>
        </is>
      </c>
      <c r="Z487" s="70" t="inlineStr">
        <is>
          <t>As defined by issuing authority</t>
        </is>
      </c>
      <c r="AA487" s="71" t="inlineStr">
        <is>
          <t>As defined by issuing authority</t>
        </is>
      </c>
      <c r="AB487" s="70" t="inlineStr">
        <is>
          <t>To be determined from framework text — see official source</t>
        </is>
      </c>
      <c r="AC487" s="70" t="inlineStr">
        <is>
          <t>See framework preamble for international standard references</t>
        </is>
      </c>
      <c r="AD487" s="49" t="inlineStr">
        <is>
          <t>Arabic (primary in KSA); English may be available</t>
        </is>
      </c>
      <c r="AE487" s="58" t="inlineStr">
        <is>
          <t>Mapped to relevant GH-ICGA layer — requires manual assessment</t>
        </is>
      </c>
      <c r="AF487" s="56" t="inlineStr">
        <is>
          <t>See official framework for maturity model details</t>
        </is>
      </c>
      <c r="AG487" s="70" t="inlineStr">
        <is>
          <t>Aligned with relevant Vision 2030 programme — see framework context</t>
        </is>
      </c>
      <c r="AH487" s="70" t="inlineStr">
        <is>
          <t>As specified in framework compliance requirements</t>
        </is>
      </c>
      <c r="AI487" s="73" t="inlineStr">
        <is>
          <t>Institutional theory and regulatory governance theory underpin all KSA regulatory frameworks. Specific theoretical basis varies by framework — consult academic literature via Google Scholar using framework name as search term.</t>
        </is>
      </c>
      <c r="AJ487" s="70" t="inlineStr">
        <is>
          <t>Academic debate varies by framework maturity and international adoption. For KSA-specific debate, consult: Almohammad &amp; Wills (2021) J Cybersecurity; Al-Khater et al. (2020) IEEE Access; Baker McKenzie KSA regulatory updates.</t>
        </is>
      </c>
      <c r="AK487" s="74" t="inlineStr">
        <is>
          <t>Known criticisms include: implementation gap between standards and practice; resource constraints for smaller healthcare entities; rapid technology evolution outpacing regulation. Consult framework evaluation literature for specifics.</t>
        </is>
      </c>
      <c r="AL487" s="75" t="inlineStr">
        <is>
          <t>Framework comparison requires contextual analysis. Key comparators: NIST CSF 2.0 (international benchmark), ISO 27001 (certifiable standard), ECC-2 (KSA mandatory baseline). See main database for cross-framework mapping.</t>
        </is>
      </c>
      <c r="AM487"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87" s="50" t="inlineStr">
        <is>
          <t>Official: Consult the official source URL in the database for the primary document. Training: ISACA, ISC2, RAPS, IAPP, and HIMSS offer professional development covering most regulatory domains. Estimated hours vary by framework complexity.</t>
        </is>
      </c>
      <c r="AO487" s="77" t="inlineStr">
        <is>
          <t>Relevance to GH-ICGA framework varies by layer — see GH-ICGA Layer Mapping column. All KSA mandatory frameworks are compliance inputs to GH-ICGA Layer 4. Frameworks with IoMT-specific provisions directly inform Layers 2 and 3.</t>
        </is>
      </c>
      <c r="AP487" s="51" t="inlineStr">
        <is>
          <t>G + C (Governance + Compliance — standard regulatory framework positioning)</t>
        </is>
      </c>
      <c r="AQ487" s="78" t="inlineStr">
        <is>
          <t>Senior management: accountability for framework compliance. Designated compliance officer: monitor requirements. All staff: awareness of applicable obligations</t>
        </is>
      </c>
      <c r="AR487" s="74" t="inlineStr">
        <is>
          <t>Regulatory Risk; Operational Risk; Reputational Risk — specific domains determined by framework scope</t>
        </is>
      </c>
      <c r="AS487" s="22" t="inlineStr">
        <is>
          <t>See official source — legal obligation, regulatory requirement, or voluntary standard as applicable</t>
        </is>
      </c>
      <c r="AT487" s="75" t="inlineStr">
        <is>
          <t>Administrative; Technical; Operational — specific distribution determined by framework content</t>
        </is>
      </c>
      <c r="AU487" s="79" t="inlineStr">
        <is>
          <t>1. Compliance status (compliant/non-compliant). 2. # open findings from last assessment. 3. % controls implemented. 4. Time to remediate findings. 5. Incident rate in framework scope area</t>
        </is>
      </c>
      <c r="AV487" s="80" t="inlineStr">
        <is>
          <t>Self-assessment; internal audit; external assessment as specified by issuing authority</t>
        </is>
      </c>
      <c r="AW487" s="81" t="inlineStr">
        <is>
          <t>ServiceNow GRC; IBM OpenPages; RSA Archer; MetricStream — all major GRC platforms support custom framework import. Contact vendor for framework-specific module</t>
        </is>
      </c>
      <c r="AX487" s="82" t="inlineStr">
        <is>
          <t>Third parties in scope must demonstrate equivalent compliance. Contractual compliance obligations; right-to-audit clauses; annual third-party assessment</t>
        </is>
      </c>
      <c r="AY487" s="83" t="inlineStr">
        <is>
          <t>Non-compliance: regulatory action by issuing authority; fines and penalties as specified; operational and reputational consequences</t>
        </is>
      </c>
      <c r="AZ487" s="80" t="inlineStr">
        <is>
          <t>ALL 17 SECTORS</t>
        </is>
      </c>
      <c r="BA487" s="34" t="inlineStr">
        <is>
          <t>YES — ALL SECTORS</t>
        </is>
      </c>
      <c r="BB487" s="591">
        <f>IF(E487="","",IF(ISNUMBER(SEARCH("Institutional theory and regulatory governance theory underpin",AI487)),"TEMPLATE",IF(LEN(AI487)&gt;100,"DEEP",IF(AI487="","SPARSE","SHALLOW"))))</f>
        <v/>
      </c>
      <c r="BC487" s="591">
        <f>IF(E487="","",D487&amp;"-"&amp;B487&amp;"-"&amp;E487)</f>
        <v/>
      </c>
      <c r="BD487" s="591">
        <f>IF(E487="","",SUBSTITUTE(SUBSTITUTE(B487&amp;"-"&amp;E487," ",""),":","-"))</f>
        <v/>
      </c>
      <c r="BE487" s="591">
        <f>IF(E487="","",IF(ISNUMBER(SEARCH("ECC",E487)),"NCA-ECC-2-2024",IF(ISNUMBER(SEARCH("OTCC",E487)),"NCA-ECC-2-2024",IF(ISNUMBER(SEARCH("CCC",E487)),"NCA-ECC-2-2024",IF(ISNUMBER(SEARCH("DCC",E487)),"NCA-ECC-2-2024",IF(ISNUMBER(SEARCH("CSCC",E487)),"NCA-ECC-2-2024",IF(ISNUMBER(SEARCH("PDPL-IR",E487)),"PDPL-2021",IF(ISNUMBER(SEARCH("PDPL-DTR",E487)),"PDPL-2021","NONE"))))))))</f>
        <v/>
      </c>
      <c r="BF487" s="594">
        <f>IF(E487="","",IF(BB487="DEEP",10,IF(BB487="SHALLOW",5,IF(BB487="TEMPLATE",3,1)))+IF(N487="HIGHEST",5,IF(N487="HIGH",3,IF(N487="MODERATE",1,0)))+IF(ISNUMBER(SEARCH("Mandatory",L487)),3,0))</f>
        <v/>
      </c>
    </row>
    <row r="488" ht="42" customHeight="1">
      <c r="A488" s="84" t="n">
        <v>439</v>
      </c>
      <c r="B488" s="411" t="inlineStr">
        <is>
          <t>NRHC</t>
        </is>
      </c>
      <c r="C488" s="70" t="inlineStr">
        <is>
          <t>Northern Borders Health Cluster</t>
        </is>
      </c>
      <c r="D488" s="70" t="inlineStr">
        <is>
          <t>17. Regional Health Clusters</t>
        </is>
      </c>
      <c r="E488" s="411" t="inlineStr">
        <is>
          <t>PDPL-2021</t>
        </is>
      </c>
      <c r="F488" s="72" t="inlineStr">
        <is>
          <t>Personal Data Protection Law</t>
        </is>
      </c>
      <c r="G488" s="70" t="inlineStr">
        <is>
          <t>نظام حماية البيانات الشخصية</t>
        </is>
      </c>
      <c r="H488" s="70" t="inlineStr">
        <is>
          <t>2021+IR 2023</t>
        </is>
      </c>
      <c r="I488" s="71" t="inlineStr">
        <is>
          <t>2021</t>
        </is>
      </c>
      <c r="J488" s="71" t="inlineStr">
        <is>
          <t>45</t>
        </is>
      </c>
      <c r="K488" s="70" t="inlineStr">
        <is>
          <t>MUST COMPLY WITH</t>
        </is>
      </c>
      <c r="L488" s="66" t="inlineStr">
        <is>
          <t>Mandatory Complier</t>
        </is>
      </c>
      <c r="M488" s="70" t="inlineStr">
        <is>
          <t>Northern Borders Health Cluster processes patient personal data</t>
        </is>
      </c>
      <c r="N488" s="86" t="inlineStr">
        <is>
          <t>HIGHEST</t>
        </is>
      </c>
      <c r="O488" s="87" t="inlineStr">
        <is>
          <t>https://sdaia.gov.sa/</t>
        </is>
      </c>
      <c r="P488" s="70" t="inlineStr">
        <is>
          <t>SDAIA</t>
        </is>
      </c>
      <c r="Q488" s="70" t="inlineStr">
        <is>
          <t>Royal Decree M/19 (16 Sep 2021) → amended Apr 2023</t>
        </is>
      </c>
      <c r="R488" s="70" t="inlineStr">
        <is>
          <t>Original (2021): 19 articles covering consent, data subject rights, controller obligations, sensitive data (health = sensitive), cross-border transfer. Apr 2023 amendment: strengthened enforcement, clarified health data provisions, aligned with PDPL-IR-2023. Grace period for compliance ended Sep 14, 2024. Penalties: up to SAR 5 million fine + 2 years imprisonment for sensitive data breach</t>
        </is>
      </c>
      <c r="S488" s="71" t="inlineStr">
        <is>
          <t>Issued: Sep 2021. Amended: Apr 2023. Fully enforceable: Sep 14, 2024</t>
        </is>
      </c>
      <c r="T488" s="70" t="inlineStr">
        <is>
          <t>SDAIA reviews annually; amendments expected 2025-2026</t>
        </is>
      </c>
      <c r="U488" s="25" t="inlineStr">
        <is>
          <t>CURRENT — fully enforceable since Sep 2024</t>
        </is>
      </c>
      <c r="V488" s="70" t="inlineStr">
        <is>
          <t>Criminal offence: up to 2 years imprisonment + SAR 3M fine for disclosing sensitive data (health data = sensitive); administrative fine up to SAR 5M; mandatory breach notification to SDAIA within 72 hours; data subject compensation claims</t>
        </is>
      </c>
      <c r="W488" s="72" t="inlineStr">
        <is>
          <t>SDAIA — Data Protection Authority (DPA functions); NDMO for government entities; courts for criminal penalties</t>
        </is>
      </c>
      <c r="X488" s="70" t="inlineStr">
        <is>
          <t>Hospital; Clinic; Lab; Pharmacy; Health IT Vendor; Health Insurer; Government Health Entity; Medical Device Manufacturer (all processing patient data)</t>
        </is>
      </c>
      <c r="Y488" s="49" t="inlineStr">
        <is>
          <t>Both + foreign entities processing data of KSA residents</t>
        </is>
      </c>
      <c r="Z488" s="70" t="inlineStr">
        <is>
          <t>SDAIA audit; controller self-assessment; DPO oversight; data subject complaints trigger investigation</t>
        </is>
      </c>
      <c r="AA488" s="71" t="inlineStr">
        <is>
          <t>Continuous (breach notification: 72 hours); annual DPO report; SDAIA random audits</t>
        </is>
      </c>
      <c r="AB488" s="70" t="inlineStr">
        <is>
          <t>12 (IoMT data minimisation; purpose limitation; consent management for wearable data; automated decision-making; data subject rights for IoMT-generated health data; cross-border transfer of IoMT data)</t>
        </is>
      </c>
      <c r="AC488" s="70" t="inlineStr">
        <is>
          <t>GDPR (substantial alignment — adequate protection basis); APEC Privacy Framework; ISO 29100; ISO 27701</t>
        </is>
      </c>
      <c r="AD488" s="49" t="inlineStr">
        <is>
          <t>Arabic (official); English translation (unofficial)</t>
        </is>
      </c>
      <c r="AE488" s="50" t="inlineStr">
        <is>
          <t>Layer 4: Compliance; Layer 2: Risk Management</t>
        </is>
      </c>
      <c r="AF488" s="60" t="inlineStr">
        <is>
          <t>No formal maturity model; SDAIA publishes compliance guidance</t>
        </is>
      </c>
      <c r="AG488" s="70" t="inlineStr">
        <is>
          <t>National Data Strategy; Vision 2030 Digital Economy; Digital Government transformation</t>
        </is>
      </c>
      <c r="AH488" s="70" t="inlineStr">
        <is>
          <t>Privacy notices; consent records; DPO appointment letter; data mapping/flow diagrams; breach notification records; DPIA for health data processing; controller registration</t>
        </is>
      </c>
      <c r="AI488" s="73" t="inlineStr">
        <is>
          <t>Privacy as fundamental right (Warren &amp; Brandeis 1890; Westin 1967). Contextual integrity theory (Nissenbaum 2004): health data flows must match medical context norms. Regulatory theory: data protection authority independence and enforcement. Information asymmetry theory: patients cannot protect their own data without regulation.</t>
        </is>
      </c>
      <c r="AJ488" s="70" t="inlineStr">
        <is>
          <t>FOR: Long-overdue — KSA had no comprehensive data protection law until 2021; health data explicitly protected as sensitive category; aligns KSA with global adequacy standards. AGAINST: Alrawabdeh (2014) and Aldawood &amp; Skinner (2019) documented Saudi privacy culture gap — regulation without public awareness is ineffective; 'GDPR-lite' criticism: exemptions broader than GDPR, enforcement weaker; health data provisions in IR still less specific than UK GDPR Schedule 1 conditions</t>
        </is>
      </c>
      <c r="AK488" s="74" t="inlineStr">
        <is>
          <t>No independent supervisory authority (SDAIA is both promoter and regulator — conflict of interest noted by Baker McKenzie 2025); patient data portability rights weaker than GDPR Article 20; no explicit right to explanation for AI-automated health decisions; cross-border transfer rules changed twice in 12 months (regulatory instability); small healthcare providers lack capacity for DPO requirements</t>
        </is>
      </c>
      <c r="AL488" s="75" t="inlineStr">
        <is>
          <t>PDPL vs GDPR: PDPL penalty lower (SAR 5M vs €20M); PDPL broader government exemptions; GDPR has independent DPA, PDPL does not. PDPL vs HIPAA: PDPL = all personal data (broader); HIPAA = US-specific health data only. PDPL vs UK GDPR: PDPL misses explicit Schedule 1 health data conditions. PDPL ahead of HIPAA on consent granularity; behind GDPR on enforcement independence</t>
        </is>
      </c>
      <c r="AM488" s="76" t="inlineStr">
        <is>
          <t>Baker McKenzie (2025) Saudi Arabia PDPL Global Data &amp; Cyber Handbook; Alrawabdeh W (2014) 'Internet and Social Media Challenges in Arab World' EJSR; Westin AF (1967) Privacy and Freedom NY Atheneum; Nissenbaum H (2004) 'Privacy as Contextual Integrity' Washington Law Review 79(1); CMS Law (2025) Saudi Arabia Data Protection &amp; Cybersecurity Expert Guide Oct 2025</t>
        </is>
      </c>
      <c r="AN488" s="50" t="inlineStr">
        <is>
          <t>Official: SDAIA website (sdaia.gov.sa) — Arabic + English. Training: IAPP CIPM/CIPP/E (privacy certifications applicable); OneTrust PDPL compliance course; Baker McKenzie PDPL compliance guide. Language: Arabic primary — strong Arabic reading recommended. Estimated: 50 hours for health sector DPO competence</t>
        </is>
      </c>
      <c r="AO488" s="77" t="inlineStr">
        <is>
          <t>PRIMARY driver for GH-ICGA Layer 4 (Compliance) — PDPL is the legal foundation for patient data governance in the preliminary GH-ICGA framework. Thesis argument: GH-ICGA Layer 4 operationalises PDPL requirements into IoMT-specific controls (consent management for wearable data; purpose limitation for monitoring streams; breach response for connected device incidents)</t>
        </is>
      </c>
      <c r="AP488" s="51" t="inlineStr">
        <is>
          <t>G + C (Governance + Compliance — strong compliance driver; risk implicit)</t>
        </is>
      </c>
      <c r="AQ488" s="78" t="inlineStr">
        <is>
          <t>Board/CEO: ultimate accountability for PDPL compliance. DPO: mandatory for large-scale health data processors — reports to highest management level. Privacy Committee: cross-functional oversight. All staff processing personal data: mandatory privacy awareness training annually</t>
        </is>
      </c>
      <c r="AR488" s="74" t="inlineStr">
        <is>
          <t>Privacy Risk (PRIMARY); Legal/Regulatory Risk; Reputational Risk; Strategic Risk (data monetisation constraints); Cross-Border Risk (data transfer restrictions)</t>
        </is>
      </c>
      <c r="AS488" s="22" t="inlineStr">
        <is>
          <t>LEGAL — Royal Decree M/19 2021 + Implementing Regulations Sep 2023. Criminal: imprisonment up to 2 years + SAR 3M fine for sensitive data disclosure. Administrative: SAR 5M maximum fine. Civil: data subject compensation claims</t>
        </is>
      </c>
      <c r="AT488" s="75" t="inlineStr">
        <is>
          <t>Administrative (A): consent management; privacy notices; DPO appointment; DPIA process; breach notification procedure. Technical (T): data minimisation; pseudonymisation; access controls for personal data; encryption. Operational (O): data retention enforcement; data subject rights fulfilment process; cross-border transfer review</t>
        </is>
      </c>
      <c r="AU488" s="79" t="inlineStr">
        <is>
          <t>1. # data subject rights requests fulfilled on time (target: 100% within 30 days). 2. # data breaches notified to SDAIA within 72h (target: 100%). 3. % staff completed privacy training (target: 100%). 4. # DPIAs completed for high-risk processing activities. 5. Data retention compliance rate (% records within policy). 6. % third-party processors with DPA agreements</t>
        </is>
      </c>
      <c r="AV488" s="80" t="inlineStr">
        <is>
          <t>Annual DPIA review; data mapping audit (controller record validation); consent record audit; breach response simulation (tabletop); access control review for personal data systems; third-party processor audit; SDAIA compliance self-assessment</t>
        </is>
      </c>
      <c r="AW488" s="81" t="inlineStr">
        <is>
          <t>OneTrust (market leader for PDPL); TrustArc; Nymity; DataGrail; Varonis (data discovery); Microsoft Purview (data classification). SDAIA National Data Governance Platform for registration. Arabic-capable tools preferred</t>
        </is>
      </c>
      <c r="AX488" s="82" t="inlineStr">
        <is>
          <t>All third-party data processors must have Data Processing Agreement (DPA). Processors must demonstrate equivalent PDPL compliance. Cross-border transfers require adequacy assessment or appropriate safeguards. Sub-processor disclosure mandatory. Annual processor risk assessment required</t>
        </is>
      </c>
      <c r="AY488" s="83" t="inlineStr">
        <is>
          <t>Non-compliance: SAR 5M administrative fine; criminal prosecution for sensitive data breach; SDAIA investigation; mandatory breach public disclosure. Business disruption: SDAIA can order processing suspension. Reputational: patient trust damage. Market: EU adequate protection status depends on PDPL enforcement credibility</t>
        </is>
      </c>
      <c r="AZ488" s="80" t="inlineStr">
        <is>
          <t>ALL 17 SECTORS — any entity processing personal data</t>
        </is>
      </c>
      <c r="BA488" s="34" t="inlineStr">
        <is>
          <t>YES — ALL SECTORS</t>
        </is>
      </c>
      <c r="BB488" s="591">
        <f>IF(E488="","",IF(ISNUMBER(SEARCH("Institutional theory and regulatory governance theory underpin",AI488)),"TEMPLATE",IF(LEN(AI488)&gt;100,"DEEP",IF(AI488="","SPARSE","SHALLOW"))))</f>
        <v/>
      </c>
      <c r="BC488" s="591">
        <f>IF(E488="","",D488&amp;"-"&amp;B488&amp;"-"&amp;E488)</f>
        <v/>
      </c>
      <c r="BD488" s="591">
        <f>IF(E488="","",SUBSTITUTE(SUBSTITUTE(B488&amp;"-"&amp;E488," ",""),":","-"))</f>
        <v/>
      </c>
      <c r="BE488" s="591">
        <f>IF(E488="","",IF(ISNUMBER(SEARCH("ECC",E488)),"NCA-ECC-2-2024",IF(ISNUMBER(SEARCH("OTCC",E488)),"NCA-ECC-2-2024",IF(ISNUMBER(SEARCH("CCC",E488)),"NCA-ECC-2-2024",IF(ISNUMBER(SEARCH("DCC",E488)),"NCA-ECC-2-2024",IF(ISNUMBER(SEARCH("CSCC",E488)),"NCA-ECC-2-2024",IF(ISNUMBER(SEARCH("PDPL-IR",E488)),"PDPL-2021",IF(ISNUMBER(SEARCH("PDPL-DTR",E488)),"PDPL-2021","NONE"))))))))</f>
        <v/>
      </c>
      <c r="BF488" s="594">
        <f>IF(E488="","",IF(BB488="DEEP",10,IF(BB488="SHALLOW",5,IF(BB488="TEMPLATE",3,1)))+IF(N488="HIGHEST",5,IF(N488="HIGH",3,IF(N488="MODERATE",1,0)))+IF(ISNUMBER(SEARCH("Mandatory",L488)),3,0))</f>
        <v/>
      </c>
    </row>
    <row r="489" ht="42" customHeight="1">
      <c r="A489" s="42" t="n">
        <v>440</v>
      </c>
      <c r="B489" s="412" t="inlineStr">
        <is>
          <t>NRHC</t>
        </is>
      </c>
      <c r="C489" s="44" t="inlineStr">
        <is>
          <t>Northern Borders Health Cluster</t>
        </is>
      </c>
      <c r="D489" s="44" t="inlineStr">
        <is>
          <t>17. Regional Health Clusters</t>
        </is>
      </c>
      <c r="E489" s="412" t="inlineStr">
        <is>
          <t>MOH-TELE</t>
        </is>
      </c>
      <c r="F489" s="45" t="inlineStr">
        <is>
          <t>Telemedicine Regulations</t>
        </is>
      </c>
      <c r="G489" s="44" t="inlineStr">
        <is>
          <t>لائحة الرعاية الصحية عن بعد</t>
        </is>
      </c>
      <c r="H489" s="44" t="inlineStr">
        <is>
          <t>Late 2023</t>
        </is>
      </c>
      <c r="I489" s="46" t="inlineStr">
        <is>
          <t>2020</t>
        </is>
      </c>
      <c r="J489" s="46" t="inlineStr">
        <is>
          <t>38</t>
        </is>
      </c>
      <c r="K489" s="44" t="inlineStr">
        <is>
          <t>MUST COMPLY WITH</t>
        </is>
      </c>
      <c r="L489" s="66" t="inlineStr">
        <is>
          <t>Mandatory Complier</t>
        </is>
      </c>
      <c r="M489" s="44" t="inlineStr">
        <is>
          <t>Northern Borders Health Cluster offering telemedicine services</t>
        </is>
      </c>
      <c r="N489" s="54" t="inlineStr">
        <is>
          <t>HIGH</t>
        </is>
      </c>
      <c r="O489" s="48" t="inlineStr">
        <is>
          <t>https://www.moh.gov.sa/en/</t>
        </is>
      </c>
      <c r="P489" s="44" t="inlineStr">
        <is>
          <t>MOH; Hammad &amp; Al-Mehdar 2025</t>
        </is>
      </c>
      <c r="Q489" s="70" t="inlineStr">
        <is>
          <t>COVID-19 emergency 2020 → comprehensive regulations late 2023</t>
        </is>
      </c>
      <c r="R489" s="70" t="inlineStr">
        <is>
          <t>2020 (emergency COVID telehealth rules): basic platform licensing, identity verification, audio/video minimum standards. Late 2023 (comprehensive update, 38 controls): platform licensing requirements; patient identity verification; cross-border telemedicine restrictions; controlled substance prescribing rules (limited); data protection (PDPL alignment); patient consent requirements; clinical documentation standards; coverage by health insurance; quality assurance audit requirements</t>
        </is>
      </c>
      <c r="S489" s="71" t="inlineStr">
        <is>
          <t>Emergency 2020. Comprehensive: late 2023</t>
        </is>
      </c>
      <c r="T489" s="70" t="inlineStr">
        <is>
          <t>Annual update; cross-border rules under active development 2025</t>
        </is>
      </c>
      <c r="U489" s="25" t="inlineStr">
        <is>
          <t>CURRENT — late 2023 comprehensive version</t>
        </is>
      </c>
      <c r="V489" s="70" t="inlineStr">
        <is>
          <t>Platform licence revocation; SAR 1M–5M fine (scale by offence); clinical professional disciplinary action by SCFHS</t>
        </is>
      </c>
      <c r="W489" s="72" t="inlineStr">
        <is>
          <t>MOH — eHealth General Directorate; CST (platform technical licensing); CCHI (insurance coverage compliance); SCFHS (clinical standards)</t>
        </is>
      </c>
      <c r="X489" s="70" t="inlineStr">
        <is>
          <t>Hospital (outpatient teleconsultation); Clinic; Health IT Vendor (platform developers); Health Insurer (reimbursement compliance)</t>
        </is>
      </c>
      <c r="Y489" s="22" t="inlineStr">
        <is>
          <t>Both</t>
        </is>
      </c>
      <c r="Z489" s="70" t="inlineStr">
        <is>
          <t>MOH platform licence audit (annual); CCHI insurance compliance check; SCFHS clinical quality audit</t>
        </is>
      </c>
      <c r="AA489" s="71" t="inlineStr">
        <is>
          <t>Annual licence renewal; random clinical quality audit</t>
        </is>
      </c>
      <c r="AB489" s="70" t="inlineStr">
        <is>
          <t>15 (remote patient monitoring integration; wearable device data for teleconsultation; IoMT vital sign display during video consultation; remote device prescription; teleICU monitoring requirements)</t>
        </is>
      </c>
      <c r="AC489" s="70" t="inlineStr">
        <is>
          <t>WHO Telemedicine Guidelines (2010/updated); ISO 13131:2021 (Telehealth); ATA (American Telemedicine Association) standards (reference)</t>
        </is>
      </c>
      <c r="AD489" s="49" t="inlineStr">
        <is>
          <t>Arabic (primary); English technical guidance</t>
        </is>
      </c>
      <c r="AE489" s="26" t="inlineStr">
        <is>
          <t>Layer 1: Governance; Layer 4: Compliance</t>
        </is>
      </c>
      <c r="AF489" s="60" t="inlineStr">
        <is>
          <t>No formal maturity model; licence tiers (basic/advanced platform)</t>
        </is>
      </c>
      <c r="AG489" s="70" t="inlineStr">
        <is>
          <t>HSTP telemedicine targets (30% uptake); SEHA Virtual Hospital; Vision 2030 healthcare access targets</t>
        </is>
      </c>
      <c r="AH489" s="70" t="inlineStr">
        <is>
          <t>Platform licence certificate; patient consent records; clinical documentation standards compliance; identity verification log; prescription records; NABIDH integration evidence</t>
        </is>
      </c>
      <c r="AI489" s="73" t="inlineStr">
        <is>
          <t>Telehealth adoption theory (LeRouge &amp; Garfield 2013): patient acceptance + clinician integration. Access theory: geography-equity argument for remote care. Digital health governance theory: platform regulation vs clinical regulation tension.</t>
        </is>
      </c>
      <c r="AJ489" s="70" t="inlineStr">
        <is>
          <t>FOR: COVID-19 proved telehealth viability at scale in KSA (Al-Ataawi et al. 2022); Sehhaty platform shows government commitment; removes geographic barriers consistent with Vision 2030 equity goals; IoMT remote monitoring reimbursement framework emerging. AGAINST: Clinical quality in telehealth still debated (Hollander &amp; Sites 2020); data sovereignty for cross-border telehealth unresolved; prescription via teleconsultation remains restricted limiting scope; rural connectivity gaps undermine access equity goal</t>
        </is>
      </c>
      <c r="AK489" s="74" t="inlineStr">
        <is>
          <t>Regulations still lag technology — VR/AR clinical applications not addressed; AI-assisted teleconsultation regulatory pathway unclear; cross-border telehealth restrictions create market fragmentation; no minimum quality standards for audio/video equipment; liability for technical failure not yet codified in regulation</t>
        </is>
      </c>
      <c r="AL489" s="75" t="inlineStr">
        <is>
          <t>MOH-TELE vs NHS TECS (UK): NHS TECS has DTAC (Digital Technology Assessment Criteria) for all digital health tools — KSA equivalent absent. MOH-TELE vs FCC/CMS telehealth (US): US has federal reimbursement codes (CPT); KSA CCHI integration still developing. MOH-TELE vs WHO Telemedicine Guidelines: broadly aligned but KSA-specific cross-border rules more restrictive than WHO recommends</t>
        </is>
      </c>
      <c r="AM489" s="76" t="inlineStr">
        <is>
          <t>Al-Ataawi A et al. (2022) 'Telehealth in Saudi Arabia During COVID-19' J Healthcare Informatics Res; Hollander JE &amp; Sites FD (2020) 'Telehealth Beyond COVID-19' NEJM 2020; Hammad &amp; Al-Mehdar (2025) Saudi Healthcare Regulatory Update; WHO (2010) Telemedicine Opportunities and Developments; LeRouge C &amp; Garfield MJ (2013) 'Crossing the Telemedicine Chasm' JAMIA 20(6)</t>
        </is>
      </c>
      <c r="AN489" s="50" t="inlineStr">
        <is>
          <t>Official: MOH website. Training: American Telemedicine Association (ATA) online courses; SEHA Virtual Hospital training programme; WHO telehealth competency framework. Estimated: 25 hours</t>
        </is>
      </c>
      <c r="AO489" s="77" t="inlineStr">
        <is>
          <t>GH-ICGA Layer 1 (Governance) — telehealth regulation defines the governance boundary for remote IoMT monitoring. Thesis relevance: GH-ICGA must address the governance overlap between MOH-TELE (clinical platform regulation) and NCA-ECC (cybersecurity) and PDPL (patient data) for remote monitoring scenarios</t>
        </is>
      </c>
      <c r="AP489" s="51" t="inlineStr">
        <is>
          <t>G + C (platform governance + clinical compliance)</t>
        </is>
      </c>
      <c r="AQ489" s="78" t="inlineStr">
        <is>
          <t>CEO: platform licence accountability. Medical Director: clinical quality governance. DPO: PDPL compliance for patient data on platform. Technical Director: platform security. Pharmacy Director: prescription management compliance</t>
        </is>
      </c>
      <c r="AR489" s="74" t="inlineStr">
        <is>
          <t>Clinical Risk (misdiagnosis via teleconsultation); Regulatory Risk (licence breach); Privacy Risk (patient data); Operational Risk (platform availability); Cross-Border Risk (international teleconsultation restrictions)</t>
        </is>
      </c>
      <c r="AS489" s="61" t="inlineStr">
        <is>
          <t>REGULATORY — MOH licensing requirement. Non-compliance: platform licence revocation; SAR 1M–5M fine; SCFHS action against clinicians</t>
        </is>
      </c>
      <c r="AT489" s="75" t="inlineStr">
        <is>
          <t>Administrative (A): 20 controls — licensing; consent; documentation; clinical protocols. Technical (T): 12 controls — platform security; identity verification; audio/video standards. Operational (O): 6 controls — prescribing workflow; referral protocol; audit trail</t>
        </is>
      </c>
      <c r="AU489" s="79" t="inlineStr">
        <is>
          <t>1. Patient consent collection rate (target 100% before each session). 2. Platform availability SLA compliance (target &gt;99.5%). 3. Identity verification success rate. 4. # clinical complaints per 1,000 teleconsultations. 5. Documentation compliance rate (target 100% consultation notes in NABIDH). 6. Prescription audit pass rate</t>
        </is>
      </c>
      <c r="AV489" s="80" t="inlineStr">
        <is>
          <t>Annual MOH licence renewal audit; CCHI insurance coverage compliance check; patient record documentation audit; platform security assessment; identity verification system test; NABIDH integration test</t>
        </is>
      </c>
      <c r="AW489" s="81" t="inlineStr">
        <is>
          <t>Sehhaty / Mawid (MOH official platforms); Nabdh; Cura Health; Vezeeta; Nubaqraa — all require MOH licensing. Security tools: FortiWeb (WAF); Auth0/Okta (identity); TeleVisit security frameworks</t>
        </is>
      </c>
      <c r="AX489" s="82" t="inlineStr">
        <is>
          <t>Platform vendors: MOH-licensed telemedicine solution mandatory; PDPL DPA required; NABIDH API certification; patient data not to be shared with third-party analytics without consent; international teleconsultation providers must be MOH-approved</t>
        </is>
      </c>
      <c r="AY489" s="83" t="inlineStr">
        <is>
          <t>Unlicensed platform: immediate shutdown; SAR fine; clinical professional disciplinary action. Licence revocation: complete business cessation. Patient harm via telemedicine: malpractice liability; SCFHS investigation</t>
        </is>
      </c>
      <c r="AZ489" s="80" t="inlineStr">
        <is>
          <t>Healthcare &amp; Life Sciences; ICT/Digital (platform providers)</t>
        </is>
      </c>
      <c r="BA489" s="41" t="inlineStr">
        <is>
          <t>Sector-Specific</t>
        </is>
      </c>
      <c r="BB489" s="591">
        <f>IF(E489="","",IF(ISNUMBER(SEARCH("Institutional theory and regulatory governance theory underpin",AI489)),"TEMPLATE",IF(LEN(AI489)&gt;100,"DEEP",IF(AI489="","SPARSE","SHALLOW"))))</f>
        <v/>
      </c>
      <c r="BC489" s="591">
        <f>IF(E489="","",D489&amp;"-"&amp;B489&amp;"-"&amp;E489)</f>
        <v/>
      </c>
      <c r="BD489" s="591">
        <f>IF(E489="","",SUBSTITUTE(SUBSTITUTE(B489&amp;"-"&amp;E489," ",""),":","-"))</f>
        <v/>
      </c>
      <c r="BE489" s="591">
        <f>IF(E489="","",IF(ISNUMBER(SEARCH("ECC",E489)),"NCA-ECC-2-2024",IF(ISNUMBER(SEARCH("OTCC",E489)),"NCA-ECC-2-2024",IF(ISNUMBER(SEARCH("CCC",E489)),"NCA-ECC-2-2024",IF(ISNUMBER(SEARCH("DCC",E489)),"NCA-ECC-2-2024",IF(ISNUMBER(SEARCH("CSCC",E489)),"NCA-ECC-2-2024",IF(ISNUMBER(SEARCH("PDPL-IR",E489)),"PDPL-2021",IF(ISNUMBER(SEARCH("PDPL-DTR",E489)),"PDPL-2021","NONE"))))))))</f>
        <v/>
      </c>
      <c r="BF489" s="594">
        <f>IF(E489="","",IF(BB489="DEEP",10,IF(BB489="SHALLOW",5,IF(BB489="TEMPLATE",3,1)))+IF(N489="HIGHEST",5,IF(N489="HIGH",3,IF(N489="MODERATE",1,0)))+IF(ISNUMBER(SEARCH("Mandatory",L489)),3,0))</f>
        <v/>
      </c>
    </row>
    <row r="490" ht="42" customHeight="1">
      <c r="A490" s="84" t="n">
        <v>441</v>
      </c>
      <c r="B490" s="411" t="inlineStr">
        <is>
          <t>NRHC</t>
        </is>
      </c>
      <c r="C490" s="70" t="inlineStr">
        <is>
          <t>Northern Borders Health Cluster</t>
        </is>
      </c>
      <c r="D490" s="70" t="inlineStr">
        <is>
          <t>17. Regional Health Clusters</t>
        </is>
      </c>
      <c r="E490" s="411" t="inlineStr">
        <is>
          <t>NHIC-NABIDH</t>
        </is>
      </c>
      <c r="F490" s="72" t="inlineStr">
        <is>
          <t>NABIDH EHR Platform Standard</t>
        </is>
      </c>
      <c r="G490" s="70" t="inlineStr">
        <is>
          <t>معيار منصة نبض</t>
        </is>
      </c>
      <c r="H490" s="70" t="inlineStr">
        <is>
          <t>Mandatory 2024</t>
        </is>
      </c>
      <c r="I490" s="71" t="inlineStr">
        <is>
          <t>2018</t>
        </is>
      </c>
      <c r="J490" s="71" t="inlineStr">
        <is>
          <t>40</t>
        </is>
      </c>
      <c r="K490" s="70" t="inlineStr">
        <is>
          <t>MUST COMPLY WITH</t>
        </is>
      </c>
      <c r="L490" s="66" t="inlineStr">
        <is>
          <t>Mandatory Complier</t>
        </is>
      </c>
      <c r="M490" s="70" t="inlineStr">
        <is>
          <t>Northern Borders Health Cluster hospitals — NABIDH interoperability</t>
        </is>
      </c>
      <c r="N490" s="86" t="inlineStr">
        <is>
          <t>HIGHEST</t>
        </is>
      </c>
      <c r="O490" s="87" t="inlineStr">
        <is>
          <t>https://nhic.gov.sa/</t>
        </is>
      </c>
      <c r="P490" s="70" t="inlineStr">
        <is>
          <t>NHIC</t>
        </is>
      </c>
      <c r="Q490" s="70" t="inlineStr">
        <is>
          <t>NABIDH launched 2018 (pilot) → FHIR R4 API 2022 → mandatory all facilities 2024</t>
        </is>
      </c>
      <c r="R490" s="70" t="inlineStr">
        <is>
          <t>2018 (pilot): 10 MOH hospitals. 2019-2021: health cluster rollout. 2022: FHIR R4 API standards published; private hospitals voluntary integration. 2023: API developer portal opened; 40 technical requirements published. 2024: MANDATORY — all healthcare facilities must connect; Private Health Institutions Law updated; penalties for non-connection: facility licensing at risk. NABIDH now the central patient data repository — 45M+ patient records as of 2024</t>
        </is>
      </c>
      <c r="S490" s="71" t="inlineStr">
        <is>
          <t>Launched: 2018. FHIR R4 API: 2022. Mandatory: 2024</t>
        </is>
      </c>
      <c r="T490" s="70" t="inlineStr">
        <is>
          <t>Continuous platform updates; API versioning quarterly</t>
        </is>
      </c>
      <c r="U490" s="25" t="inlineStr">
        <is>
          <t>CURRENT — mandatory as of 2024</t>
        </is>
      </c>
      <c r="V490" s="70" t="inlineStr">
        <is>
          <t>Facility unable to receive electronic referrals; excluded from national patient record; MOH licensing risk; procurement penalties</t>
        </is>
      </c>
      <c r="W490" s="72" t="inlineStr">
        <is>
          <t>NHIC — NABIDH Programme Office; MOH General Directorate of Health Informatics; regional health clusters</t>
        </is>
      </c>
      <c r="X490" s="70" t="inlineStr">
        <is>
          <t>Hospital; Clinic; Lab; Pharmacy — ALL healthcare facilities mandatory</t>
        </is>
      </c>
      <c r="Y490" s="22" t="inlineStr">
        <is>
          <t>Both</t>
        </is>
      </c>
      <c r="Z490" s="70" t="inlineStr">
        <is>
          <t>NHIC API conformance test; connectivity monitoring (automated); annual technical review</t>
        </is>
      </c>
      <c r="AA490" s="71" t="inlineStr">
        <is>
          <t>Continuous connectivity monitoring; annual audit</t>
        </is>
      </c>
      <c r="AB490" s="70" t="inlineStr">
        <is>
          <t>16 (NABIDH IoMT data ingestion API; remote monitoring data submission; wearable vital signs standardisation; IoMT device data consent management; IoMT-generated observation resources in FHIR)</t>
        </is>
      </c>
      <c r="AC490" s="70" t="inlineStr">
        <is>
          <t>HL7 FHIR R4 (mandatory); IHE profiles; SNOMED CT; ICD-10-CM; LOINC; HL7 CDA</t>
        </is>
      </c>
      <c r="AD490" s="49" t="inlineStr">
        <is>
          <t>Arabic + English (NABIDH technical specifications bilingual)</t>
        </is>
      </c>
      <c r="AE490" s="37" t="inlineStr">
        <is>
          <t>Layer 3: Technical Controls; Layer 4: Compliance; Layer 5: Assurance</t>
        </is>
      </c>
      <c r="AF490" s="27" t="inlineStr">
        <is>
          <t>Yes — 3 connectivity levels (Basic data exchange / Full longitudinal record / Advanced IoMT integration)</t>
        </is>
      </c>
      <c r="AG490" s="70" t="inlineStr">
        <is>
          <t>HSTP digital health; National EHR programme; NHIS integration; Vision 2030 connected healthcare</t>
        </is>
      </c>
      <c r="AH490" s="70" t="inlineStr">
        <is>
          <t>NABIDH connectivity certificate; API test results; FHIR conformance statement; patient consent records; data quality dashboard reports</t>
        </is>
      </c>
      <c r="AI490" s="73" t="inlineStr">
        <is>
          <t>Institutional theory and regulatory governance theory underpin all KSA regulatory frameworks. Specific theoretical basis varies by framework — consult academic literature via Google Scholar using framework name as search term.</t>
        </is>
      </c>
      <c r="AJ490" s="70" t="inlineStr">
        <is>
          <t>Academic debate varies by framework maturity and international adoption. For KSA-specific debate, consult: Almohammad &amp; Wills (2021) J Cybersecurity; Al-Khater et al. (2020) IEEE Access; Baker McKenzie KSA regulatory updates.</t>
        </is>
      </c>
      <c r="AK490" s="74" t="inlineStr">
        <is>
          <t>Known criticisms include: implementation gap between standards and practice; resource constraints for smaller healthcare entities; rapid technology evolution outpacing regulation. Consult framework evaluation literature for specifics.</t>
        </is>
      </c>
      <c r="AL490" s="75" t="inlineStr">
        <is>
          <t>Framework comparison requires contextual analysis. Key comparators: NIST CSF 2.0 (international benchmark), ISO 27001 (certifiable standard), ECC-2 (KSA mandatory baseline). See main database for cross-framework mapping.</t>
        </is>
      </c>
      <c r="AM490"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90" s="50" t="inlineStr">
        <is>
          <t>Official: Consult the official source URL in the database for the primary document. Training: ISACA, ISC2, RAPS, IAPP, and HIMSS offer professional development covering most regulatory domains. Estimated hours vary by framework complexity.</t>
        </is>
      </c>
      <c r="AO490" s="77" t="inlineStr">
        <is>
          <t>Relevance to GH-ICGA framework varies by layer — see GH-ICGA Layer Mapping column. All KSA mandatory frameworks are compliance inputs to GH-ICGA Layer 4. Frameworks with IoMT-specific provisions directly inform Layers 2 and 3.</t>
        </is>
      </c>
      <c r="AP490" s="51" t="inlineStr">
        <is>
          <t>G + C (Governance + Compliance — standard regulatory framework positioning)</t>
        </is>
      </c>
      <c r="AQ490" s="78" t="inlineStr">
        <is>
          <t>Senior management: accountability for framework compliance. Designated compliance officer: monitor requirements. All staff: awareness of applicable obligations</t>
        </is>
      </c>
      <c r="AR490" s="74" t="inlineStr">
        <is>
          <t>Regulatory Risk; Operational Risk; Reputational Risk — specific domains determined by framework scope</t>
        </is>
      </c>
      <c r="AS490" s="22" t="inlineStr">
        <is>
          <t>See official source — legal obligation, regulatory requirement, or voluntary standard as applicable</t>
        </is>
      </c>
      <c r="AT490" s="75" t="inlineStr">
        <is>
          <t>Administrative; Technical; Operational — specific distribution determined by framework content</t>
        </is>
      </c>
      <c r="AU490" s="79" t="inlineStr">
        <is>
          <t>1. Compliance status (compliant/non-compliant). 2. # open findings from last assessment. 3. % controls implemented. 4. Time to remediate findings. 5. Incident rate in framework scope area</t>
        </is>
      </c>
      <c r="AV490" s="80" t="inlineStr">
        <is>
          <t>Self-assessment; internal audit; external assessment as specified by issuing authority</t>
        </is>
      </c>
      <c r="AW490" s="81" t="inlineStr">
        <is>
          <t>ServiceNow GRC; IBM OpenPages; RSA Archer; MetricStream — all major GRC platforms support custom framework import. Contact vendor for framework-specific module</t>
        </is>
      </c>
      <c r="AX490" s="82" t="inlineStr">
        <is>
          <t>Third parties in scope must demonstrate equivalent compliance. Contractual compliance obligations; right-to-audit clauses; annual third-party assessment</t>
        </is>
      </c>
      <c r="AY490" s="83" t="inlineStr">
        <is>
          <t>Non-compliance: regulatory action by issuing authority; fines and penalties as specified; operational and reputational consequences</t>
        </is>
      </c>
      <c r="AZ490" s="80" t="inlineStr">
        <is>
          <t>Healthcare &amp; Life Sciences</t>
        </is>
      </c>
      <c r="BA490" s="41" t="inlineStr">
        <is>
          <t>Sector-Specific</t>
        </is>
      </c>
      <c r="BB490" s="591">
        <f>IF(E490="","",IF(ISNUMBER(SEARCH("Institutional theory and regulatory governance theory underpin",AI490)),"TEMPLATE",IF(LEN(AI490)&gt;100,"DEEP",IF(AI490="","SPARSE","SHALLOW"))))</f>
        <v/>
      </c>
      <c r="BC490" s="591">
        <f>IF(E490="","",D490&amp;"-"&amp;B490&amp;"-"&amp;E490)</f>
        <v/>
      </c>
      <c r="BD490" s="591">
        <f>IF(E490="","",SUBSTITUTE(SUBSTITUTE(B490&amp;"-"&amp;E490," ",""),":","-"))</f>
        <v/>
      </c>
      <c r="BE490" s="591">
        <f>IF(E490="","",IF(ISNUMBER(SEARCH("ECC",E490)),"NCA-ECC-2-2024",IF(ISNUMBER(SEARCH("OTCC",E490)),"NCA-ECC-2-2024",IF(ISNUMBER(SEARCH("CCC",E490)),"NCA-ECC-2-2024",IF(ISNUMBER(SEARCH("DCC",E490)),"NCA-ECC-2-2024",IF(ISNUMBER(SEARCH("CSCC",E490)),"NCA-ECC-2-2024",IF(ISNUMBER(SEARCH("PDPL-IR",E490)),"PDPL-2021",IF(ISNUMBER(SEARCH("PDPL-DTR",E490)),"PDPL-2021","NONE"))))))))</f>
        <v/>
      </c>
      <c r="BF490" s="594">
        <f>IF(E490="","",IF(BB490="DEEP",10,IF(BB490="SHALLOW",5,IF(BB490="TEMPLATE",3,1)))+IF(N490="HIGHEST",5,IF(N490="HIGH",3,IF(N490="MODERATE",1,0)))+IF(ISNUMBER(SEARCH("Mandatory",L490)),3,0))</f>
        <v/>
      </c>
    </row>
    <row r="491" ht="42" customHeight="1">
      <c r="A491" s="42" t="n">
        <v>442</v>
      </c>
      <c r="B491" s="412" t="inlineStr">
        <is>
          <t>NRHC</t>
        </is>
      </c>
      <c r="C491" s="44" t="inlineStr">
        <is>
          <t>Northern Borders Health Cluster</t>
        </is>
      </c>
      <c r="D491" s="44" t="inlineStr">
        <is>
          <t>17. Regional Health Clusters</t>
        </is>
      </c>
      <c r="E491" s="412" t="inlineStr">
        <is>
          <t>NCA-OTCC</t>
        </is>
      </c>
      <c r="F491" s="45" t="inlineStr">
        <is>
          <t>OT Cybersecurity Controls</t>
        </is>
      </c>
      <c r="G491" s="44" t="inlineStr">
        <is>
          <t>ضوابط الأمن السيبراني للتقنيات التشغيلية</t>
        </is>
      </c>
      <c r="H491" s="44" t="inlineStr">
        <is>
          <t>OTCC-1:2022</t>
        </is>
      </c>
      <c r="I491" s="46" t="inlineStr">
        <is>
          <t>2022</t>
        </is>
      </c>
      <c r="J491" s="46" t="inlineStr">
        <is>
          <t>53</t>
        </is>
      </c>
      <c r="K491" s="44" t="inlineStr">
        <is>
          <t>MUST COMPLY WITH</t>
        </is>
      </c>
      <c r="L491" s="66" t="inlineStr">
        <is>
          <t>Mandatory Complier</t>
        </is>
      </c>
      <c r="M491" s="44" t="inlineStr">
        <is>
          <t>Northern Borders Health Cluster medical device OT networks — CNI designation</t>
        </is>
      </c>
      <c r="N491" s="47" t="inlineStr">
        <is>
          <t>HIGHEST</t>
        </is>
      </c>
      <c r="O491" s="48" t="inlineStr">
        <is>
          <t>https://nca.gov.sa/</t>
        </is>
      </c>
      <c r="P491" s="44" t="inlineStr">
        <is>
          <t>NCA OTCC</t>
        </is>
      </c>
      <c r="Q491" s="70" t="inlineStr">
        <is>
          <t>See official source for version history</t>
        </is>
      </c>
      <c r="R491" s="70" t="inlineStr">
        <is>
          <t>Framework issued by the relevant authority. Version details available on the official website referenced in the source URL column. The framework has been updated periodically since first issuance.</t>
        </is>
      </c>
      <c r="S491" s="71" t="inlineStr">
        <is>
          <t>See official source</t>
        </is>
      </c>
      <c r="T491" s="70" t="inlineStr">
        <is>
          <t>Updated as needed by the issuing authority</t>
        </is>
      </c>
      <c r="U491" s="25" t="inlineStr">
        <is>
          <t>CURRENT — consult official source for latest version</t>
        </is>
      </c>
      <c r="V491" s="70" t="inlineStr">
        <is>
          <t>Penalties defined by issuing authority; consult official source. NCA ECC-2 penalties apply if relevant</t>
        </is>
      </c>
      <c r="W491" s="72" t="inlineStr">
        <is>
          <t>Issuing authority and/or designated inspection department</t>
        </is>
      </c>
      <c r="X491" s="70" t="inlineStr">
        <is>
          <t>As specified in framework scope — consult official document</t>
        </is>
      </c>
      <c r="Y491" s="49" t="inlineStr">
        <is>
          <t>Both (unless specified otherwise in official document)</t>
        </is>
      </c>
      <c r="Z491" s="70" t="inlineStr">
        <is>
          <t>As defined by issuing authority</t>
        </is>
      </c>
      <c r="AA491" s="71" t="inlineStr">
        <is>
          <t>As defined by issuing authority</t>
        </is>
      </c>
      <c r="AB491" s="70" t="inlineStr">
        <is>
          <t>To be determined from framework text — see official source</t>
        </is>
      </c>
      <c r="AC491" s="70" t="inlineStr">
        <is>
          <t>See framework preamble for international standard references</t>
        </is>
      </c>
      <c r="AD491" s="49" t="inlineStr">
        <is>
          <t>Arabic (primary in KSA); English may be available</t>
        </is>
      </c>
      <c r="AE491" s="58" t="inlineStr">
        <is>
          <t>Mapped to relevant GH-ICGA layer — requires manual assessment</t>
        </is>
      </c>
      <c r="AF491" s="56" t="inlineStr">
        <is>
          <t>See official framework for maturity model details</t>
        </is>
      </c>
      <c r="AG491" s="70" t="inlineStr">
        <is>
          <t>Aligned with relevant Vision 2030 programme — see framework context</t>
        </is>
      </c>
      <c r="AH491" s="70" t="inlineStr">
        <is>
          <t>As specified in framework compliance requirements</t>
        </is>
      </c>
      <c r="AI491" s="73" t="inlineStr">
        <is>
          <t>Institutional theory and regulatory governance theory underpin all KSA regulatory frameworks. Specific theoretical basis varies by framework — consult academic literature via Google Scholar using framework name as search term.</t>
        </is>
      </c>
      <c r="AJ491" s="70" t="inlineStr">
        <is>
          <t>Academic debate varies by framework maturity and international adoption. For KSA-specific debate, consult: Almohammad &amp; Wills (2021) J Cybersecurity; Al-Khater et al. (2020) IEEE Access; Baker McKenzie KSA regulatory updates.</t>
        </is>
      </c>
      <c r="AK491" s="74" t="inlineStr">
        <is>
          <t>Known criticisms include: implementation gap between standards and practice; resource constraints for smaller healthcare entities; rapid technology evolution outpacing regulation. Consult framework evaluation literature for specifics.</t>
        </is>
      </c>
      <c r="AL491" s="75" t="inlineStr">
        <is>
          <t>Framework comparison requires contextual analysis. Key comparators: NIST CSF 2.0 (international benchmark), ISO 27001 (certifiable standard), ECC-2 (KSA mandatory baseline). See main database for cross-framework mapping.</t>
        </is>
      </c>
      <c r="AM491"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91" s="50" t="inlineStr">
        <is>
          <t>Official: Consult the official source URL in the database for the primary document. Training: ISACA, ISC2, RAPS, IAPP, and HIMSS offer professional development covering most regulatory domains. Estimated hours vary by framework complexity.</t>
        </is>
      </c>
      <c r="AO491" s="77" t="inlineStr">
        <is>
          <t>Relevance to GH-ICGA framework varies by layer — see GH-ICGA Layer Mapping column. All KSA mandatory frameworks are compliance inputs to GH-ICGA Layer 4. Frameworks with IoMT-specific provisions directly inform Layers 2 and 3.</t>
        </is>
      </c>
      <c r="AP491" s="53" t="inlineStr">
        <is>
          <t>R + C (Risk and Compliance — technically oriented; governance implied)</t>
        </is>
      </c>
      <c r="AQ491" s="78" t="inlineStr">
        <is>
          <t>CISO/OT Security Manager: own OTCC compliance. Clinical Engineering/Biomedical Engineering: co-responsible for medical device OT compliance. CTO: responsible for OT architecture. Board: informed of OT risk posture annually. OT security roles: Saudi nationals required per ECC-2 Saudisation mandate</t>
        </is>
      </c>
      <c r="AR491" s="74" t="inlineStr">
        <is>
          <t>Cyber Risk (OT/ICS); Operational Risk (process disruption); Physical Safety Risk (clinical impact of OT compromise); Supply Chain Risk (OT vendor remote access); Availability Risk (OT always-on requirement)</t>
        </is>
      </c>
      <c r="AS491" s="22" t="inlineStr">
        <is>
          <t>LEGAL — Mandatory for CNI OT operators under NCA-REG-2024. Hospitals as CNI: healthcare OT networks are in scope. Penalties: NCA-REG-2024 (SAR 25M max) + potential operational shutdown of non-compliant OT systems</t>
        </is>
      </c>
      <c r="AT491" s="75" t="inlineStr">
        <is>
          <t>Technical (T): 40 controls — OT network segmentation; secure remote access; OT monitoring; patch management for ICS. Administrative (A): 8 controls — OT governance; vendor management; OT incident response. Operational (O): 5 controls — OT change management; OT BCP</t>
        </is>
      </c>
      <c r="AU491" s="79" t="inlineStr">
        <is>
          <t>1. % OT assets inventoried (target 100%). 2. % OT systems with current patches within defined window. 3. # OT network zone violations detected. 4. % third-party OT vendor accesses logged. 5. OT system availability rate (target &gt;99.9% for life-critical). 6. Time-to-detect OT anomaly (target &lt;15 min for CNI)</t>
        </is>
      </c>
      <c r="AV491" s="80" t="inlineStr">
        <is>
          <t>OT vulnerability scan (passive — non-disruptive tools: Claroty, Nozomi, Dragos); OT network traffic analysis; OT penetration test (annual — must not disrupt clinical operations); vendor remote access audit; zone/conduit diagram validation</t>
        </is>
      </c>
      <c r="AW491" s="81" t="inlineStr">
        <is>
          <t>Claroty (medical IoT OT visibility); Nozomi Networks; Dragos; Tenable.ot; Fortinet OT; Medigate (healthcare-specific OT). For GRC integration: ServiceNow OT module; IBM QRadar SIEM with OT signatures</t>
        </is>
      </c>
      <c r="AX491" s="82" t="inlineStr">
        <is>
          <t>All OT vendors with remote access: mandatory access logging; time-limited access; multi-factor authentication; vendor security assessment before engagement; NDA for OT architecture access; OT vendor incident notification within 4 hours</t>
        </is>
      </c>
      <c r="AY491" s="83" t="inlineStr">
        <is>
          <t>OT breach in hospital: potential life-critical impact (ventilator, infusion pump disruption); NCA shutdown order; SAR 25M fine; criminal referral; SFDA recall if device compromise detected; massive reputational and legal exposure</t>
        </is>
      </c>
      <c r="AZ491" s="80" t="inlineStr">
        <is>
          <t>Sector-specific — consult official source</t>
        </is>
      </c>
      <c r="BA491" s="41" t="inlineStr">
        <is>
          <t>Sector-Specific</t>
        </is>
      </c>
      <c r="BB491" s="591">
        <f>IF(E491="","",IF(ISNUMBER(SEARCH("Institutional theory and regulatory governance theory underpin",AI491)),"TEMPLATE",IF(LEN(AI491)&gt;100,"DEEP",IF(AI491="","SPARSE","SHALLOW"))))</f>
        <v/>
      </c>
      <c r="BC491" s="591">
        <f>IF(E491="","",D491&amp;"-"&amp;B491&amp;"-"&amp;E491)</f>
        <v/>
      </c>
      <c r="BD491" s="591">
        <f>IF(E491="","",SUBSTITUTE(SUBSTITUTE(B491&amp;"-"&amp;E491," ",""),":","-"))</f>
        <v/>
      </c>
      <c r="BE491" s="591">
        <f>IF(E491="","",IF(ISNUMBER(SEARCH("ECC",E491)),"NCA-ECC-2-2024",IF(ISNUMBER(SEARCH("OTCC",E491)),"NCA-ECC-2-2024",IF(ISNUMBER(SEARCH("CCC",E491)),"NCA-ECC-2-2024",IF(ISNUMBER(SEARCH("DCC",E491)),"NCA-ECC-2-2024",IF(ISNUMBER(SEARCH("CSCC",E491)),"NCA-ECC-2-2024",IF(ISNUMBER(SEARCH("PDPL-IR",E491)),"PDPL-2021",IF(ISNUMBER(SEARCH("PDPL-DTR",E491)),"PDPL-2021","NONE"))))))))</f>
        <v/>
      </c>
      <c r="BF491" s="594">
        <f>IF(E491="","",IF(BB491="DEEP",10,IF(BB491="SHALLOW",5,IF(BB491="TEMPLATE",3,1)))+IF(N491="HIGHEST",5,IF(N491="HIGH",3,IF(N491="MODERATE",1,0)))+IF(ISNUMBER(SEARCH("Mandatory",L491)),3,0))</f>
        <v/>
      </c>
    </row>
    <row r="492" ht="42" customHeight="1">
      <c r="A492" s="84" t="n">
        <v>443</v>
      </c>
      <c r="B492" s="411" t="inlineStr">
        <is>
          <t>BHHC</t>
        </is>
      </c>
      <c r="C492" s="70" t="inlineStr">
        <is>
          <t>Baha Health Cluster</t>
        </is>
      </c>
      <c r="D492" s="70" t="inlineStr">
        <is>
          <t>17. Regional Health Clusters</t>
        </is>
      </c>
      <c r="E492" s="411" t="inlineStr">
        <is>
          <t>MOH-HIS</t>
        </is>
      </c>
      <c r="F492" s="72" t="inlineStr">
        <is>
          <t>Health Information System Standards</t>
        </is>
      </c>
      <c r="G492" s="70" t="inlineStr">
        <is>
          <t>معايير نظم المعلومات الصحية</t>
        </is>
      </c>
      <c r="H492" s="70" t="inlineStr">
        <is>
          <t>2024 update</t>
        </is>
      </c>
      <c r="I492" s="71" t="inlineStr">
        <is>
          <t>2010</t>
        </is>
      </c>
      <c r="J492" s="71" t="inlineStr">
        <is>
          <t>112</t>
        </is>
      </c>
      <c r="K492" s="70" t="inlineStr">
        <is>
          <t>MUST COMPLY WITH</t>
        </is>
      </c>
      <c r="L492" s="66" t="inlineStr">
        <is>
          <t>Mandatory Complier</t>
        </is>
      </c>
      <c r="M492" s="70" t="inlineStr">
        <is>
          <t>Baha Health Cluster hospitals — mandatory HIS compliance</t>
        </is>
      </c>
      <c r="N492" s="86" t="inlineStr">
        <is>
          <t>HIGHEST</t>
        </is>
      </c>
      <c r="O492" s="87" t="inlineStr">
        <is>
          <t>https://www.moh.gov.sa/en/</t>
        </is>
      </c>
      <c r="P492" s="70" t="inlineStr">
        <is>
          <t>MOH official</t>
        </is>
      </c>
      <c r="Q492" s="70" t="inlineStr">
        <is>
          <t>First issued ~2010 → comprehensive update 2022 → mandatory EMR update 2024</t>
        </is>
      </c>
      <c r="R492" s="70" t="inlineStr">
        <is>
          <t>Progressive standards covering: 2010 (basic EHR requirements); 2015 (interoperability standards added); 2018 (NABIDH integration); 2020 (mobile health and telemedicine modules); 2022 (comprehensive 112-control update covering clinical systems, imaging, medication management, emergency, genomics, training); 2024 (mandatory EMR adoption for all MOH and private facilities aligned with NABIDH)</t>
        </is>
      </c>
      <c r="S492" s="71" t="inlineStr">
        <is>
          <t>First: 2010. Major update: 2022. EMR mandate: 2024</t>
        </is>
      </c>
      <c r="T492" s="70" t="inlineStr">
        <is>
          <t>Updated with NABIDH platform releases; typically annual minor updates</t>
        </is>
      </c>
      <c r="U492" s="25" t="inlineStr">
        <is>
          <t>CURRENT — 2024 version mandatory</t>
        </is>
      </c>
      <c r="V492" s="70" t="inlineStr">
        <is>
          <t>MOH facility licensing at risk; mandatory corrective action plan; financial penalties under Private Health Institutions Law; non-compliant systems barred from NABIDH connectivity</t>
        </is>
      </c>
      <c r="W492" s="72" t="inlineStr">
        <is>
          <t>MOH — Directorate of Health Information (DHI); regional health cluster inspection teams; NHIC for interoperability compliance</t>
        </is>
      </c>
      <c r="X492" s="70" t="inlineStr">
        <is>
          <t>Hospital; Clinic; Lab; Pharmacy (hospital); Government Health Entity</t>
        </is>
      </c>
      <c r="Y492" s="49" t="inlineStr">
        <is>
          <t>Both (mandatory for MOH facilities; mandatory for private facilities since 2024 PHILAW update)</t>
        </is>
      </c>
      <c r="Z492" s="70" t="inlineStr">
        <is>
          <t>MOH annual IT audit; NHIC interoperability assessment; CBAHI HIT standards review during accreditation</t>
        </is>
      </c>
      <c r="AA492" s="71" t="inlineStr">
        <is>
          <t>Annual MOH audit; NABIDH connectivity continuous monitoring</t>
        </is>
      </c>
      <c r="AB492" s="70" t="inlineStr">
        <is>
          <t>28 (medical device integration into HIS; alarm management; device data capture; IoMT workflow integration; remote monitoring data ingestion; device incident reporting to HIS)</t>
        </is>
      </c>
      <c r="AC492" s="70" t="inlineStr">
        <is>
          <t>HL7 FHIR R4 (interoperability); IHE profiles (integration); ISO 27799:2016 (health ISMS); DICOM (imaging)</t>
        </is>
      </c>
      <c r="AD492" s="49" t="inlineStr">
        <is>
          <t>Arabic (primary); English technical annexes</t>
        </is>
      </c>
      <c r="AE492" s="26" t="inlineStr">
        <is>
          <t>Layer 1: Governance; Layer 3: Technical Controls; Layer 4: Compliance</t>
        </is>
      </c>
      <c r="AF492" s="27" t="inlineStr">
        <is>
          <t>Yes — 4 implementation levels (Basic / Intermediate / Advanced / Optimised); MOH tracks facility scores</t>
        </is>
      </c>
      <c r="AG492" s="70" t="inlineStr">
        <is>
          <t>HSTP digital health; NABIDH national EHR; Vision 2030 healthcare quality targets</t>
        </is>
      </c>
      <c r="AH492" s="70" t="inlineStr">
        <is>
          <t>HIS system documentation; NABIDH connectivity certificate; interoperability test results; staff training records; system access audit logs; downtime contingency procedure</t>
        </is>
      </c>
      <c r="AI492" s="73" t="inlineStr">
        <is>
          <t>Health informatics systems theory (Shortliffe &amp; Cimino 2006): HIS as sociotechnical infrastructure. Interoperability theory (Kuperman 2011): semantic/syntactic/organisational interoperability levels. Technology adoption theory (TAM — Davis 1989): clinician adoption barriers to HIS.</t>
        </is>
      </c>
      <c r="AJ492" s="70" t="inlineStr">
        <is>
          <t>FOR: National standardisation essential for patient safety continuity (WHO 2019); NABIDH integration creates longitudinal patient record unavailable previously; IoMT data integration requirements push hospitals toward modern system architectures. AGAINST: Ajami &amp; Bagheri-Tadi (2013) and Aloudah et al. (2021) document implementation-reality gap in Saudi HIS — standards exist but compliance varies widely by facility tier; urban-rural HIS capacity gap poorly addressed; cybersecurity requirements within HIS standards historically weak (pre-NABIDH)</t>
        </is>
      </c>
      <c r="AK492" s="74" t="inlineStr">
        <is>
          <t>112 controls create compliance burden without proportionality guidance; small private clinics face disproportionate compliance cost; no formal HIS certification programme — self-declaration accepted; IoMT data standards not harmonised with international HL7 FHIR profiles; historical emphasis on data capture over data quality</t>
        </is>
      </c>
      <c r="AL492" s="75" t="inlineStr">
        <is>
          <t>MOH-HIS vs NHS Digital standards (UK): NHS has legally binding DCB standards with enforcement; MOH-HIS is ministerial directive with softer enforcement. MOH-HIS vs ONC Health IT Certification (US): US has federal certification; KSA moving toward certification (NABIDH conformance). MOH-HIS + NHIC-NABIDH = closest to ONC approach in KSA</t>
        </is>
      </c>
      <c r="AM492" s="76" t="inlineStr">
        <is>
          <t>Ajami S &amp; Bagheri-Tadi T (2013) 'Barriers for Adopting Electronic Health Records' MateriaSociomed 25(3); Aloudah N et al. (2021) 'Digital Health in Saudi Arabia' Sustainability 13(12); Shortliffe EH &amp; Cimino JJ (2006) Biomedical Informatics Springer; WHO (2019) Classification of Digital Interventions; Alotaibi YK &amp; Federico F (2017) 'Impact of Health IT on Patient Safety' Saudi Medical J 38(12)</t>
        </is>
      </c>
      <c r="AN492" s="50" t="inlineStr">
        <is>
          <t>Official: MOH website (moh.gov.sa). Training: CPHIMS (Certified Professional Health Informatics &amp; Information Management); HL7 FHIR Foundational (HL7.org); NHIC developer portal training (nhic.gov.sa). Language: Arabic primary. Estimated: 45 hours</t>
        </is>
      </c>
      <c r="AO492" s="77" t="inlineStr">
        <is>
          <t>GH-ICGA Layer 1 (Governance) + Layer 3 (Technical Controls) — MOH-HIS is the clinical data governance backbone that the preliminary GH-ICGA IoMT framework must integrate with. Thesis: GH-ICGA IoMT data model must align with HIS data standards to ensure IoMT device data flows into the national health record coherently</t>
        </is>
      </c>
      <c r="AP492" s="34" t="inlineStr">
        <is>
          <t>G + R + C (all three — clinical information governance foundation)</t>
        </is>
      </c>
      <c r="AQ492" s="78" t="inlineStr">
        <is>
          <t>Hospital CEO: accountable for HIS compliance. CIO/CMIO: responsible for HIS implementation and NABIDH connectivity. Clinical Informatics Committee: govern HIS standards adoption. Department Heads: responsible for clinical data quality in their systems</t>
        </is>
      </c>
      <c r="AR492" s="74" t="inlineStr">
        <is>
          <t>Operational Risk (HIS downtime = clinical risk); Patient Safety Risk; Data Quality Risk; Regulatory Risk (MOH non-compliance); Interoperability Risk (NABIDH disconnection)</t>
        </is>
      </c>
      <c r="AS492" s="61" t="inlineStr">
        <is>
          <t>REGULATORY — MOH ministerial directive. Mandatory for all licensed facilities. Non-compliance risks licensing. Enforced through MOH annual audit and NABIDH connectivity monitoring</t>
        </is>
      </c>
      <c r="AT492" s="75" t="inlineStr">
        <is>
          <t>Technical (T): 68 controls — system architecture; integration; security; availability; backup. Administrative (A): 28 controls — data governance; policies; training; documentation. Operational (O): 16 controls — downtime procedures; change management; vendor management</t>
        </is>
      </c>
      <c r="AU492" s="79" t="inlineStr">
        <is>
          <t>1. NABIDH connectivity status (connected/disconnected). 2. HIS downtime incidents per month (target &lt;4h/month). 3. Data quality score (completeness/accuracy) from NABIDH reports. 4. % clinical staff trained on HIS (target 100%). 5. Time-to-restore HIS after failure (target &lt;4h). 6. # HIS security incidents per quarter</t>
        </is>
      </c>
      <c r="AV492" s="80" t="inlineStr">
        <is>
          <t>Annual MOH HIS audit (documentation + system walk-through); NABIDH API conformance test (NHIC automated); data quality audit; HIS security assessment; downtime procedure simulation; user access review</t>
        </is>
      </c>
      <c r="AW492" s="81" t="inlineStr">
        <is>
          <t>Epic; Cerner (Oracle Health); Philips Tasy EMR; Meditech; InterSystems HealthShare — all NABIDH-integrated. For compliance: ServiceNow Healthcare; Qualio (quality management); NHIC developer portal for FHIR conformance testing</t>
        </is>
      </c>
      <c r="AX492" s="82" t="inlineStr">
        <is>
          <t>HIS vendors: must be MOH-approved/NABIDH-certified; contractual data protection obligations; source code escrow for critical systems; SLA for 99.9% uptime; mandatory SFDA notification if HIS failure affects medical devices; annual security assessment of HIS vendors</t>
        </is>
      </c>
      <c r="AY492" s="83" t="inlineStr">
        <is>
          <t>Non-compliance: MOH corrective action; facility licence conditions; NABIDH disconnection (loss of referrals, national patient record access); PHILAW 2024 penalties for private facilities. Clinical impact: patient safety risk from poor data quality or HIS unavailability</t>
        </is>
      </c>
      <c r="AZ492" s="80" t="inlineStr">
        <is>
          <t>Healthcare &amp; Life Sciences</t>
        </is>
      </c>
      <c r="BA492" s="41" t="inlineStr">
        <is>
          <t>Sector-Specific</t>
        </is>
      </c>
      <c r="BB492" s="591">
        <f>IF(E492="","",IF(ISNUMBER(SEARCH("Institutional theory and regulatory governance theory underpin",AI492)),"TEMPLATE",IF(LEN(AI492)&gt;100,"DEEP",IF(AI492="","SPARSE","SHALLOW"))))</f>
        <v/>
      </c>
      <c r="BC492" s="591">
        <f>IF(E492="","",D492&amp;"-"&amp;B492&amp;"-"&amp;E492)</f>
        <v/>
      </c>
      <c r="BD492" s="591">
        <f>IF(E492="","",SUBSTITUTE(SUBSTITUTE(B492&amp;"-"&amp;E492," ",""),":","-"))</f>
        <v/>
      </c>
      <c r="BE492" s="591">
        <f>IF(E492="","",IF(ISNUMBER(SEARCH("ECC",E492)),"NCA-ECC-2-2024",IF(ISNUMBER(SEARCH("OTCC",E492)),"NCA-ECC-2-2024",IF(ISNUMBER(SEARCH("CCC",E492)),"NCA-ECC-2-2024",IF(ISNUMBER(SEARCH("DCC",E492)),"NCA-ECC-2-2024",IF(ISNUMBER(SEARCH("CSCC",E492)),"NCA-ECC-2-2024",IF(ISNUMBER(SEARCH("PDPL-IR",E492)),"PDPL-2021",IF(ISNUMBER(SEARCH("PDPL-DTR",E492)),"PDPL-2021","NONE"))))))))</f>
        <v/>
      </c>
      <c r="BF492" s="594">
        <f>IF(E492="","",IF(BB492="DEEP",10,IF(BB492="SHALLOW",5,IF(BB492="TEMPLATE",3,1)))+IF(N492="HIGHEST",5,IF(N492="HIGH",3,IF(N492="MODERATE",1,0)))+IF(ISNUMBER(SEARCH("Mandatory",L492)),3,0))</f>
        <v/>
      </c>
    </row>
    <row r="493" ht="42" customHeight="1">
      <c r="A493" s="42" t="n">
        <v>444</v>
      </c>
      <c r="B493" s="412" t="inlineStr">
        <is>
          <t>BHHC</t>
        </is>
      </c>
      <c r="C493" s="44" t="inlineStr">
        <is>
          <t>Baha Health Cluster</t>
        </is>
      </c>
      <c r="D493" s="44" t="inlineStr">
        <is>
          <t>17. Regional Health Clusters</t>
        </is>
      </c>
      <c r="E493" s="412" t="inlineStr">
        <is>
          <t>MOH-EMR-NABIDH</t>
        </is>
      </c>
      <c r="F493" s="45" t="inlineStr">
        <is>
          <t>EMR Standards / NABIDH</t>
        </is>
      </c>
      <c r="G493" s="44" t="inlineStr">
        <is>
          <t>معايير السجل الصحي الإلكتروني / نبض</t>
        </is>
      </c>
      <c r="H493" s="44" t="inlineStr">
        <is>
          <t>Mandatory 2024</t>
        </is>
      </c>
      <c r="I493" s="46" t="inlineStr">
        <is>
          <t>2010</t>
        </is>
      </c>
      <c r="J493" s="46" t="inlineStr">
        <is>
          <t>52</t>
        </is>
      </c>
      <c r="K493" s="44" t="inlineStr">
        <is>
          <t>MUST COMPLY WITH</t>
        </is>
      </c>
      <c r="L493" s="66" t="inlineStr">
        <is>
          <t>Mandatory Complier</t>
        </is>
      </c>
      <c r="M493" s="44" t="inlineStr">
        <is>
          <t>Baha Health Cluster — mandatory NABIDH connectivity 2024</t>
        </is>
      </c>
      <c r="N493" s="47" t="inlineStr">
        <is>
          <t>HIGHEST</t>
        </is>
      </c>
      <c r="O493" s="48" t="inlineStr">
        <is>
          <t>https://www.moh.gov.sa/en/</t>
        </is>
      </c>
      <c r="P493" s="44" t="inlineStr">
        <is>
          <t>MOH/NHIC</t>
        </is>
      </c>
      <c r="Q493" s="70" t="inlineStr">
        <is>
          <t>NABIDH platform launched ~2018 → mandatory EMR adoption for all facilities 2024</t>
        </is>
      </c>
      <c r="R493" s="70" t="inlineStr">
        <is>
          <t>NABIDH (National Unified EHR Platform): v1 2018 (pilot MOH hospitals); 2019-2021 (rollout to health clusters); 2022 (private hospital voluntary integration); 2023 (API standards published based on FHIR R4); 2024 (mandatory for ALL healthcare facilities per Private Health Institutions Law update — complete patient longitudinal record across facilities). EMR standard covers 52 functional requirements including: CPOE, medication reconciliation, imaging integration, patient portal, audit logs</t>
        </is>
      </c>
      <c r="S493" s="71" t="inlineStr">
        <is>
          <t>NABIDH launched: 2018. Mandatory for all: 2024</t>
        </is>
      </c>
      <c r="T493" s="70" t="inlineStr">
        <is>
          <t>Continuously updated with NABIDH platform releases</t>
        </is>
      </c>
      <c r="U493" s="25" t="inlineStr">
        <is>
          <t>CURRENT — mandatory since 2024</t>
        </is>
      </c>
      <c r="V493" s="70" t="inlineStr">
        <is>
          <t>Facility licensing revocation; MOH enforcement action; barred from government referrals; penalties under PHILAW 2024</t>
        </is>
      </c>
      <c r="W493" s="72" t="inlineStr">
        <is>
          <t>MOH — NABIDH Programme Office; NHIC; regional health clusters monitor connectivity</t>
        </is>
      </c>
      <c r="X493" s="70" t="inlineStr">
        <is>
          <t>Hospital; Clinic; Lab; Pharmacy; Government Health Entity — ALL healthcare facilities mandatory</t>
        </is>
      </c>
      <c r="Y493" s="49" t="inlineStr">
        <is>
          <t>Both (mandatory since 2024 PHILAW update for all facilities)</t>
        </is>
      </c>
      <c r="Z493" s="70" t="inlineStr">
        <is>
          <t>NHIC connectivity assessment; NABIDH API conformance testing; MOH annual audit</t>
        </is>
      </c>
      <c r="AA493" s="71" t="inlineStr">
        <is>
          <t>Continuous (NABIDH connectivity monitored in real time); annual formal audit</t>
        </is>
      </c>
      <c r="AB493" s="70" t="inlineStr">
        <is>
          <t>22 (IoMT data integration to NABIDH: wearable data ingestion API; remote monitoring feeds; device-generated vital signs; medical device alerts to patient record; IoMT consent management in EHR)</t>
        </is>
      </c>
      <c r="AC493" s="70" t="inlineStr">
        <is>
          <t>HL7 FHIR R4; IHE (Integrating the Healthcare Enterprise); SNOMED CT; ICD-10; LOINC</t>
        </is>
      </c>
      <c r="AD493" s="49" t="inlineStr">
        <is>
          <t>Arabic + English (NABIDH technical specifications bilingual)</t>
        </is>
      </c>
      <c r="AE493" s="26" t="inlineStr">
        <is>
          <t>Layer 1: Governance; Layer 3: Technical Controls; Layer 4: Compliance; Layer 5: Assurance</t>
        </is>
      </c>
      <c r="AF493" s="27" t="inlineStr">
        <is>
          <t>Yes — NABIDH connectivity levels (1: Basic data exchange; 2: Full longitudinal record; 3: Advanced interoperability with IoMT); MOH tracks facility level</t>
        </is>
      </c>
      <c r="AG493" s="70" t="inlineStr">
        <is>
          <t>HSTP digital health transformation; NABIDH national EHR; NHIS claims integration</t>
        </is>
      </c>
      <c r="AH493" s="70" t="inlineStr">
        <is>
          <t>NABIDH connectivity certificate; API integration test reports; patient consent records for data sharing; EHR system validation; data quality reports</t>
        </is>
      </c>
      <c r="AI493" s="73" t="inlineStr">
        <is>
          <t>Institutional theory and regulatory governance theory underpin all KSA regulatory frameworks. Specific theoretical basis varies by framework — consult academic literature via Google Scholar using framework name as search term.</t>
        </is>
      </c>
      <c r="AJ493" s="70" t="inlineStr">
        <is>
          <t>Academic debate varies by framework maturity and international adoption. For KSA-specific debate, consult: Almohammad &amp; Wills (2021) J Cybersecurity; Al-Khater et al. (2020) IEEE Access; Baker McKenzie KSA regulatory updates.</t>
        </is>
      </c>
      <c r="AK493" s="74" t="inlineStr">
        <is>
          <t>Known criticisms include: implementation gap between standards and practice; resource constraints for smaller healthcare entities; rapid technology evolution outpacing regulation. Consult framework evaluation literature for specifics.</t>
        </is>
      </c>
      <c r="AL493" s="75" t="inlineStr">
        <is>
          <t>Framework comparison requires contextual analysis. Key comparators: NIST CSF 2.0 (international benchmark), ISO 27001 (certifiable standard), ECC-2 (KSA mandatory baseline). See main database for cross-framework mapping.</t>
        </is>
      </c>
      <c r="AM493"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93" s="50" t="inlineStr">
        <is>
          <t>Official: Consult the official source URL in the database for the primary document. Training: ISACA, ISC2, RAPS, IAPP, and HIMSS offer professional development covering most regulatory domains. Estimated hours vary by framework complexity.</t>
        </is>
      </c>
      <c r="AO493" s="77" t="inlineStr">
        <is>
          <t>Relevance to GH-ICGA framework varies by layer — see GH-ICGA Layer Mapping column. All KSA mandatory frameworks are compliance inputs to GH-ICGA Layer 4. Frameworks with IoMT-specific provisions directly inform Layers 2 and 3.</t>
        </is>
      </c>
      <c r="AP493" s="51" t="inlineStr">
        <is>
          <t>G + C (Governance + Compliance — standard regulatory framework positioning)</t>
        </is>
      </c>
      <c r="AQ493" s="78" t="inlineStr">
        <is>
          <t>Senior management: accountability for framework compliance. Designated compliance officer: monitor requirements. All staff: awareness of applicable obligations</t>
        </is>
      </c>
      <c r="AR493" s="74" t="inlineStr">
        <is>
          <t>Regulatory Risk; Operational Risk; Reputational Risk — specific domains determined by framework scope</t>
        </is>
      </c>
      <c r="AS493" s="22" t="inlineStr">
        <is>
          <t>See official source — legal obligation, regulatory requirement, or voluntary standard as applicable</t>
        </is>
      </c>
      <c r="AT493" s="75" t="inlineStr">
        <is>
          <t>Administrative; Technical; Operational — specific distribution determined by framework content</t>
        </is>
      </c>
      <c r="AU493" s="79" t="inlineStr">
        <is>
          <t>1. Compliance status (compliant/non-compliant). 2. # open findings from last assessment. 3. % controls implemented. 4. Time to remediate findings. 5. Incident rate in framework scope area</t>
        </is>
      </c>
      <c r="AV493" s="80" t="inlineStr">
        <is>
          <t>Self-assessment; internal audit; external assessment as specified by issuing authority</t>
        </is>
      </c>
      <c r="AW493" s="81" t="inlineStr">
        <is>
          <t>ServiceNow GRC; IBM OpenPages; RSA Archer; MetricStream — all major GRC platforms support custom framework import. Contact vendor for framework-specific module</t>
        </is>
      </c>
      <c r="AX493" s="82" t="inlineStr">
        <is>
          <t>Third parties in scope must demonstrate equivalent compliance. Contractual compliance obligations; right-to-audit clauses; annual third-party assessment</t>
        </is>
      </c>
      <c r="AY493" s="83" t="inlineStr">
        <is>
          <t>Non-compliance: regulatory action by issuing authority; fines and penalties as specified; operational and reputational consequences</t>
        </is>
      </c>
      <c r="AZ493" s="80" t="inlineStr">
        <is>
          <t>Healthcare &amp; Life Sciences</t>
        </is>
      </c>
      <c r="BA493" s="41" t="inlineStr">
        <is>
          <t>Sector-Specific</t>
        </is>
      </c>
      <c r="BB493" s="591">
        <f>IF(E493="","",IF(ISNUMBER(SEARCH("Institutional theory and regulatory governance theory underpin",AI493)),"TEMPLATE",IF(LEN(AI493)&gt;100,"DEEP",IF(AI493="","SPARSE","SHALLOW"))))</f>
        <v/>
      </c>
      <c r="BC493" s="591">
        <f>IF(E493="","",D493&amp;"-"&amp;B493&amp;"-"&amp;E493)</f>
        <v/>
      </c>
      <c r="BD493" s="591">
        <f>IF(E493="","",SUBSTITUTE(SUBSTITUTE(B493&amp;"-"&amp;E493," ",""),":","-"))</f>
        <v/>
      </c>
      <c r="BE493" s="591">
        <f>IF(E493="","",IF(ISNUMBER(SEARCH("ECC",E493)),"NCA-ECC-2-2024",IF(ISNUMBER(SEARCH("OTCC",E493)),"NCA-ECC-2-2024",IF(ISNUMBER(SEARCH("CCC",E493)),"NCA-ECC-2-2024",IF(ISNUMBER(SEARCH("DCC",E493)),"NCA-ECC-2-2024",IF(ISNUMBER(SEARCH("CSCC",E493)),"NCA-ECC-2-2024",IF(ISNUMBER(SEARCH("PDPL-IR",E493)),"PDPL-2021",IF(ISNUMBER(SEARCH("PDPL-DTR",E493)),"PDPL-2021","NONE"))))))))</f>
        <v/>
      </c>
      <c r="BF493" s="594">
        <f>IF(E493="","",IF(BB493="DEEP",10,IF(BB493="SHALLOW",5,IF(BB493="TEMPLATE",3,1)))+IF(N493="HIGHEST",5,IF(N493="HIGH",3,IF(N493="MODERATE",1,0)))+IF(ISNUMBER(SEARCH("Mandatory",L493)),3,0))</f>
        <v/>
      </c>
    </row>
    <row r="494" ht="42" customHeight="1">
      <c r="A494" s="84" t="n">
        <v>445</v>
      </c>
      <c r="B494" s="411" t="inlineStr">
        <is>
          <t>BHHC</t>
        </is>
      </c>
      <c r="C494" s="70" t="inlineStr">
        <is>
          <t>Baha Health Cluster</t>
        </is>
      </c>
      <c r="D494" s="70" t="inlineStr">
        <is>
          <t>17. Regional Health Clusters</t>
        </is>
      </c>
      <c r="E494" s="411" t="inlineStr">
        <is>
          <t>MOH-PS</t>
        </is>
      </c>
      <c r="F494" s="72" t="inlineStr">
        <is>
          <t>Patient Safety Standards</t>
        </is>
      </c>
      <c r="G494" s="70" t="inlineStr">
        <is>
          <t>معايير سلامة المريض</t>
        </is>
      </c>
      <c r="H494" s="70" t="inlineStr">
        <is>
          <t>2024 update</t>
        </is>
      </c>
      <c r="I494" s="71" t="inlineStr">
        <is>
          <t>2015</t>
        </is>
      </c>
      <c r="J494" s="71" t="inlineStr">
        <is>
          <t>72</t>
        </is>
      </c>
      <c r="K494" s="70" t="inlineStr">
        <is>
          <t>MUST COMPLY WITH</t>
        </is>
      </c>
      <c r="L494" s="66" t="inlineStr">
        <is>
          <t>Mandatory Complier</t>
        </is>
      </c>
      <c r="M494" s="70" t="inlineStr">
        <is>
          <t>Baha Health Cluster — patient safety compliance</t>
        </is>
      </c>
      <c r="N494" s="86" t="inlineStr">
        <is>
          <t>HIGHEST</t>
        </is>
      </c>
      <c r="O494" s="87" t="inlineStr">
        <is>
          <t>https://www.moh.gov.sa/en/</t>
        </is>
      </c>
      <c r="P494" s="70" t="inlineStr">
        <is>
          <t>MOH official</t>
        </is>
      </c>
      <c r="Q494" s="70" t="inlineStr">
        <is>
          <t>First issued ~2015 → updates 2020 → 2024 update</t>
        </is>
      </c>
      <c r="R494" s="70" t="inlineStr">
        <is>
          <t>Based on WHO and JCI patient safety frameworks. Covers: patient identification (minimum 2 identifiers), medication safety (high-alert medications protocol), surgical safety checklist, falls prevention, infection control, critical value reporting, handover communications (SBAR). 2020 update added COVID-19 IPC protocols. 2024 update adds IoMT device safety (alarm fatigue management, device connectivity requirements)</t>
        </is>
      </c>
      <c r="S494" s="71" t="inlineStr">
        <is>
          <t>First: ~2015. Updated: 2020, 2024</t>
        </is>
      </c>
      <c r="T494" s="70" t="inlineStr">
        <is>
          <t>Annual review with MOH patient safety incidents data</t>
        </is>
      </c>
      <c r="U494" s="25" t="inlineStr">
        <is>
          <t>CURRENT — 2024 version</t>
        </is>
      </c>
      <c r="V494" s="70" t="inlineStr">
        <is>
          <t>MOH corrective action order; facility licence conditions; public safety alert; criminal liability for gross negligence</t>
        </is>
      </c>
      <c r="W494" s="72" t="inlineStr">
        <is>
          <t>MOH — Patient Safety Centre; regional health cluster inspection; CBAHI (patient safety standards embedded in accreditation)</t>
        </is>
      </c>
      <c r="X494" s="70" t="inlineStr">
        <is>
          <t>Hospital; Clinic; Government Health Entity</t>
        </is>
      </c>
      <c r="Y494" s="22" t="inlineStr">
        <is>
          <t>Both</t>
        </is>
      </c>
      <c r="Z494" s="70" t="inlineStr">
        <is>
          <t>Annual MOH patient safety inspection; CBAHI survey (integrated); incident investigation</t>
        </is>
      </c>
      <c r="AA494" s="71" t="inlineStr">
        <is>
          <t>Annual; triggered by serious adverse event</t>
        </is>
      </c>
      <c r="AB494" s="70" t="inlineStr">
        <is>
          <t>14 (alarm fatigue management for IoMT devices; connected infusion pump safety; IV smart pump drug library governance; patient ID for IoMT devices; device failure response procedures; remote monitoring alert management)</t>
        </is>
      </c>
      <c r="AC494" s="70" t="inlineStr">
        <is>
          <t>WHO Patient Safety Challenges (Global Patient Safety Action Plan 2021-2030); JCI Patient Safety Goals; The Joint Commission NPSG</t>
        </is>
      </c>
      <c r="AD494" s="49" t="inlineStr">
        <is>
          <t>Arabic (primary); English reference</t>
        </is>
      </c>
      <c r="AE494" s="26" t="inlineStr">
        <is>
          <t>Layer 1: Governance; Layer 4: Compliance</t>
        </is>
      </c>
      <c r="AF494" s="27" t="inlineStr">
        <is>
          <t>Yes — patient safety maturity levels (Safety-I to Safety-III); MOH tracks facility scores</t>
        </is>
      </c>
      <c r="AG494" s="70" t="inlineStr">
        <is>
          <t>HSTP patient safety; Vision 2030 quality targets; National Patient Safety Centre</t>
        </is>
      </c>
      <c r="AH494" s="70" t="inlineStr">
        <is>
          <t>Incident reporting system data; patient safety walkround records; fall prevention audit; medication safety audit; CBAHI patient safety standards compliance</t>
        </is>
      </c>
      <c r="AI494" s="73" t="inlineStr">
        <is>
          <t>Institutional theory and regulatory governance theory underpin all KSA regulatory frameworks. Specific theoretical basis varies by framework — consult academic literature via Google Scholar using framework name as search term.</t>
        </is>
      </c>
      <c r="AJ494" s="70" t="inlineStr">
        <is>
          <t>Academic debate varies by framework maturity and international adoption. For KSA-specific debate, consult: Almohammad &amp; Wills (2021) J Cybersecurity; Al-Khater et al. (2020) IEEE Access; Baker McKenzie KSA regulatory updates.</t>
        </is>
      </c>
      <c r="AK494" s="74" t="inlineStr">
        <is>
          <t>Known criticisms include: implementation gap between standards and practice; resource constraints for smaller healthcare entities; rapid technology evolution outpacing regulation. Consult framework evaluation literature for specifics.</t>
        </is>
      </c>
      <c r="AL494" s="75" t="inlineStr">
        <is>
          <t>Framework comparison requires contextual analysis. Key comparators: NIST CSF 2.0 (international benchmark), ISO 27001 (certifiable standard), ECC-2 (KSA mandatory baseline). See main database for cross-framework mapping.</t>
        </is>
      </c>
      <c r="AM494"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94" s="50" t="inlineStr">
        <is>
          <t>Official: Consult the official source URL in the database for the primary document. Training: ISACA, ISC2, RAPS, IAPP, and HIMSS offer professional development covering most regulatory domains. Estimated hours vary by framework complexity.</t>
        </is>
      </c>
      <c r="AO494" s="77" t="inlineStr">
        <is>
          <t>Relevance to GH-ICGA framework varies by layer — see GH-ICGA Layer Mapping column. All KSA mandatory frameworks are compliance inputs to GH-ICGA Layer 4. Frameworks with IoMT-specific provisions directly inform Layers 2 and 3.</t>
        </is>
      </c>
      <c r="AP494" s="51" t="inlineStr">
        <is>
          <t>G + C (Governance + Compliance — standard regulatory framework positioning)</t>
        </is>
      </c>
      <c r="AQ494" s="78" t="inlineStr">
        <is>
          <t>Senior management: accountability for framework compliance. Designated compliance officer: monitor requirements. All staff: awareness of applicable obligations</t>
        </is>
      </c>
      <c r="AR494" s="74" t="inlineStr">
        <is>
          <t>Regulatory Risk; Operational Risk; Reputational Risk — specific domains determined by framework scope</t>
        </is>
      </c>
      <c r="AS494" s="22" t="inlineStr">
        <is>
          <t>See official source — legal obligation, regulatory requirement, or voluntary standard as applicable</t>
        </is>
      </c>
      <c r="AT494" s="75" t="inlineStr">
        <is>
          <t>Administrative; Technical; Operational — specific distribution determined by framework content</t>
        </is>
      </c>
      <c r="AU494" s="79" t="inlineStr">
        <is>
          <t>1. Compliance status (compliant/non-compliant). 2. # open findings from last assessment. 3. % controls implemented. 4. Time to remediate findings. 5. Incident rate in framework scope area</t>
        </is>
      </c>
      <c r="AV494" s="80" t="inlineStr">
        <is>
          <t>Self-assessment; internal audit; external assessment as specified by issuing authority</t>
        </is>
      </c>
      <c r="AW494" s="81" t="inlineStr">
        <is>
          <t>ServiceNow GRC; IBM OpenPages; RSA Archer; MetricStream — all major GRC platforms support custom framework import. Contact vendor for framework-specific module</t>
        </is>
      </c>
      <c r="AX494" s="82" t="inlineStr">
        <is>
          <t>Third parties in scope must demonstrate equivalent compliance. Contractual compliance obligations; right-to-audit clauses; annual third-party assessment</t>
        </is>
      </c>
      <c r="AY494" s="83" t="inlineStr">
        <is>
          <t>Non-compliance: regulatory action by issuing authority; fines and penalties as specified; operational and reputational consequences</t>
        </is>
      </c>
      <c r="AZ494" s="80" t="inlineStr">
        <is>
          <t>Healthcare &amp; Life Sciences</t>
        </is>
      </c>
      <c r="BA494" s="41" t="inlineStr">
        <is>
          <t>Sector-Specific</t>
        </is>
      </c>
      <c r="BB494" s="591">
        <f>IF(E494="","",IF(ISNUMBER(SEARCH("Institutional theory and regulatory governance theory underpin",AI494)),"TEMPLATE",IF(LEN(AI494)&gt;100,"DEEP",IF(AI494="","SPARSE","SHALLOW"))))</f>
        <v/>
      </c>
      <c r="BC494" s="591">
        <f>IF(E494="","",D494&amp;"-"&amp;B494&amp;"-"&amp;E494)</f>
        <v/>
      </c>
      <c r="BD494" s="591">
        <f>IF(E494="","",SUBSTITUTE(SUBSTITUTE(B494&amp;"-"&amp;E494," ",""),":","-"))</f>
        <v/>
      </c>
      <c r="BE494" s="591">
        <f>IF(E494="","",IF(ISNUMBER(SEARCH("ECC",E494)),"NCA-ECC-2-2024",IF(ISNUMBER(SEARCH("OTCC",E494)),"NCA-ECC-2-2024",IF(ISNUMBER(SEARCH("CCC",E494)),"NCA-ECC-2-2024",IF(ISNUMBER(SEARCH("DCC",E494)),"NCA-ECC-2-2024",IF(ISNUMBER(SEARCH("CSCC",E494)),"NCA-ECC-2-2024",IF(ISNUMBER(SEARCH("PDPL-IR",E494)),"PDPL-2021",IF(ISNUMBER(SEARCH("PDPL-DTR",E494)),"PDPL-2021","NONE"))))))))</f>
        <v/>
      </c>
      <c r="BF494" s="594">
        <f>IF(E494="","",IF(BB494="DEEP",10,IF(BB494="SHALLOW",5,IF(BB494="TEMPLATE",3,1)))+IF(N494="HIGHEST",5,IF(N494="HIGH",3,IF(N494="MODERATE",1,0)))+IF(ISNUMBER(SEARCH("Mandatory",L494)),3,0))</f>
        <v/>
      </c>
    </row>
    <row r="495" ht="42" customHeight="1">
      <c r="A495" s="42" t="n">
        <v>446</v>
      </c>
      <c r="B495" s="412" t="inlineStr">
        <is>
          <t>BHHC</t>
        </is>
      </c>
      <c r="C495" s="44" t="inlineStr">
        <is>
          <t>Baha Health Cluster</t>
        </is>
      </c>
      <c r="D495" s="44" t="inlineStr">
        <is>
          <t>17. Regional Health Clusters</t>
        </is>
      </c>
      <c r="E495" s="412" t="inlineStr">
        <is>
          <t>MOH-PR</t>
        </is>
      </c>
      <c r="F495" s="45" t="inlineStr">
        <is>
          <t>Patient Rights Charter</t>
        </is>
      </c>
      <c r="G495" s="44" t="inlineStr">
        <is>
          <t>ميثاق حقوق المريض</t>
        </is>
      </c>
      <c r="H495" s="44" t="inlineStr">
        <is>
          <t>2019</t>
        </is>
      </c>
      <c r="I495" s="46" t="inlineStr">
        <is>
          <t>2012</t>
        </is>
      </c>
      <c r="J495" s="46" t="inlineStr">
        <is>
          <t>45</t>
        </is>
      </c>
      <c r="K495" s="44" t="inlineStr">
        <is>
          <t>MUST COMPLY WITH</t>
        </is>
      </c>
      <c r="L495" s="66" t="inlineStr">
        <is>
          <t>Mandatory Complier</t>
        </is>
      </c>
      <c r="M495" s="44" t="inlineStr">
        <is>
          <t>Baha Health Cluster facilities</t>
        </is>
      </c>
      <c r="N495" s="54" t="inlineStr">
        <is>
          <t>HIGH</t>
        </is>
      </c>
      <c r="O495" s="48" t="inlineStr">
        <is>
          <t>https://www.moh.gov.sa/en/</t>
        </is>
      </c>
      <c r="P495" s="44" t="inlineStr">
        <is>
          <t>MOH official</t>
        </is>
      </c>
      <c r="Q495" s="70" t="inlineStr">
        <is>
          <t>First Charter ~2012 → updated 2019</t>
        </is>
      </c>
      <c r="R495" s="70" t="inlineStr">
        <is>
          <t>45 rights and obligations. Key provisions: informed consent (including electronic consent for telemedicine), right to access medical records (digital access through NABIDH patient portal), right to privacy of health information, right to refuse treatment, right to second opinion. 2019 update added digital health rights (right to data portability from health apps)</t>
        </is>
      </c>
      <c r="S495" s="71" t="inlineStr">
        <is>
          <t>First: ~2012. Updated: 2019</t>
        </is>
      </c>
      <c r="T495" s="70" t="inlineStr">
        <is>
          <t>Review 2024-2025 expected to add AI/algorithmic transparency rights</t>
        </is>
      </c>
      <c r="U495" s="25" t="inlineStr">
        <is>
          <t>CURRENT — 2019 version</t>
        </is>
      </c>
      <c r="V495" s="70" t="inlineStr">
        <is>
          <t>Penalties defined by issuing authority; consult official source. NCA ECC-2 penalties apply if relevant</t>
        </is>
      </c>
      <c r="W495" s="72" t="inlineStr">
        <is>
          <t>Issuing authority and/or designated inspection department</t>
        </is>
      </c>
      <c r="X495" s="70" t="inlineStr">
        <is>
          <t>As specified in framework scope — consult official document</t>
        </is>
      </c>
      <c r="Y495" s="49" t="inlineStr">
        <is>
          <t>Both (unless specified otherwise in official document)</t>
        </is>
      </c>
      <c r="Z495" s="70" t="inlineStr">
        <is>
          <t>As defined by issuing authority</t>
        </is>
      </c>
      <c r="AA495" s="71" t="inlineStr">
        <is>
          <t>As defined by issuing authority</t>
        </is>
      </c>
      <c r="AB495" s="70" t="inlineStr">
        <is>
          <t>To be determined from framework text — see official source</t>
        </is>
      </c>
      <c r="AC495" s="70" t="inlineStr">
        <is>
          <t>See framework preamble for international standard references</t>
        </is>
      </c>
      <c r="AD495" s="49" t="inlineStr">
        <is>
          <t>Arabic (primary in KSA); English may be available</t>
        </is>
      </c>
      <c r="AE495" s="58" t="inlineStr">
        <is>
          <t>Mapped to relevant GH-ICGA layer — requires manual assessment</t>
        </is>
      </c>
      <c r="AF495" s="56" t="inlineStr">
        <is>
          <t>See official framework for maturity model details</t>
        </is>
      </c>
      <c r="AG495" s="70" t="inlineStr">
        <is>
          <t>Aligned with relevant Vision 2030 programme — see framework context</t>
        </is>
      </c>
      <c r="AH495" s="70" t="inlineStr">
        <is>
          <t>As specified in framework compliance requirements</t>
        </is>
      </c>
      <c r="AI495" s="73" t="inlineStr">
        <is>
          <t>Institutional theory and regulatory governance theory underpin all KSA regulatory frameworks. Specific theoretical basis varies by framework — consult academic literature via Google Scholar using framework name as search term.</t>
        </is>
      </c>
      <c r="AJ495" s="70" t="inlineStr">
        <is>
          <t>Academic debate varies by framework maturity and international adoption. For KSA-specific debate, consult: Almohammad &amp; Wills (2021) J Cybersecurity; Al-Khater et al. (2020) IEEE Access; Baker McKenzie KSA regulatory updates.</t>
        </is>
      </c>
      <c r="AK495" s="74" t="inlineStr">
        <is>
          <t>Known criticisms include: implementation gap between standards and practice; resource constraints for smaller healthcare entities; rapid technology evolution outpacing regulation. Consult framework evaluation literature for specifics.</t>
        </is>
      </c>
      <c r="AL495" s="75" t="inlineStr">
        <is>
          <t>Framework comparison requires contextual analysis. Key comparators: NIST CSF 2.0 (international benchmark), ISO 27001 (certifiable standard), ECC-2 (KSA mandatory baseline). See main database for cross-framework mapping.</t>
        </is>
      </c>
      <c r="AM495"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95" s="50" t="inlineStr">
        <is>
          <t>Official: Consult the official source URL in the database for the primary document. Training: ISACA, ISC2, RAPS, IAPP, and HIMSS offer professional development covering most regulatory domains. Estimated hours vary by framework complexity.</t>
        </is>
      </c>
      <c r="AO495" s="77" t="inlineStr">
        <is>
          <t>Relevance to GH-ICGA framework varies by layer — see GH-ICGA Layer Mapping column. All KSA mandatory frameworks are compliance inputs to GH-ICGA Layer 4. Frameworks with IoMT-specific provisions directly inform Layers 2 and 3.</t>
        </is>
      </c>
      <c r="AP495" s="51" t="inlineStr">
        <is>
          <t>G + C (Governance + Compliance — standard regulatory framework positioning)</t>
        </is>
      </c>
      <c r="AQ495" s="78" t="inlineStr">
        <is>
          <t>Senior management: accountability for framework compliance. Designated compliance officer: monitor requirements. All staff: awareness of applicable obligations</t>
        </is>
      </c>
      <c r="AR495" s="74" t="inlineStr">
        <is>
          <t>Regulatory Risk; Operational Risk; Reputational Risk — specific domains determined by framework scope</t>
        </is>
      </c>
      <c r="AS495" s="22" t="inlineStr">
        <is>
          <t>See official source — legal obligation, regulatory requirement, or voluntary standard as applicable</t>
        </is>
      </c>
      <c r="AT495" s="75" t="inlineStr">
        <is>
          <t>Administrative; Technical; Operational — specific distribution determined by framework content</t>
        </is>
      </c>
      <c r="AU495" s="79" t="inlineStr">
        <is>
          <t>1. Compliance status (compliant/non-compliant). 2. # open findings from last assessment. 3. % controls implemented. 4. Time to remediate findings. 5. Incident rate in framework scope area</t>
        </is>
      </c>
      <c r="AV495" s="80" t="inlineStr">
        <is>
          <t>Self-assessment; internal audit; external assessment as specified by issuing authority</t>
        </is>
      </c>
      <c r="AW495" s="81" t="inlineStr">
        <is>
          <t>ServiceNow GRC; IBM OpenPages; RSA Archer; MetricStream — all major GRC platforms support custom framework import. Contact vendor for framework-specific module</t>
        </is>
      </c>
      <c r="AX495" s="82" t="inlineStr">
        <is>
          <t>Third parties in scope must demonstrate equivalent compliance. Contractual compliance obligations; right-to-audit clauses; annual third-party assessment</t>
        </is>
      </c>
      <c r="AY495" s="83" t="inlineStr">
        <is>
          <t>Non-compliance: regulatory action by issuing authority; fines and penalties as specified; operational and reputational consequences</t>
        </is>
      </c>
      <c r="AZ495" s="80" t="inlineStr">
        <is>
          <t>Healthcare &amp; Life Sciences</t>
        </is>
      </c>
      <c r="BA495" s="41" t="inlineStr">
        <is>
          <t>Sector-Specific</t>
        </is>
      </c>
      <c r="BB495" s="591">
        <f>IF(E495="","",IF(ISNUMBER(SEARCH("Institutional theory and regulatory governance theory underpin",AI495)),"TEMPLATE",IF(LEN(AI495)&gt;100,"DEEP",IF(AI495="","SPARSE","SHALLOW"))))</f>
        <v/>
      </c>
      <c r="BC495" s="591">
        <f>IF(E495="","",D495&amp;"-"&amp;B495&amp;"-"&amp;E495)</f>
        <v/>
      </c>
      <c r="BD495" s="591">
        <f>IF(E495="","",SUBSTITUTE(SUBSTITUTE(B495&amp;"-"&amp;E495," ",""),":","-"))</f>
        <v/>
      </c>
      <c r="BE495" s="591">
        <f>IF(E495="","",IF(ISNUMBER(SEARCH("ECC",E495)),"NCA-ECC-2-2024",IF(ISNUMBER(SEARCH("OTCC",E495)),"NCA-ECC-2-2024",IF(ISNUMBER(SEARCH("CCC",E495)),"NCA-ECC-2-2024",IF(ISNUMBER(SEARCH("DCC",E495)),"NCA-ECC-2-2024",IF(ISNUMBER(SEARCH("CSCC",E495)),"NCA-ECC-2-2024",IF(ISNUMBER(SEARCH("PDPL-IR",E495)),"PDPL-2021",IF(ISNUMBER(SEARCH("PDPL-DTR",E495)),"PDPL-2021","NONE"))))))))</f>
        <v/>
      </c>
      <c r="BF495" s="594">
        <f>IF(E495="","",IF(BB495="DEEP",10,IF(BB495="SHALLOW",5,IF(BB495="TEMPLATE",3,1)))+IF(N495="HIGHEST",5,IF(N495="HIGH",3,IF(N495="MODERATE",1,0)))+IF(ISNUMBER(SEARCH("Mandatory",L495)),3,0))</f>
        <v/>
      </c>
    </row>
    <row r="496" ht="42" customHeight="1">
      <c r="A496" s="84" t="n">
        <v>447</v>
      </c>
      <c r="B496" s="411" t="inlineStr">
        <is>
          <t>BHHC</t>
        </is>
      </c>
      <c r="C496" s="70" t="inlineStr">
        <is>
          <t>Baha Health Cluster</t>
        </is>
      </c>
      <c r="D496" s="70" t="inlineStr">
        <is>
          <t>17. Regional Health Clusters</t>
        </is>
      </c>
      <c r="E496" s="411" t="inlineStr">
        <is>
          <t>CBAHI-HAS-H</t>
        </is>
      </c>
      <c r="F496" s="72" t="inlineStr">
        <is>
          <t>Hospital Accreditation Standards</t>
        </is>
      </c>
      <c r="G496" s="70" t="inlineStr">
        <is>
          <t>معايير اعتماد المستشفيات</t>
        </is>
      </c>
      <c r="H496" s="70" t="inlineStr">
        <is>
          <t>5th Ed. 2021</t>
        </is>
      </c>
      <c r="I496" s="71" t="inlineStr">
        <is>
          <t>2008</t>
        </is>
      </c>
      <c r="J496" s="71" t="inlineStr">
        <is>
          <t>298</t>
        </is>
      </c>
      <c r="K496" s="70" t="inlineStr">
        <is>
          <t>MUST COMPLY WITH</t>
        </is>
      </c>
      <c r="L496" s="92" t="inlineStr">
        <is>
          <t>Voluntary</t>
        </is>
      </c>
      <c r="M496" s="70" t="inlineStr">
        <is>
          <t>Baha Health Cluster hospitals pursuing CBAHI accreditation</t>
        </is>
      </c>
      <c r="N496" s="86" t="inlineStr">
        <is>
          <t>HIGHEST</t>
        </is>
      </c>
      <c r="O496" s="87" t="inlineStr">
        <is>
          <t>https://www.cbahi.gov.sa/</t>
        </is>
      </c>
      <c r="P496" s="70" t="inlineStr">
        <is>
          <t>CBAHI official</t>
        </is>
      </c>
      <c r="Q496" s="70" t="inlineStr">
        <is>
          <t>1st Ed 2008 → 2nd Ed 2011 → 3rd Ed 2014 → 4th Ed 2017 → 5th Ed 2021</t>
        </is>
      </c>
      <c r="R496" s="70" t="inlineStr">
        <is>
          <t>5th Edition (2021, current): 298 standards across domains including Patient and Family Rights, Patient Assessment, Care of Patients, Patient Safety, Medication Management, Infection Prevention, Facility Management, Staff Qualifications, Quality Improvement, Governance, HIT (Health Information Technology). HIT standards require EMR, NABIDH connectivity, access control, audit trails, downtime procedures. IoMT requirements added in 5th Ed: medical device integration standards, alarm management policy. Benchmarked against JCI standards</t>
        </is>
      </c>
      <c r="S496" s="71" t="inlineStr">
        <is>
          <t>1st Ed: 2008. 2nd: 2011. 3rd: 2014. 4th: 2017. 5th: 2021</t>
        </is>
      </c>
      <c r="T496" s="70" t="inlineStr">
        <is>
          <t>6th Edition expected 2025-2026</t>
        </is>
      </c>
      <c r="U496" s="25" t="inlineStr">
        <is>
          <t>CURRENT — 5th Edition 2021</t>
        </is>
      </c>
      <c r="V496" s="70" t="inlineStr">
        <is>
          <t>Accreditation denial; accreditation suspension; accreditation withdrawal; MOH facility licensing risk (accreditation linked to licensing in practice)</t>
        </is>
      </c>
      <c r="W496" s="72" t="inlineStr">
        <is>
          <t>CBAHI — Accreditation Survey Teams (peer surveyors); MOH recognises CBAHI as national accreditor</t>
        </is>
      </c>
      <c r="X496" s="70" t="inlineStr">
        <is>
          <t>Hospital (primary scope); Teaching Hospital; Specialist Centre</t>
        </is>
      </c>
      <c r="Y496" s="49" t="inlineStr">
        <is>
          <t>Both (voluntary but operationally required)</t>
        </is>
      </c>
      <c r="Z496" s="70" t="inlineStr">
        <is>
          <t>Full survey every 3 years; midterm (focused) survey at 18 months; unannounced visits; corrective action follow-up</t>
        </is>
      </c>
      <c r="AA496" s="71" t="inlineStr">
        <is>
          <t>Full survey: 3-year cycle. Midterm: 18 months. Unannounced: possible at any time</t>
        </is>
      </c>
      <c r="AB496" s="70" t="inlineStr">
        <is>
          <t>22 (HIT standards: medical device integration; alarm management policy mandatory; device maintenance logs; remote monitoring governance; downtime procedures; device inventory; cybersecurity of clinical systems as patient safety issue)</t>
        </is>
      </c>
      <c r="AC496" s="70" t="inlineStr">
        <is>
          <t>JCI (Joint Commission International) — benchmarked; ISQua (accreditation body accreditor); WHO Safe Hospitals Framework</t>
        </is>
      </c>
      <c r="AD496" s="22" t="inlineStr">
        <is>
          <t>Arabic + English (official bilingual)</t>
        </is>
      </c>
      <c r="AE496" s="26" t="inlineStr">
        <is>
          <t>Layer 1: Governance; Layer 4: Compliance; Layer 5: Assurance</t>
        </is>
      </c>
      <c r="AF496" s="27" t="inlineStr">
        <is>
          <t>Yes — Met / Partially Met / Not Met / Not Applicable per standard; overall accreditation decision = scored threshold</t>
        </is>
      </c>
      <c r="AG496" s="70" t="inlineStr">
        <is>
          <t>HSTP quality transformation; Vision 2030 healthcare quality targets (JCI/CBAHI accreditation for all tertiary hospitals)</t>
        </is>
      </c>
      <c r="AH496" s="70" t="inlineStr">
        <is>
          <t>Survey self-assessment; policy documentation; staff credential files; patient safety incident log; HIT system audit; quality improvement data; patient satisfaction scores</t>
        </is>
      </c>
      <c r="AI496" s="73" t="inlineStr">
        <is>
          <t>Healthcare quality theory (Donabedian 1988): structure-process-outcome triad. Accreditation theory: third-party external validation as quality assurance mechanism. Institutional isomorphism: accreditation spreads best practices through mimetic pressure. Patient safety culture theory (Reason 2000): systems-based safety vs blame culture.</t>
        </is>
      </c>
      <c r="AJ496" s="70" t="inlineStr">
        <is>
          <t>FOR: Almutairi et al. (2015) and Alkhenizan &amp; Shaw (2011) find CBAHI-accredited hospitals show measurable quality improvements; national benchmark grounded in Saudi context unlike JCI (US-centric); patient safety improvements documented post-accreditation. AGAINST: Voluntariness undermines universal coverage — only ~40% of KSA hospitals accredited (WHO PHSSR 2025); Greenfield &amp; Braithwaite (2008) meta-analysis questions causal link between accreditation and patient outcomes; survey preparation creates compliance-oriented behaviours rather than genuine quality improvement (gaming risk)</t>
        </is>
      </c>
      <c r="AK496" s="74" t="inlineStr">
        <is>
          <t>3-year survey cycle too long for rapid IoMT deployment environment; HIT standards in 5th Ed still less specific than HIMSS EMRAM Stage 6/7 requirements; cybersecurity standards within CBAHI remain minimal compared to NCA ECC-2 requirements; no dedicated IoMT governance chapter despite medical device proliferation; rural and small facility accreditation rates critically low</t>
        </is>
      </c>
      <c r="AL496" s="75" t="inlineStr">
        <is>
          <t>CBAHI vs JCI: JCI globally recognised; CBAHI nationally recognised — JCI preferred for medical tourism attracting hospitals. CBAHI vs HIMSS EMRAM: CBAHI is broad clinical; HIMSS EMRAM is digital health maturity-specific. CBAHI vs DNV: CBAHI similar survey model. CBAHI + HIMSS EMRAM combined = most comprehensive digital health quality picture for KSA hospitals</t>
        </is>
      </c>
      <c r="AM496" s="76" t="inlineStr">
        <is>
          <t>Alkhenizan A &amp; Shaw C (2011) 'Impact of Accreditation' Ann Saudi Med 31(4); Almutairi AF et al. (2015) 'Perceptions of CBAHI Accreditation' BMC Health Services Research; Donabedian A (1988) 'Quality of Care' JAMA 260(12); Greenfield D &amp; Braithwaite J (2008) 'Health Sector Accreditation Research' Int J Quality Health Care 20(3); WHO (2025) PHSSR Saudi Arabia</t>
        </is>
      </c>
      <c r="AN496" s="50" t="inlineStr">
        <is>
          <t>Official: CBAHI website (cbahi.gov.sa) — standards available to purchase. Training: CBAHI education programmes; surveyor training; CPHQ (Certified Professional in Healthcare Quality). Estimated: 60 hours for surveyors; 20 hours for department leads</t>
        </is>
      </c>
      <c r="AO496" s="77" t="inlineStr">
        <is>
          <t>GH-ICGA Layer 5 (Assurance) — CBAHI accreditation is the primary assurance mechanism for hospital IoMT governance. Thesis argument: CBAHI-HAS-H 5th Ed HIT standards need a cybersecurity annex for IoMT — GH-ICGA Layer 5 Assurance proposes an IoMT-specific evaluation framework that could be adopted within CBAHI survey process</t>
        </is>
      </c>
      <c r="AP496" s="51" t="inlineStr">
        <is>
          <t>G + C (Governance through quality standards + voluntary compliance assurance)</t>
        </is>
      </c>
      <c r="AQ496" s="78" t="inlineStr">
        <is>
          <t>CEO: accountable for accreditation status. CMO: responsible for clinical quality chapter compliance. CNO: responsible for nursing quality. Quality/Patient Safety Director: coordinates accreditation programme. Department heads: responsible for chapter compliance in their domain. Accreditation Committee: cross-functional governance body</t>
        </is>
      </c>
      <c r="AR496" s="74" t="inlineStr">
        <is>
          <t>Quality Risk; Patient Safety Risk; Operational Risk (accreditation loss = licensing risk); Reputational Risk; Regulatory Risk (MOH links accreditation to licensing in practice)</t>
        </is>
      </c>
      <c r="AS496" s="92" t="inlineStr">
        <is>
          <t>VOLUNTARY — but operationally MANDATORY (MOH licensing increasingly linked to CBAHI in practice; required for JCI-referencing hospitals and private insurance network participation)</t>
        </is>
      </c>
      <c r="AT496" s="75" t="inlineStr">
        <is>
          <t>Administrative (A): 150 controls — policies; procedures; governance; quality committees. Technical (T): 48 controls — HIT; equipment maintenance; diagnostic systems. Operational (O): 100 controls — clinical procedures; patient safety practices; staff competencies</t>
        </is>
      </c>
      <c r="AU496" s="79" t="inlineStr">
        <is>
          <t>1. CBAHI survey score per chapter (target ≥90% Met). 2. # sentinel events per 1,000 admissions. 3. Falls rate per 1,000 patient days. 4. Hospital-acquired infection rate. 5. Patient satisfaction score (target &gt;90%). 6. Medication error rate. 7. HIT compliance score (CBAHI HIT chapter)</t>
        </is>
      </c>
      <c r="AV496" s="80" t="inlineStr">
        <is>
          <t>CBAHI full survey (3-year cycle — 2-3 day on-site assessment); midterm survey (18 months — focused chapters); unannounced visit (possible any time); tracer methodology; document review; staff interviews; facility inspection</t>
        </is>
      </c>
      <c r="AW496" s="81" t="inlineStr">
        <is>
          <t>Accreditation Manager (CBAHI online platform); EQUIP (quality management platform); PowerDMS; Quantros; Press Ganey (patient satisfaction); Meditech/Epic quality modules; RL6 (incident reporting)</t>
        </is>
      </c>
      <c r="AX496" s="82" t="inlineStr">
        <is>
          <t>Contractors and service providers in clinical areas must meet CBAHI competency requirements; credentialing of contracted physicians required; outsourced services (laundry, catering, security) must meet CBAHI environment chapter standards; medical device vendors: CBAHI biomedical equipment requirements</t>
        </is>
      </c>
      <c r="AY496" s="83" t="inlineStr">
        <is>
          <t>Accreditation denial: cannot be MOH referral centre; excluded from major insurance networks; reputational damage. Accreditation suspension: immediate revenue impact from insurance exclusion. MOH can condition facility licence on CBAHI compliance</t>
        </is>
      </c>
      <c r="AZ496" s="80" t="inlineStr">
        <is>
          <t>Healthcare &amp; Life Sciences</t>
        </is>
      </c>
      <c r="BA496" s="41" t="inlineStr">
        <is>
          <t>Sector-Specific</t>
        </is>
      </c>
      <c r="BB496" s="591">
        <f>IF(E496="","",IF(ISNUMBER(SEARCH("Institutional theory and regulatory governance theory underpin",AI496)),"TEMPLATE",IF(LEN(AI496)&gt;100,"DEEP",IF(AI496="","SPARSE","SHALLOW"))))</f>
        <v/>
      </c>
      <c r="BC496" s="591">
        <f>IF(E496="","",D496&amp;"-"&amp;B496&amp;"-"&amp;E496)</f>
        <v/>
      </c>
      <c r="BD496" s="591">
        <f>IF(E496="","",SUBSTITUTE(SUBSTITUTE(B496&amp;"-"&amp;E496," ",""),":","-"))</f>
        <v/>
      </c>
      <c r="BE496" s="591">
        <f>IF(E496="","",IF(ISNUMBER(SEARCH("ECC",E496)),"NCA-ECC-2-2024",IF(ISNUMBER(SEARCH("OTCC",E496)),"NCA-ECC-2-2024",IF(ISNUMBER(SEARCH("CCC",E496)),"NCA-ECC-2-2024",IF(ISNUMBER(SEARCH("DCC",E496)),"NCA-ECC-2-2024",IF(ISNUMBER(SEARCH("CSCC",E496)),"NCA-ECC-2-2024",IF(ISNUMBER(SEARCH("PDPL-IR",E496)),"PDPL-2021",IF(ISNUMBER(SEARCH("PDPL-DTR",E496)),"PDPL-2021","NONE"))))))))</f>
        <v/>
      </c>
      <c r="BF496" s="594">
        <f>IF(E496="","",IF(BB496="DEEP",10,IF(BB496="SHALLOW",5,IF(BB496="TEMPLATE",3,1)))+IF(N496="HIGHEST",5,IF(N496="HIGH",3,IF(N496="MODERATE",1,0)))+IF(ISNUMBER(SEARCH("Mandatory",L496)),3,0))</f>
        <v/>
      </c>
    </row>
    <row r="497" ht="42" customHeight="1">
      <c r="A497" s="42" t="n">
        <v>448</v>
      </c>
      <c r="B497" s="412" t="inlineStr">
        <is>
          <t>BHHC</t>
        </is>
      </c>
      <c r="C497" s="44" t="inlineStr">
        <is>
          <t>Baha Health Cluster</t>
        </is>
      </c>
      <c r="D497" s="44" t="inlineStr">
        <is>
          <t>17. Regional Health Clusters</t>
        </is>
      </c>
      <c r="E497" s="412" t="inlineStr">
        <is>
          <t>NCA-ECC-2:2024</t>
        </is>
      </c>
      <c r="F497" s="45" t="inlineStr">
        <is>
          <t>Essential Cybersecurity Controls</t>
        </is>
      </c>
      <c r="G497" s="44" t="inlineStr">
        <is>
          <t>ضوابط الأمن السيبراني الأساسية</t>
        </is>
      </c>
      <c r="H497" s="44" t="inlineStr">
        <is>
          <t>ECC-2:2024</t>
        </is>
      </c>
      <c r="I497" s="46" t="inlineStr">
        <is>
          <t>2018</t>
        </is>
      </c>
      <c r="J497" s="46" t="inlineStr">
        <is>
          <t>108</t>
        </is>
      </c>
      <c r="K497" s="44" t="inlineStr">
        <is>
          <t>MUST COMPLY WITH</t>
        </is>
      </c>
      <c r="L497" s="66" t="inlineStr">
        <is>
          <t>Mandatory Complier</t>
        </is>
      </c>
      <c r="M497" s="44" t="inlineStr">
        <is>
          <t>Baha Health Cluster as government entity — hospital networks</t>
        </is>
      </c>
      <c r="N497" s="47" t="inlineStr">
        <is>
          <t>HIGHEST</t>
        </is>
      </c>
      <c r="O497" s="48" t="inlineStr">
        <is>
          <t>https://nca.gov.sa/</t>
        </is>
      </c>
      <c r="P497" s="44" t="inlineStr">
        <is>
          <t>NCA ECC scope</t>
        </is>
      </c>
      <c r="Q497" s="70" t="inlineStr">
        <is>
          <t>See official source for version history</t>
        </is>
      </c>
      <c r="R497" s="70" t="inlineStr">
        <is>
          <t>Framework issued by the relevant authority. Version details available on the official website referenced in the source URL column. The framework has been updated periodically since first issuance.</t>
        </is>
      </c>
      <c r="S497" s="71" t="inlineStr">
        <is>
          <t>See official source</t>
        </is>
      </c>
      <c r="T497" s="70" t="inlineStr">
        <is>
          <t>Updated as needed by the issuing authority</t>
        </is>
      </c>
      <c r="U497" s="25" t="inlineStr">
        <is>
          <t>CURRENT — consult official source for latest version</t>
        </is>
      </c>
      <c r="V497" s="70" t="inlineStr">
        <is>
          <t>Penalties defined by issuing authority; consult official source. NCA ECC-2 penalties apply if relevant</t>
        </is>
      </c>
      <c r="W497" s="72" t="inlineStr">
        <is>
          <t>Issuing authority and/or designated inspection department</t>
        </is>
      </c>
      <c r="X497" s="70" t="inlineStr">
        <is>
          <t>As specified in framework scope — consult official document</t>
        </is>
      </c>
      <c r="Y497" s="49" t="inlineStr">
        <is>
          <t>Both (unless specified otherwise in official document)</t>
        </is>
      </c>
      <c r="Z497" s="70" t="inlineStr">
        <is>
          <t>As defined by issuing authority</t>
        </is>
      </c>
      <c r="AA497" s="71" t="inlineStr">
        <is>
          <t>As defined by issuing authority</t>
        </is>
      </c>
      <c r="AB497" s="70" t="inlineStr">
        <is>
          <t>To be determined from framework text — see official source</t>
        </is>
      </c>
      <c r="AC497" s="70" t="inlineStr">
        <is>
          <t>See framework preamble for international standard references</t>
        </is>
      </c>
      <c r="AD497" s="49" t="inlineStr">
        <is>
          <t>Arabic (primary in KSA); English may be available</t>
        </is>
      </c>
      <c r="AE497" s="58" t="inlineStr">
        <is>
          <t>Mapped to relevant GH-ICGA layer — requires manual assessment</t>
        </is>
      </c>
      <c r="AF497" s="56" t="inlineStr">
        <is>
          <t>See official framework for maturity model details</t>
        </is>
      </c>
      <c r="AG497" s="70" t="inlineStr">
        <is>
          <t>Aligned with relevant Vision 2030 programme — see framework context</t>
        </is>
      </c>
      <c r="AH497" s="70" t="inlineStr">
        <is>
          <t>As specified in framework compliance requirements</t>
        </is>
      </c>
      <c r="AI497" s="73" t="inlineStr">
        <is>
          <t>Institutional theory and regulatory governance theory underpin all KSA regulatory frameworks. Specific theoretical basis varies by framework — consult academic literature via Google Scholar using framework name as search term.</t>
        </is>
      </c>
      <c r="AJ497" s="70" t="inlineStr">
        <is>
          <t>Academic debate varies by framework maturity and international adoption. For KSA-specific debate, consult: Almohammad &amp; Wills (2021) J Cybersecurity; Al-Khater et al. (2020) IEEE Access; Baker McKenzie KSA regulatory updates.</t>
        </is>
      </c>
      <c r="AK497" s="74" t="inlineStr">
        <is>
          <t>Known criticisms include: implementation gap between standards and practice; resource constraints for smaller healthcare entities; rapid technology evolution outpacing regulation. Consult framework evaluation literature for specifics.</t>
        </is>
      </c>
      <c r="AL497" s="75" t="inlineStr">
        <is>
          <t>Framework comparison requires contextual analysis. Key comparators: NIST CSF 2.0 (international benchmark), ISO 27001 (certifiable standard), ECC-2 (KSA mandatory baseline). See main database for cross-framework mapping.</t>
        </is>
      </c>
      <c r="AM497"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497" s="50" t="inlineStr">
        <is>
          <t>Official: Consult the official source URL in the database for the primary document. Training: ISACA, ISC2, RAPS, IAPP, and HIMSS offer professional development covering most regulatory domains. Estimated hours vary by framework complexity.</t>
        </is>
      </c>
      <c r="AO497" s="77" t="inlineStr">
        <is>
          <t>Relevance to GH-ICGA framework varies by layer — see GH-ICGA Layer Mapping column. All KSA mandatory frameworks are compliance inputs to GH-ICGA Layer 4. Frameworks with IoMT-specific provisions directly inform Layers 2 and 3.</t>
        </is>
      </c>
      <c r="AP497" s="51" t="inlineStr">
        <is>
          <t>G + C (Governance + Compliance — standard regulatory framework positioning)</t>
        </is>
      </c>
      <c r="AQ497" s="78" t="inlineStr">
        <is>
          <t>Senior management: accountability for framework compliance. Designated compliance officer: monitor requirements. All staff: awareness of applicable obligations</t>
        </is>
      </c>
      <c r="AR497" s="74" t="inlineStr">
        <is>
          <t>Regulatory Risk; Operational Risk; Reputational Risk — specific domains determined by framework scope</t>
        </is>
      </c>
      <c r="AS497" s="22" t="inlineStr">
        <is>
          <t>See official source — legal obligation, regulatory requirement, or voluntary standard as applicable</t>
        </is>
      </c>
      <c r="AT497" s="75" t="inlineStr">
        <is>
          <t>Administrative; Technical; Operational — specific distribution determined by framework content</t>
        </is>
      </c>
      <c r="AU497" s="79" t="inlineStr">
        <is>
          <t>1. Compliance status (compliant/non-compliant). 2. # open findings from last assessment. 3. % controls implemented. 4. Time to remediate findings. 5. Incident rate in framework scope area</t>
        </is>
      </c>
      <c r="AV497" s="80" t="inlineStr">
        <is>
          <t>Self-assessment; internal audit; external assessment as specified by issuing authority</t>
        </is>
      </c>
      <c r="AW497" s="81" t="inlineStr">
        <is>
          <t>ServiceNow GRC; IBM OpenPages; RSA Archer; MetricStream — all major GRC platforms support custom framework import. Contact vendor for framework-specific module</t>
        </is>
      </c>
      <c r="AX497" s="82" t="inlineStr">
        <is>
          <t>Third parties in scope must demonstrate equivalent compliance. Contractual compliance obligations; right-to-audit clauses; annual third-party assessment</t>
        </is>
      </c>
      <c r="AY497" s="83" t="inlineStr">
        <is>
          <t>Non-compliance: regulatory action by issuing authority; fines and penalties as specified; operational and reputational consequences</t>
        </is>
      </c>
      <c r="AZ497" s="80" t="inlineStr">
        <is>
          <t>ALL 17 SECTORS</t>
        </is>
      </c>
      <c r="BA497" s="34" t="inlineStr">
        <is>
          <t>YES — ALL SECTORS</t>
        </is>
      </c>
      <c r="BB497" s="591">
        <f>IF(E497="","",IF(ISNUMBER(SEARCH("Institutional theory and regulatory governance theory underpin",AI497)),"TEMPLATE",IF(LEN(AI497)&gt;100,"DEEP",IF(AI497="","SPARSE","SHALLOW"))))</f>
        <v/>
      </c>
      <c r="BC497" s="591">
        <f>IF(E497="","",D497&amp;"-"&amp;B497&amp;"-"&amp;E497)</f>
        <v/>
      </c>
      <c r="BD497" s="591">
        <f>IF(E497="","",SUBSTITUTE(SUBSTITUTE(B497&amp;"-"&amp;E497," ",""),":","-"))</f>
        <v/>
      </c>
      <c r="BE497" s="591">
        <f>IF(E497="","",IF(ISNUMBER(SEARCH("ECC",E497)),"NCA-ECC-2-2024",IF(ISNUMBER(SEARCH("OTCC",E497)),"NCA-ECC-2-2024",IF(ISNUMBER(SEARCH("CCC",E497)),"NCA-ECC-2-2024",IF(ISNUMBER(SEARCH("DCC",E497)),"NCA-ECC-2-2024",IF(ISNUMBER(SEARCH("CSCC",E497)),"NCA-ECC-2-2024",IF(ISNUMBER(SEARCH("PDPL-IR",E497)),"PDPL-2021",IF(ISNUMBER(SEARCH("PDPL-DTR",E497)),"PDPL-2021","NONE"))))))))</f>
        <v/>
      </c>
      <c r="BF497" s="594">
        <f>IF(E497="","",IF(BB497="DEEP",10,IF(BB497="SHALLOW",5,IF(BB497="TEMPLATE",3,1)))+IF(N497="HIGHEST",5,IF(N497="HIGH",3,IF(N497="MODERATE",1,0)))+IF(ISNUMBER(SEARCH("Mandatory",L497)),3,0))</f>
        <v/>
      </c>
    </row>
    <row r="498" ht="42" customHeight="1">
      <c r="A498" s="84" t="n">
        <v>449</v>
      </c>
      <c r="B498" s="411" t="inlineStr">
        <is>
          <t>BHHC</t>
        </is>
      </c>
      <c r="C498" s="70" t="inlineStr">
        <is>
          <t>Baha Health Cluster</t>
        </is>
      </c>
      <c r="D498" s="70" t="inlineStr">
        <is>
          <t>17. Regional Health Clusters</t>
        </is>
      </c>
      <c r="E498" s="411" t="inlineStr">
        <is>
          <t>PDPL-2021</t>
        </is>
      </c>
      <c r="F498" s="72" t="inlineStr">
        <is>
          <t>Personal Data Protection Law</t>
        </is>
      </c>
      <c r="G498" s="70" t="inlineStr">
        <is>
          <t>نظام حماية البيانات الشخصية</t>
        </is>
      </c>
      <c r="H498" s="70" t="inlineStr">
        <is>
          <t>2021+IR 2023</t>
        </is>
      </c>
      <c r="I498" s="71" t="inlineStr">
        <is>
          <t>2021</t>
        </is>
      </c>
      <c r="J498" s="71" t="inlineStr">
        <is>
          <t>45</t>
        </is>
      </c>
      <c r="K498" s="70" t="inlineStr">
        <is>
          <t>MUST COMPLY WITH</t>
        </is>
      </c>
      <c r="L498" s="66" t="inlineStr">
        <is>
          <t>Mandatory Complier</t>
        </is>
      </c>
      <c r="M498" s="70" t="inlineStr">
        <is>
          <t>Baha Health Cluster processes patient personal data</t>
        </is>
      </c>
      <c r="N498" s="86" t="inlineStr">
        <is>
          <t>HIGHEST</t>
        </is>
      </c>
      <c r="O498" s="87" t="inlineStr">
        <is>
          <t>https://sdaia.gov.sa/</t>
        </is>
      </c>
      <c r="P498" s="70" t="inlineStr">
        <is>
          <t>SDAIA</t>
        </is>
      </c>
      <c r="Q498" s="70" t="inlineStr">
        <is>
          <t>Royal Decree M/19 (16 Sep 2021) → amended Apr 2023</t>
        </is>
      </c>
      <c r="R498" s="70" t="inlineStr">
        <is>
          <t>Original (2021): 19 articles covering consent, data subject rights, controller obligations, sensitive data (health = sensitive), cross-border transfer. Apr 2023 amendment: strengthened enforcement, clarified health data provisions, aligned with PDPL-IR-2023. Grace period for compliance ended Sep 14, 2024. Penalties: up to SAR 5 million fine + 2 years imprisonment for sensitive data breach</t>
        </is>
      </c>
      <c r="S498" s="71" t="inlineStr">
        <is>
          <t>Issued: Sep 2021. Amended: Apr 2023. Fully enforceable: Sep 14, 2024</t>
        </is>
      </c>
      <c r="T498" s="70" t="inlineStr">
        <is>
          <t>SDAIA reviews annually; amendments expected 2025-2026</t>
        </is>
      </c>
      <c r="U498" s="25" t="inlineStr">
        <is>
          <t>CURRENT — fully enforceable since Sep 2024</t>
        </is>
      </c>
      <c r="V498" s="70" t="inlineStr">
        <is>
          <t>Criminal offence: up to 2 years imprisonment + SAR 3M fine for disclosing sensitive data (health data = sensitive); administrative fine up to SAR 5M; mandatory breach notification to SDAIA within 72 hours; data subject compensation claims</t>
        </is>
      </c>
      <c r="W498" s="72" t="inlineStr">
        <is>
          <t>SDAIA — Data Protection Authority (DPA functions); NDMO for government entities; courts for criminal penalties</t>
        </is>
      </c>
      <c r="X498" s="70" t="inlineStr">
        <is>
          <t>Hospital; Clinic; Lab; Pharmacy; Health IT Vendor; Health Insurer; Government Health Entity; Medical Device Manufacturer (all processing patient data)</t>
        </is>
      </c>
      <c r="Y498" s="49" t="inlineStr">
        <is>
          <t>Both + foreign entities processing data of KSA residents</t>
        </is>
      </c>
      <c r="Z498" s="70" t="inlineStr">
        <is>
          <t>SDAIA audit; controller self-assessment; DPO oversight; data subject complaints trigger investigation</t>
        </is>
      </c>
      <c r="AA498" s="71" t="inlineStr">
        <is>
          <t>Continuous (breach notification: 72 hours); annual DPO report; SDAIA random audits</t>
        </is>
      </c>
      <c r="AB498" s="70" t="inlineStr">
        <is>
          <t>12 (IoMT data minimisation; purpose limitation; consent management for wearable data; automated decision-making; data subject rights for IoMT-generated health data; cross-border transfer of IoMT data)</t>
        </is>
      </c>
      <c r="AC498" s="70" t="inlineStr">
        <is>
          <t>GDPR (substantial alignment — adequate protection basis); APEC Privacy Framework; ISO 29100; ISO 27701</t>
        </is>
      </c>
      <c r="AD498" s="49" t="inlineStr">
        <is>
          <t>Arabic (official); English translation (unofficial)</t>
        </is>
      </c>
      <c r="AE498" s="50" t="inlineStr">
        <is>
          <t>Layer 4: Compliance; Layer 2: Risk Management</t>
        </is>
      </c>
      <c r="AF498" s="60" t="inlineStr">
        <is>
          <t>No formal maturity model; SDAIA publishes compliance guidance</t>
        </is>
      </c>
      <c r="AG498" s="70" t="inlineStr">
        <is>
          <t>National Data Strategy; Vision 2030 Digital Economy; Digital Government transformation</t>
        </is>
      </c>
      <c r="AH498" s="70" t="inlineStr">
        <is>
          <t>Privacy notices; consent records; DPO appointment letter; data mapping/flow diagrams; breach notification records; DPIA for health data processing; controller registration</t>
        </is>
      </c>
      <c r="AI498" s="73" t="inlineStr">
        <is>
          <t>Privacy as fundamental right (Warren &amp; Brandeis 1890; Westin 1967). Contextual integrity theory (Nissenbaum 2004): health data flows must match medical context norms. Regulatory theory: data protection authority independence and enforcement. Information asymmetry theory: patients cannot protect their own data without regulation.</t>
        </is>
      </c>
      <c r="AJ498" s="70" t="inlineStr">
        <is>
          <t>FOR: Long-overdue — KSA had no comprehensive data protection law until 2021; health data explicitly protected as sensitive category; aligns KSA with global adequacy standards. AGAINST: Alrawabdeh (2014) and Aldawood &amp; Skinner (2019) documented Saudi privacy culture gap — regulation without public awareness is ineffective; 'GDPR-lite' criticism: exemptions broader than GDPR, enforcement weaker; health data provisions in IR still less specific than UK GDPR Schedule 1 conditions</t>
        </is>
      </c>
      <c r="AK498" s="74" t="inlineStr">
        <is>
          <t>No independent supervisory authority (SDAIA is both promoter and regulator — conflict of interest noted by Baker McKenzie 2025); patient data portability rights weaker than GDPR Article 20; no explicit right to explanation for AI-automated health decisions; cross-border transfer rules changed twice in 12 months (regulatory instability); small healthcare providers lack capacity for DPO requirements</t>
        </is>
      </c>
      <c r="AL498" s="75" t="inlineStr">
        <is>
          <t>PDPL vs GDPR: PDPL penalty lower (SAR 5M vs €20M); PDPL broader government exemptions; GDPR has independent DPA, PDPL does not. PDPL vs HIPAA: PDPL = all personal data (broader); HIPAA = US-specific health data only. PDPL vs UK GDPR: PDPL misses explicit Schedule 1 health data conditions. PDPL ahead of HIPAA on consent granularity; behind GDPR on enforcement independence</t>
        </is>
      </c>
      <c r="AM498" s="76" t="inlineStr">
        <is>
          <t>Baker McKenzie (2025) Saudi Arabia PDPL Global Data &amp; Cyber Handbook; Alrawabdeh W (2014) 'Internet and Social Media Challenges in Arab World' EJSR; Westin AF (1967) Privacy and Freedom NY Atheneum; Nissenbaum H (2004) 'Privacy as Contextual Integrity' Washington Law Review 79(1); CMS Law (2025) Saudi Arabia Data Protection &amp; Cybersecurity Expert Guide Oct 2025</t>
        </is>
      </c>
      <c r="AN498" s="50" t="inlineStr">
        <is>
          <t>Official: SDAIA website (sdaia.gov.sa) — Arabic + English. Training: IAPP CIPM/CIPP/E (privacy certifications applicable); OneTrust PDPL compliance course; Baker McKenzie PDPL compliance guide. Language: Arabic primary — strong Arabic reading recommended. Estimated: 50 hours for health sector DPO competence</t>
        </is>
      </c>
      <c r="AO498" s="77" t="inlineStr">
        <is>
          <t>PRIMARY driver for GH-ICGA Layer 4 (Compliance) — PDPL is the legal foundation for patient data governance in the preliminary GH-ICGA framework. Thesis argument: GH-ICGA Layer 4 operationalises PDPL requirements into IoMT-specific controls (consent management for wearable data; purpose limitation for monitoring streams; breach response for connected device incidents)</t>
        </is>
      </c>
      <c r="AP498" s="51" t="inlineStr">
        <is>
          <t>G + C (Governance + Compliance — strong compliance driver; risk implicit)</t>
        </is>
      </c>
      <c r="AQ498" s="78" t="inlineStr">
        <is>
          <t>Board/CEO: ultimate accountability for PDPL compliance. DPO: mandatory for large-scale health data processors — reports to highest management level. Privacy Committee: cross-functional oversight. All staff processing personal data: mandatory privacy awareness training annually</t>
        </is>
      </c>
      <c r="AR498" s="74" t="inlineStr">
        <is>
          <t>Privacy Risk (PRIMARY); Legal/Regulatory Risk; Reputational Risk; Strategic Risk (data monetisation constraints); Cross-Border Risk (data transfer restrictions)</t>
        </is>
      </c>
      <c r="AS498" s="22" t="inlineStr">
        <is>
          <t>LEGAL — Royal Decree M/19 2021 + Implementing Regulations Sep 2023. Criminal: imprisonment up to 2 years + SAR 3M fine for sensitive data disclosure. Administrative: SAR 5M maximum fine. Civil: data subject compensation claims</t>
        </is>
      </c>
      <c r="AT498" s="75" t="inlineStr">
        <is>
          <t>Administrative (A): consent management; privacy notices; DPO appointment; DPIA process; breach notification procedure. Technical (T): data minimisation; pseudonymisation; access controls for personal data; encryption. Operational (O): data retention enforcement; data subject rights fulfilment process; cross-border transfer review</t>
        </is>
      </c>
      <c r="AU498" s="79" t="inlineStr">
        <is>
          <t>1. # data subject rights requests fulfilled on time (target: 100% within 30 days). 2. # data breaches notified to SDAIA within 72h (target: 100%). 3. % staff completed privacy training (target: 100%). 4. # DPIAs completed for high-risk processing activities. 5. Data retention compliance rate (% records within policy). 6. % third-party processors with DPA agreements</t>
        </is>
      </c>
      <c r="AV498" s="80" t="inlineStr">
        <is>
          <t>Annual DPIA review; data mapping audit (controller record validation); consent record audit; breach response simulation (tabletop); access control review for personal data systems; third-party processor audit; SDAIA compliance self-assessment</t>
        </is>
      </c>
      <c r="AW498" s="81" t="inlineStr">
        <is>
          <t>OneTrust (market leader for PDPL); TrustArc; Nymity; DataGrail; Varonis (data discovery); Microsoft Purview (data classification). SDAIA National Data Governance Platform for registration. Arabic-capable tools preferred</t>
        </is>
      </c>
      <c r="AX498" s="82" t="inlineStr">
        <is>
          <t>All third-party data processors must have Data Processing Agreement (DPA). Processors must demonstrate equivalent PDPL compliance. Cross-border transfers require adequacy assessment or appropriate safeguards. Sub-processor disclosure mandatory. Annual processor risk assessment required</t>
        </is>
      </c>
      <c r="AY498" s="83" t="inlineStr">
        <is>
          <t>Non-compliance: SAR 5M administrative fine; criminal prosecution for sensitive data breach; SDAIA investigation; mandatory breach public disclosure. Business disruption: SDAIA can order processing suspension. Reputational: patient trust damage. Market: EU adequate protection status depends on PDPL enforcement credibility</t>
        </is>
      </c>
      <c r="AZ498" s="80" t="inlineStr">
        <is>
          <t>ALL 17 SECTORS — any entity processing personal data</t>
        </is>
      </c>
      <c r="BA498" s="34" t="inlineStr">
        <is>
          <t>YES — ALL SECTORS</t>
        </is>
      </c>
      <c r="BB498" s="591">
        <f>IF(E498="","",IF(ISNUMBER(SEARCH("Institutional theory and regulatory governance theory underpin",AI498)),"TEMPLATE",IF(LEN(AI498)&gt;100,"DEEP",IF(AI498="","SPARSE","SHALLOW"))))</f>
        <v/>
      </c>
      <c r="BC498" s="591">
        <f>IF(E498="","",D498&amp;"-"&amp;B498&amp;"-"&amp;E498)</f>
        <v/>
      </c>
      <c r="BD498" s="591">
        <f>IF(E498="","",SUBSTITUTE(SUBSTITUTE(B498&amp;"-"&amp;E498," ",""),":","-"))</f>
        <v/>
      </c>
      <c r="BE498" s="591">
        <f>IF(E498="","",IF(ISNUMBER(SEARCH("ECC",E498)),"NCA-ECC-2-2024",IF(ISNUMBER(SEARCH("OTCC",E498)),"NCA-ECC-2-2024",IF(ISNUMBER(SEARCH("CCC",E498)),"NCA-ECC-2-2024",IF(ISNUMBER(SEARCH("DCC",E498)),"NCA-ECC-2-2024",IF(ISNUMBER(SEARCH("CSCC",E498)),"NCA-ECC-2-2024",IF(ISNUMBER(SEARCH("PDPL-IR",E498)),"PDPL-2021",IF(ISNUMBER(SEARCH("PDPL-DTR",E498)),"PDPL-2021","NONE"))))))))</f>
        <v/>
      </c>
      <c r="BF498" s="594">
        <f>IF(E498="","",IF(BB498="DEEP",10,IF(BB498="SHALLOW",5,IF(BB498="TEMPLATE",3,1)))+IF(N498="HIGHEST",5,IF(N498="HIGH",3,IF(N498="MODERATE",1,0)))+IF(ISNUMBER(SEARCH("Mandatory",L498)),3,0))</f>
        <v/>
      </c>
    </row>
    <row r="499" ht="42" customHeight="1">
      <c r="A499" s="42" t="n">
        <v>450</v>
      </c>
      <c r="B499" s="412" t="inlineStr">
        <is>
          <t>BHHC</t>
        </is>
      </c>
      <c r="C499" s="44" t="inlineStr">
        <is>
          <t>Baha Health Cluster</t>
        </is>
      </c>
      <c r="D499" s="44" t="inlineStr">
        <is>
          <t>17. Regional Health Clusters</t>
        </is>
      </c>
      <c r="E499" s="412" t="inlineStr">
        <is>
          <t>MOH-TELE</t>
        </is>
      </c>
      <c r="F499" s="45" t="inlineStr">
        <is>
          <t>Telemedicine Regulations</t>
        </is>
      </c>
      <c r="G499" s="44" t="inlineStr">
        <is>
          <t>لائحة الرعاية الصحية عن بعد</t>
        </is>
      </c>
      <c r="H499" s="44" t="inlineStr">
        <is>
          <t>Late 2023</t>
        </is>
      </c>
      <c r="I499" s="46" t="inlineStr">
        <is>
          <t>2020</t>
        </is>
      </c>
      <c r="J499" s="46" t="inlineStr">
        <is>
          <t>38</t>
        </is>
      </c>
      <c r="K499" s="44" t="inlineStr">
        <is>
          <t>MUST COMPLY WITH</t>
        </is>
      </c>
      <c r="L499" s="66" t="inlineStr">
        <is>
          <t>Mandatory Complier</t>
        </is>
      </c>
      <c r="M499" s="44" t="inlineStr">
        <is>
          <t>Baha Health Cluster offering telemedicine services</t>
        </is>
      </c>
      <c r="N499" s="54" t="inlineStr">
        <is>
          <t>HIGH</t>
        </is>
      </c>
      <c r="O499" s="48" t="inlineStr">
        <is>
          <t>https://www.moh.gov.sa/en/</t>
        </is>
      </c>
      <c r="P499" s="44" t="inlineStr">
        <is>
          <t>MOH; Hammad &amp; Al-Mehdar 2025</t>
        </is>
      </c>
      <c r="Q499" s="70" t="inlineStr">
        <is>
          <t>COVID-19 emergency 2020 → comprehensive regulations late 2023</t>
        </is>
      </c>
      <c r="R499" s="70" t="inlineStr">
        <is>
          <t>2020 (emergency COVID telehealth rules): basic platform licensing, identity verification, audio/video minimum standards. Late 2023 (comprehensive update, 38 controls): platform licensing requirements; patient identity verification; cross-border telemedicine restrictions; controlled substance prescribing rules (limited); data protection (PDPL alignment); patient consent requirements; clinical documentation standards; coverage by health insurance; quality assurance audit requirements</t>
        </is>
      </c>
      <c r="S499" s="71" t="inlineStr">
        <is>
          <t>Emergency 2020. Comprehensive: late 2023</t>
        </is>
      </c>
      <c r="T499" s="70" t="inlineStr">
        <is>
          <t>Annual update; cross-border rules under active development 2025</t>
        </is>
      </c>
      <c r="U499" s="25" t="inlineStr">
        <is>
          <t>CURRENT — late 2023 comprehensive version</t>
        </is>
      </c>
      <c r="V499" s="70" t="inlineStr">
        <is>
          <t>Platform licence revocation; SAR 1M–5M fine (scale by offence); clinical professional disciplinary action by SCFHS</t>
        </is>
      </c>
      <c r="W499" s="72" t="inlineStr">
        <is>
          <t>MOH — eHealth General Directorate; CST (platform technical licensing); CCHI (insurance coverage compliance); SCFHS (clinical standards)</t>
        </is>
      </c>
      <c r="X499" s="70" t="inlineStr">
        <is>
          <t>Hospital (outpatient teleconsultation); Clinic; Health IT Vendor (platform developers); Health Insurer (reimbursement compliance)</t>
        </is>
      </c>
      <c r="Y499" s="22" t="inlineStr">
        <is>
          <t>Both</t>
        </is>
      </c>
      <c r="Z499" s="70" t="inlineStr">
        <is>
          <t>MOH platform licence audit (annual); CCHI insurance compliance check; SCFHS clinical quality audit</t>
        </is>
      </c>
      <c r="AA499" s="71" t="inlineStr">
        <is>
          <t>Annual licence renewal; random clinical quality audit</t>
        </is>
      </c>
      <c r="AB499" s="70" t="inlineStr">
        <is>
          <t>15 (remote patient monitoring integration; wearable device data for teleconsultation; IoMT vital sign display during video consultation; remote device prescription; teleICU monitoring requirements)</t>
        </is>
      </c>
      <c r="AC499" s="70" t="inlineStr">
        <is>
          <t>WHO Telemedicine Guidelines (2010/updated); ISO 13131:2021 (Telehealth); ATA (American Telemedicine Association) standards (reference)</t>
        </is>
      </c>
      <c r="AD499" s="49" t="inlineStr">
        <is>
          <t>Arabic (primary); English technical guidance</t>
        </is>
      </c>
      <c r="AE499" s="26" t="inlineStr">
        <is>
          <t>Layer 1: Governance; Layer 4: Compliance</t>
        </is>
      </c>
      <c r="AF499" s="60" t="inlineStr">
        <is>
          <t>No formal maturity model; licence tiers (basic/advanced platform)</t>
        </is>
      </c>
      <c r="AG499" s="70" t="inlineStr">
        <is>
          <t>HSTP telemedicine targets (30% uptake); SEHA Virtual Hospital; Vision 2030 healthcare access targets</t>
        </is>
      </c>
      <c r="AH499" s="70" t="inlineStr">
        <is>
          <t>Platform licence certificate; patient consent records; clinical documentation standards compliance; identity verification log; prescription records; NABIDH integration evidence</t>
        </is>
      </c>
      <c r="AI499" s="73" t="inlineStr">
        <is>
          <t>Telehealth adoption theory (LeRouge &amp; Garfield 2013): patient acceptance + clinician integration. Access theory: geography-equity argument for remote care. Digital health governance theory: platform regulation vs clinical regulation tension.</t>
        </is>
      </c>
      <c r="AJ499" s="70" t="inlineStr">
        <is>
          <t>FOR: COVID-19 proved telehealth viability at scale in KSA (Al-Ataawi et al. 2022); Sehhaty platform shows government commitment; removes geographic barriers consistent with Vision 2030 equity goals; IoMT remote monitoring reimbursement framework emerging. AGAINST: Clinical quality in telehealth still debated (Hollander &amp; Sites 2020); data sovereignty for cross-border telehealth unresolved; prescription via teleconsultation remains restricted limiting scope; rural connectivity gaps undermine access equity goal</t>
        </is>
      </c>
      <c r="AK499" s="74" t="inlineStr">
        <is>
          <t>Regulations still lag technology — VR/AR clinical applications not addressed; AI-assisted teleconsultation regulatory pathway unclear; cross-border telehealth restrictions create market fragmentation; no minimum quality standards for audio/video equipment; liability for technical failure not yet codified in regulation</t>
        </is>
      </c>
      <c r="AL499" s="75" t="inlineStr">
        <is>
          <t>MOH-TELE vs NHS TECS (UK): NHS TECS has DTAC (Digital Technology Assessment Criteria) for all digital health tools — KSA equivalent absent. MOH-TELE vs FCC/CMS telehealth (US): US has federal reimbursement codes (CPT); KSA CCHI integration still developing. MOH-TELE vs WHO Telemedicine Guidelines: broadly aligned but KSA-specific cross-border rules more restrictive than WHO recommends</t>
        </is>
      </c>
      <c r="AM499" s="76" t="inlineStr">
        <is>
          <t>Al-Ataawi A et al. (2022) 'Telehealth in Saudi Arabia During COVID-19' J Healthcare Informatics Res; Hollander JE &amp; Sites FD (2020) 'Telehealth Beyond COVID-19' NEJM 2020; Hammad &amp; Al-Mehdar (2025) Saudi Healthcare Regulatory Update; WHO (2010) Telemedicine Opportunities and Developments; LeRouge C &amp; Garfield MJ (2013) 'Crossing the Telemedicine Chasm' JAMIA 20(6)</t>
        </is>
      </c>
      <c r="AN499" s="50" t="inlineStr">
        <is>
          <t>Official: MOH website. Training: American Telemedicine Association (ATA) online courses; SEHA Virtual Hospital training programme; WHO telehealth competency framework. Estimated: 25 hours</t>
        </is>
      </c>
      <c r="AO499" s="77" t="inlineStr">
        <is>
          <t>GH-ICGA Layer 1 (Governance) — telehealth regulation defines the governance boundary for remote IoMT monitoring. Thesis relevance: GH-ICGA must address the governance overlap between MOH-TELE (clinical platform regulation) and NCA-ECC (cybersecurity) and PDPL (patient data) for remote monitoring scenarios</t>
        </is>
      </c>
      <c r="AP499" s="51" t="inlineStr">
        <is>
          <t>G + C (platform governance + clinical compliance)</t>
        </is>
      </c>
      <c r="AQ499" s="78" t="inlineStr">
        <is>
          <t>CEO: platform licence accountability. Medical Director: clinical quality governance. DPO: PDPL compliance for patient data on platform. Technical Director: platform security. Pharmacy Director: prescription management compliance</t>
        </is>
      </c>
      <c r="AR499" s="74" t="inlineStr">
        <is>
          <t>Clinical Risk (misdiagnosis via teleconsultation); Regulatory Risk (licence breach); Privacy Risk (patient data); Operational Risk (platform availability); Cross-Border Risk (international teleconsultation restrictions)</t>
        </is>
      </c>
      <c r="AS499" s="61" t="inlineStr">
        <is>
          <t>REGULATORY — MOH licensing requirement. Non-compliance: platform licence revocation; SAR 1M–5M fine; SCFHS action against clinicians</t>
        </is>
      </c>
      <c r="AT499" s="75" t="inlineStr">
        <is>
          <t>Administrative (A): 20 controls — licensing; consent; documentation; clinical protocols. Technical (T): 12 controls — platform security; identity verification; audio/video standards. Operational (O): 6 controls — prescribing workflow; referral protocol; audit trail</t>
        </is>
      </c>
      <c r="AU499" s="79" t="inlineStr">
        <is>
          <t>1. Patient consent collection rate (target 100% before each session). 2. Platform availability SLA compliance (target &gt;99.5%). 3. Identity verification success rate. 4. # clinical complaints per 1,000 teleconsultations. 5. Documentation compliance rate (target 100% consultation notes in NABIDH). 6. Prescription audit pass rate</t>
        </is>
      </c>
      <c r="AV499" s="80" t="inlineStr">
        <is>
          <t>Annual MOH licence renewal audit; CCHI insurance coverage compliance check; patient record documentation audit; platform security assessment; identity verification system test; NABIDH integration test</t>
        </is>
      </c>
      <c r="AW499" s="81" t="inlineStr">
        <is>
          <t>Sehhaty / Mawid (MOH official platforms); Nabdh; Cura Health; Vezeeta; Nubaqraa — all require MOH licensing. Security tools: FortiWeb (WAF); Auth0/Okta (identity); TeleVisit security frameworks</t>
        </is>
      </c>
      <c r="AX499" s="82" t="inlineStr">
        <is>
          <t>Platform vendors: MOH-licensed telemedicine solution mandatory; PDPL DPA required; NABIDH API certification; patient data not to be shared with third-party analytics without consent; international teleconsultation providers must be MOH-approved</t>
        </is>
      </c>
      <c r="AY499" s="83" t="inlineStr">
        <is>
          <t>Unlicensed platform: immediate shutdown; SAR fine; clinical professional disciplinary action. Licence revocation: complete business cessation. Patient harm via telemedicine: malpractice liability; SCFHS investigation</t>
        </is>
      </c>
      <c r="AZ499" s="80" t="inlineStr">
        <is>
          <t>Healthcare &amp; Life Sciences; ICT/Digital (platform providers)</t>
        </is>
      </c>
      <c r="BA499" s="41" t="inlineStr">
        <is>
          <t>Sector-Specific</t>
        </is>
      </c>
      <c r="BB499" s="591">
        <f>IF(E499="","",IF(ISNUMBER(SEARCH("Institutional theory and regulatory governance theory underpin",AI499)),"TEMPLATE",IF(LEN(AI499)&gt;100,"DEEP",IF(AI499="","SPARSE","SHALLOW"))))</f>
        <v/>
      </c>
      <c r="BC499" s="591">
        <f>IF(E499="","",D499&amp;"-"&amp;B499&amp;"-"&amp;E499)</f>
        <v/>
      </c>
      <c r="BD499" s="591">
        <f>IF(E499="","",SUBSTITUTE(SUBSTITUTE(B499&amp;"-"&amp;E499," ",""),":","-"))</f>
        <v/>
      </c>
      <c r="BE499" s="591">
        <f>IF(E499="","",IF(ISNUMBER(SEARCH("ECC",E499)),"NCA-ECC-2-2024",IF(ISNUMBER(SEARCH("OTCC",E499)),"NCA-ECC-2-2024",IF(ISNUMBER(SEARCH("CCC",E499)),"NCA-ECC-2-2024",IF(ISNUMBER(SEARCH("DCC",E499)),"NCA-ECC-2-2024",IF(ISNUMBER(SEARCH("CSCC",E499)),"NCA-ECC-2-2024",IF(ISNUMBER(SEARCH("PDPL-IR",E499)),"PDPL-2021",IF(ISNUMBER(SEARCH("PDPL-DTR",E499)),"PDPL-2021","NONE"))))))))</f>
        <v/>
      </c>
      <c r="BF499" s="594">
        <f>IF(E499="","",IF(BB499="DEEP",10,IF(BB499="SHALLOW",5,IF(BB499="TEMPLATE",3,1)))+IF(N499="HIGHEST",5,IF(N499="HIGH",3,IF(N499="MODERATE",1,0)))+IF(ISNUMBER(SEARCH("Mandatory",L499)),3,0))</f>
        <v/>
      </c>
    </row>
    <row r="500" ht="42" customHeight="1">
      <c r="A500" s="84" t="n">
        <v>451</v>
      </c>
      <c r="B500" s="411" t="inlineStr">
        <is>
          <t>BHHC</t>
        </is>
      </c>
      <c r="C500" s="70" t="inlineStr">
        <is>
          <t>Baha Health Cluster</t>
        </is>
      </c>
      <c r="D500" s="70" t="inlineStr">
        <is>
          <t>17. Regional Health Clusters</t>
        </is>
      </c>
      <c r="E500" s="411" t="inlineStr">
        <is>
          <t>NHIC-NABIDH</t>
        </is>
      </c>
      <c r="F500" s="72" t="inlineStr">
        <is>
          <t>NABIDH EHR Platform Standard</t>
        </is>
      </c>
      <c r="G500" s="70" t="inlineStr">
        <is>
          <t>معيار منصة نبض</t>
        </is>
      </c>
      <c r="H500" s="70" t="inlineStr">
        <is>
          <t>Mandatory 2024</t>
        </is>
      </c>
      <c r="I500" s="71" t="inlineStr">
        <is>
          <t>2018</t>
        </is>
      </c>
      <c r="J500" s="71" t="inlineStr">
        <is>
          <t>40</t>
        </is>
      </c>
      <c r="K500" s="70" t="inlineStr">
        <is>
          <t>MUST COMPLY WITH</t>
        </is>
      </c>
      <c r="L500" s="66" t="inlineStr">
        <is>
          <t>Mandatory Complier</t>
        </is>
      </c>
      <c r="M500" s="70" t="inlineStr">
        <is>
          <t>Baha Health Cluster hospitals — NABIDH interoperability</t>
        </is>
      </c>
      <c r="N500" s="86" t="inlineStr">
        <is>
          <t>HIGHEST</t>
        </is>
      </c>
      <c r="O500" s="87" t="inlineStr">
        <is>
          <t>https://nhic.gov.sa/</t>
        </is>
      </c>
      <c r="P500" s="70" t="inlineStr">
        <is>
          <t>NHIC</t>
        </is>
      </c>
      <c r="Q500" s="70" t="inlineStr">
        <is>
          <t>NABIDH launched 2018 (pilot) → FHIR R4 API 2022 → mandatory all facilities 2024</t>
        </is>
      </c>
      <c r="R500" s="70" t="inlineStr">
        <is>
          <t>2018 (pilot): 10 MOH hospitals. 2019-2021: health cluster rollout. 2022: FHIR R4 API standards published; private hospitals voluntary integration. 2023: API developer portal opened; 40 technical requirements published. 2024: MANDATORY — all healthcare facilities must connect; Private Health Institutions Law updated; penalties for non-connection: facility licensing at risk. NABIDH now the central patient data repository — 45M+ patient records as of 2024</t>
        </is>
      </c>
      <c r="S500" s="71" t="inlineStr">
        <is>
          <t>Launched: 2018. FHIR R4 API: 2022. Mandatory: 2024</t>
        </is>
      </c>
      <c r="T500" s="70" t="inlineStr">
        <is>
          <t>Continuous platform updates; API versioning quarterly</t>
        </is>
      </c>
      <c r="U500" s="25" t="inlineStr">
        <is>
          <t>CURRENT — mandatory as of 2024</t>
        </is>
      </c>
      <c r="V500" s="70" t="inlineStr">
        <is>
          <t>Facility unable to receive electronic referrals; excluded from national patient record; MOH licensing risk; procurement penalties</t>
        </is>
      </c>
      <c r="W500" s="72" t="inlineStr">
        <is>
          <t>NHIC — NABIDH Programme Office; MOH General Directorate of Health Informatics; regional health clusters</t>
        </is>
      </c>
      <c r="X500" s="70" t="inlineStr">
        <is>
          <t>Hospital; Clinic; Lab; Pharmacy — ALL healthcare facilities mandatory</t>
        </is>
      </c>
      <c r="Y500" s="22" t="inlineStr">
        <is>
          <t>Both</t>
        </is>
      </c>
      <c r="Z500" s="70" t="inlineStr">
        <is>
          <t>NHIC API conformance test; connectivity monitoring (automated); annual technical review</t>
        </is>
      </c>
      <c r="AA500" s="71" t="inlineStr">
        <is>
          <t>Continuous connectivity monitoring; annual audit</t>
        </is>
      </c>
      <c r="AB500" s="70" t="inlineStr">
        <is>
          <t>16 (NABIDH IoMT data ingestion API; remote monitoring data submission; wearable vital signs standardisation; IoMT device data consent management; IoMT-generated observation resources in FHIR)</t>
        </is>
      </c>
      <c r="AC500" s="70" t="inlineStr">
        <is>
          <t>HL7 FHIR R4 (mandatory); IHE profiles; SNOMED CT; ICD-10-CM; LOINC; HL7 CDA</t>
        </is>
      </c>
      <c r="AD500" s="49" t="inlineStr">
        <is>
          <t>Arabic + English (NABIDH technical specifications bilingual)</t>
        </is>
      </c>
      <c r="AE500" s="37" t="inlineStr">
        <is>
          <t>Layer 3: Technical Controls; Layer 4: Compliance; Layer 5: Assurance</t>
        </is>
      </c>
      <c r="AF500" s="27" t="inlineStr">
        <is>
          <t>Yes — 3 connectivity levels (Basic data exchange / Full longitudinal record / Advanced IoMT integration)</t>
        </is>
      </c>
      <c r="AG500" s="70" t="inlineStr">
        <is>
          <t>HSTP digital health; National EHR programme; NHIS integration; Vision 2030 connected healthcare</t>
        </is>
      </c>
      <c r="AH500" s="70" t="inlineStr">
        <is>
          <t>NABIDH connectivity certificate; API test results; FHIR conformance statement; patient consent records; data quality dashboard reports</t>
        </is>
      </c>
      <c r="AI500" s="73" t="inlineStr">
        <is>
          <t>Institutional theory and regulatory governance theory underpin all KSA regulatory frameworks. Specific theoretical basis varies by framework — consult academic literature via Google Scholar using framework name as search term.</t>
        </is>
      </c>
      <c r="AJ500" s="70" t="inlineStr">
        <is>
          <t>Academic debate varies by framework maturity and international adoption. For KSA-specific debate, consult: Almohammad &amp; Wills (2021) J Cybersecurity; Al-Khater et al. (2020) IEEE Access; Baker McKenzie KSA regulatory updates.</t>
        </is>
      </c>
      <c r="AK500" s="74" t="inlineStr">
        <is>
          <t>Known criticisms include: implementation gap between standards and practice; resource constraints for smaller healthcare entities; rapid technology evolution outpacing regulation. Consult framework evaluation literature for specifics.</t>
        </is>
      </c>
      <c r="AL500" s="75" t="inlineStr">
        <is>
          <t>Framework comparison requires contextual analysis. Key comparators: NIST CSF 2.0 (international benchmark), ISO 27001 (certifiable standard), ECC-2 (KSA mandatory baseline). See main database for cross-framework mapping.</t>
        </is>
      </c>
      <c r="AM500"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500" s="50" t="inlineStr">
        <is>
          <t>Official: Consult the official source URL in the database for the primary document. Training: ISACA, ISC2, RAPS, IAPP, and HIMSS offer professional development covering most regulatory domains. Estimated hours vary by framework complexity.</t>
        </is>
      </c>
      <c r="AO500" s="77" t="inlineStr">
        <is>
          <t>Relevance to GH-ICGA framework varies by layer — see GH-ICGA Layer Mapping column. All KSA mandatory frameworks are compliance inputs to GH-ICGA Layer 4. Frameworks with IoMT-specific provisions directly inform Layers 2 and 3.</t>
        </is>
      </c>
      <c r="AP500" s="51" t="inlineStr">
        <is>
          <t>G + C (Governance + Compliance — standard regulatory framework positioning)</t>
        </is>
      </c>
      <c r="AQ500" s="78" t="inlineStr">
        <is>
          <t>Senior management: accountability for framework compliance. Designated compliance officer: monitor requirements. All staff: awareness of applicable obligations</t>
        </is>
      </c>
      <c r="AR500" s="74" t="inlineStr">
        <is>
          <t>Regulatory Risk; Operational Risk; Reputational Risk — specific domains determined by framework scope</t>
        </is>
      </c>
      <c r="AS500" s="22" t="inlineStr">
        <is>
          <t>See official source — legal obligation, regulatory requirement, or voluntary standard as applicable</t>
        </is>
      </c>
      <c r="AT500" s="75" t="inlineStr">
        <is>
          <t>Administrative; Technical; Operational — specific distribution determined by framework content</t>
        </is>
      </c>
      <c r="AU500" s="79" t="inlineStr">
        <is>
          <t>1. Compliance status (compliant/non-compliant). 2. # open findings from last assessment. 3. % controls implemented. 4. Time to remediate findings. 5. Incident rate in framework scope area</t>
        </is>
      </c>
      <c r="AV500" s="80" t="inlineStr">
        <is>
          <t>Self-assessment; internal audit; external assessment as specified by issuing authority</t>
        </is>
      </c>
      <c r="AW500" s="81" t="inlineStr">
        <is>
          <t>ServiceNow GRC; IBM OpenPages; RSA Archer; MetricStream — all major GRC platforms support custom framework import. Contact vendor for framework-specific module</t>
        </is>
      </c>
      <c r="AX500" s="82" t="inlineStr">
        <is>
          <t>Third parties in scope must demonstrate equivalent compliance. Contractual compliance obligations; right-to-audit clauses; annual third-party assessment</t>
        </is>
      </c>
      <c r="AY500" s="83" t="inlineStr">
        <is>
          <t>Non-compliance: regulatory action by issuing authority; fines and penalties as specified; operational and reputational consequences</t>
        </is>
      </c>
      <c r="AZ500" s="80" t="inlineStr">
        <is>
          <t>Healthcare &amp; Life Sciences</t>
        </is>
      </c>
      <c r="BA500" s="41" t="inlineStr">
        <is>
          <t>Sector-Specific</t>
        </is>
      </c>
      <c r="BB500" s="591">
        <f>IF(E500="","",IF(ISNUMBER(SEARCH("Institutional theory and regulatory governance theory underpin",AI500)),"TEMPLATE",IF(LEN(AI500)&gt;100,"DEEP",IF(AI500="","SPARSE","SHALLOW"))))</f>
        <v/>
      </c>
      <c r="BC500" s="591">
        <f>IF(E500="","",D500&amp;"-"&amp;B500&amp;"-"&amp;E500)</f>
        <v/>
      </c>
      <c r="BD500" s="591">
        <f>IF(E500="","",SUBSTITUTE(SUBSTITUTE(B500&amp;"-"&amp;E500," ",""),":","-"))</f>
        <v/>
      </c>
      <c r="BE500" s="591">
        <f>IF(E500="","",IF(ISNUMBER(SEARCH("ECC",E500)),"NCA-ECC-2-2024",IF(ISNUMBER(SEARCH("OTCC",E500)),"NCA-ECC-2-2024",IF(ISNUMBER(SEARCH("CCC",E500)),"NCA-ECC-2-2024",IF(ISNUMBER(SEARCH("DCC",E500)),"NCA-ECC-2-2024",IF(ISNUMBER(SEARCH("CSCC",E500)),"NCA-ECC-2-2024",IF(ISNUMBER(SEARCH("PDPL-IR",E500)),"PDPL-2021",IF(ISNUMBER(SEARCH("PDPL-DTR",E500)),"PDPL-2021","NONE"))))))))</f>
        <v/>
      </c>
      <c r="BF500" s="594">
        <f>IF(E500="","",IF(BB500="DEEP",10,IF(BB500="SHALLOW",5,IF(BB500="TEMPLATE",3,1)))+IF(N500="HIGHEST",5,IF(N500="HIGH",3,IF(N500="MODERATE",1,0)))+IF(ISNUMBER(SEARCH("Mandatory",L500)),3,0))</f>
        <v/>
      </c>
    </row>
    <row r="501" ht="42" customHeight="1">
      <c r="A501" s="42" t="n">
        <v>452</v>
      </c>
      <c r="B501" s="412" t="inlineStr">
        <is>
          <t>BHHC</t>
        </is>
      </c>
      <c r="C501" s="44" t="inlineStr">
        <is>
          <t>Baha Health Cluster</t>
        </is>
      </c>
      <c r="D501" s="44" t="inlineStr">
        <is>
          <t>17. Regional Health Clusters</t>
        </is>
      </c>
      <c r="E501" s="412" t="inlineStr">
        <is>
          <t>NCA-OTCC</t>
        </is>
      </c>
      <c r="F501" s="45" t="inlineStr">
        <is>
          <t>OT Cybersecurity Controls</t>
        </is>
      </c>
      <c r="G501" s="44" t="inlineStr">
        <is>
          <t>ضوابط الأمن السيبراني للتقنيات التشغيلية</t>
        </is>
      </c>
      <c r="H501" s="44" t="inlineStr">
        <is>
          <t>OTCC-1:2022</t>
        </is>
      </c>
      <c r="I501" s="46" t="inlineStr">
        <is>
          <t>2022</t>
        </is>
      </c>
      <c r="J501" s="46" t="inlineStr">
        <is>
          <t>53</t>
        </is>
      </c>
      <c r="K501" s="44" t="inlineStr">
        <is>
          <t>MUST COMPLY WITH</t>
        </is>
      </c>
      <c r="L501" s="66" t="inlineStr">
        <is>
          <t>Mandatory Complier</t>
        </is>
      </c>
      <c r="M501" s="44" t="inlineStr">
        <is>
          <t>Baha Health Cluster medical device OT networks — CNI designation</t>
        </is>
      </c>
      <c r="N501" s="47" t="inlineStr">
        <is>
          <t>HIGHEST</t>
        </is>
      </c>
      <c r="O501" s="48" t="inlineStr">
        <is>
          <t>https://nca.gov.sa/</t>
        </is>
      </c>
      <c r="P501" s="44" t="inlineStr">
        <is>
          <t>NCA OTCC</t>
        </is>
      </c>
      <c r="Q501" s="70" t="inlineStr">
        <is>
          <t>See official source for version history</t>
        </is>
      </c>
      <c r="R501" s="70" t="inlineStr">
        <is>
          <t>Framework issued by the relevant authority. Version details available on the official website referenced in the source URL column. The framework has been updated periodically since first issuance.</t>
        </is>
      </c>
      <c r="S501" s="71" t="inlineStr">
        <is>
          <t>See official source</t>
        </is>
      </c>
      <c r="T501" s="70" t="inlineStr">
        <is>
          <t>Updated as needed by the issuing authority</t>
        </is>
      </c>
      <c r="U501" s="25" t="inlineStr">
        <is>
          <t>CURRENT — consult official source for latest version</t>
        </is>
      </c>
      <c r="V501" s="70" t="inlineStr">
        <is>
          <t>Penalties defined by issuing authority; consult official source. NCA ECC-2 penalties apply if relevant</t>
        </is>
      </c>
      <c r="W501" s="72" t="inlineStr">
        <is>
          <t>Issuing authority and/or designated inspection department</t>
        </is>
      </c>
      <c r="X501" s="70" t="inlineStr">
        <is>
          <t>As specified in framework scope — consult official document</t>
        </is>
      </c>
      <c r="Y501" s="49" t="inlineStr">
        <is>
          <t>Both (unless specified otherwise in official document)</t>
        </is>
      </c>
      <c r="Z501" s="70" t="inlineStr">
        <is>
          <t>As defined by issuing authority</t>
        </is>
      </c>
      <c r="AA501" s="71" t="inlineStr">
        <is>
          <t>As defined by issuing authority</t>
        </is>
      </c>
      <c r="AB501" s="70" t="inlineStr">
        <is>
          <t>To be determined from framework text — see official source</t>
        </is>
      </c>
      <c r="AC501" s="70" t="inlineStr">
        <is>
          <t>See framework preamble for international standard references</t>
        </is>
      </c>
      <c r="AD501" s="49" t="inlineStr">
        <is>
          <t>Arabic (primary in KSA); English may be available</t>
        </is>
      </c>
      <c r="AE501" s="58" t="inlineStr">
        <is>
          <t>Mapped to relevant GH-ICGA layer — requires manual assessment</t>
        </is>
      </c>
      <c r="AF501" s="56" t="inlineStr">
        <is>
          <t>See official framework for maturity model details</t>
        </is>
      </c>
      <c r="AG501" s="70" t="inlineStr">
        <is>
          <t>Aligned with relevant Vision 2030 programme — see framework context</t>
        </is>
      </c>
      <c r="AH501" s="70" t="inlineStr">
        <is>
          <t>As specified in framework compliance requirements</t>
        </is>
      </c>
      <c r="AI501" s="73" t="inlineStr">
        <is>
          <t>Institutional theory and regulatory governance theory underpin all KSA regulatory frameworks. Specific theoretical basis varies by framework — consult academic literature via Google Scholar using framework name as search term.</t>
        </is>
      </c>
      <c r="AJ501" s="70" t="inlineStr">
        <is>
          <t>Academic debate varies by framework maturity and international adoption. For KSA-specific debate, consult: Almohammad &amp; Wills (2021) J Cybersecurity; Al-Khater et al. (2020) IEEE Access; Baker McKenzie KSA regulatory updates.</t>
        </is>
      </c>
      <c r="AK501" s="74" t="inlineStr">
        <is>
          <t>Known criticisms include: implementation gap between standards and practice; resource constraints for smaller healthcare entities; rapid technology evolution outpacing regulation. Consult framework evaluation literature for specifics.</t>
        </is>
      </c>
      <c r="AL501" s="75" t="inlineStr">
        <is>
          <t>Framework comparison requires contextual analysis. Key comparators: NIST CSF 2.0 (international benchmark), ISO 27001 (certifiable standard), ECC-2 (KSA mandatory baseline). See main database for cross-framework mapping.</t>
        </is>
      </c>
      <c r="AM501" s="76" t="inlineStr">
        <is>
          <t>Key foundational references: Almohammad A &amp; Wills G (2021) J Cybersecurity; NIST (2024) CSF 2.0; ISO (2022) 27001; NCA official documents (nca.gov.sa); Baker McKenzie Global Data &amp; Cyber Handbook 2025. Consult SFDA, MOH, and NCA websites for framework-specific official citations.</t>
        </is>
      </c>
      <c r="AN501" s="50" t="inlineStr">
        <is>
          <t>Official: Consult the official source URL in the database for the primary document. Training: ISACA, ISC2, RAPS, IAPP, and HIMSS offer professional development covering most regulatory domains. Estimated hours vary by framework complexity.</t>
        </is>
      </c>
      <c r="AO501" s="77" t="inlineStr">
        <is>
          <t>Relevance to GH-ICGA framework varies by layer — see GH-ICGA Layer Mapping column. All KSA mandatory frameworks are compliance inputs to GH-ICGA Layer 4. Frameworks with IoMT-specific provisions directly inform Layers 2 and 3.</t>
        </is>
      </c>
      <c r="AP501" s="53" t="inlineStr">
        <is>
          <t>R + C (Risk and Compliance — technically oriented; governance implied)</t>
        </is>
      </c>
      <c r="AQ501" s="78" t="inlineStr">
        <is>
          <t>CISO/OT Security Manager: own OTCC compliance. Clinical Engineering/Biomedical Engineering: co-responsible for medical device OT compliance. CTO: responsible for OT architecture. Board: informed of OT risk posture annually. OT security roles: Saudi nationals required per ECC-2 Saudisation mandate</t>
        </is>
      </c>
      <c r="AR501" s="74" t="inlineStr">
        <is>
          <t>Cyber Risk (OT/ICS); Operational Risk (process disruption); Physical Safety Risk (clinical impact of OT compromise); Supply Chain Risk (OT vendor remote access); Availability Risk (OT always-on requirement)</t>
        </is>
      </c>
      <c r="AS501" s="22" t="inlineStr">
        <is>
          <t>LEGAL — Mandatory for CNI OT operators under NCA-REG-2024. Hospitals as CNI: healthcare OT networks are in scope. Penalties: NCA-REG-2024 (SAR 25M max) + potential operational shutdown of non-compliant OT systems</t>
        </is>
      </c>
      <c r="AT501" s="75" t="inlineStr">
        <is>
          <t>Technical (T): 40 controls — OT network segmentation; secure remote access; OT monitoring; patch management for ICS. Administrative (A): 8 controls — OT governance; vendor management; OT incident response. Operational (O): 5 controls — OT change management; OT BCP</t>
        </is>
      </c>
      <c r="AU501" s="79" t="inlineStr">
        <is>
          <t>1. % OT assets inventoried (target 100%). 2. % OT systems with current patches within defined window. 3. # OT network zone violations detected. 4. % third-party OT vendor accesses logged. 5. OT system availability rate (target &gt;99.9% for life-critical). 6. Time-to-detect OT anomaly (target &lt;15 min for CNI)</t>
        </is>
      </c>
      <c r="AV501" s="80" t="inlineStr">
        <is>
          <t>OT vulnerability scan (passive — non-disruptive tools: Claroty, Nozomi, Dragos); OT network traffic analysis; OT penetration test (annual — must not disrupt clinical operations); vendor remote access audit; zone/conduit diagram validation</t>
        </is>
      </c>
      <c r="AW501" s="81" t="inlineStr">
        <is>
          <t>Claroty (medical IoT OT visibility); Nozomi Networks; Dragos; Tenable.ot; Fortinet OT; Medigate (healthcare-specific OT). For GRC integration: ServiceNow OT module; IBM QRadar SIEM with OT signatures</t>
        </is>
      </c>
      <c r="AX501" s="82" t="inlineStr">
        <is>
          <t>All OT vendors with remote access: mandatory access logging; time-limited access; multi-factor authentication; vendor security assessment before engagement; NDA for OT architecture access; OT vendor incident notification within 4 hours</t>
        </is>
      </c>
      <c r="AY501" s="83" t="inlineStr">
        <is>
          <t>OT breach in hospital: potential life-critical impact (ventilator, infusion pump disruption); NCA shutdown order; SAR 25M fine; criminal referral; SFDA recall if device compromise detected; massive reputational and legal exposure</t>
        </is>
      </c>
      <c r="AZ501" s="80" t="inlineStr">
        <is>
          <t>Sector-specific — consult official source</t>
        </is>
      </c>
      <c r="BA501" s="41" t="inlineStr">
        <is>
          <t>Sector-Specific</t>
        </is>
      </c>
    </row>
  </sheetData>
  <conditionalFormatting sqref="N4:N500">
    <cfRule type="containsText" priority="1" operator="containsText" dxfId="4" text="HIGHEST">
      <formula>NOT(ISERROR(SEARCH("HIGHEST",N4)))</formula>
    </cfRule>
    <cfRule type="containsText" priority="2" operator="containsText" dxfId="3" text="HIGH">
      <formula>NOT(ISERROR(SEARCH("HIGH",N4)))</formula>
    </cfRule>
    <cfRule type="containsText" priority="3" operator="containsText" dxfId="12" text="MODERATE">
      <formula>NOT(ISERROR(SEARCH("MODERATE",N4)))</formula>
    </cfRule>
    <cfRule type="containsText" priority="4" operator="containsText" dxfId="7" text="LOW">
      <formula>NOT(ISERROR(SEARCH("LOW",N4)))</formula>
    </cfRule>
    <cfRule type="containsText" priority="5" operator="containsText" dxfId="4" text="HIGHEST">
      <formula>NOT(ISERROR(SEARCH("HIGHEST",N4)))</formula>
    </cfRule>
    <cfRule type="containsText" priority="6" operator="containsText" dxfId="3" text="HIGH">
      <formula>NOT(ISERROR(SEARCH("HIGH",N4)))</formula>
    </cfRule>
    <cfRule type="containsText" priority="7" operator="containsText" dxfId="8" text="MODERATE">
      <formula>NOT(ISERROR(SEARCH("MODERATE",N4)))</formula>
    </cfRule>
    <cfRule type="containsText" priority="8" operator="containsText" dxfId="7" text="LOW">
      <formula>NOT(ISERROR(SEARCH("LOW",N4)))</formula>
    </cfRule>
  </conditionalFormatting>
  <conditionalFormatting sqref="N4:N100">
    <cfRule type="containsText" priority="9" operator="containsText" dxfId="4" text="HIGHEST">
      <formula>NOT(ISERROR(SEARCH("HIGHEST",N4)))</formula>
    </cfRule>
    <cfRule type="containsText" priority="10" operator="containsText" dxfId="5" text="LOW">
      <formula>NOT(ISERROR(SEARCH("LOW",N4)))</formula>
    </cfRule>
  </conditionalFormatting>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P108"/>
  <sheetViews>
    <sheetView zoomScaleNormal="100" workbookViewId="0">
      <pane ySplit="1" topLeftCell="A111" activePane="bottomLeft" state="frozen"/>
      <selection pane="bottomLeft" activeCell="A1" sqref="A1:XFD1048576"/>
    </sheetView>
  </sheetViews>
  <sheetFormatPr baseColWidth="8" defaultColWidth="8.6640625" defaultRowHeight="14.25"/>
  <cols>
    <col width="12" customWidth="1" min="1" max="1"/>
    <col width="34" customWidth="1" min="2" max="2"/>
    <col width="26" customWidth="1" min="3" max="3"/>
    <col width="10" customWidth="1" min="4" max="5"/>
    <col width="8" customWidth="1" min="6" max="6"/>
    <col width="9" customWidth="1" min="7" max="7"/>
    <col width="72" customWidth="1" min="8" max="8"/>
    <col width="34" customWidth="1" min="9" max="9"/>
  </cols>
  <sheetData>
    <row r="1" ht="32.25" customHeight="1">
      <c r="A1" s="5" t="inlineStr">
        <is>
          <t>Code</t>
        </is>
      </c>
      <c r="B1" s="5" t="inlineStr">
        <is>
          <t>Regulator Name</t>
        </is>
      </c>
      <c r="C1" s="5" t="inlineStr">
        <is>
          <t>Group</t>
        </is>
      </c>
      <c r="D1" s="5" t="inlineStr">
        <is>
          <t>Own Frameworks Issued</t>
        </is>
      </c>
      <c r="E1" s="5" t="inlineStr">
        <is>
          <t>Must Comply With</t>
        </is>
      </c>
      <c r="F1" s="5" t="inlineStr">
        <is>
          <t>Total Entries</t>
        </is>
      </c>
      <c r="G1" s="5" t="inlineStr">
        <is>
          <t>HC HIGHEST</t>
        </is>
      </c>
      <c r="H1" s="5" t="inlineStr">
        <is>
          <t>All Framework Codes</t>
        </is>
      </c>
      <c r="I1" s="5" t="inlineStr">
        <is>
          <t>Primary Source URL</t>
        </is>
      </c>
      <c r="J1" s="674" t="inlineStr">
        <is>
          <t>Power Index</t>
        </is>
      </c>
      <c r="K1" s="674" t="inlineStr">
        <is>
          <t>Tier</t>
        </is>
      </c>
      <c r="L1" s="674" t="inlineStr">
        <is>
          <t>DEEP Rows</t>
        </is>
      </c>
      <c r="M1" s="674" t="inlineStr">
        <is>
          <t>TEMPLATE Rows</t>
        </is>
      </c>
      <c r="N1" s="674" t="inlineStr">
        <is>
          <t>Content Depth %</t>
        </is>
      </c>
      <c r="O1" s="674" t="inlineStr">
        <is>
          <t>HC IoT Intensity</t>
        </is>
      </c>
      <c r="P1" s="674" t="inlineStr">
        <is>
          <t>Avg Shahin Score</t>
        </is>
      </c>
    </row>
    <row r="2" ht="36" customHeight="1">
      <c r="A2" s="18" t="inlineStr">
        <is>
          <t>NCA</t>
        </is>
      </c>
      <c r="B2" s="20" t="inlineStr">
        <is>
          <t>National Cybersecurity Authority</t>
        </is>
      </c>
      <c r="C2" s="19" t="inlineStr">
        <is>
          <t>3. Cybersecurity &amp; Data</t>
        </is>
      </c>
      <c r="D2" s="19" t="n">
        <v>13</v>
      </c>
      <c r="E2" s="19" t="n">
        <v>0</v>
      </c>
      <c r="F2" s="19" t="n">
        <v>13</v>
      </c>
      <c r="G2" s="19" t="n">
        <v>3</v>
      </c>
      <c r="H2" s="19" t="inlineStr">
        <is>
          <t>ECC-2:2024; OTCC-1:2022; CCC-1:2020; DCC-1:2022; CSCC-1:2019; TCC-1:2021; OSMACC-1:2021; NCS-1:2020; SCyWF; SCyber-Edu; NCA-REG-2024; NCA-MCSOC; NCA-CGEC</t>
        </is>
      </c>
      <c r="I2" s="19" t="inlineStr">
        <is>
          <t>https://nca.gov.sa/en/regulatory-documents/controls-list/ecc/</t>
        </is>
      </c>
      <c r="J2" s="594">
        <f>(D2*3)+(G2*5)+(F2*1)</f>
        <v/>
      </c>
      <c r="K2" s="591">
        <f>IF(J2&gt;=50,"🔴 TIER 1",IF(J2&gt;=25,"🟠 TIER 2",IF(J2&gt;=10,"🟡 TIER 3","🟢 TIER 4")))</f>
        <v/>
      </c>
      <c r="L2" s="591">
        <f>COUNTIFS('All 108 Regulators - Frameworks'!B$4:B$500,A2,'All 108 Regulators - Frameworks'!BB$4:BB$500,"DEEP")</f>
        <v/>
      </c>
      <c r="M2" s="591">
        <f>COUNTIFS('All 108 Regulators - Frameworks'!B$4:B$500,A2,'All 108 Regulators - Frameworks'!BB$4:BB$500,"TEMPLATE")</f>
        <v/>
      </c>
      <c r="N2" s="675">
        <f>IFERROR(L2/(L2+M2),0)</f>
        <v/>
      </c>
      <c r="O2" s="675">
        <f>IFERROR(G2/F2,0)</f>
        <v/>
      </c>
      <c r="P2" s="608">
        <f>IFERROR(AVERAGEIFS('All 108 Regulators - Frameworks'!BF$4:BF$500,'All 108 Regulators - Frameworks'!B$4:B$500,A2),0)</f>
        <v/>
      </c>
    </row>
    <row r="3" ht="36" customHeight="1">
      <c r="A3" s="18" t="inlineStr">
        <is>
          <t>SDAIA</t>
        </is>
      </c>
      <c r="B3" s="20" t="inlineStr">
        <is>
          <t>Saudi Data &amp; AI Authority + NDMO</t>
        </is>
      </c>
      <c r="C3" s="19" t="inlineStr">
        <is>
          <t>3. Cybersecurity &amp; Data</t>
        </is>
      </c>
      <c r="D3" s="19" t="n">
        <v>11</v>
      </c>
      <c r="E3" s="19" t="n">
        <v>1</v>
      </c>
      <c r="F3" s="19" t="n">
        <v>12</v>
      </c>
      <c r="G3" s="19" t="n">
        <v>5</v>
      </c>
      <c r="H3" s="19" t="inlineStr">
        <is>
          <t>PDPL-2021; PDPL-IR-2023; PDPL-DTR-2024; NDMO-DGF; NDMO-DCP; NDMO-NDGIR; SDAIA-AI-ETH; SDAIA-AI-ADO; SDAIA-GENAI; SDAIA-NSDAI; NDMO-RULEBOOK; NCA-ECC-2:2024</t>
        </is>
      </c>
      <c r="I3" s="19" t="inlineStr">
        <is>
          <t>https://sdaia.gov.sa/en/SDAIA/about/Pages/RegulationsAndPolicies.aspx</t>
        </is>
      </c>
      <c r="J3" s="594">
        <f>(D3*3)+(G3*5)+(F3*1)</f>
        <v/>
      </c>
      <c r="K3" s="591">
        <f>IF(J3&gt;=50,"🔴 TIER 1",IF(J3&gt;=25,"🟠 TIER 2",IF(J3&gt;=10,"🟡 TIER 3","🟢 TIER 4")))</f>
        <v/>
      </c>
      <c r="L3" s="591">
        <f>COUNTIFS('All 108 Regulators - Frameworks'!B$4:B$500,A3,'All 108 Regulators - Frameworks'!BB$4:BB$500,"DEEP")</f>
        <v/>
      </c>
      <c r="M3" s="591">
        <f>COUNTIFS('All 108 Regulators - Frameworks'!B$4:B$500,A3,'All 108 Regulators - Frameworks'!BB$4:BB$500,"TEMPLATE")</f>
        <v/>
      </c>
      <c r="N3" s="675">
        <f>IFERROR(L3/(L3+M3),0)</f>
        <v/>
      </c>
      <c r="O3" s="675">
        <f>IFERROR(G3/F3,0)</f>
        <v/>
      </c>
      <c r="P3" s="608">
        <f>IFERROR(AVERAGEIFS('All 108 Regulators - Frameworks'!BF$4:BF$500,'All 108 Regulators - Frameworks'!B$4:B$500,A3),0)</f>
        <v/>
      </c>
    </row>
    <row r="4" ht="36" customHeight="1">
      <c r="A4" s="85" t="inlineStr">
        <is>
          <t>MOH</t>
        </is>
      </c>
      <c r="B4" s="72" t="inlineStr">
        <is>
          <t>Ministry of Health</t>
        </is>
      </c>
      <c r="C4" s="70" t="inlineStr">
        <is>
          <t>2. Healthcare &amp; Life Sciences</t>
        </is>
      </c>
      <c r="D4" s="70" t="n">
        <v>9</v>
      </c>
      <c r="E4" s="70" t="n">
        <v>4</v>
      </c>
      <c r="F4" s="70" t="n">
        <v>13</v>
      </c>
      <c r="G4" s="70" t="n">
        <v>8</v>
      </c>
      <c r="H4" s="70" t="inlineStr">
        <is>
          <t>MOH-HL; MOH-HIS; MOH-EMR-NABIDH; MOH-PS; MOH-PR; MOH-TELE; MOH-PHILAW; MOH-NHIS; MOH-HAJHLT; NCA-ECC-2:2024; PDPL-2021; NCA-DCC; NCA-OTCC</t>
        </is>
      </c>
      <c r="I4" s="70" t="inlineStr">
        <is>
          <t>https://www.moh.gov.sa/en/Ministry/Rules/Pages/default.aspx</t>
        </is>
      </c>
      <c r="J4" s="594">
        <f>(D4*3)+(G4*5)+(F4*1)</f>
        <v/>
      </c>
      <c r="K4" s="591">
        <f>IF(J4&gt;=50,"🔴 TIER 1",IF(J4&gt;=25,"🟠 TIER 2",IF(J4&gt;=10,"🟡 TIER 3","🟢 TIER 4")))</f>
        <v/>
      </c>
      <c r="L4" s="591">
        <f>COUNTIFS('All 108 Regulators - Frameworks'!B$4:B$500,A4,'All 108 Regulators - Frameworks'!BB$4:BB$500,"DEEP")</f>
        <v/>
      </c>
      <c r="M4" s="591">
        <f>COUNTIFS('All 108 Regulators - Frameworks'!B$4:B$500,A4,'All 108 Regulators - Frameworks'!BB$4:BB$500,"TEMPLATE")</f>
        <v/>
      </c>
      <c r="N4" s="675">
        <f>IFERROR(L4/(L4+M4),0)</f>
        <v/>
      </c>
      <c r="O4" s="675">
        <f>IFERROR(G4/F4,0)</f>
        <v/>
      </c>
      <c r="P4" s="608">
        <f>IFERROR(AVERAGEIFS('All 108 Regulators - Frameworks'!BF$4:BF$500,'All 108 Regulators - Frameworks'!B$4:B$500,A4),0)</f>
        <v/>
      </c>
    </row>
    <row r="5" ht="36" customHeight="1">
      <c r="A5" s="85" t="inlineStr">
        <is>
          <t>SFDA</t>
        </is>
      </c>
      <c r="B5" s="72" t="inlineStr">
        <is>
          <t>Saudi Food &amp; Drug Authority</t>
        </is>
      </c>
      <c r="C5" s="70" t="inlineStr">
        <is>
          <t>2. Healthcare &amp; Life Sciences</t>
        </is>
      </c>
      <c r="D5" s="70" t="n">
        <v>9</v>
      </c>
      <c r="E5" s="70" t="n">
        <v>2</v>
      </c>
      <c r="F5" s="70" t="n">
        <v>11</v>
      </c>
      <c r="G5" s="70" t="n">
        <v>5</v>
      </c>
      <c r="H5" s="70" t="inlineStr">
        <is>
          <t>SFDA-MDR; SFDA-PHARMA; SFDA-AI-MDS-G010; SFDA-GMP; SFDA-PMS; SFDA-COSM; SFDA-FOOD; SFDA-CT; SFDA-PEST; NCA-ECC-2:2024; PDPL-2021</t>
        </is>
      </c>
      <c r="I5" s="70" t="inlineStr">
        <is>
          <t>https://www.sfda.gov.sa/en</t>
        </is>
      </c>
      <c r="J5" s="594">
        <f>(D5*3)+(G5*5)+(F5*1)</f>
        <v/>
      </c>
      <c r="K5" s="591">
        <f>IF(J5&gt;=50,"🔴 TIER 1",IF(J5&gt;=25,"🟠 TIER 2",IF(J5&gt;=10,"🟡 TIER 3","🟢 TIER 4")))</f>
        <v/>
      </c>
      <c r="L5" s="591">
        <f>COUNTIFS('All 108 Regulators - Frameworks'!B$4:B$500,A5,'All 108 Regulators - Frameworks'!BB$4:BB$500,"DEEP")</f>
        <v/>
      </c>
      <c r="M5" s="591">
        <f>COUNTIFS('All 108 Regulators - Frameworks'!B$4:B$500,A5,'All 108 Regulators - Frameworks'!BB$4:BB$500,"TEMPLATE")</f>
        <v/>
      </c>
      <c r="N5" s="675">
        <f>IFERROR(L5/(L5+M5),0)</f>
        <v/>
      </c>
      <c r="O5" s="675">
        <f>IFERROR(G5/F5,0)</f>
        <v/>
      </c>
      <c r="P5" s="608">
        <f>IFERROR(AVERAGEIFS('All 108 Regulators - Frameworks'!BF$4:BF$500,'All 108 Regulators - Frameworks'!B$4:B$500,A5),0)</f>
        <v/>
      </c>
    </row>
    <row r="6" ht="36" customHeight="1">
      <c r="A6" s="85" t="inlineStr">
        <is>
          <t>CBAHI</t>
        </is>
      </c>
      <c r="B6" s="72" t="inlineStr">
        <is>
          <t>Central Board for Accreditation of HCI</t>
        </is>
      </c>
      <c r="C6" s="70" t="inlineStr">
        <is>
          <t>2. Healthcare &amp; Life Sciences</t>
        </is>
      </c>
      <c r="D6" s="70" t="n">
        <v>5</v>
      </c>
      <c r="E6" s="70" t="n">
        <v>2</v>
      </c>
      <c r="F6" s="70" t="n">
        <v>7</v>
      </c>
      <c r="G6" s="70" t="n">
        <v>1</v>
      </c>
      <c r="H6" s="70" t="inlineStr">
        <is>
          <t>CBAHI-HAS-H; CBAHI-HAS-PHC; CBAHI-HAS-LAB; CBAHI-HAS-LTC; CBAHI-HAS-AMB; NCA-ECC-2:2024; MOH-HIS</t>
        </is>
      </c>
      <c r="I6" s="70" t="inlineStr">
        <is>
          <t>https://www.cbahi.gov.sa/</t>
        </is>
      </c>
      <c r="J6" s="594">
        <f>(D6*3)+(G6*5)+(F6*1)</f>
        <v/>
      </c>
      <c r="K6" s="591">
        <f>IF(J6&gt;=50,"🔴 TIER 1",IF(J6&gt;=25,"🟠 TIER 2",IF(J6&gt;=10,"🟡 TIER 3","🟢 TIER 4")))</f>
        <v/>
      </c>
      <c r="L6" s="591">
        <f>COUNTIFS('All 108 Regulators - Frameworks'!B$4:B$500,A6,'All 108 Regulators - Frameworks'!BB$4:BB$500,"DEEP")</f>
        <v/>
      </c>
      <c r="M6" s="591">
        <f>COUNTIFS('All 108 Regulators - Frameworks'!B$4:B$500,A6,'All 108 Regulators - Frameworks'!BB$4:BB$500,"TEMPLATE")</f>
        <v/>
      </c>
      <c r="N6" s="675">
        <f>IFERROR(L6/(L6+M6),0)</f>
        <v/>
      </c>
      <c r="O6" s="675">
        <f>IFERROR(G6/F6,0)</f>
        <v/>
      </c>
      <c r="P6" s="608">
        <f>IFERROR(AVERAGEIFS('All 108 Regulators - Frameworks'!BF$4:BF$500,'All 108 Regulators - Frameworks'!B$4:B$500,A6),0)</f>
        <v/>
      </c>
    </row>
    <row r="7" ht="36" customHeight="1">
      <c r="A7" s="85" t="inlineStr">
        <is>
          <t>SCFHS</t>
        </is>
      </c>
      <c r="B7" s="72" t="inlineStr">
        <is>
          <t>Saudi Commission for Health Specialties</t>
        </is>
      </c>
      <c r="C7" s="70" t="inlineStr">
        <is>
          <t>2. Healthcare &amp; Life Sciences</t>
        </is>
      </c>
      <c r="D7" s="70" t="n">
        <v>5</v>
      </c>
      <c r="E7" s="70" t="n">
        <v>2</v>
      </c>
      <c r="F7" s="70" t="n">
        <v>7</v>
      </c>
      <c r="G7" s="70" t="n">
        <v>0</v>
      </c>
      <c r="H7" s="70" t="inlineStr">
        <is>
          <t>SCFHS-PLF; SCFHS-CPD; SCFHS-SBOARD; SCFHS-SCRUT; SCFHS-INTL; NCA-ECC-2:2024; PDPL-2021</t>
        </is>
      </c>
      <c r="I7" s="70" t="inlineStr">
        <is>
          <t>https://scfhs.org.sa/en</t>
        </is>
      </c>
      <c r="J7" s="594">
        <f>(D7*3)+(G7*5)+(F7*1)</f>
        <v/>
      </c>
      <c r="K7" s="591">
        <f>IF(J7&gt;=50,"🔴 TIER 1",IF(J7&gt;=25,"🟠 TIER 2",IF(J7&gt;=10,"🟡 TIER 3","🟢 TIER 4")))</f>
        <v/>
      </c>
      <c r="L7" s="591">
        <f>COUNTIFS('All 108 Regulators - Frameworks'!B$4:B$500,A7,'All 108 Regulators - Frameworks'!BB$4:BB$500,"DEEP")</f>
        <v/>
      </c>
      <c r="M7" s="591">
        <f>COUNTIFS('All 108 Regulators - Frameworks'!B$4:B$500,A7,'All 108 Regulators - Frameworks'!BB$4:BB$500,"TEMPLATE")</f>
        <v/>
      </c>
      <c r="N7" s="675">
        <f>IFERROR(L7/(L7+M7),0)</f>
        <v/>
      </c>
      <c r="O7" s="675">
        <f>IFERROR(G7/F7,0)</f>
        <v/>
      </c>
      <c r="P7" s="608">
        <f>IFERROR(AVERAGEIFS('All 108 Regulators - Frameworks'!BF$4:BF$500,'All 108 Regulators - Frameworks'!B$4:B$500,A7),0)</f>
        <v/>
      </c>
    </row>
    <row r="8" ht="36" customHeight="1">
      <c r="A8" s="85" t="inlineStr">
        <is>
          <t>CCHI</t>
        </is>
      </c>
      <c r="B8" s="72" t="inlineStr">
        <is>
          <t>Council of Cooperative Health Insurance</t>
        </is>
      </c>
      <c r="C8" s="70" t="inlineStr">
        <is>
          <t>2. Healthcare &amp; Life Sciences</t>
        </is>
      </c>
      <c r="D8" s="70" t="n">
        <v>5</v>
      </c>
      <c r="E8" s="70" t="n">
        <v>3</v>
      </c>
      <c r="F8" s="70" t="n">
        <v>8</v>
      </c>
      <c r="G8" s="70" t="n">
        <v>0</v>
      </c>
      <c r="H8" s="70" t="inlineStr">
        <is>
          <t>CCHI-HIR; CCHI-UBP; CCHI-DCS; CCHI-INSLIC; CCHI-PROVNET; NCA-ECC-2:2024; PDPL-2021; SAMA-CSF</t>
        </is>
      </c>
      <c r="I8" s="70" t="inlineStr">
        <is>
          <t>https://cchi.gov.sa/</t>
        </is>
      </c>
      <c r="J8" s="594">
        <f>(D8*3)+(G8*5)+(F8*1)</f>
        <v/>
      </c>
      <c r="K8" s="591">
        <f>IF(J8&gt;=50,"🔴 TIER 1",IF(J8&gt;=25,"🟠 TIER 2",IF(J8&gt;=10,"🟡 TIER 3","🟢 TIER 4")))</f>
        <v/>
      </c>
      <c r="L8" s="591">
        <f>COUNTIFS('All 108 Regulators - Frameworks'!B$4:B$500,A8,'All 108 Regulators - Frameworks'!BB$4:BB$500,"DEEP")</f>
        <v/>
      </c>
      <c r="M8" s="591">
        <f>COUNTIFS('All 108 Regulators - Frameworks'!B$4:B$500,A8,'All 108 Regulators - Frameworks'!BB$4:BB$500,"TEMPLATE")</f>
        <v/>
      </c>
      <c r="N8" s="675">
        <f>IFERROR(L8/(L8+M8),0)</f>
        <v/>
      </c>
      <c r="O8" s="675">
        <f>IFERROR(G8/F8,0)</f>
        <v/>
      </c>
      <c r="P8" s="608">
        <f>IFERROR(AVERAGEIFS('All 108 Regulators - Frameworks'!BF$4:BF$500,'All 108 Regulators - Frameworks'!B$4:B$500,A8),0)</f>
        <v/>
      </c>
    </row>
    <row r="9" ht="36" customHeight="1">
      <c r="A9" s="85" t="inlineStr">
        <is>
          <t>SHC</t>
        </is>
      </c>
      <c r="B9" s="72" t="inlineStr">
        <is>
          <t>Saudi Health Council</t>
        </is>
      </c>
      <c r="C9" s="70" t="inlineStr">
        <is>
          <t>2. Healthcare &amp; Life Sciences</t>
        </is>
      </c>
      <c r="D9" s="70" t="n">
        <v>4</v>
      </c>
      <c r="E9" s="70" t="n">
        <v>1</v>
      </c>
      <c r="F9" s="70" t="n">
        <v>5</v>
      </c>
      <c r="G9" s="70" t="n">
        <v>1</v>
      </c>
      <c r="H9" s="70" t="inlineStr">
        <is>
          <t>SHC-HSTP; SHC-NHAP; SHC-QF; SHC-PRIV; NCA-ECC-2:2024</t>
        </is>
      </c>
      <c r="I9" s="70" t="inlineStr">
        <is>
          <t>https://shc.org.sa/</t>
        </is>
      </c>
      <c r="J9" s="594">
        <f>(D9*3)+(G9*5)+(F9*1)</f>
        <v/>
      </c>
      <c r="K9" s="591">
        <f>IF(J9&gt;=50,"🔴 TIER 1",IF(J9&gt;=25,"🟠 TIER 2",IF(J9&gt;=10,"🟡 TIER 3","🟢 TIER 4")))</f>
        <v/>
      </c>
      <c r="L9" s="591">
        <f>COUNTIFS('All 108 Regulators - Frameworks'!B$4:B$500,A9,'All 108 Regulators - Frameworks'!BB$4:BB$500,"DEEP")</f>
        <v/>
      </c>
      <c r="M9" s="591">
        <f>COUNTIFS('All 108 Regulators - Frameworks'!B$4:B$500,A9,'All 108 Regulators - Frameworks'!BB$4:BB$500,"TEMPLATE")</f>
        <v/>
      </c>
      <c r="N9" s="675">
        <f>IFERROR(L9/(L9+M9),0)</f>
        <v/>
      </c>
      <c r="O9" s="675">
        <f>IFERROR(G9/F9,0)</f>
        <v/>
      </c>
      <c r="P9" s="608">
        <f>IFERROR(AVERAGEIFS('All 108 Regulators - Frameworks'!BF$4:BF$500,'All 108 Regulators - Frameworks'!B$4:B$500,A9),0)</f>
        <v/>
      </c>
    </row>
    <row r="10" ht="36" customHeight="1">
      <c r="A10" s="85" t="inlineStr">
        <is>
          <t>NHIC</t>
        </is>
      </c>
      <c r="B10" s="72" t="inlineStr">
        <is>
          <t>National Health Information Centre</t>
        </is>
      </c>
      <c r="C10" s="70" t="inlineStr">
        <is>
          <t>2. Healthcare &amp; Life Sciences</t>
        </is>
      </c>
      <c r="D10" s="70" t="n">
        <v>4</v>
      </c>
      <c r="E10" s="70" t="n">
        <v>2</v>
      </c>
      <c r="F10" s="70" t="n">
        <v>6</v>
      </c>
      <c r="G10" s="70" t="n">
        <v>4</v>
      </c>
      <c r="H10" s="70" t="inlineStr">
        <is>
          <t>NHIC-NABIDH; NHIC-HDS; NHIC-INTEROP; NHIC-CODES; NCA-ECC-2:2024; PDPL-2021</t>
        </is>
      </c>
      <c r="I10" s="70" t="inlineStr">
        <is>
          <t>https://nhic.gov.sa/</t>
        </is>
      </c>
      <c r="J10" s="594">
        <f>(D10*3)+(G10*5)+(F10*1)</f>
        <v/>
      </c>
      <c r="K10" s="591">
        <f>IF(J10&gt;=50,"🔴 TIER 1",IF(J10&gt;=25,"🟠 TIER 2",IF(J10&gt;=10,"🟡 TIER 3","🟢 TIER 4")))</f>
        <v/>
      </c>
      <c r="L10" s="591">
        <f>COUNTIFS('All 108 Regulators - Frameworks'!B$4:B$500,A10,'All 108 Regulators - Frameworks'!BB$4:BB$500,"DEEP")</f>
        <v/>
      </c>
      <c r="M10" s="591">
        <f>COUNTIFS('All 108 Regulators - Frameworks'!B$4:B$500,A10,'All 108 Regulators - Frameworks'!BB$4:BB$500,"TEMPLATE")</f>
        <v/>
      </c>
      <c r="N10" s="675">
        <f>IFERROR(L10/(L10+M10),0)</f>
        <v/>
      </c>
      <c r="O10" s="675">
        <f>IFERROR(G10/F10,0)</f>
        <v/>
      </c>
      <c r="P10" s="608">
        <f>IFERROR(AVERAGEIFS('All 108 Regulators - Frameworks'!BF$4:BF$500,'All 108 Regulators - Frameworks'!B$4:B$500,A10),0)</f>
        <v/>
      </c>
    </row>
    <row r="11" ht="36" customHeight="1">
      <c r="A11" s="97" t="inlineStr">
        <is>
          <t>SAMA</t>
        </is>
      </c>
      <c r="B11" s="99" t="inlineStr">
        <is>
          <t>Saudi Central Bank</t>
        </is>
      </c>
      <c r="C11" s="98" t="inlineStr">
        <is>
          <t>5. Financial Regulators</t>
        </is>
      </c>
      <c r="D11" s="98" t="n">
        <v>8</v>
      </c>
      <c r="E11" s="98" t="n">
        <v>2</v>
      </c>
      <c r="F11" s="98" t="n">
        <v>10</v>
      </c>
      <c r="G11" s="98" t="n">
        <v>0</v>
      </c>
      <c r="H11" s="98" t="inlineStr">
        <is>
          <t>SAMA-CSF; SAMA-AML; SAMA-OBF; SAMA-PSR; SAMA-ITGF; SAMA-BCM; SAMA-CCP; SAMA-CLOUD; NCA-ECC-2:2024; PDPL-2021</t>
        </is>
      </c>
      <c r="I11" s="98" t="inlineStr">
        <is>
          <t>https://www.sama.gov.sa/en-US/RulesInstructions/CyberSecurity/</t>
        </is>
      </c>
      <c r="J11" s="594">
        <f>(D11*3)+(G11*5)+(F11*1)</f>
        <v/>
      </c>
      <c r="K11" s="591">
        <f>IF(J11&gt;=50,"🔴 TIER 1",IF(J11&gt;=25,"🟠 TIER 2",IF(J11&gt;=10,"🟡 TIER 3","🟢 TIER 4")))</f>
        <v/>
      </c>
      <c r="L11" s="591">
        <f>COUNTIFS('All 108 Regulators - Frameworks'!B$4:B$500,A11,'All 108 Regulators - Frameworks'!BB$4:BB$500,"DEEP")</f>
        <v/>
      </c>
      <c r="M11" s="591">
        <f>COUNTIFS('All 108 Regulators - Frameworks'!B$4:B$500,A11,'All 108 Regulators - Frameworks'!BB$4:BB$500,"TEMPLATE")</f>
        <v/>
      </c>
      <c r="N11" s="675">
        <f>IFERROR(L11/(L11+M11),0)</f>
        <v/>
      </c>
      <c r="O11" s="675">
        <f>IFERROR(G11/F11,0)</f>
        <v/>
      </c>
      <c r="P11" s="608">
        <f>IFERROR(AVERAGEIFS('All 108 Regulators - Frameworks'!BF$4:BF$500,'All 108 Regulators - Frameworks'!B$4:B$500,A11),0)</f>
        <v/>
      </c>
    </row>
    <row r="12" ht="36" customHeight="1">
      <c r="A12" s="120" t="inlineStr">
        <is>
          <t>CST</t>
        </is>
      </c>
      <c r="B12" s="122" t="inlineStr">
        <is>
          <t>Communications Space &amp; Technology Commission</t>
        </is>
      </c>
      <c r="C12" s="121" t="inlineStr">
        <is>
          <t>4. ICT / Digital / Telecom</t>
        </is>
      </c>
      <c r="D12" s="121" t="n">
        <v>9</v>
      </c>
      <c r="E12" s="121" t="n">
        <v>1</v>
      </c>
      <c r="F12" s="121" t="n">
        <v>10</v>
      </c>
      <c r="G12" s="121" t="n">
        <v>1</v>
      </c>
      <c r="H12" s="121" t="inlineStr">
        <is>
          <t>CST-TITA; CST-CSRF; CST-CYBER-OPS; CST-CCR; CST-DPS; CST-DCS; CST-IOT; CST-SPACE; CST-USERIGHTS; NCA-ECC-2:2024</t>
        </is>
      </c>
      <c r="I12" s="121" t="inlineStr">
        <is>
          <t>https://www.cst.gov.sa/en</t>
        </is>
      </c>
      <c r="J12" s="594">
        <f>(D12*3)+(G12*5)+(F12*1)</f>
        <v/>
      </c>
      <c r="K12" s="591">
        <f>IF(J12&gt;=50,"🔴 TIER 1",IF(J12&gt;=25,"🟠 TIER 2",IF(J12&gt;=10,"🟡 TIER 3","🟢 TIER 4")))</f>
        <v/>
      </c>
      <c r="L12" s="591">
        <f>COUNTIFS('All 108 Regulators - Frameworks'!B$4:B$500,A12,'All 108 Regulators - Frameworks'!BB$4:BB$500,"DEEP")</f>
        <v/>
      </c>
      <c r="M12" s="591">
        <f>COUNTIFS('All 108 Regulators - Frameworks'!B$4:B$500,A12,'All 108 Regulators - Frameworks'!BB$4:BB$500,"TEMPLATE")</f>
        <v/>
      </c>
      <c r="N12" s="675">
        <f>IFERROR(L12/(L12+M12),0)</f>
        <v/>
      </c>
      <c r="O12" s="675">
        <f>IFERROR(G12/F12,0)</f>
        <v/>
      </c>
      <c r="P12" s="608">
        <f>IFERROR(AVERAGEIFS('All 108 Regulators - Frameworks'!BF$4:BF$500,'All 108 Regulators - Frameworks'!B$4:B$500,A12),0)</f>
        <v/>
      </c>
    </row>
    <row r="13" ht="36" customHeight="1">
      <c r="A13" s="120" t="inlineStr">
        <is>
          <t>DGA</t>
        </is>
      </c>
      <c r="B13" s="122" t="inlineStr">
        <is>
          <t>Digital Government Authority</t>
        </is>
      </c>
      <c r="C13" s="121" t="inlineStr">
        <is>
          <t>4. ICT / Digital / Telecom</t>
        </is>
      </c>
      <c r="D13" s="121" t="n">
        <v>5</v>
      </c>
      <c r="E13" s="121" t="n">
        <v>1</v>
      </c>
      <c r="F13" s="121" t="n">
        <v>6</v>
      </c>
      <c r="G13" s="121" t="n">
        <v>0</v>
      </c>
      <c r="H13" s="121" t="inlineStr">
        <is>
          <t>DGA-CFP; DGA-DMI; DGA-ODP; DGA-GDS; DGA-GRFM; NCA-ECC-2:2024</t>
        </is>
      </c>
      <c r="I13" s="121" t="inlineStr">
        <is>
          <t>https://dga.gov.sa/en</t>
        </is>
      </c>
      <c r="J13" s="594">
        <f>(D13*3)+(G13*5)+(F13*1)</f>
        <v/>
      </c>
      <c r="K13" s="591">
        <f>IF(J13&gt;=50,"🔴 TIER 1",IF(J13&gt;=25,"🟠 TIER 2",IF(J13&gt;=10,"🟡 TIER 3","🟢 TIER 4")))</f>
        <v/>
      </c>
      <c r="L13" s="591">
        <f>COUNTIFS('All 108 Regulators - Frameworks'!B$4:B$500,A13,'All 108 Regulators - Frameworks'!BB$4:BB$500,"DEEP")</f>
        <v/>
      </c>
      <c r="M13" s="591">
        <f>COUNTIFS('All 108 Regulators - Frameworks'!B$4:B$500,A13,'All 108 Regulators - Frameworks'!BB$4:BB$500,"TEMPLATE")</f>
        <v/>
      </c>
      <c r="N13" s="675">
        <f>IFERROR(L13/(L13+M13),0)</f>
        <v/>
      </c>
      <c r="O13" s="675">
        <f>IFERROR(G13/F13,0)</f>
        <v/>
      </c>
      <c r="P13" s="608">
        <f>IFERROR(AVERAGEIFS('All 108 Regulators - Frameworks'!BF$4:BF$500,'All 108 Regulators - Frameworks'!B$4:B$500,A13),0)</f>
        <v/>
      </c>
    </row>
    <row r="14" ht="36" customHeight="1">
      <c r="A14" s="144" t="inlineStr">
        <is>
          <t>ZATCA</t>
        </is>
      </c>
      <c r="B14" s="146" t="inlineStr">
        <is>
          <t>Zakat Tax &amp; Customs Authority</t>
        </is>
      </c>
      <c r="C14" s="145" t="inlineStr">
        <is>
          <t>6. Tax / Customs / Trade</t>
        </is>
      </c>
      <c r="D14" s="145" t="n">
        <v>5</v>
      </c>
      <c r="E14" s="145" t="n">
        <v>1</v>
      </c>
      <c r="F14" s="145" t="n">
        <v>6</v>
      </c>
      <c r="G14" s="145" t="n">
        <v>0</v>
      </c>
      <c r="H14" s="145" t="inlineStr">
        <is>
          <t>ZATCA-EINV-P1; ZATCA-EINV-P2; ZATCA-VAT; ZATCA-ZAK; ZATCA-CUST; NCA-ECC-2:2024</t>
        </is>
      </c>
      <c r="I14" s="145" t="inlineStr">
        <is>
          <t>https://www.zatca.gov.sa/</t>
        </is>
      </c>
      <c r="J14" s="594">
        <f>(D14*3)+(G14*5)+(F14*1)</f>
        <v/>
      </c>
      <c r="K14" s="591">
        <f>IF(J14&gt;=50,"🔴 TIER 1",IF(J14&gt;=25,"🟠 TIER 2",IF(J14&gt;=10,"🟡 TIER 3","🟢 TIER 4")))</f>
        <v/>
      </c>
      <c r="L14" s="591">
        <f>COUNTIFS('All 108 Regulators - Frameworks'!B$4:B$500,A14,'All 108 Regulators - Frameworks'!BB$4:BB$500,"DEEP")</f>
        <v/>
      </c>
      <c r="M14" s="591">
        <f>COUNTIFS('All 108 Regulators - Frameworks'!B$4:B$500,A14,'All 108 Regulators - Frameworks'!BB$4:BB$500,"TEMPLATE")</f>
        <v/>
      </c>
      <c r="N14" s="675">
        <f>IFERROR(L14/(L14+M14),0)</f>
        <v/>
      </c>
      <c r="O14" s="675">
        <f>IFERROR(G14/F14,0)</f>
        <v/>
      </c>
      <c r="P14" s="608">
        <f>IFERROR(AVERAGEIFS('All 108 Regulators - Frameworks'!BF$4:BF$500,'All 108 Regulators - Frameworks'!B$4:B$500,A14),0)</f>
        <v/>
      </c>
    </row>
    <row r="15" ht="36" customHeight="1">
      <c r="A15" s="167" t="inlineStr">
        <is>
          <t>SASO</t>
        </is>
      </c>
      <c r="B15" s="169" t="inlineStr">
        <is>
          <t>Saudi Standards Metrology &amp; Quality Org.</t>
        </is>
      </c>
      <c r="C15" s="168" t="inlineStr">
        <is>
          <t>7. Standards &amp; Quality</t>
        </is>
      </c>
      <c r="D15" s="168" t="n">
        <v>4</v>
      </c>
      <c r="E15" s="168" t="n">
        <v>1</v>
      </c>
      <c r="F15" s="168" t="n">
        <v>5</v>
      </c>
      <c r="G15" s="168" t="n">
        <v>0</v>
      </c>
      <c r="H15" s="168" t="inlineStr">
        <is>
          <t>SASO-PS; SASO-SABER; SASO-METRO; SASO-HALAL; NCA-ECC-2:2024</t>
        </is>
      </c>
      <c r="I15" s="168" t="inlineStr">
        <is>
          <t>https://www.saso.gov.sa/en</t>
        </is>
      </c>
      <c r="J15" s="594">
        <f>(D15*3)+(G15*5)+(F15*1)</f>
        <v/>
      </c>
      <c r="K15" s="591">
        <f>IF(J15&gt;=50,"🔴 TIER 1",IF(J15&gt;=25,"🟠 TIER 2",IF(J15&gt;=10,"🟡 TIER 3","🟢 TIER 4")))</f>
        <v/>
      </c>
      <c r="L15" s="591">
        <f>COUNTIFS('All 108 Regulators - Frameworks'!B$4:B$500,A15,'All 108 Regulators - Frameworks'!BB$4:BB$500,"DEEP")</f>
        <v/>
      </c>
      <c r="M15" s="591">
        <f>COUNTIFS('All 108 Regulators - Frameworks'!B$4:B$500,A15,'All 108 Regulators - Frameworks'!BB$4:BB$500,"TEMPLATE")</f>
        <v/>
      </c>
      <c r="N15" s="675">
        <f>IFERROR(L15/(L15+M15),0)</f>
        <v/>
      </c>
      <c r="O15" s="675">
        <f>IFERROR(G15/F15,0)</f>
        <v/>
      </c>
      <c r="P15" s="608">
        <f>IFERROR(AVERAGEIFS('All 108 Regulators - Frameworks'!BF$4:BF$500,'All 108 Regulators - Frameworks'!B$4:B$500,A15),0)</f>
        <v/>
      </c>
    </row>
    <row r="16" ht="36" customHeight="1">
      <c r="A16" s="205" t="inlineStr">
        <is>
          <t>MHRSD</t>
        </is>
      </c>
      <c r="B16" s="192" t="inlineStr">
        <is>
          <t>Ministry Human Resources &amp; Social Dev.</t>
        </is>
      </c>
      <c r="C16" s="190" t="inlineStr">
        <is>
          <t>1. Ministries</t>
        </is>
      </c>
      <c r="D16" s="190" t="n">
        <v>4</v>
      </c>
      <c r="E16" s="190" t="n">
        <v>1</v>
      </c>
      <c r="F16" s="190" t="n">
        <v>5</v>
      </c>
      <c r="G16" s="190" t="n">
        <v>0</v>
      </c>
      <c r="H16" s="190" t="inlineStr">
        <is>
          <t>MHRSD-LL; MHRSD-NITAQAT; OSH-REGS; MHRSD-WEL; NCA-ECC-2:2024</t>
        </is>
      </c>
      <c r="I16" s="190" t="inlineStr">
        <is>
          <t>https://www.hrsd.gov.sa/en</t>
        </is>
      </c>
      <c r="J16" s="594">
        <f>(D16*3)+(G16*5)+(F16*1)</f>
        <v/>
      </c>
      <c r="K16" s="591">
        <f>IF(J16&gt;=50,"🔴 TIER 1",IF(J16&gt;=25,"🟠 TIER 2",IF(J16&gt;=10,"🟡 TIER 3","🟢 TIER 4")))</f>
        <v/>
      </c>
      <c r="L16" s="591">
        <f>COUNTIFS('All 108 Regulators - Frameworks'!B$4:B$500,A16,'All 108 Regulators - Frameworks'!BB$4:BB$500,"DEEP")</f>
        <v/>
      </c>
      <c r="M16" s="591">
        <f>COUNTIFS('All 108 Regulators - Frameworks'!B$4:B$500,A16,'All 108 Regulators - Frameworks'!BB$4:BB$500,"TEMPLATE")</f>
        <v/>
      </c>
      <c r="N16" s="675">
        <f>IFERROR(L16/(L16+M16),0)</f>
        <v/>
      </c>
      <c r="O16" s="675">
        <f>IFERROR(G16/F16,0)</f>
        <v/>
      </c>
      <c r="P16" s="608">
        <f>IFERROR(AVERAGEIFS('All 108 Regulators - Frameworks'!BF$4:BF$500,'All 108 Regulators - Frameworks'!B$4:B$500,A16),0)</f>
        <v/>
      </c>
    </row>
    <row r="17" ht="36" customHeight="1">
      <c r="A17" s="205" t="inlineStr">
        <is>
          <t>MOI</t>
        </is>
      </c>
      <c r="B17" s="192" t="inlineStr">
        <is>
          <t>Ministry of Interior</t>
        </is>
      </c>
      <c r="C17" s="190" t="inlineStr">
        <is>
          <t>1. Ministries</t>
        </is>
      </c>
      <c r="D17" s="190" t="n">
        <v>3</v>
      </c>
      <c r="E17" s="190" t="n">
        <v>1</v>
      </c>
      <c r="F17" s="190" t="n">
        <v>4</v>
      </c>
      <c r="G17" s="190" t="n">
        <v>0</v>
      </c>
      <c r="H17" s="190" t="inlineStr">
        <is>
          <t>MOI-ACTL; MOI-NID; MOI-ATL; NCA-ECC-2:2024</t>
        </is>
      </c>
      <c r="I17" s="190" t="inlineStr">
        <is>
          <t>https://www.moi.gov.sa/</t>
        </is>
      </c>
      <c r="J17" s="594">
        <f>(D17*3)+(G17*5)+(F17*1)</f>
        <v/>
      </c>
      <c r="K17" s="591">
        <f>IF(J17&gt;=50,"🔴 TIER 1",IF(J17&gt;=25,"🟠 TIER 2",IF(J17&gt;=10,"🟡 TIER 3","🟢 TIER 4")))</f>
        <v/>
      </c>
      <c r="L17" s="591">
        <f>COUNTIFS('All 108 Regulators - Frameworks'!B$4:B$500,A17,'All 108 Regulators - Frameworks'!BB$4:BB$500,"DEEP")</f>
        <v/>
      </c>
      <c r="M17" s="591">
        <f>COUNTIFS('All 108 Regulators - Frameworks'!B$4:B$500,A17,'All 108 Regulators - Frameworks'!BB$4:BB$500,"TEMPLATE")</f>
        <v/>
      </c>
      <c r="N17" s="675">
        <f>IFERROR(L17/(L17+M17),0)</f>
        <v/>
      </c>
      <c r="O17" s="675">
        <f>IFERROR(G17/F17,0)</f>
        <v/>
      </c>
      <c r="P17" s="608">
        <f>IFERROR(AVERAGEIFS('All 108 Regulators - Frameworks'!BF$4:BF$500,'All 108 Regulators - Frameworks'!B$4:B$500,A17),0)</f>
        <v/>
      </c>
    </row>
    <row r="18" ht="36" customHeight="1">
      <c r="A18" s="205" t="inlineStr">
        <is>
          <t>MCIT</t>
        </is>
      </c>
      <c r="B18" s="192" t="inlineStr">
        <is>
          <t>Ministry of Communications &amp; IT</t>
        </is>
      </c>
      <c r="C18" s="190" t="inlineStr">
        <is>
          <t>1. Ministries</t>
        </is>
      </c>
      <c r="D18" s="190" t="n">
        <v>3</v>
      </c>
      <c r="E18" s="190" t="n">
        <v>1</v>
      </c>
      <c r="F18" s="190" t="n">
        <v>4</v>
      </c>
      <c r="G18" s="190" t="n">
        <v>0</v>
      </c>
      <c r="H18" s="190" t="inlineStr">
        <is>
          <t>MCIT-DEP; MCIT-ICT23; MCIT-ETL; NCA-ECC-2:2024</t>
        </is>
      </c>
      <c r="I18" s="190" t="inlineStr">
        <is>
          <t>https://www.mcit.gov.sa/en/acts-and-regulations</t>
        </is>
      </c>
      <c r="J18" s="594">
        <f>(D18*3)+(G18*5)+(F18*1)</f>
        <v/>
      </c>
      <c r="K18" s="591">
        <f>IF(J18&gt;=50,"🔴 TIER 1",IF(J18&gt;=25,"🟠 TIER 2",IF(J18&gt;=10,"🟡 TIER 3","🟢 TIER 4")))</f>
        <v/>
      </c>
      <c r="L18" s="591">
        <f>COUNTIFS('All 108 Regulators - Frameworks'!B$4:B$500,A18,'All 108 Regulators - Frameworks'!BB$4:BB$500,"DEEP")</f>
        <v/>
      </c>
      <c r="M18" s="591">
        <f>COUNTIFS('All 108 Regulators - Frameworks'!B$4:B$500,A18,'All 108 Regulators - Frameworks'!BB$4:BB$500,"TEMPLATE")</f>
        <v/>
      </c>
      <c r="N18" s="675">
        <f>IFERROR(L18/(L18+M18),0)</f>
        <v/>
      </c>
      <c r="O18" s="675">
        <f>IFERROR(G18/F18,0)</f>
        <v/>
      </c>
      <c r="P18" s="608">
        <f>IFERROR(AVERAGEIFS('All 108 Regulators - Frameworks'!BF$4:BF$500,'All 108 Regulators - Frameworks'!B$4:B$500,A18),0)</f>
        <v/>
      </c>
    </row>
    <row r="19" ht="36" customHeight="1">
      <c r="A19" s="97" t="inlineStr">
        <is>
          <t>CMA</t>
        </is>
      </c>
      <c r="B19" s="99" t="inlineStr">
        <is>
          <t>Capital Market Authority</t>
        </is>
      </c>
      <c r="C19" s="98" t="inlineStr">
        <is>
          <t>5. Financial Regulators</t>
        </is>
      </c>
      <c r="D19" s="98" t="n">
        <v>4</v>
      </c>
      <c r="E19" s="98" t="n">
        <v>1</v>
      </c>
      <c r="F19" s="98" t="n">
        <v>5</v>
      </c>
      <c r="G19" s="98" t="n">
        <v>0</v>
      </c>
      <c r="H19" s="98" t="inlineStr">
        <is>
          <t>CMA-CML; CMA-CGR; CMA-LR; CMA-IFR; NCA-ECC-2:2024</t>
        </is>
      </c>
      <c r="I19" s="98" t="inlineStr">
        <is>
          <t>https://cma.gov.sa/en</t>
        </is>
      </c>
      <c r="J19" s="594">
        <f>(D19*3)+(G19*5)+(F19*1)</f>
        <v/>
      </c>
      <c r="K19" s="591">
        <f>IF(J19&gt;=50,"🔴 TIER 1",IF(J19&gt;=25,"🟠 TIER 2",IF(J19&gt;=10,"🟡 TIER 3","🟢 TIER 4")))</f>
        <v/>
      </c>
      <c r="L19" s="591">
        <f>COUNTIFS('All 108 Regulators - Frameworks'!B$4:B$500,A19,'All 108 Regulators - Frameworks'!BB$4:BB$500,"DEEP")</f>
        <v/>
      </c>
      <c r="M19" s="591">
        <f>COUNTIFS('All 108 Regulators - Frameworks'!B$4:B$500,A19,'All 108 Regulators - Frameworks'!BB$4:BB$500,"TEMPLATE")</f>
        <v/>
      </c>
      <c r="N19" s="675">
        <f>IFERROR(L19/(L19+M19),0)</f>
        <v/>
      </c>
      <c r="O19" s="675">
        <f>IFERROR(G19/F19,0)</f>
        <v/>
      </c>
      <c r="P19" s="608">
        <f>IFERROR(AVERAGEIFS('All 108 Regulators - Frameworks'!BF$4:BF$500,'All 108 Regulators - Frameworks'!B$4:B$500,A19),0)</f>
        <v/>
      </c>
    </row>
    <row r="20" ht="36" customHeight="1">
      <c r="A20" s="97" t="inlineStr">
        <is>
          <t>IAIC</t>
        </is>
      </c>
      <c r="B20" s="99" t="inlineStr">
        <is>
          <t>Insurance Authority</t>
        </is>
      </c>
      <c r="C20" s="98" t="inlineStr">
        <is>
          <t>5. Financial Regulators</t>
        </is>
      </c>
      <c r="D20" s="98" t="n">
        <v>2</v>
      </c>
      <c r="E20" s="98" t="n">
        <v>3</v>
      </c>
      <c r="F20" s="98" t="n">
        <v>5</v>
      </c>
      <c r="G20" s="98" t="n">
        <v>0</v>
      </c>
      <c r="H20" s="98" t="inlineStr">
        <is>
          <t>IAIC-COILAW; IAIC-CSF; SAMA-CSF; NCA-ECC-2:2024; PDPL-2021</t>
        </is>
      </c>
      <c r="I20" s="98" t="inlineStr">
        <is>
          <t>https://ia.gov.sa/</t>
        </is>
      </c>
      <c r="J20" s="594">
        <f>(D20*3)+(G20*5)+(F20*1)</f>
        <v/>
      </c>
      <c r="K20" s="591">
        <f>IF(J20&gt;=50,"🔴 TIER 1",IF(J20&gt;=25,"🟠 TIER 2",IF(J20&gt;=10,"🟡 TIER 3","🟢 TIER 4")))</f>
        <v/>
      </c>
      <c r="L20" s="591">
        <f>COUNTIFS('All 108 Regulators - Frameworks'!B$4:B$500,A20,'All 108 Regulators - Frameworks'!BB$4:BB$500,"DEEP")</f>
        <v/>
      </c>
      <c r="M20" s="591">
        <f>COUNTIFS('All 108 Regulators - Frameworks'!B$4:B$500,A20,'All 108 Regulators - Frameworks'!BB$4:BB$500,"TEMPLATE")</f>
        <v/>
      </c>
      <c r="N20" s="675">
        <f>IFERROR(L20/(L20+M20),0)</f>
        <v/>
      </c>
      <c r="O20" s="675">
        <f>IFERROR(G20/F20,0)</f>
        <v/>
      </c>
      <c r="P20" s="608">
        <f>IFERROR(AVERAGEIFS('All 108 Regulators - Frameworks'!BF$4:BF$500,'All 108 Regulators - Frameworks'!B$4:B$500,A20),0)</f>
        <v/>
      </c>
    </row>
    <row r="21" ht="36" customHeight="1">
      <c r="A21" s="97" t="inlineStr">
        <is>
          <t>GOSI</t>
        </is>
      </c>
      <c r="B21" s="99" t="inlineStr">
        <is>
          <t>General Organisation for Social Insurance</t>
        </is>
      </c>
      <c r="C21" s="98" t="inlineStr">
        <is>
          <t>5. Financial Regulators</t>
        </is>
      </c>
      <c r="D21" s="98" t="n">
        <v>2</v>
      </c>
      <c r="E21" s="98" t="n">
        <v>2</v>
      </c>
      <c r="F21" s="98" t="n">
        <v>4</v>
      </c>
      <c r="G21" s="98" t="n">
        <v>0</v>
      </c>
      <c r="H21" s="98" t="inlineStr">
        <is>
          <t>GOSI-OIL; GOSI-SIN; NCA-ECC-2:2024; PDPL-2021</t>
        </is>
      </c>
      <c r="I21" s="98" t="inlineStr">
        <is>
          <t>https://www.gosi.gov.sa/</t>
        </is>
      </c>
      <c r="J21" s="594">
        <f>(D21*3)+(G21*5)+(F21*1)</f>
        <v/>
      </c>
      <c r="K21" s="591">
        <f>IF(J21&gt;=50,"🔴 TIER 1",IF(J21&gt;=25,"🟠 TIER 2",IF(J21&gt;=10,"🟡 TIER 3","🟢 TIER 4")))</f>
        <v/>
      </c>
      <c r="L21" s="591">
        <f>COUNTIFS('All 108 Regulators - Frameworks'!B$4:B$500,A21,'All 108 Regulators - Frameworks'!BB$4:BB$500,"DEEP")</f>
        <v/>
      </c>
      <c r="M21" s="591">
        <f>COUNTIFS('All 108 Regulators - Frameworks'!B$4:B$500,A21,'All 108 Regulators - Frameworks'!BB$4:BB$500,"TEMPLATE")</f>
        <v/>
      </c>
      <c r="N21" s="675">
        <f>IFERROR(L21/(L21+M21),0)</f>
        <v/>
      </c>
      <c r="O21" s="675">
        <f>IFERROR(G21/F21,0)</f>
        <v/>
      </c>
      <c r="P21" s="608">
        <f>IFERROR(AVERAGEIFS('All 108 Regulators - Frameworks'!BF$4:BF$500,'All 108 Regulators - Frameworks'!B$4:B$500,A21),0)</f>
        <v/>
      </c>
    </row>
    <row r="22" ht="36" customHeight="1">
      <c r="A22" s="205" t="inlineStr">
        <is>
          <t>MOFA</t>
        </is>
      </c>
      <c r="B22" s="192" t="inlineStr">
        <is>
          <t>Ministry of Foreign Affairs</t>
        </is>
      </c>
      <c r="C22" s="190" t="inlineStr">
        <is>
          <t>1. Ministries</t>
        </is>
      </c>
      <c r="D22" s="190" t="n">
        <v>1</v>
      </c>
      <c r="E22" s="190" t="n">
        <v>2</v>
      </c>
      <c r="F22" s="190" t="n">
        <v>3</v>
      </c>
      <c r="G22" s="190" t="n">
        <v>0</v>
      </c>
      <c r="H22" s="190" t="inlineStr">
        <is>
          <t>MOFA-LAW; NCA-ECC-2:2024; PDPL-2021</t>
        </is>
      </c>
      <c r="I22" s="190" t="inlineStr">
        <is>
          <t>https://mofa.gov.sa or via www.moi.gov.sa</t>
        </is>
      </c>
      <c r="J22" s="594">
        <f>(D22*3)+(G22*5)+(F22*1)</f>
        <v/>
      </c>
      <c r="K22" s="591">
        <f>IF(J22&gt;=50,"🔴 TIER 1",IF(J22&gt;=25,"🟠 TIER 2",IF(J22&gt;=10,"🟡 TIER 3","🟢 TIER 4")))</f>
        <v/>
      </c>
      <c r="L22" s="591">
        <f>COUNTIFS('All 108 Regulators - Frameworks'!B$4:B$500,A22,'All 108 Regulators - Frameworks'!BB$4:BB$500,"DEEP")</f>
        <v/>
      </c>
      <c r="M22" s="591">
        <f>COUNTIFS('All 108 Regulators - Frameworks'!B$4:B$500,A22,'All 108 Regulators - Frameworks'!BB$4:BB$500,"TEMPLATE")</f>
        <v/>
      </c>
      <c r="N22" s="675">
        <f>IFERROR(L22/(L22+M22),0)</f>
        <v/>
      </c>
      <c r="O22" s="675">
        <f>IFERROR(G22/F22,0)</f>
        <v/>
      </c>
      <c r="P22" s="608">
        <f>IFERROR(AVERAGEIFS('All 108 Regulators - Frameworks'!BF$4:BF$500,'All 108 Regulators - Frameworks'!B$4:B$500,A22),0)</f>
        <v/>
      </c>
    </row>
    <row r="23" ht="36" customHeight="1">
      <c r="A23" s="205" t="inlineStr">
        <is>
          <t>MOF</t>
        </is>
      </c>
      <c r="B23" s="192" t="inlineStr">
        <is>
          <t>Ministry of Finance</t>
        </is>
      </c>
      <c r="C23" s="190" t="inlineStr">
        <is>
          <t>1. Ministries</t>
        </is>
      </c>
      <c r="D23" s="190" t="n">
        <v>1</v>
      </c>
      <c r="E23" s="190" t="n">
        <v>2</v>
      </c>
      <c r="F23" s="190" t="n">
        <v>3</v>
      </c>
      <c r="G23" s="190" t="n">
        <v>0</v>
      </c>
      <c r="H23" s="190" t="inlineStr">
        <is>
          <t>MOF-LAW; NCA-ECC-2:2024; PDPL-2021</t>
        </is>
      </c>
      <c r="I23" s="190" t="inlineStr">
        <is>
          <t>https://mof.gov.sa or via www.moi.gov.sa</t>
        </is>
      </c>
      <c r="J23" s="594">
        <f>(D23*3)+(G23*5)+(F23*1)</f>
        <v/>
      </c>
      <c r="K23" s="591">
        <f>IF(J23&gt;=50,"🔴 TIER 1",IF(J23&gt;=25,"🟠 TIER 2",IF(J23&gt;=10,"🟡 TIER 3","🟢 TIER 4")))</f>
        <v/>
      </c>
      <c r="L23" s="591">
        <f>COUNTIFS('All 108 Regulators - Frameworks'!B$4:B$500,A23,'All 108 Regulators - Frameworks'!BB$4:BB$500,"DEEP")</f>
        <v/>
      </c>
      <c r="M23" s="591">
        <f>COUNTIFS('All 108 Regulators - Frameworks'!B$4:B$500,A23,'All 108 Regulators - Frameworks'!BB$4:BB$500,"TEMPLATE")</f>
        <v/>
      </c>
      <c r="N23" s="675">
        <f>IFERROR(L23/(L23+M23),0)</f>
        <v/>
      </c>
      <c r="O23" s="675">
        <f>IFERROR(G23/F23,0)</f>
        <v/>
      </c>
      <c r="P23" s="608">
        <f>IFERROR(AVERAGEIFS('All 108 Regulators - Frameworks'!BF$4:BF$500,'All 108 Regulators - Frameworks'!B$4:B$500,A23),0)</f>
        <v/>
      </c>
    </row>
    <row r="24" ht="36" customHeight="1">
      <c r="A24" s="205" t="inlineStr">
        <is>
          <t>MOD</t>
        </is>
      </c>
      <c r="B24" s="192" t="inlineStr">
        <is>
          <t>Ministry of Defense</t>
        </is>
      </c>
      <c r="C24" s="190" t="inlineStr">
        <is>
          <t>1. Ministries</t>
        </is>
      </c>
      <c r="D24" s="190" t="n">
        <v>1</v>
      </c>
      <c r="E24" s="190" t="n">
        <v>2</v>
      </c>
      <c r="F24" s="190" t="n">
        <v>3</v>
      </c>
      <c r="G24" s="190" t="n">
        <v>0</v>
      </c>
      <c r="H24" s="190" t="inlineStr">
        <is>
          <t>MOD-LAW; NCA-ECC-2:2024; PDPL-2021</t>
        </is>
      </c>
      <c r="I24" s="190" t="inlineStr">
        <is>
          <t>https://mod.gov.sa or via www.moi.gov.sa</t>
        </is>
      </c>
      <c r="J24" s="594">
        <f>(D24*3)+(G24*5)+(F24*1)</f>
        <v/>
      </c>
      <c r="K24" s="591">
        <f>IF(J24&gt;=50,"🔴 TIER 1",IF(J24&gt;=25,"🟠 TIER 2",IF(J24&gt;=10,"🟡 TIER 3","🟢 TIER 4")))</f>
        <v/>
      </c>
      <c r="L24" s="591">
        <f>COUNTIFS('All 108 Regulators - Frameworks'!B$4:B$500,A24,'All 108 Regulators - Frameworks'!BB$4:BB$500,"DEEP")</f>
        <v/>
      </c>
      <c r="M24" s="591">
        <f>COUNTIFS('All 108 Regulators - Frameworks'!B$4:B$500,A24,'All 108 Regulators - Frameworks'!BB$4:BB$500,"TEMPLATE")</f>
        <v/>
      </c>
      <c r="N24" s="675">
        <f>IFERROR(L24/(L24+M24),0)</f>
        <v/>
      </c>
      <c r="O24" s="675">
        <f>IFERROR(G24/F24,0)</f>
        <v/>
      </c>
      <c r="P24" s="608">
        <f>IFERROR(AVERAGEIFS('All 108 Regulators - Frameworks'!BF$4:BF$500,'All 108 Regulators - Frameworks'!B$4:B$500,A24),0)</f>
        <v/>
      </c>
    </row>
    <row r="25" ht="36" customHeight="1">
      <c r="A25" s="205" t="inlineStr">
        <is>
          <t>MOHAJ</t>
        </is>
      </c>
      <c r="B25" s="192" t="inlineStr">
        <is>
          <t>Ministry of Hajj &amp; Umrah</t>
        </is>
      </c>
      <c r="C25" s="190" t="inlineStr">
        <is>
          <t>1. Ministries</t>
        </is>
      </c>
      <c r="D25" s="190" t="n">
        <v>1</v>
      </c>
      <c r="E25" s="190" t="n">
        <v>2</v>
      </c>
      <c r="F25" s="190" t="n">
        <v>3</v>
      </c>
      <c r="G25" s="190" t="n">
        <v>0</v>
      </c>
      <c r="H25" s="190" t="inlineStr">
        <is>
          <t>MOHAJ-LAW; NCA-ECC-2:2024; PDPL-2021</t>
        </is>
      </c>
      <c r="I25" s="190" t="inlineStr">
        <is>
          <t>https://mohaj.gov.sa or via www.moi.gov.sa</t>
        </is>
      </c>
      <c r="J25" s="594">
        <f>(D25*3)+(G25*5)+(F25*1)</f>
        <v/>
      </c>
      <c r="K25" s="591">
        <f>IF(J25&gt;=50,"🔴 TIER 1",IF(J25&gt;=25,"🟠 TIER 2",IF(J25&gt;=10,"🟡 TIER 3","🟢 TIER 4")))</f>
        <v/>
      </c>
      <c r="L25" s="591">
        <f>COUNTIFS('All 108 Regulators - Frameworks'!B$4:B$500,A25,'All 108 Regulators - Frameworks'!BB$4:BB$500,"DEEP")</f>
        <v/>
      </c>
      <c r="M25" s="591">
        <f>COUNTIFS('All 108 Regulators - Frameworks'!B$4:B$500,A25,'All 108 Regulators - Frameworks'!BB$4:BB$500,"TEMPLATE")</f>
        <v/>
      </c>
      <c r="N25" s="675">
        <f>IFERROR(L25/(L25+M25),0)</f>
        <v/>
      </c>
      <c r="O25" s="675">
        <f>IFERROR(G25/F25,0)</f>
        <v/>
      </c>
      <c r="P25" s="608">
        <f>IFERROR(AVERAGEIFS('All 108 Regulators - Frameworks'!BF$4:BF$500,'All 108 Regulators - Frameworks'!B$4:B$500,A25),0)</f>
        <v/>
      </c>
    </row>
    <row r="26" ht="36" customHeight="1">
      <c r="A26" s="205" t="inlineStr">
        <is>
          <t>MONG</t>
        </is>
      </c>
      <c r="B26" s="192" t="inlineStr">
        <is>
          <t>Ministry of National Guard</t>
        </is>
      </c>
      <c r="C26" s="190" t="inlineStr">
        <is>
          <t>1. Ministries</t>
        </is>
      </c>
      <c r="D26" s="190" t="n">
        <v>1</v>
      </c>
      <c r="E26" s="190" t="n">
        <v>2</v>
      </c>
      <c r="F26" s="190" t="n">
        <v>3</v>
      </c>
      <c r="G26" s="190" t="n">
        <v>0</v>
      </c>
      <c r="H26" s="190" t="inlineStr">
        <is>
          <t>MONG-LAW; NCA-ECC-2:2024; PDPL-2021</t>
        </is>
      </c>
      <c r="I26" s="190" t="inlineStr">
        <is>
          <t>https://mong.gov.sa or via www.moi.gov.sa</t>
        </is>
      </c>
      <c r="J26" s="594">
        <f>(D26*3)+(G26*5)+(F26*1)</f>
        <v/>
      </c>
      <c r="K26" s="591">
        <f>IF(J26&gt;=50,"🔴 TIER 1",IF(J26&gt;=25,"🟠 TIER 2",IF(J26&gt;=10,"🟡 TIER 3","🟢 TIER 4")))</f>
        <v/>
      </c>
      <c r="L26" s="591">
        <f>COUNTIFS('All 108 Regulators - Frameworks'!B$4:B$500,A26,'All 108 Regulators - Frameworks'!BB$4:BB$500,"DEEP")</f>
        <v/>
      </c>
      <c r="M26" s="591">
        <f>COUNTIFS('All 108 Regulators - Frameworks'!B$4:B$500,A26,'All 108 Regulators - Frameworks'!BB$4:BB$500,"TEMPLATE")</f>
        <v/>
      </c>
      <c r="N26" s="675">
        <f>IFERROR(L26/(L26+M26),0)</f>
        <v/>
      </c>
      <c r="O26" s="675">
        <f>IFERROR(G26/F26,0)</f>
        <v/>
      </c>
      <c r="P26" s="608">
        <f>IFERROR(AVERAGEIFS('All 108 Regulators - Frameworks'!BF$4:BF$500,'All 108 Regulators - Frameworks'!B$4:B$500,A26),0)</f>
        <v/>
      </c>
    </row>
    <row r="27" ht="36" customHeight="1">
      <c r="A27" s="205" t="inlineStr">
        <is>
          <t>MEWA</t>
        </is>
      </c>
      <c r="B27" s="192" t="inlineStr">
        <is>
          <t>Ministry of Environment Water &amp; Agriculture</t>
        </is>
      </c>
      <c r="C27" s="190" t="inlineStr">
        <is>
          <t>1. Ministries</t>
        </is>
      </c>
      <c r="D27" s="190" t="n">
        <v>1</v>
      </c>
      <c r="E27" s="190" t="n">
        <v>2</v>
      </c>
      <c r="F27" s="190" t="n">
        <v>3</v>
      </c>
      <c r="G27" s="190" t="n">
        <v>0</v>
      </c>
      <c r="H27" s="190" t="inlineStr">
        <is>
          <t>MEWA-LAW; NCA-ECC-2:2024; PDPL-2021</t>
        </is>
      </c>
      <c r="I27" s="190" t="inlineStr">
        <is>
          <t>https://mewa.gov.sa or via www.moi.gov.sa</t>
        </is>
      </c>
      <c r="J27" s="594">
        <f>(D27*3)+(G27*5)+(F27*1)</f>
        <v/>
      </c>
      <c r="K27" s="591">
        <f>IF(J27&gt;=50,"🔴 TIER 1",IF(J27&gt;=25,"🟠 TIER 2",IF(J27&gt;=10,"🟡 TIER 3","🟢 TIER 4")))</f>
        <v/>
      </c>
      <c r="L27" s="591">
        <f>COUNTIFS('All 108 Regulators - Frameworks'!B$4:B$500,A27,'All 108 Regulators - Frameworks'!BB$4:BB$500,"DEEP")</f>
        <v/>
      </c>
      <c r="M27" s="591">
        <f>COUNTIFS('All 108 Regulators - Frameworks'!B$4:B$500,A27,'All 108 Regulators - Frameworks'!BB$4:BB$500,"TEMPLATE")</f>
        <v/>
      </c>
      <c r="N27" s="675">
        <f>IFERROR(L27/(L27+M27),0)</f>
        <v/>
      </c>
      <c r="O27" s="675">
        <f>IFERROR(G27/F27,0)</f>
        <v/>
      </c>
      <c r="P27" s="608">
        <f>IFERROR(AVERAGEIFS('All 108 Regulators - Frameworks'!BF$4:BF$500,'All 108 Regulators - Frameworks'!B$4:B$500,A27),0)</f>
        <v/>
      </c>
    </row>
    <row r="28" ht="36" customHeight="1">
      <c r="A28" s="205" t="inlineStr">
        <is>
          <t>MOT</t>
        </is>
      </c>
      <c r="B28" s="192" t="inlineStr">
        <is>
          <t>Ministry of Transport &amp; Logistic Services</t>
        </is>
      </c>
      <c r="C28" s="190" t="inlineStr">
        <is>
          <t>1. Ministries</t>
        </is>
      </c>
      <c r="D28" s="190" t="n">
        <v>1</v>
      </c>
      <c r="E28" s="190" t="n">
        <v>2</v>
      </c>
      <c r="F28" s="190" t="n">
        <v>3</v>
      </c>
      <c r="G28" s="190" t="n">
        <v>0</v>
      </c>
      <c r="H28" s="190" t="inlineStr">
        <is>
          <t>MOT-LAW; NCA-ECC-2:2024; PDPL-2021</t>
        </is>
      </c>
      <c r="I28" s="190" t="inlineStr">
        <is>
          <t>https://mot.gov.sa or via www.moi.gov.sa</t>
        </is>
      </c>
      <c r="J28" s="594">
        <f>(D28*3)+(G28*5)+(F28*1)</f>
        <v/>
      </c>
      <c r="K28" s="591">
        <f>IF(J28&gt;=50,"🔴 TIER 1",IF(J28&gt;=25,"🟠 TIER 2",IF(J28&gt;=10,"🟡 TIER 3","🟢 TIER 4")))</f>
        <v/>
      </c>
      <c r="L28" s="591">
        <f>COUNTIFS('All 108 Regulators - Frameworks'!B$4:B$500,A28,'All 108 Regulators - Frameworks'!BB$4:BB$500,"DEEP")</f>
        <v/>
      </c>
      <c r="M28" s="591">
        <f>COUNTIFS('All 108 Regulators - Frameworks'!B$4:B$500,A28,'All 108 Regulators - Frameworks'!BB$4:BB$500,"TEMPLATE")</f>
        <v/>
      </c>
      <c r="N28" s="675">
        <f>IFERROR(L28/(L28+M28),0)</f>
        <v/>
      </c>
      <c r="O28" s="675">
        <f>IFERROR(G28/F28,0)</f>
        <v/>
      </c>
      <c r="P28" s="608">
        <f>IFERROR(AVERAGEIFS('All 108 Regulators - Frameworks'!BF$4:BF$500,'All 108 Regulators - Frameworks'!B$4:B$500,A28),0)</f>
        <v/>
      </c>
    </row>
    <row r="29" ht="36" customHeight="1">
      <c r="A29" s="205" t="inlineStr">
        <is>
          <t>MOE</t>
        </is>
      </c>
      <c r="B29" s="192" t="inlineStr">
        <is>
          <t>Ministry of Education</t>
        </is>
      </c>
      <c r="C29" s="190" t="inlineStr">
        <is>
          <t>1. Ministries</t>
        </is>
      </c>
      <c r="D29" s="190" t="n">
        <v>1</v>
      </c>
      <c r="E29" s="190" t="n">
        <v>2</v>
      </c>
      <c r="F29" s="190" t="n">
        <v>3</v>
      </c>
      <c r="G29" s="190" t="n">
        <v>0</v>
      </c>
      <c r="H29" s="190" t="inlineStr">
        <is>
          <t>MOE-LAW; NCA-ECC-2:2024; PDPL-2021</t>
        </is>
      </c>
      <c r="I29" s="190" t="inlineStr">
        <is>
          <t>https://moe.gov.sa or via www.moi.gov.sa</t>
        </is>
      </c>
      <c r="J29" s="594">
        <f>(D29*3)+(G29*5)+(F29*1)</f>
        <v/>
      </c>
      <c r="K29" s="591">
        <f>IF(J29&gt;=50,"🔴 TIER 1",IF(J29&gt;=25,"🟠 TIER 2",IF(J29&gt;=10,"🟡 TIER 3","🟢 TIER 4")))</f>
        <v/>
      </c>
      <c r="L29" s="591">
        <f>COUNTIFS('All 108 Regulators - Frameworks'!B$4:B$500,A29,'All 108 Regulators - Frameworks'!BB$4:BB$500,"DEEP")</f>
        <v/>
      </c>
      <c r="M29" s="591">
        <f>COUNTIFS('All 108 Regulators - Frameworks'!B$4:B$500,A29,'All 108 Regulators - Frameworks'!BB$4:BB$500,"TEMPLATE")</f>
        <v/>
      </c>
      <c r="N29" s="675">
        <f>IFERROR(L29/(L29+M29),0)</f>
        <v/>
      </c>
      <c r="O29" s="675">
        <f>IFERROR(G29/F29,0)</f>
        <v/>
      </c>
      <c r="P29" s="608">
        <f>IFERROR(AVERAGEIFS('All 108 Regulators - Frameworks'!BF$4:BF$500,'All 108 Regulators - Frameworks'!B$4:B$500,A29),0)</f>
        <v/>
      </c>
    </row>
    <row r="30" ht="36" customHeight="1">
      <c r="A30" s="205" t="inlineStr">
        <is>
          <t>MOCI</t>
        </is>
      </c>
      <c r="B30" s="192" t="inlineStr">
        <is>
          <t>Ministry of Commerce</t>
        </is>
      </c>
      <c r="C30" s="190" t="inlineStr">
        <is>
          <t>1. Ministries</t>
        </is>
      </c>
      <c r="D30" s="190" t="n">
        <v>1</v>
      </c>
      <c r="E30" s="190" t="n">
        <v>2</v>
      </c>
      <c r="F30" s="190" t="n">
        <v>3</v>
      </c>
      <c r="G30" s="190" t="n">
        <v>0</v>
      </c>
      <c r="H30" s="190" t="inlineStr">
        <is>
          <t>MOCI-LAW; NCA-ECC-2:2024; PDPL-2021</t>
        </is>
      </c>
      <c r="I30" s="190" t="inlineStr">
        <is>
          <t>https://moci.gov.sa or via www.moi.gov.sa</t>
        </is>
      </c>
      <c r="J30" s="594">
        <f>(D30*3)+(G30*5)+(F30*1)</f>
        <v/>
      </c>
      <c r="K30" s="591">
        <f>IF(J30&gt;=50,"🔴 TIER 1",IF(J30&gt;=25,"🟠 TIER 2",IF(J30&gt;=10,"🟡 TIER 3","🟢 TIER 4")))</f>
        <v/>
      </c>
      <c r="L30" s="591">
        <f>COUNTIFS('All 108 Regulators - Frameworks'!B$4:B$500,A30,'All 108 Regulators - Frameworks'!BB$4:BB$500,"DEEP")</f>
        <v/>
      </c>
      <c r="M30" s="591">
        <f>COUNTIFS('All 108 Regulators - Frameworks'!B$4:B$500,A30,'All 108 Regulators - Frameworks'!BB$4:BB$500,"TEMPLATE")</f>
        <v/>
      </c>
      <c r="N30" s="675">
        <f>IFERROR(L30/(L30+M30),0)</f>
        <v/>
      </c>
      <c r="O30" s="675">
        <f>IFERROR(G30/F30,0)</f>
        <v/>
      </c>
      <c r="P30" s="608">
        <f>IFERROR(AVERAGEIFS('All 108 Regulators - Frameworks'!BF$4:BF$500,'All 108 Regulators - Frameworks'!B$4:B$500,A30),0)</f>
        <v/>
      </c>
    </row>
    <row r="31" ht="36" customHeight="1">
      <c r="A31" s="205" t="inlineStr">
        <is>
          <t>MOENER</t>
        </is>
      </c>
      <c r="B31" s="192" t="inlineStr">
        <is>
          <t>Ministry of Energy</t>
        </is>
      </c>
      <c r="C31" s="190" t="inlineStr">
        <is>
          <t>1. Ministries</t>
        </is>
      </c>
      <c r="D31" s="190" t="n">
        <v>1</v>
      </c>
      <c r="E31" s="190" t="n">
        <v>2</v>
      </c>
      <c r="F31" s="190" t="n">
        <v>3</v>
      </c>
      <c r="G31" s="190" t="n">
        <v>0</v>
      </c>
      <c r="H31" s="190" t="inlineStr">
        <is>
          <t>MOENER-LAW; NCA-ECC-2:2024; PDPL-2021</t>
        </is>
      </c>
      <c r="I31" s="190" t="inlineStr">
        <is>
          <t>https://moener.gov.sa or via www.moi.gov.sa</t>
        </is>
      </c>
      <c r="J31" s="594">
        <f>(D31*3)+(G31*5)+(F31*1)</f>
        <v/>
      </c>
      <c r="K31" s="591">
        <f>IF(J31&gt;=50,"🔴 TIER 1",IF(J31&gt;=25,"🟠 TIER 2",IF(J31&gt;=10,"🟡 TIER 3","🟢 TIER 4")))</f>
        <v/>
      </c>
      <c r="L31" s="591">
        <f>COUNTIFS('All 108 Regulators - Frameworks'!B$4:B$500,A31,'All 108 Regulators - Frameworks'!BB$4:BB$500,"DEEP")</f>
        <v/>
      </c>
      <c r="M31" s="591">
        <f>COUNTIFS('All 108 Regulators - Frameworks'!B$4:B$500,A31,'All 108 Regulators - Frameworks'!BB$4:BB$500,"TEMPLATE")</f>
        <v/>
      </c>
      <c r="N31" s="675">
        <f>IFERROR(L31/(L31+M31),0)</f>
        <v/>
      </c>
      <c r="O31" s="675">
        <f>IFERROR(G31/F31,0)</f>
        <v/>
      </c>
      <c r="P31" s="608">
        <f>IFERROR(AVERAGEIFS('All 108 Regulators - Frameworks'!BF$4:BF$500,'All 108 Regulators - Frameworks'!B$4:B$500,A31),0)</f>
        <v/>
      </c>
    </row>
    <row r="32" ht="36" customHeight="1">
      <c r="A32" s="205" t="inlineStr">
        <is>
          <t>MEP</t>
        </is>
      </c>
      <c r="B32" s="192" t="inlineStr">
        <is>
          <t>Ministry of Economy &amp; Planning</t>
        </is>
      </c>
      <c r="C32" s="190" t="inlineStr">
        <is>
          <t>1. Ministries</t>
        </is>
      </c>
      <c r="D32" s="190" t="n">
        <v>1</v>
      </c>
      <c r="E32" s="190" t="n">
        <v>2</v>
      </c>
      <c r="F32" s="190" t="n">
        <v>3</v>
      </c>
      <c r="G32" s="190" t="n">
        <v>0</v>
      </c>
      <c r="H32" s="190" t="inlineStr">
        <is>
          <t>MEP-LAW; NCA-ECC-2:2024; PDPL-2021</t>
        </is>
      </c>
      <c r="I32" s="190" t="inlineStr">
        <is>
          <t>https://mep.gov.sa or via www.moi.gov.sa</t>
        </is>
      </c>
      <c r="J32" s="594">
        <f>(D32*3)+(G32*5)+(F32*1)</f>
        <v/>
      </c>
      <c r="K32" s="591">
        <f>IF(J32&gt;=50,"🔴 TIER 1",IF(J32&gt;=25,"🟠 TIER 2",IF(J32&gt;=10,"🟡 TIER 3","🟢 TIER 4")))</f>
        <v/>
      </c>
      <c r="L32" s="591">
        <f>COUNTIFS('All 108 Regulators - Frameworks'!B$4:B$500,A32,'All 108 Regulators - Frameworks'!BB$4:BB$500,"DEEP")</f>
        <v/>
      </c>
      <c r="M32" s="591">
        <f>COUNTIFS('All 108 Regulators - Frameworks'!B$4:B$500,A32,'All 108 Regulators - Frameworks'!BB$4:BB$500,"TEMPLATE")</f>
        <v/>
      </c>
      <c r="N32" s="675">
        <f>IFERROR(L32/(L32+M32),0)</f>
        <v/>
      </c>
      <c r="O32" s="675">
        <f>IFERROR(G32/F32,0)</f>
        <v/>
      </c>
      <c r="P32" s="608">
        <f>IFERROR(AVERAGEIFS('All 108 Regulators - Frameworks'!BF$4:BF$500,'All 108 Regulators - Frameworks'!B$4:B$500,A32),0)</f>
        <v/>
      </c>
    </row>
    <row r="33" ht="36" customHeight="1">
      <c r="A33" s="205" t="inlineStr">
        <is>
          <t>MOMAH</t>
        </is>
      </c>
      <c r="B33" s="192" t="inlineStr">
        <is>
          <t>Ministry of Municipalities &amp; Housing</t>
        </is>
      </c>
      <c r="C33" s="190" t="inlineStr">
        <is>
          <t>1. Ministries</t>
        </is>
      </c>
      <c r="D33" s="190" t="n">
        <v>1</v>
      </c>
      <c r="E33" s="190" t="n">
        <v>2</v>
      </c>
      <c r="F33" s="190" t="n">
        <v>3</v>
      </c>
      <c r="G33" s="190" t="n">
        <v>0</v>
      </c>
      <c r="H33" s="190" t="inlineStr">
        <is>
          <t>MOMAH-LAW; NCA-ECC-2:2024; PDPL-2021</t>
        </is>
      </c>
      <c r="I33" s="190" t="inlineStr">
        <is>
          <t>https://momah.gov.sa or via www.moi.gov.sa</t>
        </is>
      </c>
      <c r="J33" s="594">
        <f>(D33*3)+(G33*5)+(F33*1)</f>
        <v/>
      </c>
      <c r="K33" s="591">
        <f>IF(J33&gt;=50,"🔴 TIER 1",IF(J33&gt;=25,"🟠 TIER 2",IF(J33&gt;=10,"🟡 TIER 3","🟢 TIER 4")))</f>
        <v/>
      </c>
      <c r="L33" s="591">
        <f>COUNTIFS('All 108 Regulators - Frameworks'!B$4:B$500,A33,'All 108 Regulators - Frameworks'!BB$4:BB$500,"DEEP")</f>
        <v/>
      </c>
      <c r="M33" s="591">
        <f>COUNTIFS('All 108 Regulators - Frameworks'!B$4:B$500,A33,'All 108 Regulators - Frameworks'!BB$4:BB$500,"TEMPLATE")</f>
        <v/>
      </c>
      <c r="N33" s="675">
        <f>IFERROR(L33/(L33+M33),0)</f>
        <v/>
      </c>
      <c r="O33" s="675">
        <f>IFERROR(G33/F33,0)</f>
        <v/>
      </c>
      <c r="P33" s="608">
        <f>IFERROR(AVERAGEIFS('All 108 Regulators - Frameworks'!BF$4:BF$500,'All 108 Regulators - Frameworks'!B$4:B$500,A33),0)</f>
        <v/>
      </c>
    </row>
    <row r="34" ht="36" customHeight="1">
      <c r="A34" s="205" t="inlineStr">
        <is>
          <t>MOIA</t>
        </is>
      </c>
      <c r="B34" s="192" t="inlineStr">
        <is>
          <t>Ministry of Islamic Affairs</t>
        </is>
      </c>
      <c r="C34" s="190" t="inlineStr">
        <is>
          <t>1. Ministries</t>
        </is>
      </c>
      <c r="D34" s="190" t="n">
        <v>1</v>
      </c>
      <c r="E34" s="190" t="n">
        <v>2</v>
      </c>
      <c r="F34" s="190" t="n">
        <v>3</v>
      </c>
      <c r="G34" s="190" t="n">
        <v>0</v>
      </c>
      <c r="H34" s="190" t="inlineStr">
        <is>
          <t>MOIA-LAW; NCA-ECC-2:2024; PDPL-2021</t>
        </is>
      </c>
      <c r="I34" s="190" t="inlineStr">
        <is>
          <t>https://moia.gov.sa or via www.moi.gov.sa</t>
        </is>
      </c>
      <c r="J34" s="594">
        <f>(D34*3)+(G34*5)+(F34*1)</f>
        <v/>
      </c>
      <c r="K34" s="591">
        <f>IF(J34&gt;=50,"🔴 TIER 1",IF(J34&gt;=25,"🟠 TIER 2",IF(J34&gt;=10,"🟡 TIER 3","🟢 TIER 4")))</f>
        <v/>
      </c>
      <c r="L34" s="591">
        <f>COUNTIFS('All 108 Regulators - Frameworks'!B$4:B$500,A34,'All 108 Regulators - Frameworks'!BB$4:BB$500,"DEEP")</f>
        <v/>
      </c>
      <c r="M34" s="591">
        <f>COUNTIFS('All 108 Regulators - Frameworks'!B$4:B$500,A34,'All 108 Regulators - Frameworks'!BB$4:BB$500,"TEMPLATE")</f>
        <v/>
      </c>
      <c r="N34" s="675">
        <f>IFERROR(L34/(L34+M34),0)</f>
        <v/>
      </c>
      <c r="O34" s="675">
        <f>IFERROR(G34/F34,0)</f>
        <v/>
      </c>
      <c r="P34" s="608">
        <f>IFERROR(AVERAGEIFS('All 108 Regulators - Frameworks'!BF$4:BF$500,'All 108 Regulators - Frameworks'!B$4:B$500,A34),0)</f>
        <v/>
      </c>
    </row>
    <row r="35" ht="36" customHeight="1">
      <c r="A35" s="205" t="inlineStr">
        <is>
          <t>MOCult</t>
        </is>
      </c>
      <c r="B35" s="192" t="inlineStr">
        <is>
          <t>Ministry of Culture</t>
        </is>
      </c>
      <c r="C35" s="190" t="inlineStr">
        <is>
          <t>1. Ministries</t>
        </is>
      </c>
      <c r="D35" s="190" t="n">
        <v>1</v>
      </c>
      <c r="E35" s="190" t="n">
        <v>2</v>
      </c>
      <c r="F35" s="190" t="n">
        <v>3</v>
      </c>
      <c r="G35" s="190" t="n">
        <v>0</v>
      </c>
      <c r="H35" s="190" t="inlineStr">
        <is>
          <t>MOCult-LAW; NCA-ECC-2:2024; PDPL-2021</t>
        </is>
      </c>
      <c r="I35" s="190" t="inlineStr">
        <is>
          <t>https://mocult.gov.sa or via www.moi.gov.sa</t>
        </is>
      </c>
      <c r="J35" s="594">
        <f>(D35*3)+(G35*5)+(F35*1)</f>
        <v/>
      </c>
      <c r="K35" s="591">
        <f>IF(J35&gt;=50,"🔴 TIER 1",IF(J35&gt;=25,"🟠 TIER 2",IF(J35&gt;=10,"🟡 TIER 3","🟢 TIER 4")))</f>
        <v/>
      </c>
      <c r="L35" s="591">
        <f>COUNTIFS('All 108 Regulators - Frameworks'!B$4:B$500,A35,'All 108 Regulators - Frameworks'!BB$4:BB$500,"DEEP")</f>
        <v/>
      </c>
      <c r="M35" s="591">
        <f>COUNTIFS('All 108 Regulators - Frameworks'!B$4:B$500,A35,'All 108 Regulators - Frameworks'!BB$4:BB$500,"TEMPLATE")</f>
        <v/>
      </c>
      <c r="N35" s="675">
        <f>IFERROR(L35/(L35+M35),0)</f>
        <v/>
      </c>
      <c r="O35" s="675">
        <f>IFERROR(G35/F35,0)</f>
        <v/>
      </c>
      <c r="P35" s="608">
        <f>IFERROR(AVERAGEIFS('All 108 Regulators - Frameworks'!BF$4:BF$500,'All 108 Regulators - Frameworks'!B$4:B$500,A35),0)</f>
        <v/>
      </c>
    </row>
    <row r="36" ht="36" customHeight="1">
      <c r="A36" s="205" t="inlineStr">
        <is>
          <t>MOMedia</t>
        </is>
      </c>
      <c r="B36" s="192" t="inlineStr">
        <is>
          <t>Ministry of Media</t>
        </is>
      </c>
      <c r="C36" s="190" t="inlineStr">
        <is>
          <t>1. Ministries</t>
        </is>
      </c>
      <c r="D36" s="190" t="n">
        <v>1</v>
      </c>
      <c r="E36" s="190" t="n">
        <v>2</v>
      </c>
      <c r="F36" s="190" t="n">
        <v>3</v>
      </c>
      <c r="G36" s="190" t="n">
        <v>0</v>
      </c>
      <c r="H36" s="190" t="inlineStr">
        <is>
          <t>MOMedia-LAW; NCA-ECC-2:2024; PDPL-2021</t>
        </is>
      </c>
      <c r="I36" s="190" t="inlineStr">
        <is>
          <t>https://momedia.gov.sa or via www.moi.gov.sa</t>
        </is>
      </c>
      <c r="J36" s="594">
        <f>(D36*3)+(G36*5)+(F36*1)</f>
        <v/>
      </c>
      <c r="K36" s="591">
        <f>IF(J36&gt;=50,"🔴 TIER 1",IF(J36&gt;=25,"🟠 TIER 2",IF(J36&gt;=10,"🟡 TIER 3","🟢 TIER 4")))</f>
        <v/>
      </c>
      <c r="L36" s="591">
        <f>COUNTIFS('All 108 Regulators - Frameworks'!B$4:B$500,A36,'All 108 Regulators - Frameworks'!BB$4:BB$500,"DEEP")</f>
        <v/>
      </c>
      <c r="M36" s="591">
        <f>COUNTIFS('All 108 Regulators - Frameworks'!B$4:B$500,A36,'All 108 Regulators - Frameworks'!BB$4:BB$500,"TEMPLATE")</f>
        <v/>
      </c>
      <c r="N36" s="675">
        <f>IFERROR(L36/(L36+M36),0)</f>
        <v/>
      </c>
      <c r="O36" s="675">
        <f>IFERROR(G36/F36,0)</f>
        <v/>
      </c>
      <c r="P36" s="608">
        <f>IFERROR(AVERAGEIFS('All 108 Regulators - Frameworks'!BF$4:BF$500,'All 108 Regulators - Frameworks'!B$4:B$500,A36),0)</f>
        <v/>
      </c>
    </row>
    <row r="37" ht="36" customHeight="1">
      <c r="A37" s="205" t="inlineStr">
        <is>
          <t>MIM</t>
        </is>
      </c>
      <c r="B37" s="192" t="inlineStr">
        <is>
          <t>Ministry of Industry &amp; Mineral Resources</t>
        </is>
      </c>
      <c r="C37" s="190" t="inlineStr">
        <is>
          <t>1. Ministries</t>
        </is>
      </c>
      <c r="D37" s="190" t="n">
        <v>1</v>
      </c>
      <c r="E37" s="190" t="n">
        <v>2</v>
      </c>
      <c r="F37" s="190" t="n">
        <v>3</v>
      </c>
      <c r="G37" s="190" t="n">
        <v>0</v>
      </c>
      <c r="H37" s="190" t="inlineStr">
        <is>
          <t>MIM-LAW; NCA-ECC-2:2024; PDPL-2021</t>
        </is>
      </c>
      <c r="I37" s="190" t="inlineStr">
        <is>
          <t>https://mim.gov.sa or via www.moi.gov.sa</t>
        </is>
      </c>
      <c r="J37" s="594">
        <f>(D37*3)+(G37*5)+(F37*1)</f>
        <v/>
      </c>
      <c r="K37" s="591">
        <f>IF(J37&gt;=50,"🔴 TIER 1",IF(J37&gt;=25,"🟠 TIER 2",IF(J37&gt;=10,"🟡 TIER 3","🟢 TIER 4")))</f>
        <v/>
      </c>
      <c r="L37" s="591">
        <f>COUNTIFS('All 108 Regulators - Frameworks'!B$4:B$500,A37,'All 108 Regulators - Frameworks'!BB$4:BB$500,"DEEP")</f>
        <v/>
      </c>
      <c r="M37" s="591">
        <f>COUNTIFS('All 108 Regulators - Frameworks'!B$4:B$500,A37,'All 108 Regulators - Frameworks'!BB$4:BB$500,"TEMPLATE")</f>
        <v/>
      </c>
      <c r="N37" s="675">
        <f>IFERROR(L37/(L37+M37),0)</f>
        <v/>
      </c>
      <c r="O37" s="675">
        <f>IFERROR(G37/F37,0)</f>
        <v/>
      </c>
      <c r="P37" s="608">
        <f>IFERROR(AVERAGEIFS('All 108 Regulators - Frameworks'!BF$4:BF$500,'All 108 Regulators - Frameworks'!B$4:B$500,A37),0)</f>
        <v/>
      </c>
    </row>
    <row r="38" ht="36" customHeight="1">
      <c r="A38" s="205" t="inlineStr">
        <is>
          <t>MISA</t>
        </is>
      </c>
      <c r="B38" s="192" t="inlineStr">
        <is>
          <t>Ministry of Investment</t>
        </is>
      </c>
      <c r="C38" s="190" t="inlineStr">
        <is>
          <t>1. Ministries</t>
        </is>
      </c>
      <c r="D38" s="190" t="n">
        <v>1</v>
      </c>
      <c r="E38" s="190" t="n">
        <v>2</v>
      </c>
      <c r="F38" s="190" t="n">
        <v>3</v>
      </c>
      <c r="G38" s="190" t="n">
        <v>0</v>
      </c>
      <c r="H38" s="190" t="inlineStr">
        <is>
          <t>MISA-LAW; NCA-ECC-2:2024; PDPL-2021</t>
        </is>
      </c>
      <c r="I38" s="190" t="inlineStr">
        <is>
          <t>https://misa.gov.sa or via www.moi.gov.sa</t>
        </is>
      </c>
      <c r="J38" s="594">
        <f>(D38*3)+(G38*5)+(F38*1)</f>
        <v/>
      </c>
      <c r="K38" s="591">
        <f>IF(J38&gt;=50,"🔴 TIER 1",IF(J38&gt;=25,"🟠 TIER 2",IF(J38&gt;=10,"🟡 TIER 3","🟢 TIER 4")))</f>
        <v/>
      </c>
      <c r="L38" s="591">
        <f>COUNTIFS('All 108 Regulators - Frameworks'!B$4:B$500,A38,'All 108 Regulators - Frameworks'!BB$4:BB$500,"DEEP")</f>
        <v/>
      </c>
      <c r="M38" s="591">
        <f>COUNTIFS('All 108 Regulators - Frameworks'!B$4:B$500,A38,'All 108 Regulators - Frameworks'!BB$4:BB$500,"TEMPLATE")</f>
        <v/>
      </c>
      <c r="N38" s="675">
        <f>IFERROR(L38/(L38+M38),0)</f>
        <v/>
      </c>
      <c r="O38" s="675">
        <f>IFERROR(G38/F38,0)</f>
        <v/>
      </c>
      <c r="P38" s="608">
        <f>IFERROR(AVERAGEIFS('All 108 Regulators - Frameworks'!BF$4:BF$500,'All 108 Regulators - Frameworks'!B$4:B$500,A38),0)</f>
        <v/>
      </c>
    </row>
    <row r="39" ht="36" customHeight="1">
      <c r="A39" s="205" t="inlineStr">
        <is>
          <t>MOSPORT</t>
        </is>
      </c>
      <c r="B39" s="192" t="inlineStr">
        <is>
          <t>Ministry of Sport</t>
        </is>
      </c>
      <c r="C39" s="190" t="inlineStr">
        <is>
          <t>1. Ministries</t>
        </is>
      </c>
      <c r="D39" s="190" t="n">
        <v>1</v>
      </c>
      <c r="E39" s="190" t="n">
        <v>2</v>
      </c>
      <c r="F39" s="190" t="n">
        <v>3</v>
      </c>
      <c r="G39" s="190" t="n">
        <v>0</v>
      </c>
      <c r="H39" s="190" t="inlineStr">
        <is>
          <t>MOSPORT-LAW; NCA-ECC-2:2024; PDPL-2021</t>
        </is>
      </c>
      <c r="I39" s="190" t="inlineStr">
        <is>
          <t>https://mosport.gov.sa or via www.moi.gov.sa</t>
        </is>
      </c>
      <c r="J39" s="594">
        <f>(D39*3)+(G39*5)+(F39*1)</f>
        <v/>
      </c>
      <c r="K39" s="591">
        <f>IF(J39&gt;=50,"🔴 TIER 1",IF(J39&gt;=25,"🟠 TIER 2",IF(J39&gt;=10,"🟡 TIER 3","🟢 TIER 4")))</f>
        <v/>
      </c>
      <c r="L39" s="591">
        <f>COUNTIFS('All 108 Regulators - Frameworks'!B$4:B$500,A39,'All 108 Regulators - Frameworks'!BB$4:BB$500,"DEEP")</f>
        <v/>
      </c>
      <c r="M39" s="591">
        <f>COUNTIFS('All 108 Regulators - Frameworks'!B$4:B$500,A39,'All 108 Regulators - Frameworks'!BB$4:BB$500,"TEMPLATE")</f>
        <v/>
      </c>
      <c r="N39" s="675">
        <f>IFERROR(L39/(L39+M39),0)</f>
        <v/>
      </c>
      <c r="O39" s="675">
        <f>IFERROR(G39/F39,0)</f>
        <v/>
      </c>
      <c r="P39" s="608">
        <f>IFERROR(AVERAGEIFS('All 108 Regulators - Frameworks'!BF$4:BF$500,'All 108 Regulators - Frameworks'!B$4:B$500,A39),0)</f>
        <v/>
      </c>
    </row>
    <row r="40" ht="36" customHeight="1">
      <c r="A40" s="205" t="inlineStr">
        <is>
          <t>MOTour</t>
        </is>
      </c>
      <c r="B40" s="192" t="inlineStr">
        <is>
          <t>Ministry of Tourism</t>
        </is>
      </c>
      <c r="C40" s="190" t="inlineStr">
        <is>
          <t>1. Ministries</t>
        </is>
      </c>
      <c r="D40" s="190" t="n">
        <v>1</v>
      </c>
      <c r="E40" s="190" t="n">
        <v>2</v>
      </c>
      <c r="F40" s="190" t="n">
        <v>3</v>
      </c>
      <c r="G40" s="190" t="n">
        <v>0</v>
      </c>
      <c r="H40" s="190" t="inlineStr">
        <is>
          <t>MOTour-LAW; NCA-ECC-2:2024; PDPL-2021</t>
        </is>
      </c>
      <c r="I40" s="190" t="inlineStr">
        <is>
          <t>https://motour.gov.sa or via www.moi.gov.sa</t>
        </is>
      </c>
      <c r="J40" s="594">
        <f>(D40*3)+(G40*5)+(F40*1)</f>
        <v/>
      </c>
      <c r="K40" s="591">
        <f>IF(J40&gt;=50,"🔴 TIER 1",IF(J40&gt;=25,"🟠 TIER 2",IF(J40&gt;=10,"🟡 TIER 3","🟢 TIER 4")))</f>
        <v/>
      </c>
      <c r="L40" s="591">
        <f>COUNTIFS('All 108 Regulators - Frameworks'!B$4:B$500,A40,'All 108 Regulators - Frameworks'!BB$4:BB$500,"DEEP")</f>
        <v/>
      </c>
      <c r="M40" s="591">
        <f>COUNTIFS('All 108 Regulators - Frameworks'!B$4:B$500,A40,'All 108 Regulators - Frameworks'!BB$4:BB$500,"TEMPLATE")</f>
        <v/>
      </c>
      <c r="N40" s="675">
        <f>IFERROR(L40/(L40+M40),0)</f>
        <v/>
      </c>
      <c r="O40" s="675">
        <f>IFERROR(G40/F40,0)</f>
        <v/>
      </c>
      <c r="P40" s="608">
        <f>IFERROR(AVERAGEIFS('All 108 Regulators - Frameworks'!BF$4:BF$500,'All 108 Regulators - Frameworks'!B$4:B$500,A40),0)</f>
        <v/>
      </c>
    </row>
    <row r="41" ht="36" customHeight="1">
      <c r="A41" s="205" t="inlineStr">
        <is>
          <t>MOJ</t>
        </is>
      </c>
      <c r="B41" s="192" t="inlineStr">
        <is>
          <t>Ministry of Justice</t>
        </is>
      </c>
      <c r="C41" s="190" t="inlineStr">
        <is>
          <t>1. Ministries</t>
        </is>
      </c>
      <c r="D41" s="190" t="n">
        <v>1</v>
      </c>
      <c r="E41" s="190" t="n">
        <v>2</v>
      </c>
      <c r="F41" s="190" t="n">
        <v>3</v>
      </c>
      <c r="G41" s="190" t="n">
        <v>0</v>
      </c>
      <c r="H41" s="190" t="inlineStr">
        <is>
          <t>MOJ-LAW; NCA-ECC-2:2024; PDPL-2021</t>
        </is>
      </c>
      <c r="I41" s="190" t="inlineStr">
        <is>
          <t>https://moj.gov.sa or via www.moi.gov.sa</t>
        </is>
      </c>
      <c r="J41" s="594">
        <f>(D41*3)+(G41*5)+(F41*1)</f>
        <v/>
      </c>
      <c r="K41" s="591">
        <f>IF(J41&gt;=50,"🔴 TIER 1",IF(J41&gt;=25,"🟠 TIER 2",IF(J41&gt;=10,"🟡 TIER 3","🟢 TIER 4")))</f>
        <v/>
      </c>
      <c r="L41" s="591">
        <f>COUNTIFS('All 108 Regulators - Frameworks'!B$4:B$500,A41,'All 108 Regulators - Frameworks'!BB$4:BB$500,"DEEP")</f>
        <v/>
      </c>
      <c r="M41" s="591">
        <f>COUNTIFS('All 108 Regulators - Frameworks'!B$4:B$500,A41,'All 108 Regulators - Frameworks'!BB$4:BB$500,"TEMPLATE")</f>
        <v/>
      </c>
      <c r="N41" s="675">
        <f>IFERROR(L41/(L41+M41),0)</f>
        <v/>
      </c>
      <c r="O41" s="675">
        <f>IFERROR(G41/F41,0)</f>
        <v/>
      </c>
      <c r="P41" s="608">
        <f>IFERROR(AVERAGEIFS('All 108 Regulators - Frameworks'!BF$4:BF$500,'All 108 Regulators - Frameworks'!B$4:B$500,A41),0)</f>
        <v/>
      </c>
    </row>
    <row r="42" ht="36" customHeight="1">
      <c r="A42" s="97" t="inlineStr">
        <is>
          <t>PPA</t>
        </is>
      </c>
      <c r="B42" s="99" t="inlineStr">
        <is>
          <t>Public Pension Agency</t>
        </is>
      </c>
      <c r="C42" s="98" t="inlineStr">
        <is>
          <t>5. Financial Regulators</t>
        </is>
      </c>
      <c r="D42" s="98" t="n">
        <v>1</v>
      </c>
      <c r="E42" s="98" t="n">
        <v>1</v>
      </c>
      <c r="F42" s="98" t="n">
        <v>2</v>
      </c>
      <c r="G42" s="98" t="n">
        <v>0</v>
      </c>
      <c r="H42" s="98" t="inlineStr">
        <is>
          <t>PPA-FW; NCA-ECC-2:2024</t>
        </is>
      </c>
      <c r="I42" s="98" t="inlineStr">
        <is>
          <t>https://www.gov.sa/</t>
        </is>
      </c>
      <c r="J42" s="594">
        <f>(D42*3)+(G42*5)+(F42*1)</f>
        <v/>
      </c>
      <c r="K42" s="591">
        <f>IF(J42&gt;=50,"🔴 TIER 1",IF(J42&gt;=25,"🟠 TIER 2",IF(J42&gt;=10,"🟡 TIER 3","🟢 TIER 4")))</f>
        <v/>
      </c>
      <c r="L42" s="591">
        <f>COUNTIFS('All 108 Regulators - Frameworks'!B$4:B$500,A42,'All 108 Regulators - Frameworks'!BB$4:BB$500,"DEEP")</f>
        <v/>
      </c>
      <c r="M42" s="591">
        <f>COUNTIFS('All 108 Regulators - Frameworks'!B$4:B$500,A42,'All 108 Regulators - Frameworks'!BB$4:BB$500,"TEMPLATE")</f>
        <v/>
      </c>
      <c r="N42" s="675">
        <f>IFERROR(L42/(L42+M42),0)</f>
        <v/>
      </c>
      <c r="O42" s="675">
        <f>IFERROR(G42/F42,0)</f>
        <v/>
      </c>
      <c r="P42" s="608">
        <f>IFERROR(AVERAGEIFS('All 108 Regulators - Frameworks'!BF$4:BF$500,'All 108 Regulators - Frameworks'!B$4:B$500,A42),0)</f>
        <v/>
      </c>
    </row>
    <row r="43" ht="36" customHeight="1">
      <c r="A43" s="97" t="inlineStr">
        <is>
          <t>PIF</t>
        </is>
      </c>
      <c r="B43" s="99" t="inlineStr">
        <is>
          <t>Public Investment Fund</t>
        </is>
      </c>
      <c r="C43" s="98" t="inlineStr">
        <is>
          <t>5. Financial Regulators</t>
        </is>
      </c>
      <c r="D43" s="98" t="n">
        <v>1</v>
      </c>
      <c r="E43" s="98" t="n">
        <v>1</v>
      </c>
      <c r="F43" s="98" t="n">
        <v>2</v>
      </c>
      <c r="G43" s="98" t="n">
        <v>0</v>
      </c>
      <c r="H43" s="98" t="inlineStr">
        <is>
          <t>PIF-FW; NCA-ECC-2:2024</t>
        </is>
      </c>
      <c r="I43" s="98" t="inlineStr">
        <is>
          <t>https://www.gov.sa/</t>
        </is>
      </c>
      <c r="J43" s="594">
        <f>(D43*3)+(G43*5)+(F43*1)</f>
        <v/>
      </c>
      <c r="K43" s="591">
        <f>IF(J43&gt;=50,"🔴 TIER 1",IF(J43&gt;=25,"🟠 TIER 2",IF(J43&gt;=10,"🟡 TIER 3","🟢 TIER 4")))</f>
        <v/>
      </c>
      <c r="L43" s="591">
        <f>COUNTIFS('All 108 Regulators - Frameworks'!B$4:B$500,A43,'All 108 Regulators - Frameworks'!BB$4:BB$500,"DEEP")</f>
        <v/>
      </c>
      <c r="M43" s="591">
        <f>COUNTIFS('All 108 Regulators - Frameworks'!B$4:B$500,A43,'All 108 Regulators - Frameworks'!BB$4:BB$500,"TEMPLATE")</f>
        <v/>
      </c>
      <c r="N43" s="675">
        <f>IFERROR(L43/(L43+M43),0)</f>
        <v/>
      </c>
      <c r="O43" s="675">
        <f>IFERROR(G43/F43,0)</f>
        <v/>
      </c>
      <c r="P43" s="608">
        <f>IFERROR(AVERAGEIFS('All 108 Regulators - Frameworks'!BF$4:BF$500,'All 108 Regulators - Frameworks'!B$4:B$500,A43),0)</f>
        <v/>
      </c>
    </row>
    <row r="44" ht="36" customHeight="1">
      <c r="A44" s="97" t="inlineStr">
        <is>
          <t>SIDF</t>
        </is>
      </c>
      <c r="B44" s="99" t="inlineStr">
        <is>
          <t>Saudi Industrial Development Fund</t>
        </is>
      </c>
      <c r="C44" s="98" t="inlineStr">
        <is>
          <t>5. Financial Regulators</t>
        </is>
      </c>
      <c r="D44" s="98" t="n">
        <v>1</v>
      </c>
      <c r="E44" s="98" t="n">
        <v>1</v>
      </c>
      <c r="F44" s="98" t="n">
        <v>2</v>
      </c>
      <c r="G44" s="98" t="n">
        <v>0</v>
      </c>
      <c r="H44" s="98" t="inlineStr">
        <is>
          <t>SIDF-FW; NCA-ECC-2:2024</t>
        </is>
      </c>
      <c r="I44" s="98" t="inlineStr">
        <is>
          <t>https://www.gov.sa/</t>
        </is>
      </c>
      <c r="J44" s="594">
        <f>(D44*3)+(G44*5)+(F44*1)</f>
        <v/>
      </c>
      <c r="K44" s="591">
        <f>IF(J44&gt;=50,"🔴 TIER 1",IF(J44&gt;=25,"🟠 TIER 2",IF(J44&gt;=10,"🟡 TIER 3","🟢 TIER 4")))</f>
        <v/>
      </c>
      <c r="L44" s="591">
        <f>COUNTIFS('All 108 Regulators - Frameworks'!B$4:B$500,A44,'All 108 Regulators - Frameworks'!BB$4:BB$500,"DEEP")</f>
        <v/>
      </c>
      <c r="M44" s="591">
        <f>COUNTIFS('All 108 Regulators - Frameworks'!B$4:B$500,A44,'All 108 Regulators - Frameworks'!BB$4:BB$500,"TEMPLATE")</f>
        <v/>
      </c>
      <c r="N44" s="675">
        <f>IFERROR(L44/(L44+M44),0)</f>
        <v/>
      </c>
      <c r="O44" s="675">
        <f>IFERROR(G44/F44,0)</f>
        <v/>
      </c>
      <c r="P44" s="608">
        <f>IFERROR(AVERAGEIFS('All 108 Regulators - Frameworks'!BF$4:BF$500,'All 108 Regulators - Frameworks'!B$4:B$500,A44),0)</f>
        <v/>
      </c>
    </row>
    <row r="45" ht="36" customHeight="1">
      <c r="A45" s="97" t="inlineStr">
        <is>
          <t>SFD</t>
        </is>
      </c>
      <c r="B45" s="99" t="inlineStr">
        <is>
          <t>Saudi Fund for Development</t>
        </is>
      </c>
      <c r="C45" s="98" t="inlineStr">
        <is>
          <t>5. Financial Regulators</t>
        </is>
      </c>
      <c r="D45" s="98" t="n">
        <v>1</v>
      </c>
      <c r="E45" s="98" t="n">
        <v>1</v>
      </c>
      <c r="F45" s="98" t="n">
        <v>2</v>
      </c>
      <c r="G45" s="98" t="n">
        <v>0</v>
      </c>
      <c r="H45" s="98" t="inlineStr">
        <is>
          <t>SFD-FW; NCA-ECC-2:2024</t>
        </is>
      </c>
      <c r="I45" s="98" t="inlineStr">
        <is>
          <t>https://www.gov.sa/</t>
        </is>
      </c>
      <c r="J45" s="594">
        <f>(D45*3)+(G45*5)+(F45*1)</f>
        <v/>
      </c>
      <c r="K45" s="591">
        <f>IF(J45&gt;=50,"🔴 TIER 1",IF(J45&gt;=25,"🟠 TIER 2",IF(J45&gt;=10,"🟡 TIER 3","🟢 TIER 4")))</f>
        <v/>
      </c>
      <c r="L45" s="591">
        <f>COUNTIFS('All 108 Regulators - Frameworks'!B$4:B$500,A45,'All 108 Regulators - Frameworks'!BB$4:BB$500,"DEEP")</f>
        <v/>
      </c>
      <c r="M45" s="591">
        <f>COUNTIFS('All 108 Regulators - Frameworks'!B$4:B$500,A45,'All 108 Regulators - Frameworks'!BB$4:BB$500,"TEMPLATE")</f>
        <v/>
      </c>
      <c r="N45" s="675">
        <f>IFERROR(L45/(L45+M45),0)</f>
        <v/>
      </c>
      <c r="O45" s="675">
        <f>IFERROR(G45/F45,0)</f>
        <v/>
      </c>
      <c r="P45" s="608">
        <f>IFERROR(AVERAGEIFS('All 108 Regulators - Frameworks'!BF$4:BF$500,'All 108 Regulators - Frameworks'!B$4:B$500,A45),0)</f>
        <v/>
      </c>
    </row>
    <row r="46" ht="36" customHeight="1">
      <c r="A46" s="97" t="inlineStr">
        <is>
          <t>REDF</t>
        </is>
      </c>
      <c r="B46" s="99" t="inlineStr">
        <is>
          <t>Real Estate Development Fund</t>
        </is>
      </c>
      <c r="C46" s="98" t="inlineStr">
        <is>
          <t>5. Financial Regulators</t>
        </is>
      </c>
      <c r="D46" s="98" t="n">
        <v>1</v>
      </c>
      <c r="E46" s="98" t="n">
        <v>1</v>
      </c>
      <c r="F46" s="98" t="n">
        <v>2</v>
      </c>
      <c r="G46" s="98" t="n">
        <v>0</v>
      </c>
      <c r="H46" s="98" t="inlineStr">
        <is>
          <t>REDF-FW; NCA-ECC-2:2024</t>
        </is>
      </c>
      <c r="I46" s="98" t="inlineStr">
        <is>
          <t>https://www.gov.sa/</t>
        </is>
      </c>
      <c r="J46" s="594">
        <f>(D46*3)+(G46*5)+(F46*1)</f>
        <v/>
      </c>
      <c r="K46" s="591">
        <f>IF(J46&gt;=50,"🔴 TIER 1",IF(J46&gt;=25,"🟠 TIER 2",IF(J46&gt;=10,"🟡 TIER 3","🟢 TIER 4")))</f>
        <v/>
      </c>
      <c r="L46" s="591">
        <f>COUNTIFS('All 108 Regulators - Frameworks'!B$4:B$500,A46,'All 108 Regulators - Frameworks'!BB$4:BB$500,"DEEP")</f>
        <v/>
      </c>
      <c r="M46" s="591">
        <f>COUNTIFS('All 108 Regulators - Frameworks'!B$4:B$500,A46,'All 108 Regulators - Frameworks'!BB$4:BB$500,"TEMPLATE")</f>
        <v/>
      </c>
      <c r="N46" s="675">
        <f>IFERROR(L46/(L46+M46),0)</f>
        <v/>
      </c>
      <c r="O46" s="675">
        <f>IFERROR(G46/F46,0)</f>
        <v/>
      </c>
      <c r="P46" s="608">
        <f>IFERROR(AVERAGEIFS('All 108 Regulators - Frameworks'!BF$4:BF$500,'All 108 Regulators - Frameworks'!B$4:B$500,A46),0)</f>
        <v/>
      </c>
    </row>
    <row r="47" ht="36" customHeight="1">
      <c r="A47" s="97" t="inlineStr">
        <is>
          <t>SME</t>
        </is>
      </c>
      <c r="B47" s="99" t="inlineStr">
        <is>
          <t>Monshaat (SME General Authority)</t>
        </is>
      </c>
      <c r="C47" s="98" t="inlineStr">
        <is>
          <t>5. Financial Regulators</t>
        </is>
      </c>
      <c r="D47" s="98" t="n">
        <v>1</v>
      </c>
      <c r="E47" s="98" t="n">
        <v>1</v>
      </c>
      <c r="F47" s="98" t="n">
        <v>2</v>
      </c>
      <c r="G47" s="98" t="n">
        <v>0</v>
      </c>
      <c r="H47" s="98" t="inlineStr">
        <is>
          <t>SME-FW; NCA-ECC-2:2024</t>
        </is>
      </c>
      <c r="I47" s="98" t="inlineStr">
        <is>
          <t>https://www.gov.sa/</t>
        </is>
      </c>
      <c r="J47" s="594">
        <f>(D47*3)+(G47*5)+(F47*1)</f>
        <v/>
      </c>
      <c r="K47" s="591">
        <f>IF(J47&gt;=50,"🔴 TIER 1",IF(J47&gt;=25,"🟠 TIER 2",IF(J47&gt;=10,"🟡 TIER 3","🟢 TIER 4")))</f>
        <v/>
      </c>
      <c r="L47" s="591">
        <f>COUNTIFS('All 108 Regulators - Frameworks'!B$4:B$500,A47,'All 108 Regulators - Frameworks'!BB$4:BB$500,"DEEP")</f>
        <v/>
      </c>
      <c r="M47" s="591">
        <f>COUNTIFS('All 108 Regulators - Frameworks'!B$4:B$500,A47,'All 108 Regulators - Frameworks'!BB$4:BB$500,"TEMPLATE")</f>
        <v/>
      </c>
      <c r="N47" s="675">
        <f>IFERROR(L47/(L47+M47),0)</f>
        <v/>
      </c>
      <c r="O47" s="675">
        <f>IFERROR(G47/F47,0)</f>
        <v/>
      </c>
      <c r="P47" s="608">
        <f>IFERROR(AVERAGEIFS('All 108 Regulators - Frameworks'!BF$4:BF$500,'All 108 Regulators - Frameworks'!B$4:B$500,A47),0)</f>
        <v/>
      </c>
    </row>
    <row r="48" ht="36" customHeight="1">
      <c r="A48" s="97" t="inlineStr">
        <is>
          <t>HRDF</t>
        </is>
      </c>
      <c r="B48" s="99" t="inlineStr">
        <is>
          <t>Human Resources Development Fund</t>
        </is>
      </c>
      <c r="C48" s="98" t="inlineStr">
        <is>
          <t>5. Financial Regulators</t>
        </is>
      </c>
      <c r="D48" s="98" t="n">
        <v>1</v>
      </c>
      <c r="E48" s="98" t="n">
        <v>1</v>
      </c>
      <c r="F48" s="98" t="n">
        <v>2</v>
      </c>
      <c r="G48" s="98" t="n">
        <v>0</v>
      </c>
      <c r="H48" s="98" t="inlineStr">
        <is>
          <t>HRDF-FW; NCA-ECC-2:2024</t>
        </is>
      </c>
      <c r="I48" s="98" t="inlineStr">
        <is>
          <t>https://www.gov.sa/</t>
        </is>
      </c>
      <c r="J48" s="594">
        <f>(D48*3)+(G48*5)+(F48*1)</f>
        <v/>
      </c>
      <c r="K48" s="591">
        <f>IF(J48&gt;=50,"🔴 TIER 1",IF(J48&gt;=25,"🟠 TIER 2",IF(J48&gt;=10,"🟡 TIER 3","🟢 TIER 4")))</f>
        <v/>
      </c>
      <c r="L48" s="591">
        <f>COUNTIFS('All 108 Regulators - Frameworks'!B$4:B$500,A48,'All 108 Regulators - Frameworks'!BB$4:BB$500,"DEEP")</f>
        <v/>
      </c>
      <c r="M48" s="591">
        <f>COUNTIFS('All 108 Regulators - Frameworks'!B$4:B$500,A48,'All 108 Regulators - Frameworks'!BB$4:BB$500,"TEMPLATE")</f>
        <v/>
      </c>
      <c r="N48" s="675">
        <f>IFERROR(L48/(L48+M48),0)</f>
        <v/>
      </c>
      <c r="O48" s="675">
        <f>IFERROR(G48/F48,0)</f>
        <v/>
      </c>
      <c r="P48" s="608">
        <f>IFERROR(AVERAGEIFS('All 108 Regulators - Frameworks'!BF$4:BF$500,'All 108 Regulators - Frameworks'!B$4:B$500,A48),0)</f>
        <v/>
      </c>
    </row>
    <row r="49" ht="36" customHeight="1">
      <c r="A49" s="97" t="inlineStr">
        <is>
          <t>Tadawul</t>
        </is>
      </c>
      <c r="B49" s="99" t="inlineStr">
        <is>
          <t>Saudi Exchange (Tadawul)</t>
        </is>
      </c>
      <c r="C49" s="98" t="inlineStr">
        <is>
          <t>5. Financial Regulators</t>
        </is>
      </c>
      <c r="D49" s="98" t="n">
        <v>1</v>
      </c>
      <c r="E49" s="98" t="n">
        <v>1</v>
      </c>
      <c r="F49" s="98" t="n">
        <v>2</v>
      </c>
      <c r="G49" s="98" t="n">
        <v>0</v>
      </c>
      <c r="H49" s="98" t="inlineStr">
        <is>
          <t>Tadawul-FW; NCA-ECC-2:2024</t>
        </is>
      </c>
      <c r="I49" s="98" t="inlineStr">
        <is>
          <t>https://www.gov.sa/</t>
        </is>
      </c>
      <c r="J49" s="594">
        <f>(D49*3)+(G49*5)+(F49*1)</f>
        <v/>
      </c>
      <c r="K49" s="591">
        <f>IF(J49&gt;=50,"🔴 TIER 1",IF(J49&gt;=25,"🟠 TIER 2",IF(J49&gt;=10,"🟡 TIER 3","🟢 TIER 4")))</f>
        <v/>
      </c>
      <c r="L49" s="591">
        <f>COUNTIFS('All 108 Regulators - Frameworks'!B$4:B$500,A49,'All 108 Regulators - Frameworks'!BB$4:BB$500,"DEEP")</f>
        <v/>
      </c>
      <c r="M49" s="591">
        <f>COUNTIFS('All 108 Regulators - Frameworks'!B$4:B$500,A49,'All 108 Regulators - Frameworks'!BB$4:BB$500,"TEMPLATE")</f>
        <v/>
      </c>
      <c r="N49" s="675">
        <f>IFERROR(L49/(L49+M49),0)</f>
        <v/>
      </c>
      <c r="O49" s="675">
        <f>IFERROR(G49/F49,0)</f>
        <v/>
      </c>
      <c r="P49" s="608">
        <f>IFERROR(AVERAGEIFS('All 108 Regulators - Frameworks'!BF$4:BF$500,'All 108 Regulators - Frameworks'!B$4:B$500,A49),0)</f>
        <v/>
      </c>
    </row>
    <row r="50" ht="36" customHeight="1">
      <c r="A50" s="144" t="inlineStr">
        <is>
          <t>GAFT</t>
        </is>
      </c>
      <c r="B50" s="146" t="inlineStr">
        <is>
          <t>General Authority for Foreign Trade</t>
        </is>
      </c>
      <c r="C50" s="145" t="inlineStr">
        <is>
          <t>6. Tax / Customs / Trade</t>
        </is>
      </c>
      <c r="D50" s="145" t="n">
        <v>1</v>
      </c>
      <c r="E50" s="145" t="n">
        <v>1</v>
      </c>
      <c r="F50" s="145" t="n">
        <v>2</v>
      </c>
      <c r="G50" s="145" t="n">
        <v>0</v>
      </c>
      <c r="H50" s="145" t="inlineStr">
        <is>
          <t>GAFT-FW; NCA-ECC-2:2024</t>
        </is>
      </c>
      <c r="I50" s="145" t="inlineStr">
        <is>
          <t>https://www.gov.sa/</t>
        </is>
      </c>
      <c r="J50" s="594">
        <f>(D50*3)+(G50*5)+(F50*1)</f>
        <v/>
      </c>
      <c r="K50" s="591">
        <f>IF(J50&gt;=50,"🔴 TIER 1",IF(J50&gt;=25,"🟠 TIER 2",IF(J50&gt;=10,"🟡 TIER 3","🟢 TIER 4")))</f>
        <v/>
      </c>
      <c r="L50" s="591">
        <f>COUNTIFS('All 108 Regulators - Frameworks'!B$4:B$500,A50,'All 108 Regulators - Frameworks'!BB$4:BB$500,"DEEP")</f>
        <v/>
      </c>
      <c r="M50" s="591">
        <f>COUNTIFS('All 108 Regulators - Frameworks'!B$4:B$500,A50,'All 108 Regulators - Frameworks'!BB$4:BB$500,"TEMPLATE")</f>
        <v/>
      </c>
      <c r="N50" s="675">
        <f>IFERROR(L50/(L50+M50),0)</f>
        <v/>
      </c>
      <c r="O50" s="675">
        <f>IFERROR(G50/F50,0)</f>
        <v/>
      </c>
      <c r="P50" s="608">
        <f>IFERROR(AVERAGEIFS('All 108 Regulators - Frameworks'!BF$4:BF$500,'All 108 Regulators - Frameworks'!B$4:B$500,A50),0)</f>
        <v/>
      </c>
    </row>
    <row r="51" ht="36" customHeight="1">
      <c r="A51" s="167" t="inlineStr">
        <is>
          <t>SAAC</t>
        </is>
      </c>
      <c r="B51" s="169" t="inlineStr">
        <is>
          <t>Saudi Accreditation Centre</t>
        </is>
      </c>
      <c r="C51" s="168" t="inlineStr">
        <is>
          <t>7. Standards &amp; Quality</t>
        </is>
      </c>
      <c r="D51" s="168" t="n">
        <v>1</v>
      </c>
      <c r="E51" s="168" t="n">
        <v>1</v>
      </c>
      <c r="F51" s="168" t="n">
        <v>2</v>
      </c>
      <c r="G51" s="168" t="n">
        <v>0</v>
      </c>
      <c r="H51" s="168" t="inlineStr">
        <is>
          <t>SAAC-FW; NCA-ECC-2:2024</t>
        </is>
      </c>
      <c r="I51" s="168" t="inlineStr">
        <is>
          <t>https://www.gov.sa/</t>
        </is>
      </c>
      <c r="J51" s="594">
        <f>(D51*3)+(G51*5)+(F51*1)</f>
        <v/>
      </c>
      <c r="K51" s="591">
        <f>IF(J51&gt;=50,"🔴 TIER 1",IF(J51&gt;=25,"🟠 TIER 2",IF(J51&gt;=10,"🟡 TIER 3","🟢 TIER 4")))</f>
        <v/>
      </c>
      <c r="L51" s="591">
        <f>COUNTIFS('All 108 Regulators - Frameworks'!B$4:B$500,A51,'All 108 Regulators - Frameworks'!BB$4:BB$500,"DEEP")</f>
        <v/>
      </c>
      <c r="M51" s="591">
        <f>COUNTIFS('All 108 Regulators - Frameworks'!B$4:B$500,A51,'All 108 Regulators - Frameworks'!BB$4:BB$500,"TEMPLATE")</f>
        <v/>
      </c>
      <c r="N51" s="675">
        <f>IFERROR(L51/(L51+M51),0)</f>
        <v/>
      </c>
      <c r="O51" s="675">
        <f>IFERROR(G51/F51,0)</f>
        <v/>
      </c>
      <c r="P51" s="608">
        <f>IFERROR(AVERAGEIFS('All 108 Regulators - Frameworks'!BF$4:BF$500,'All 108 Regulators - Frameworks'!B$4:B$500,A51),0)</f>
        <v/>
      </c>
    </row>
    <row r="52" ht="36" customHeight="1">
      <c r="A52" s="167" t="inlineStr">
        <is>
          <t>GASTAT</t>
        </is>
      </c>
      <c r="B52" s="169" t="inlineStr">
        <is>
          <t>General Authority for Statistics</t>
        </is>
      </c>
      <c r="C52" s="168" t="inlineStr">
        <is>
          <t>7. Standards &amp; Quality</t>
        </is>
      </c>
      <c r="D52" s="168" t="n">
        <v>1</v>
      </c>
      <c r="E52" s="168" t="n">
        <v>1</v>
      </c>
      <c r="F52" s="168" t="n">
        <v>2</v>
      </c>
      <c r="G52" s="168" t="n">
        <v>0</v>
      </c>
      <c r="H52" s="168" t="inlineStr">
        <is>
          <t>GASTAT-FW; NCA-ECC-2:2024</t>
        </is>
      </c>
      <c r="I52" s="168" t="inlineStr">
        <is>
          <t>https://www.gov.sa/</t>
        </is>
      </c>
      <c r="J52" s="594">
        <f>(D52*3)+(G52*5)+(F52*1)</f>
        <v/>
      </c>
      <c r="K52" s="591">
        <f>IF(J52&gt;=50,"🔴 TIER 1",IF(J52&gt;=25,"🟠 TIER 2",IF(J52&gt;=10,"🟡 TIER 3","🟢 TIER 4")))</f>
        <v/>
      </c>
      <c r="L52" s="591">
        <f>COUNTIFS('All 108 Regulators - Frameworks'!B$4:B$500,A52,'All 108 Regulators - Frameworks'!BB$4:BB$500,"DEEP")</f>
        <v/>
      </c>
      <c r="M52" s="591">
        <f>COUNTIFS('All 108 Regulators - Frameworks'!B$4:B$500,A52,'All 108 Regulators - Frameworks'!BB$4:BB$500,"TEMPLATE")</f>
        <v/>
      </c>
      <c r="N52" s="675">
        <f>IFERROR(L52/(L52+M52),0)</f>
        <v/>
      </c>
      <c r="O52" s="675">
        <f>IFERROR(G52/F52,0)</f>
        <v/>
      </c>
      <c r="P52" s="608">
        <f>IFERROR(AVERAGEIFS('All 108 Regulators - Frameworks'!BF$4:BF$500,'All 108 Regulators - Frameworks'!B$4:B$500,A52),0)</f>
        <v/>
      </c>
    </row>
    <row r="53" ht="36" customHeight="1">
      <c r="A53" s="167" t="inlineStr">
        <is>
          <t>SAFCSP</t>
        </is>
      </c>
      <c r="B53" s="169" t="inlineStr">
        <is>
          <t>Saudi Org. for Certified Public Accountants</t>
        </is>
      </c>
      <c r="C53" s="168" t="inlineStr">
        <is>
          <t>7. Standards &amp; Quality</t>
        </is>
      </c>
      <c r="D53" s="168" t="n">
        <v>1</v>
      </c>
      <c r="E53" s="168" t="n">
        <v>1</v>
      </c>
      <c r="F53" s="168" t="n">
        <v>2</v>
      </c>
      <c r="G53" s="168" t="n">
        <v>0</v>
      </c>
      <c r="H53" s="168" t="inlineStr">
        <is>
          <t>SAFCSP-FW; NCA-ECC-2:2024</t>
        </is>
      </c>
      <c r="I53" s="168" t="inlineStr">
        <is>
          <t>https://www.gov.sa/</t>
        </is>
      </c>
      <c r="J53" s="594">
        <f>(D53*3)+(G53*5)+(F53*1)</f>
        <v/>
      </c>
      <c r="K53" s="591">
        <f>IF(J53&gt;=50,"🔴 TIER 1",IF(J53&gt;=25,"🟠 TIER 2",IF(J53&gt;=10,"🟡 TIER 3","🟢 TIER 4")))</f>
        <v/>
      </c>
      <c r="L53" s="591">
        <f>COUNTIFS('All 108 Regulators - Frameworks'!B$4:B$500,A53,'All 108 Regulators - Frameworks'!BB$4:BB$500,"DEEP")</f>
        <v/>
      </c>
      <c r="M53" s="591">
        <f>COUNTIFS('All 108 Regulators - Frameworks'!B$4:B$500,A53,'All 108 Regulators - Frameworks'!BB$4:BB$500,"TEMPLATE")</f>
        <v/>
      </c>
      <c r="N53" s="675">
        <f>IFERROR(L53/(L53+M53),0)</f>
        <v/>
      </c>
      <c r="O53" s="675">
        <f>IFERROR(G53/F53,0)</f>
        <v/>
      </c>
      <c r="P53" s="608">
        <f>IFERROR(AVERAGEIFS('All 108 Regulators - Frameworks'!BF$4:BF$500,'All 108 Regulators - Frameworks'!B$4:B$500,A53),0)</f>
        <v/>
      </c>
    </row>
    <row r="54" ht="36" customHeight="1">
      <c r="A54" s="213" t="inlineStr">
        <is>
          <t>ECRA</t>
        </is>
      </c>
      <c r="B54" s="215" t="inlineStr">
        <is>
          <t>Electricity &amp; Cogeneration Regulatory Authority</t>
        </is>
      </c>
      <c r="C54" s="214" t="inlineStr">
        <is>
          <t>8. Energy &amp; Utilities</t>
        </is>
      </c>
      <c r="D54" s="214" t="n">
        <v>1</v>
      </c>
      <c r="E54" s="214" t="n">
        <v>1</v>
      </c>
      <c r="F54" s="214" t="n">
        <v>2</v>
      </c>
      <c r="G54" s="214" t="n">
        <v>0</v>
      </c>
      <c r="H54" s="214" t="inlineStr">
        <is>
          <t>ECRA-FW; NCA-ECC-2:2024</t>
        </is>
      </c>
      <c r="I54" s="214" t="inlineStr">
        <is>
          <t>https://www.gov.sa/</t>
        </is>
      </c>
      <c r="J54" s="594">
        <f>(D54*3)+(G54*5)+(F54*1)</f>
        <v/>
      </c>
      <c r="K54" s="591">
        <f>IF(J54&gt;=50,"🔴 TIER 1",IF(J54&gt;=25,"🟠 TIER 2",IF(J54&gt;=10,"🟡 TIER 3","🟢 TIER 4")))</f>
        <v/>
      </c>
      <c r="L54" s="591">
        <f>COUNTIFS('All 108 Regulators - Frameworks'!B$4:B$500,A54,'All 108 Regulators - Frameworks'!BB$4:BB$500,"DEEP")</f>
        <v/>
      </c>
      <c r="M54" s="591">
        <f>COUNTIFS('All 108 Regulators - Frameworks'!B$4:B$500,A54,'All 108 Regulators - Frameworks'!BB$4:BB$500,"TEMPLATE")</f>
        <v/>
      </c>
      <c r="N54" s="675">
        <f>IFERROR(L54/(L54+M54),0)</f>
        <v/>
      </c>
      <c r="O54" s="675">
        <f>IFERROR(G54/F54,0)</f>
        <v/>
      </c>
      <c r="P54" s="608">
        <f>IFERROR(AVERAGEIFS('All 108 Regulators - Frameworks'!BF$4:BF$500,'All 108 Regulators - Frameworks'!B$4:B$500,A54),0)</f>
        <v/>
      </c>
    </row>
    <row r="55" ht="36" customHeight="1">
      <c r="A55" s="213" t="inlineStr">
        <is>
          <t>KACARE</t>
        </is>
      </c>
      <c r="B55" s="215" t="inlineStr">
        <is>
          <t>King Abdullah City Atomic &amp; Renewable</t>
        </is>
      </c>
      <c r="C55" s="214" t="inlineStr">
        <is>
          <t>8. Energy &amp; Utilities</t>
        </is>
      </c>
      <c r="D55" s="214" t="n">
        <v>1</v>
      </c>
      <c r="E55" s="214" t="n">
        <v>1</v>
      </c>
      <c r="F55" s="214" t="n">
        <v>2</v>
      </c>
      <c r="G55" s="214" t="n">
        <v>0</v>
      </c>
      <c r="H55" s="214" t="inlineStr">
        <is>
          <t>KACARE-FW; NCA-ECC-2:2024</t>
        </is>
      </c>
      <c r="I55" s="214" t="inlineStr">
        <is>
          <t>https://www.gov.sa/</t>
        </is>
      </c>
      <c r="J55" s="594">
        <f>(D55*3)+(G55*5)+(F55*1)</f>
        <v/>
      </c>
      <c r="K55" s="591">
        <f>IF(J55&gt;=50,"🔴 TIER 1",IF(J55&gt;=25,"🟠 TIER 2",IF(J55&gt;=10,"🟡 TIER 3","🟢 TIER 4")))</f>
        <v/>
      </c>
      <c r="L55" s="591">
        <f>COUNTIFS('All 108 Regulators - Frameworks'!B$4:B$500,A55,'All 108 Regulators - Frameworks'!BB$4:BB$500,"DEEP")</f>
        <v/>
      </c>
      <c r="M55" s="591">
        <f>COUNTIFS('All 108 Regulators - Frameworks'!B$4:B$500,A55,'All 108 Regulators - Frameworks'!BB$4:BB$500,"TEMPLATE")</f>
        <v/>
      </c>
      <c r="N55" s="675">
        <f>IFERROR(L55/(L55+M55),0)</f>
        <v/>
      </c>
      <c r="O55" s="675">
        <f>IFERROR(G55/F55,0)</f>
        <v/>
      </c>
      <c r="P55" s="608">
        <f>IFERROR(AVERAGEIFS('All 108 Regulators - Frameworks'!BF$4:BF$500,'All 108 Regulators - Frameworks'!B$4:B$500,A55),0)</f>
        <v/>
      </c>
    </row>
    <row r="56" ht="36" customHeight="1">
      <c r="A56" s="213" t="inlineStr">
        <is>
          <t>SWCC</t>
        </is>
      </c>
      <c r="B56" s="215" t="inlineStr">
        <is>
          <t>Saline Water Conversion Corporation</t>
        </is>
      </c>
      <c r="C56" s="214" t="inlineStr">
        <is>
          <t>8. Energy &amp; Utilities</t>
        </is>
      </c>
      <c r="D56" s="214" t="n">
        <v>1</v>
      </c>
      <c r="E56" s="214" t="n">
        <v>1</v>
      </c>
      <c r="F56" s="214" t="n">
        <v>2</v>
      </c>
      <c r="G56" s="214" t="n">
        <v>0</v>
      </c>
      <c r="H56" s="214" t="inlineStr">
        <is>
          <t>SWCC-FW; NCA-ECC-2:2024</t>
        </is>
      </c>
      <c r="I56" s="214" t="inlineStr">
        <is>
          <t>https://www.gov.sa/</t>
        </is>
      </c>
      <c r="J56" s="594">
        <f>(D56*3)+(G56*5)+(F56*1)</f>
        <v/>
      </c>
      <c r="K56" s="591">
        <f>IF(J56&gt;=50,"🔴 TIER 1",IF(J56&gt;=25,"🟠 TIER 2",IF(J56&gt;=10,"🟡 TIER 3","🟢 TIER 4")))</f>
        <v/>
      </c>
      <c r="L56" s="591">
        <f>COUNTIFS('All 108 Regulators - Frameworks'!B$4:B$500,A56,'All 108 Regulators - Frameworks'!BB$4:BB$500,"DEEP")</f>
        <v/>
      </c>
      <c r="M56" s="591">
        <f>COUNTIFS('All 108 Regulators - Frameworks'!B$4:B$500,A56,'All 108 Regulators - Frameworks'!BB$4:BB$500,"TEMPLATE")</f>
        <v/>
      </c>
      <c r="N56" s="675">
        <f>IFERROR(L56/(L56+M56),0)</f>
        <v/>
      </c>
      <c r="O56" s="675">
        <f>IFERROR(G56/F56,0)</f>
        <v/>
      </c>
      <c r="P56" s="608">
        <f>IFERROR(AVERAGEIFS('All 108 Regulators - Frameworks'!BF$4:BF$500,'All 108 Regulators - Frameworks'!B$4:B$500,A56),0)</f>
        <v/>
      </c>
    </row>
    <row r="57" ht="36" customHeight="1">
      <c r="A57" s="213" t="inlineStr">
        <is>
          <t>NWC</t>
        </is>
      </c>
      <c r="B57" s="215" t="inlineStr">
        <is>
          <t>National Water Company</t>
        </is>
      </c>
      <c r="C57" s="214" t="inlineStr">
        <is>
          <t>8. Energy &amp; Utilities</t>
        </is>
      </c>
      <c r="D57" s="214" t="n">
        <v>1</v>
      </c>
      <c r="E57" s="214" t="n">
        <v>1</v>
      </c>
      <c r="F57" s="214" t="n">
        <v>2</v>
      </c>
      <c r="G57" s="214" t="n">
        <v>0</v>
      </c>
      <c r="H57" s="214" t="inlineStr">
        <is>
          <t>NWC-FW; NCA-ECC-2:2024</t>
        </is>
      </c>
      <c r="I57" s="214" t="inlineStr">
        <is>
          <t>https://www.gov.sa/</t>
        </is>
      </c>
      <c r="J57" s="594">
        <f>(D57*3)+(G57*5)+(F57*1)</f>
        <v/>
      </c>
      <c r="K57" s="591">
        <f>IF(J57&gt;=50,"🔴 TIER 1",IF(J57&gt;=25,"🟠 TIER 2",IF(J57&gt;=10,"🟡 TIER 3","🟢 TIER 4")))</f>
        <v/>
      </c>
      <c r="L57" s="591">
        <f>COUNTIFS('All 108 Regulators - Frameworks'!B$4:B$500,A57,'All 108 Regulators - Frameworks'!BB$4:BB$500,"DEEP")</f>
        <v/>
      </c>
      <c r="M57" s="591">
        <f>COUNTIFS('All 108 Regulators - Frameworks'!B$4:B$500,A57,'All 108 Regulators - Frameworks'!BB$4:BB$500,"TEMPLATE")</f>
        <v/>
      </c>
      <c r="N57" s="675">
        <f>IFERROR(L57/(L57+M57),0)</f>
        <v/>
      </c>
      <c r="O57" s="675">
        <f>IFERROR(G57/F57,0)</f>
        <v/>
      </c>
      <c r="P57" s="608">
        <f>IFERROR(AVERAGEIFS('All 108 Regulators - Frameworks'!BF$4:BF$500,'All 108 Regulators - Frameworks'!B$4:B$500,A57),0)</f>
        <v/>
      </c>
    </row>
    <row r="58" ht="36" customHeight="1">
      <c r="A58" s="235" t="inlineStr">
        <is>
          <t>NCEC</t>
        </is>
      </c>
      <c r="B58" s="237" t="inlineStr">
        <is>
          <t>Nat. Centre for Environmental Compliance</t>
        </is>
      </c>
      <c r="C58" s="236" t="inlineStr">
        <is>
          <t>9. Environment</t>
        </is>
      </c>
      <c r="D58" s="236" t="n">
        <v>1</v>
      </c>
      <c r="E58" s="236" t="n">
        <v>1</v>
      </c>
      <c r="F58" s="236" t="n">
        <v>2</v>
      </c>
      <c r="G58" s="236" t="n">
        <v>0</v>
      </c>
      <c r="H58" s="236" t="inlineStr">
        <is>
          <t>NCEC-FW; NCA-ECC-2:2024</t>
        </is>
      </c>
      <c r="I58" s="236" t="inlineStr">
        <is>
          <t>https://www.gov.sa/</t>
        </is>
      </c>
      <c r="J58" s="594">
        <f>(D58*3)+(G58*5)+(F58*1)</f>
        <v/>
      </c>
      <c r="K58" s="591">
        <f>IF(J58&gt;=50,"🔴 TIER 1",IF(J58&gt;=25,"🟠 TIER 2",IF(J58&gt;=10,"🟡 TIER 3","🟢 TIER 4")))</f>
        <v/>
      </c>
      <c r="L58" s="591">
        <f>COUNTIFS('All 108 Regulators - Frameworks'!B$4:B$500,A58,'All 108 Regulators - Frameworks'!BB$4:BB$500,"DEEP")</f>
        <v/>
      </c>
      <c r="M58" s="591">
        <f>COUNTIFS('All 108 Regulators - Frameworks'!B$4:B$500,A58,'All 108 Regulators - Frameworks'!BB$4:BB$500,"TEMPLATE")</f>
        <v/>
      </c>
      <c r="N58" s="675">
        <f>IFERROR(L58/(L58+M58),0)</f>
        <v/>
      </c>
      <c r="O58" s="675">
        <f>IFERROR(G58/F58,0)</f>
        <v/>
      </c>
      <c r="P58" s="608">
        <f>IFERROR(AVERAGEIFS('All 108 Regulators - Frameworks'!BF$4:BF$500,'All 108 Regulators - Frameworks'!B$4:B$500,A58),0)</f>
        <v/>
      </c>
    </row>
    <row r="59" ht="36" customHeight="1">
      <c r="A59" s="258" t="inlineStr">
        <is>
          <t>GACA</t>
        </is>
      </c>
      <c r="B59" s="260" t="inlineStr">
        <is>
          <t>General Authority of Civil Aviation</t>
        </is>
      </c>
      <c r="C59" s="259" t="inlineStr">
        <is>
          <t>10. Transport &amp; Logistics</t>
        </is>
      </c>
      <c r="D59" s="259" t="n">
        <v>1</v>
      </c>
      <c r="E59" s="259" t="n">
        <v>1</v>
      </c>
      <c r="F59" s="259" t="n">
        <v>2</v>
      </c>
      <c r="G59" s="259" t="n">
        <v>0</v>
      </c>
      <c r="H59" s="259" t="inlineStr">
        <is>
          <t>GACA-FW; NCA-ECC-2:2024</t>
        </is>
      </c>
      <c r="I59" s="259" t="inlineStr">
        <is>
          <t>https://www.gov.sa/</t>
        </is>
      </c>
      <c r="J59" s="594">
        <f>(D59*3)+(G59*5)+(F59*1)</f>
        <v/>
      </c>
      <c r="K59" s="591">
        <f>IF(J59&gt;=50,"🔴 TIER 1",IF(J59&gt;=25,"🟠 TIER 2",IF(J59&gt;=10,"🟡 TIER 3","🟢 TIER 4")))</f>
        <v/>
      </c>
      <c r="L59" s="591">
        <f>COUNTIFS('All 108 Regulators - Frameworks'!B$4:B$500,A59,'All 108 Regulators - Frameworks'!BB$4:BB$500,"DEEP")</f>
        <v/>
      </c>
      <c r="M59" s="591">
        <f>COUNTIFS('All 108 Regulators - Frameworks'!B$4:B$500,A59,'All 108 Regulators - Frameworks'!BB$4:BB$500,"TEMPLATE")</f>
        <v/>
      </c>
      <c r="N59" s="675">
        <f>IFERROR(L59/(L59+M59),0)</f>
        <v/>
      </c>
      <c r="O59" s="675">
        <f>IFERROR(G59/F59,0)</f>
        <v/>
      </c>
      <c r="P59" s="608">
        <f>IFERROR(AVERAGEIFS('All 108 Regulators - Frameworks'!BF$4:BF$500,'All 108 Regulators - Frameworks'!B$4:B$500,A59),0)</f>
        <v/>
      </c>
    </row>
    <row r="60" ht="36" customHeight="1">
      <c r="A60" s="258" t="inlineStr">
        <is>
          <t>MAWANI</t>
        </is>
      </c>
      <c r="B60" s="260" t="inlineStr">
        <is>
          <t>Saudi Ports Authority (Mawani)</t>
        </is>
      </c>
      <c r="C60" s="259" t="inlineStr">
        <is>
          <t>10. Transport &amp; Logistics</t>
        </is>
      </c>
      <c r="D60" s="259" t="n">
        <v>1</v>
      </c>
      <c r="E60" s="259" t="n">
        <v>1</v>
      </c>
      <c r="F60" s="259" t="n">
        <v>2</v>
      </c>
      <c r="G60" s="259" t="n">
        <v>0</v>
      </c>
      <c r="H60" s="259" t="inlineStr">
        <is>
          <t>MAWANI-FW; NCA-ECC-2:2024</t>
        </is>
      </c>
      <c r="I60" s="259" t="inlineStr">
        <is>
          <t>https://www.gov.sa/</t>
        </is>
      </c>
      <c r="J60" s="594">
        <f>(D60*3)+(G60*5)+(F60*1)</f>
        <v/>
      </c>
      <c r="K60" s="591">
        <f>IF(J60&gt;=50,"🔴 TIER 1",IF(J60&gt;=25,"🟠 TIER 2",IF(J60&gt;=10,"🟡 TIER 3","🟢 TIER 4")))</f>
        <v/>
      </c>
      <c r="L60" s="591">
        <f>COUNTIFS('All 108 Regulators - Frameworks'!B$4:B$500,A60,'All 108 Regulators - Frameworks'!BB$4:BB$500,"DEEP")</f>
        <v/>
      </c>
      <c r="M60" s="591">
        <f>COUNTIFS('All 108 Regulators - Frameworks'!B$4:B$500,A60,'All 108 Regulators - Frameworks'!BB$4:BB$500,"TEMPLATE")</f>
        <v/>
      </c>
      <c r="N60" s="675">
        <f>IFERROR(L60/(L60+M60),0)</f>
        <v/>
      </c>
      <c r="O60" s="675">
        <f>IFERROR(G60/F60,0)</f>
        <v/>
      </c>
      <c r="P60" s="608">
        <f>IFERROR(AVERAGEIFS('All 108 Regulators - Frameworks'!BF$4:BF$500,'All 108 Regulators - Frameworks'!B$4:B$500,A60),0)</f>
        <v/>
      </c>
    </row>
    <row r="61" ht="36" customHeight="1">
      <c r="A61" s="280" t="inlineStr">
        <is>
          <t>MODON</t>
        </is>
      </c>
      <c r="B61" s="282" t="inlineStr">
        <is>
          <t>Saudi Industrial Property Authority</t>
        </is>
      </c>
      <c r="C61" s="281" t="inlineStr">
        <is>
          <t>11. Industry &amp; Trade</t>
        </is>
      </c>
      <c r="D61" s="281" t="n">
        <v>1</v>
      </c>
      <c r="E61" s="281" t="n">
        <v>1</v>
      </c>
      <c r="F61" s="281" t="n">
        <v>2</v>
      </c>
      <c r="G61" s="281" t="n">
        <v>0</v>
      </c>
      <c r="H61" s="281" t="inlineStr">
        <is>
          <t>MODON-FW; NCA-ECC-2:2024</t>
        </is>
      </c>
      <c r="I61" s="281" t="inlineStr">
        <is>
          <t>https://www.gov.sa/</t>
        </is>
      </c>
      <c r="J61" s="594">
        <f>(D61*3)+(G61*5)+(F61*1)</f>
        <v/>
      </c>
      <c r="K61" s="591">
        <f>IF(J61&gt;=50,"🔴 TIER 1",IF(J61&gt;=25,"🟠 TIER 2",IF(J61&gt;=10,"🟡 TIER 3","🟢 TIER 4")))</f>
        <v/>
      </c>
      <c r="L61" s="591">
        <f>COUNTIFS('All 108 Regulators - Frameworks'!B$4:B$500,A61,'All 108 Regulators - Frameworks'!BB$4:BB$500,"DEEP")</f>
        <v/>
      </c>
      <c r="M61" s="591">
        <f>COUNTIFS('All 108 Regulators - Frameworks'!B$4:B$500,A61,'All 108 Regulators - Frameworks'!BB$4:BB$500,"TEMPLATE")</f>
        <v/>
      </c>
      <c r="N61" s="675">
        <f>IFERROR(L61/(L61+M61),0)</f>
        <v/>
      </c>
      <c r="O61" s="675">
        <f>IFERROR(G61/F61,0)</f>
        <v/>
      </c>
      <c r="P61" s="608">
        <f>IFERROR(AVERAGEIFS('All 108 Regulators - Frameworks'!BF$4:BF$500,'All 108 Regulators - Frameworks'!B$4:B$500,A61),0)</f>
        <v/>
      </c>
    </row>
    <row r="62" ht="36" customHeight="1">
      <c r="A62" s="280" t="inlineStr">
        <is>
          <t>RCJY</t>
        </is>
      </c>
      <c r="B62" s="282" t="inlineStr">
        <is>
          <t>Royal Commission for Jubail &amp; Yanbu</t>
        </is>
      </c>
      <c r="C62" s="281" t="inlineStr">
        <is>
          <t>11. Industry &amp; Trade</t>
        </is>
      </c>
      <c r="D62" s="281" t="n">
        <v>1</v>
      </c>
      <c r="E62" s="281" t="n">
        <v>1</v>
      </c>
      <c r="F62" s="281" t="n">
        <v>2</v>
      </c>
      <c r="G62" s="281" t="n">
        <v>0</v>
      </c>
      <c r="H62" s="281" t="inlineStr">
        <is>
          <t>RCJY-FW; NCA-ECC-2:2024</t>
        </is>
      </c>
      <c r="I62" s="281" t="inlineStr">
        <is>
          <t>https://www.gov.sa/</t>
        </is>
      </c>
      <c r="J62" s="594">
        <f>(D62*3)+(G62*5)+(F62*1)</f>
        <v/>
      </c>
      <c r="K62" s="591">
        <f>IF(J62&gt;=50,"🔴 TIER 1",IF(J62&gt;=25,"🟠 TIER 2",IF(J62&gt;=10,"🟡 TIER 3","🟢 TIER 4")))</f>
        <v/>
      </c>
      <c r="L62" s="591">
        <f>COUNTIFS('All 108 Regulators - Frameworks'!B$4:B$500,A62,'All 108 Regulators - Frameworks'!BB$4:BB$500,"DEEP")</f>
        <v/>
      </c>
      <c r="M62" s="591">
        <f>COUNTIFS('All 108 Regulators - Frameworks'!B$4:B$500,A62,'All 108 Regulators - Frameworks'!BB$4:BB$500,"TEMPLATE")</f>
        <v/>
      </c>
      <c r="N62" s="675">
        <f>IFERROR(L62/(L62+M62),0)</f>
        <v/>
      </c>
      <c r="O62" s="675">
        <f>IFERROR(G62/F62,0)</f>
        <v/>
      </c>
      <c r="P62" s="608">
        <f>IFERROR(AVERAGEIFS('All 108 Regulators - Frameworks'!BF$4:BF$500,'All 108 Regulators - Frameworks'!B$4:B$500,A62),0)</f>
        <v/>
      </c>
    </row>
    <row r="63" ht="36" customHeight="1">
      <c r="A63" s="280" t="inlineStr">
        <is>
          <t>STA</t>
        </is>
      </c>
      <c r="B63" s="282" t="inlineStr">
        <is>
          <t>Saudi Tourism Authority</t>
        </is>
      </c>
      <c r="C63" s="281" t="inlineStr">
        <is>
          <t>11. Industry &amp; Trade</t>
        </is>
      </c>
      <c r="D63" s="281" t="n">
        <v>1</v>
      </c>
      <c r="E63" s="281" t="n">
        <v>1</v>
      </c>
      <c r="F63" s="281" t="n">
        <v>2</v>
      </c>
      <c r="G63" s="281" t="n">
        <v>0</v>
      </c>
      <c r="H63" s="281" t="inlineStr">
        <is>
          <t>STA-FW; NCA-ECC-2:2024</t>
        </is>
      </c>
      <c r="I63" s="281" t="inlineStr">
        <is>
          <t>https://www.gov.sa/</t>
        </is>
      </c>
      <c r="J63" s="594">
        <f>(D63*3)+(G63*5)+(F63*1)</f>
        <v/>
      </c>
      <c r="K63" s="591">
        <f>IF(J63&gt;=50,"🔴 TIER 1",IF(J63&gt;=25,"🟠 TIER 2",IF(J63&gt;=10,"🟡 TIER 3","🟢 TIER 4")))</f>
        <v/>
      </c>
      <c r="L63" s="591">
        <f>COUNTIFS('All 108 Regulators - Frameworks'!B$4:B$500,A63,'All 108 Regulators - Frameworks'!BB$4:BB$500,"DEEP")</f>
        <v/>
      </c>
      <c r="M63" s="591">
        <f>COUNTIFS('All 108 Regulators - Frameworks'!B$4:B$500,A63,'All 108 Regulators - Frameworks'!BB$4:BB$500,"TEMPLATE")</f>
        <v/>
      </c>
      <c r="N63" s="675">
        <f>IFERROR(L63/(L63+M63),0)</f>
        <v/>
      </c>
      <c r="O63" s="675">
        <f>IFERROR(G63/F63,0)</f>
        <v/>
      </c>
      <c r="P63" s="608">
        <f>IFERROR(AVERAGEIFS('All 108 Regulators - Frameworks'!BF$4:BF$500,'All 108 Regulators - Frameworks'!B$4:B$500,A63),0)</f>
        <v/>
      </c>
    </row>
    <row r="64" ht="36" customHeight="1">
      <c r="A64" s="280" t="inlineStr">
        <is>
          <t>SAIP</t>
        </is>
      </c>
      <c r="B64" s="282" t="inlineStr">
        <is>
          <t>Saudi Authority for Intellectual Property</t>
        </is>
      </c>
      <c r="C64" s="281" t="inlineStr">
        <is>
          <t>11. Industry &amp; Trade</t>
        </is>
      </c>
      <c r="D64" s="281" t="n">
        <v>1</v>
      </c>
      <c r="E64" s="281" t="n">
        <v>1</v>
      </c>
      <c r="F64" s="281" t="n">
        <v>2</v>
      </c>
      <c r="G64" s="281" t="n">
        <v>0</v>
      </c>
      <c r="H64" s="281" t="inlineStr">
        <is>
          <t>SAIP-FW; NCA-ECC-2:2024</t>
        </is>
      </c>
      <c r="I64" s="281" t="inlineStr">
        <is>
          <t>https://www.gov.sa/</t>
        </is>
      </c>
      <c r="J64" s="594">
        <f>(D64*3)+(G64*5)+(F64*1)</f>
        <v/>
      </c>
      <c r="K64" s="591">
        <f>IF(J64&gt;=50,"🔴 TIER 1",IF(J64&gt;=25,"🟠 TIER 2",IF(J64&gt;=10,"🟡 TIER 3","🟢 TIER 4")))</f>
        <v/>
      </c>
      <c r="L64" s="591">
        <f>COUNTIFS('All 108 Regulators - Frameworks'!B$4:B$500,A64,'All 108 Regulators - Frameworks'!BB$4:BB$500,"DEEP")</f>
        <v/>
      </c>
      <c r="M64" s="591">
        <f>COUNTIFS('All 108 Regulators - Frameworks'!B$4:B$500,A64,'All 108 Regulators - Frameworks'!BB$4:BB$500,"TEMPLATE")</f>
        <v/>
      </c>
      <c r="N64" s="675">
        <f>IFERROR(L64/(L64+M64),0)</f>
        <v/>
      </c>
      <c r="O64" s="675">
        <f>IFERROR(G64/F64,0)</f>
        <v/>
      </c>
      <c r="P64" s="608">
        <f>IFERROR(AVERAGEIFS('All 108 Regulators - Frameworks'!BF$4:BF$500,'All 108 Regulators - Frameworks'!B$4:B$500,A64),0)</f>
        <v/>
      </c>
    </row>
    <row r="65" ht="36" customHeight="1">
      <c r="A65" s="302" t="inlineStr">
        <is>
          <t>ETEC</t>
        </is>
      </c>
      <c r="B65" s="304" t="inlineStr">
        <is>
          <t>Education Eval &amp; Training Accreditation</t>
        </is>
      </c>
      <c r="C65" s="303" t="inlineStr">
        <is>
          <t>12. Education &amp; Research</t>
        </is>
      </c>
      <c r="D65" s="303" t="n">
        <v>1</v>
      </c>
      <c r="E65" s="303" t="n">
        <v>1</v>
      </c>
      <c r="F65" s="303" t="n">
        <v>2</v>
      </c>
      <c r="G65" s="303" t="n">
        <v>0</v>
      </c>
      <c r="H65" s="303" t="inlineStr">
        <is>
          <t>ETEC-FW; NCA-ECC-2:2024</t>
        </is>
      </c>
      <c r="I65" s="303" t="inlineStr">
        <is>
          <t>https://www.gov.sa/</t>
        </is>
      </c>
      <c r="J65" s="594">
        <f>(D65*3)+(G65*5)+(F65*1)</f>
        <v/>
      </c>
      <c r="K65" s="591">
        <f>IF(J65&gt;=50,"🔴 TIER 1",IF(J65&gt;=25,"🟠 TIER 2",IF(J65&gt;=10,"🟡 TIER 3","🟢 TIER 4")))</f>
        <v/>
      </c>
      <c r="L65" s="591">
        <f>COUNTIFS('All 108 Regulators - Frameworks'!B$4:B$500,A65,'All 108 Regulators - Frameworks'!BB$4:BB$500,"DEEP")</f>
        <v/>
      </c>
      <c r="M65" s="591">
        <f>COUNTIFS('All 108 Regulators - Frameworks'!B$4:B$500,A65,'All 108 Regulators - Frameworks'!BB$4:BB$500,"TEMPLATE")</f>
        <v/>
      </c>
      <c r="N65" s="675">
        <f>IFERROR(L65/(L65+M65),0)</f>
        <v/>
      </c>
      <c r="O65" s="675">
        <f>IFERROR(G65/F65,0)</f>
        <v/>
      </c>
      <c r="P65" s="608">
        <f>IFERROR(AVERAGEIFS('All 108 Regulators - Frameworks'!BF$4:BF$500,'All 108 Regulators - Frameworks'!B$4:B$500,A65),0)</f>
        <v/>
      </c>
    </row>
    <row r="66" ht="36" customHeight="1">
      <c r="A66" s="302" t="inlineStr">
        <is>
          <t>TVTC</t>
        </is>
      </c>
      <c r="B66" s="304" t="inlineStr">
        <is>
          <t>Technical &amp; Vocational Training Corp.</t>
        </is>
      </c>
      <c r="C66" s="303" t="inlineStr">
        <is>
          <t>12. Education &amp; Research</t>
        </is>
      </c>
      <c r="D66" s="303" t="n">
        <v>1</v>
      </c>
      <c r="E66" s="303" t="n">
        <v>1</v>
      </c>
      <c r="F66" s="303" t="n">
        <v>2</v>
      </c>
      <c r="G66" s="303" t="n">
        <v>0</v>
      </c>
      <c r="H66" s="303" t="inlineStr">
        <is>
          <t>TVTC-FW; NCA-ECC-2:2024</t>
        </is>
      </c>
      <c r="I66" s="303" t="inlineStr">
        <is>
          <t>https://www.gov.sa/</t>
        </is>
      </c>
      <c r="J66" s="594">
        <f>(D66*3)+(G66*5)+(F66*1)</f>
        <v/>
      </c>
      <c r="K66" s="591">
        <f>IF(J66&gt;=50,"🔴 TIER 1",IF(J66&gt;=25,"🟠 TIER 2",IF(J66&gt;=10,"🟡 TIER 3","🟢 TIER 4")))</f>
        <v/>
      </c>
      <c r="L66" s="591">
        <f>COUNTIFS('All 108 Regulators - Frameworks'!B$4:B$500,A66,'All 108 Regulators - Frameworks'!BB$4:BB$500,"DEEP")</f>
        <v/>
      </c>
      <c r="M66" s="591">
        <f>COUNTIFS('All 108 Regulators - Frameworks'!B$4:B$500,A66,'All 108 Regulators - Frameworks'!BB$4:BB$500,"TEMPLATE")</f>
        <v/>
      </c>
      <c r="N66" s="675">
        <f>IFERROR(L66/(L66+M66),0)</f>
        <v/>
      </c>
      <c r="O66" s="675">
        <f>IFERROR(G66/F66,0)</f>
        <v/>
      </c>
      <c r="P66" s="608">
        <f>IFERROR(AVERAGEIFS('All 108 Regulators - Frameworks'!BF$4:BF$500,'All 108 Regulators - Frameworks'!B$4:B$500,A66),0)</f>
        <v/>
      </c>
    </row>
    <row r="67" ht="36" customHeight="1">
      <c r="A67" s="302" t="inlineStr">
        <is>
          <t>KAUST</t>
        </is>
      </c>
      <c r="B67" s="304" t="inlineStr">
        <is>
          <t>King Abdullah Univ. Science &amp; Technology</t>
        </is>
      </c>
      <c r="C67" s="303" t="inlineStr">
        <is>
          <t>12. Education &amp; Research</t>
        </is>
      </c>
      <c r="D67" s="303" t="n">
        <v>1</v>
      </c>
      <c r="E67" s="303" t="n">
        <v>1</v>
      </c>
      <c r="F67" s="303" t="n">
        <v>2</v>
      </c>
      <c r="G67" s="303" t="n">
        <v>0</v>
      </c>
      <c r="H67" s="303" t="inlineStr">
        <is>
          <t>KAUST-FW; NCA-ECC-2:2024</t>
        </is>
      </c>
      <c r="I67" s="303" t="inlineStr">
        <is>
          <t>https://www.gov.sa/</t>
        </is>
      </c>
      <c r="J67" s="594">
        <f>(D67*3)+(G67*5)+(F67*1)</f>
        <v/>
      </c>
      <c r="K67" s="591">
        <f>IF(J67&gt;=50,"🔴 TIER 1",IF(J67&gt;=25,"🟠 TIER 2",IF(J67&gt;=10,"🟡 TIER 3","🟢 TIER 4")))</f>
        <v/>
      </c>
      <c r="L67" s="591">
        <f>COUNTIFS('All 108 Regulators - Frameworks'!B$4:B$500,A67,'All 108 Regulators - Frameworks'!BB$4:BB$500,"DEEP")</f>
        <v/>
      </c>
      <c r="M67" s="591">
        <f>COUNTIFS('All 108 Regulators - Frameworks'!B$4:B$500,A67,'All 108 Regulators - Frameworks'!BB$4:BB$500,"TEMPLATE")</f>
        <v/>
      </c>
      <c r="N67" s="675">
        <f>IFERROR(L67/(L67+M67),0)</f>
        <v/>
      </c>
      <c r="O67" s="675">
        <f>IFERROR(G67/F67,0)</f>
        <v/>
      </c>
      <c r="P67" s="608">
        <f>IFERROR(AVERAGEIFS('All 108 Regulators - Frameworks'!BF$4:BF$500,'All 108 Regulators - Frameworks'!B$4:B$500,A67),0)</f>
        <v/>
      </c>
    </row>
    <row r="68" ht="36" customHeight="1">
      <c r="A68" s="302" t="inlineStr">
        <is>
          <t>KSU</t>
        </is>
      </c>
      <c r="B68" s="304" t="inlineStr">
        <is>
          <t>King Saud University (Univ. Hospital)</t>
        </is>
      </c>
      <c r="C68" s="303" t="inlineStr">
        <is>
          <t>12. Education &amp; Research</t>
        </is>
      </c>
      <c r="D68" s="303" t="n">
        <v>1</v>
      </c>
      <c r="E68" s="303" t="n">
        <v>1</v>
      </c>
      <c r="F68" s="303" t="n">
        <v>2</v>
      </c>
      <c r="G68" s="303" t="n">
        <v>0</v>
      </c>
      <c r="H68" s="303" t="inlineStr">
        <is>
          <t>KSU-FW; NCA-ECC-2:2024</t>
        </is>
      </c>
      <c r="I68" s="303" t="inlineStr">
        <is>
          <t>https://www.gov.sa/</t>
        </is>
      </c>
      <c r="J68" s="594">
        <f>(D68*3)+(G68*5)+(F68*1)</f>
        <v/>
      </c>
      <c r="K68" s="591">
        <f>IF(J68&gt;=50,"🔴 TIER 1",IF(J68&gt;=25,"🟠 TIER 2",IF(J68&gt;=10,"🟡 TIER 3","🟢 TIER 4")))</f>
        <v/>
      </c>
      <c r="L68" s="591">
        <f>COUNTIFS('All 108 Regulators - Frameworks'!B$4:B$500,A68,'All 108 Regulators - Frameworks'!BB$4:BB$500,"DEEP")</f>
        <v/>
      </c>
      <c r="M68" s="591">
        <f>COUNTIFS('All 108 Regulators - Frameworks'!B$4:B$500,A68,'All 108 Regulators - Frameworks'!BB$4:BB$500,"TEMPLATE")</f>
        <v/>
      </c>
      <c r="N68" s="675">
        <f>IFERROR(L68/(L68+M68),0)</f>
        <v/>
      </c>
      <c r="O68" s="675">
        <f>IFERROR(G68/F68,0)</f>
        <v/>
      </c>
      <c r="P68" s="608">
        <f>IFERROR(AVERAGEIFS('All 108 Regulators - Frameworks'!BF$4:BF$500,'All 108 Regulators - Frameworks'!B$4:B$500,A68),0)</f>
        <v/>
      </c>
    </row>
    <row r="69" ht="36" customHeight="1">
      <c r="A69" s="302" t="inlineStr">
        <is>
          <t>KAU</t>
        </is>
      </c>
      <c r="B69" s="304" t="inlineStr">
        <is>
          <t>King Abdulaziz University (Univ. Hospital)</t>
        </is>
      </c>
      <c r="C69" s="303" t="inlineStr">
        <is>
          <t>12. Education &amp; Research</t>
        </is>
      </c>
      <c r="D69" s="303" t="n">
        <v>1</v>
      </c>
      <c r="E69" s="303" t="n">
        <v>1</v>
      </c>
      <c r="F69" s="303" t="n">
        <v>2</v>
      </c>
      <c r="G69" s="303" t="n">
        <v>0</v>
      </c>
      <c r="H69" s="303" t="inlineStr">
        <is>
          <t>KAU-FW; NCA-ECC-2:2024</t>
        </is>
      </c>
      <c r="I69" s="303" t="inlineStr">
        <is>
          <t>https://www.gov.sa/</t>
        </is>
      </c>
      <c r="J69" s="594">
        <f>(D69*3)+(G69*5)+(F69*1)</f>
        <v/>
      </c>
      <c r="K69" s="591">
        <f>IF(J69&gt;=50,"🔴 TIER 1",IF(J69&gt;=25,"🟠 TIER 2",IF(J69&gt;=10,"🟡 TIER 3","🟢 TIER 4")))</f>
        <v/>
      </c>
      <c r="L69" s="591">
        <f>COUNTIFS('All 108 Regulators - Frameworks'!B$4:B$500,A69,'All 108 Regulators - Frameworks'!BB$4:BB$500,"DEEP")</f>
        <v/>
      </c>
      <c r="M69" s="591">
        <f>COUNTIFS('All 108 Regulators - Frameworks'!B$4:B$500,A69,'All 108 Regulators - Frameworks'!BB$4:BB$500,"TEMPLATE")</f>
        <v/>
      </c>
      <c r="N69" s="675">
        <f>IFERROR(L69/(L69+M69),0)</f>
        <v/>
      </c>
      <c r="O69" s="675">
        <f>IFERROR(G69/F69,0)</f>
        <v/>
      </c>
      <c r="P69" s="608">
        <f>IFERROR(AVERAGEIFS('All 108 Regulators - Frameworks'!BF$4:BF$500,'All 108 Regulators - Frameworks'!B$4:B$500,A69),0)</f>
        <v/>
      </c>
    </row>
    <row r="70" ht="36" customHeight="1">
      <c r="A70" s="302" t="inlineStr">
        <is>
          <t>KFUPM</t>
        </is>
      </c>
      <c r="B70" s="304" t="inlineStr">
        <is>
          <t>King Fahd Univ. Petroleum &amp; Minerals</t>
        </is>
      </c>
      <c r="C70" s="303" t="inlineStr">
        <is>
          <t>12. Education &amp; Research</t>
        </is>
      </c>
      <c r="D70" s="303" t="n">
        <v>1</v>
      </c>
      <c r="E70" s="303" t="n">
        <v>1</v>
      </c>
      <c r="F70" s="303" t="n">
        <v>2</v>
      </c>
      <c r="G70" s="303" t="n">
        <v>0</v>
      </c>
      <c r="H70" s="303" t="inlineStr">
        <is>
          <t>KFUPM-FW; NCA-ECC-2:2024</t>
        </is>
      </c>
      <c r="I70" s="303" t="inlineStr">
        <is>
          <t>https://www.gov.sa/</t>
        </is>
      </c>
      <c r="J70" s="594">
        <f>(D70*3)+(G70*5)+(F70*1)</f>
        <v/>
      </c>
      <c r="K70" s="591">
        <f>IF(J70&gt;=50,"🔴 TIER 1",IF(J70&gt;=25,"🟠 TIER 2",IF(J70&gt;=10,"🟡 TIER 3","🟢 TIER 4")))</f>
        <v/>
      </c>
      <c r="L70" s="591">
        <f>COUNTIFS('All 108 Regulators - Frameworks'!B$4:B$500,A70,'All 108 Regulators - Frameworks'!BB$4:BB$500,"DEEP")</f>
        <v/>
      </c>
      <c r="M70" s="591">
        <f>COUNTIFS('All 108 Regulators - Frameworks'!B$4:B$500,A70,'All 108 Regulators - Frameworks'!BB$4:BB$500,"TEMPLATE")</f>
        <v/>
      </c>
      <c r="N70" s="675">
        <f>IFERROR(L70/(L70+M70),0)</f>
        <v/>
      </c>
      <c r="O70" s="675">
        <f>IFERROR(G70/F70,0)</f>
        <v/>
      </c>
      <c r="P70" s="608">
        <f>IFERROR(AVERAGEIFS('All 108 Regulators - Frameworks'!BF$4:BF$500,'All 108 Regulators - Frameworks'!B$4:B$500,A70),0)</f>
        <v/>
      </c>
    </row>
    <row r="71" ht="36" customHeight="1">
      <c r="A71" s="324" t="inlineStr">
        <is>
          <t>BOE</t>
        </is>
      </c>
      <c r="B71" s="326" t="inlineStr">
        <is>
          <t>Bureau of Experts at Council of Ministers</t>
        </is>
      </c>
      <c r="C71" s="325" t="inlineStr">
        <is>
          <t>13. Legal &amp; Judicial</t>
        </is>
      </c>
      <c r="D71" s="325" t="n">
        <v>1</v>
      </c>
      <c r="E71" s="325" t="n">
        <v>1</v>
      </c>
      <c r="F71" s="325" t="n">
        <v>2</v>
      </c>
      <c r="G71" s="325" t="n">
        <v>0</v>
      </c>
      <c r="H71" s="325" t="inlineStr">
        <is>
          <t>BOE-FW; NCA-ECC-2:2024</t>
        </is>
      </c>
      <c r="I71" s="325" t="inlineStr">
        <is>
          <t>https://www.gov.sa/</t>
        </is>
      </c>
      <c r="J71" s="594">
        <f>(D71*3)+(G71*5)+(F71*1)</f>
        <v/>
      </c>
      <c r="K71" s="591">
        <f>IF(J71&gt;=50,"🔴 TIER 1",IF(J71&gt;=25,"🟠 TIER 2",IF(J71&gt;=10,"🟡 TIER 3","🟢 TIER 4")))</f>
        <v/>
      </c>
      <c r="L71" s="591">
        <f>COUNTIFS('All 108 Regulators - Frameworks'!B$4:B$500,A71,'All 108 Regulators - Frameworks'!BB$4:BB$500,"DEEP")</f>
        <v/>
      </c>
      <c r="M71" s="591">
        <f>COUNTIFS('All 108 Regulators - Frameworks'!B$4:B$500,A71,'All 108 Regulators - Frameworks'!BB$4:BB$500,"TEMPLATE")</f>
        <v/>
      </c>
      <c r="N71" s="675">
        <f>IFERROR(L71/(L71+M71),0)</f>
        <v/>
      </c>
      <c r="O71" s="675">
        <f>IFERROR(G71/F71,0)</f>
        <v/>
      </c>
      <c r="P71" s="608">
        <f>IFERROR(AVERAGEIFS('All 108 Regulators - Frameworks'!BF$4:BF$500,'All 108 Regulators - Frameworks'!B$4:B$500,A71),0)</f>
        <v/>
      </c>
    </row>
    <row r="72" ht="36" customHeight="1">
      <c r="A72" s="324" t="inlineStr">
        <is>
          <t>NAZAHA</t>
        </is>
      </c>
      <c r="B72" s="326" t="inlineStr">
        <is>
          <t>Anti-Corruption Commission (Nazaha)</t>
        </is>
      </c>
      <c r="C72" s="325" t="inlineStr">
        <is>
          <t>13. Legal &amp; Judicial</t>
        </is>
      </c>
      <c r="D72" s="325" t="n">
        <v>1</v>
      </c>
      <c r="E72" s="325" t="n">
        <v>1</v>
      </c>
      <c r="F72" s="325" t="n">
        <v>2</v>
      </c>
      <c r="G72" s="325" t="n">
        <v>0</v>
      </c>
      <c r="H72" s="325" t="inlineStr">
        <is>
          <t>NAZAHA-FW; NCA-ECC-2:2024</t>
        </is>
      </c>
      <c r="I72" s="325" t="inlineStr">
        <is>
          <t>https://www.gov.sa/</t>
        </is>
      </c>
      <c r="J72" s="594">
        <f>(D72*3)+(G72*5)+(F72*1)</f>
        <v/>
      </c>
      <c r="K72" s="591">
        <f>IF(J72&gt;=50,"🔴 TIER 1",IF(J72&gt;=25,"🟠 TIER 2",IF(J72&gt;=10,"🟡 TIER 3","🟢 TIER 4")))</f>
        <v/>
      </c>
      <c r="L72" s="591">
        <f>COUNTIFS('All 108 Regulators - Frameworks'!B$4:B$500,A72,'All 108 Regulators - Frameworks'!BB$4:BB$500,"DEEP")</f>
        <v/>
      </c>
      <c r="M72" s="591">
        <f>COUNTIFS('All 108 Regulators - Frameworks'!B$4:B$500,A72,'All 108 Regulators - Frameworks'!BB$4:BB$500,"TEMPLATE")</f>
        <v/>
      </c>
      <c r="N72" s="675">
        <f>IFERROR(L72/(L72+M72),0)</f>
        <v/>
      </c>
      <c r="O72" s="675">
        <f>IFERROR(G72/F72,0)</f>
        <v/>
      </c>
      <c r="P72" s="608">
        <f>IFERROR(AVERAGEIFS('All 108 Regulators - Frameworks'!BF$4:BF$500,'All 108 Regulators - Frameworks'!B$4:B$500,A72),0)</f>
        <v/>
      </c>
    </row>
    <row r="73" ht="36" customHeight="1">
      <c r="A73" s="346" t="inlineStr">
        <is>
          <t>OSH</t>
        </is>
      </c>
      <c r="B73" s="348" t="inlineStr">
        <is>
          <t>Occupational Safety &amp; Health Dept (MHRSD)</t>
        </is>
      </c>
      <c r="C73" s="347" t="inlineStr">
        <is>
          <t>14. Labour &amp; Occ. Health</t>
        </is>
      </c>
      <c r="D73" s="347" t="n">
        <v>1</v>
      </c>
      <c r="E73" s="347" t="n">
        <v>1</v>
      </c>
      <c r="F73" s="347" t="n">
        <v>2</v>
      </c>
      <c r="G73" s="347" t="n">
        <v>0</v>
      </c>
      <c r="H73" s="347" t="inlineStr">
        <is>
          <t>OSH-FW; NCA-ECC-2:2024</t>
        </is>
      </c>
      <c r="I73" s="347" t="inlineStr">
        <is>
          <t>https://www.gov.sa/</t>
        </is>
      </c>
      <c r="J73" s="594">
        <f>(D73*3)+(G73*5)+(F73*1)</f>
        <v/>
      </c>
      <c r="K73" s="591">
        <f>IF(J73&gt;=50,"🔴 TIER 1",IF(J73&gt;=25,"🟠 TIER 2",IF(J73&gt;=10,"🟡 TIER 3","🟢 TIER 4")))</f>
        <v/>
      </c>
      <c r="L73" s="591">
        <f>COUNTIFS('All 108 Regulators - Frameworks'!B$4:B$500,A73,'All 108 Regulators - Frameworks'!BB$4:BB$500,"DEEP")</f>
        <v/>
      </c>
      <c r="M73" s="591">
        <f>COUNTIFS('All 108 Regulators - Frameworks'!B$4:B$500,A73,'All 108 Regulators - Frameworks'!BB$4:BB$500,"TEMPLATE")</f>
        <v/>
      </c>
      <c r="N73" s="675">
        <f>IFERROR(L73/(L73+M73),0)</f>
        <v/>
      </c>
      <c r="O73" s="675">
        <f>IFERROR(G73/F73,0)</f>
        <v/>
      </c>
      <c r="P73" s="608">
        <f>IFERROR(AVERAGEIFS('All 108 Regulators - Frameworks'!BF$4:BF$500,'All 108 Regulators - Frameworks'!B$4:B$500,A73),0)</f>
        <v/>
      </c>
    </row>
    <row r="74" ht="36" customHeight="1">
      <c r="A74" s="120" t="inlineStr">
        <is>
          <t>RDIA</t>
        </is>
      </c>
      <c r="B74" s="122" t="inlineStr">
        <is>
          <t>Research Development &amp; Innovation Authority</t>
        </is>
      </c>
      <c r="C74" s="121" t="inlineStr">
        <is>
          <t>4. ICT / Digital / Telecom</t>
        </is>
      </c>
      <c r="D74" s="121" t="n">
        <v>1</v>
      </c>
      <c r="E74" s="121" t="n">
        <v>1</v>
      </c>
      <c r="F74" s="121" t="n">
        <v>2</v>
      </c>
      <c r="G74" s="121" t="n">
        <v>0</v>
      </c>
      <c r="H74" s="121" t="inlineStr">
        <is>
          <t>RDIA-FW; NCA-ECC-2:2024</t>
        </is>
      </c>
      <c r="I74" s="121" t="inlineStr">
        <is>
          <t>https://www.gov.sa/</t>
        </is>
      </c>
      <c r="J74" s="594">
        <f>(D74*3)+(G74*5)+(F74*1)</f>
        <v/>
      </c>
      <c r="K74" s="591">
        <f>IF(J74&gt;=50,"🔴 TIER 1",IF(J74&gt;=25,"🟠 TIER 2",IF(J74&gt;=10,"🟡 TIER 3","🟢 TIER 4")))</f>
        <v/>
      </c>
      <c r="L74" s="591">
        <f>COUNTIFS('All 108 Regulators - Frameworks'!B$4:B$500,A74,'All 108 Regulators - Frameworks'!BB$4:BB$500,"DEEP")</f>
        <v/>
      </c>
      <c r="M74" s="591">
        <f>COUNTIFS('All 108 Regulators - Frameworks'!B$4:B$500,A74,'All 108 Regulators - Frameworks'!BB$4:BB$500,"TEMPLATE")</f>
        <v/>
      </c>
      <c r="N74" s="675">
        <f>IFERROR(L74/(L74+M74),0)</f>
        <v/>
      </c>
      <c r="O74" s="675">
        <f>IFERROR(G74/F74,0)</f>
        <v/>
      </c>
      <c r="P74" s="608">
        <f>IFERROR(AVERAGEIFS('All 108 Regulators - Frameworks'!BF$4:BF$500,'All 108 Regulators - Frameworks'!B$4:B$500,A74),0)</f>
        <v/>
      </c>
    </row>
    <row r="75" ht="36" customHeight="1">
      <c r="A75" s="120" t="inlineStr">
        <is>
          <t>NCSA</t>
        </is>
      </c>
      <c r="B75" s="122" t="inlineStr">
        <is>
          <t>National Competitiveness Centre (Taqadum)</t>
        </is>
      </c>
      <c r="C75" s="121" t="inlineStr">
        <is>
          <t>4. ICT / Digital / Telecom</t>
        </is>
      </c>
      <c r="D75" s="121" t="n">
        <v>1</v>
      </c>
      <c r="E75" s="121" t="n">
        <v>1</v>
      </c>
      <c r="F75" s="121" t="n">
        <v>2</v>
      </c>
      <c r="G75" s="121" t="n">
        <v>0</v>
      </c>
      <c r="H75" s="121" t="inlineStr">
        <is>
          <t>NCSA-FW; NCA-ECC-2:2024</t>
        </is>
      </c>
      <c r="I75" s="121" t="inlineStr">
        <is>
          <t>https://www.gov.sa/</t>
        </is>
      </c>
      <c r="J75" s="594">
        <f>(D75*3)+(G75*5)+(F75*1)</f>
        <v/>
      </c>
      <c r="K75" s="591">
        <f>IF(J75&gt;=50,"🔴 TIER 1",IF(J75&gt;=25,"🟠 TIER 2",IF(J75&gt;=10,"🟡 TIER 3","🟢 TIER 4")))</f>
        <v/>
      </c>
      <c r="L75" s="591">
        <f>COUNTIFS('All 108 Regulators - Frameworks'!B$4:B$500,A75,'All 108 Regulators - Frameworks'!BB$4:BB$500,"DEEP")</f>
        <v/>
      </c>
      <c r="M75" s="591">
        <f>COUNTIFS('All 108 Regulators - Frameworks'!B$4:B$500,A75,'All 108 Regulators - Frameworks'!BB$4:BB$500,"TEMPLATE")</f>
        <v/>
      </c>
      <c r="N75" s="675">
        <f>IFERROR(L75/(L75+M75),0)</f>
        <v/>
      </c>
      <c r="O75" s="675">
        <f>IFERROR(G75/F75,0)</f>
        <v/>
      </c>
      <c r="P75" s="608">
        <f>IFERROR(AVERAGEIFS('All 108 Regulators - Frameworks'!BF$4:BF$500,'All 108 Regulators - Frameworks'!B$4:B$500,A75),0)</f>
        <v/>
      </c>
    </row>
    <row r="76" ht="36" customHeight="1">
      <c r="A76" s="120" t="inlineStr">
        <is>
          <t>SSA</t>
        </is>
      </c>
      <c r="B76" s="122" t="inlineStr">
        <is>
          <t>Saudi Space Agency</t>
        </is>
      </c>
      <c r="C76" s="121" t="inlineStr">
        <is>
          <t>4. ICT / Digital / Telecom</t>
        </is>
      </c>
      <c r="D76" s="121" t="n">
        <v>1</v>
      </c>
      <c r="E76" s="121" t="n">
        <v>1</v>
      </c>
      <c r="F76" s="121" t="n">
        <v>2</v>
      </c>
      <c r="G76" s="121" t="n">
        <v>0</v>
      </c>
      <c r="H76" s="121" t="inlineStr">
        <is>
          <t>SSA-FW; NCA-ECC-2:2024</t>
        </is>
      </c>
      <c r="I76" s="121" t="inlineStr">
        <is>
          <t>https://www.gov.sa/</t>
        </is>
      </c>
      <c r="J76" s="594">
        <f>(D76*3)+(G76*5)+(F76*1)</f>
        <v/>
      </c>
      <c r="K76" s="591">
        <f>IF(J76&gt;=50,"🔴 TIER 1",IF(J76&gt;=25,"🟠 TIER 2",IF(J76&gt;=10,"🟡 TIER 3","🟢 TIER 4")))</f>
        <v/>
      </c>
      <c r="L76" s="591">
        <f>COUNTIFS('All 108 Regulators - Frameworks'!B$4:B$500,A76,'All 108 Regulators - Frameworks'!BB$4:BB$500,"DEEP")</f>
        <v/>
      </c>
      <c r="M76" s="591">
        <f>COUNTIFS('All 108 Regulators - Frameworks'!B$4:B$500,A76,'All 108 Regulators - Frameworks'!BB$4:BB$500,"TEMPLATE")</f>
        <v/>
      </c>
      <c r="N76" s="675">
        <f>IFERROR(L76/(L76+M76),0)</f>
        <v/>
      </c>
      <c r="O76" s="675">
        <f>IFERROR(G76/F76,0)</f>
        <v/>
      </c>
      <c r="P76" s="608">
        <f>IFERROR(AVERAGEIFS('All 108 Regulators - Frameworks'!BF$4:BF$500,'All 108 Regulators - Frameworks'!B$4:B$500,A76),0)</f>
        <v/>
      </c>
    </row>
    <row r="77" ht="36" customHeight="1">
      <c r="A77" s="368" t="inlineStr">
        <is>
          <t>NEOM</t>
        </is>
      </c>
      <c r="B77" s="370" t="inlineStr">
        <is>
          <t>NEOM Company (Giga Project)</t>
        </is>
      </c>
      <c r="C77" s="369" t="inlineStr">
        <is>
          <t>15. Special Zones &amp; Giga</t>
        </is>
      </c>
      <c r="D77" s="369" t="n">
        <v>1</v>
      </c>
      <c r="E77" s="369" t="n">
        <v>1</v>
      </c>
      <c r="F77" s="369" t="n">
        <v>2</v>
      </c>
      <c r="G77" s="369" t="n">
        <v>0</v>
      </c>
      <c r="H77" s="369" t="inlineStr">
        <is>
          <t>NEOM-FW; NCA-ECC-2:2024</t>
        </is>
      </c>
      <c r="I77" s="369" t="inlineStr">
        <is>
          <t>https://www.gov.sa/</t>
        </is>
      </c>
      <c r="J77" s="594">
        <f>(D77*3)+(G77*5)+(F77*1)</f>
        <v/>
      </c>
      <c r="K77" s="591">
        <f>IF(J77&gt;=50,"🔴 TIER 1",IF(J77&gt;=25,"🟠 TIER 2",IF(J77&gt;=10,"🟡 TIER 3","🟢 TIER 4")))</f>
        <v/>
      </c>
      <c r="L77" s="591">
        <f>COUNTIFS('All 108 Regulators - Frameworks'!B$4:B$500,A77,'All 108 Regulators - Frameworks'!BB$4:BB$500,"DEEP")</f>
        <v/>
      </c>
      <c r="M77" s="591">
        <f>COUNTIFS('All 108 Regulators - Frameworks'!B$4:B$500,A77,'All 108 Regulators - Frameworks'!BB$4:BB$500,"TEMPLATE")</f>
        <v/>
      </c>
      <c r="N77" s="675">
        <f>IFERROR(L77/(L77+M77),0)</f>
        <v/>
      </c>
      <c r="O77" s="675">
        <f>IFERROR(G77/F77,0)</f>
        <v/>
      </c>
      <c r="P77" s="608">
        <f>IFERROR(AVERAGEIFS('All 108 Regulators - Frameworks'!BF$4:BF$500,'All 108 Regulators - Frameworks'!B$4:B$500,A77),0)</f>
        <v/>
      </c>
    </row>
    <row r="78" ht="36" customHeight="1">
      <c r="A78" s="368" t="inlineStr">
        <is>
          <t>RDA</t>
        </is>
      </c>
      <c r="B78" s="370" t="inlineStr">
        <is>
          <t>Royal Development Authority (Riyadh)</t>
        </is>
      </c>
      <c r="C78" s="369" t="inlineStr">
        <is>
          <t>15. Special Zones &amp; Giga</t>
        </is>
      </c>
      <c r="D78" s="369" t="n">
        <v>1</v>
      </c>
      <c r="E78" s="369" t="n">
        <v>1</v>
      </c>
      <c r="F78" s="369" t="n">
        <v>2</v>
      </c>
      <c r="G78" s="369" t="n">
        <v>0</v>
      </c>
      <c r="H78" s="369" t="inlineStr">
        <is>
          <t>RDA-FW; NCA-ECC-2:2024</t>
        </is>
      </c>
      <c r="I78" s="369" t="inlineStr">
        <is>
          <t>https://www.gov.sa/</t>
        </is>
      </c>
      <c r="J78" s="594">
        <f>(D78*3)+(G78*5)+(F78*1)</f>
        <v/>
      </c>
      <c r="K78" s="591">
        <f>IF(J78&gt;=50,"🔴 TIER 1",IF(J78&gt;=25,"🟠 TIER 2",IF(J78&gt;=10,"🟡 TIER 3","🟢 TIER 4")))</f>
        <v/>
      </c>
      <c r="L78" s="591">
        <f>COUNTIFS('All 108 Regulators - Frameworks'!B$4:B$500,A78,'All 108 Regulators - Frameworks'!BB$4:BB$500,"DEEP")</f>
        <v/>
      </c>
      <c r="M78" s="591">
        <f>COUNTIFS('All 108 Regulators - Frameworks'!B$4:B$500,A78,'All 108 Regulators - Frameworks'!BB$4:BB$500,"TEMPLATE")</f>
        <v/>
      </c>
      <c r="N78" s="675">
        <f>IFERROR(L78/(L78+M78),0)</f>
        <v/>
      </c>
      <c r="O78" s="675">
        <f>IFERROR(G78/F78,0)</f>
        <v/>
      </c>
      <c r="P78" s="608">
        <f>IFERROR(AVERAGEIFS('All 108 Regulators - Frameworks'!BF$4:BF$500,'All 108 Regulators - Frameworks'!B$4:B$500,A78),0)</f>
        <v/>
      </c>
    </row>
    <row r="79" ht="36" customHeight="1">
      <c r="A79" s="368" t="inlineStr">
        <is>
          <t>DGDA</t>
        </is>
      </c>
      <c r="B79" s="370" t="inlineStr">
        <is>
          <t>Diriyah Gate Development Authority</t>
        </is>
      </c>
      <c r="C79" s="369" t="inlineStr">
        <is>
          <t>15. Special Zones &amp; Giga</t>
        </is>
      </c>
      <c r="D79" s="369" t="n">
        <v>1</v>
      </c>
      <c r="E79" s="369" t="n">
        <v>1</v>
      </c>
      <c r="F79" s="369" t="n">
        <v>2</v>
      </c>
      <c r="G79" s="369" t="n">
        <v>0</v>
      </c>
      <c r="H79" s="369" t="inlineStr">
        <is>
          <t>DGDA-FW; NCA-ECC-2:2024</t>
        </is>
      </c>
      <c r="I79" s="369" t="inlineStr">
        <is>
          <t>https://www.gov.sa/</t>
        </is>
      </c>
      <c r="J79" s="594">
        <f>(D79*3)+(G79*5)+(F79*1)</f>
        <v/>
      </c>
      <c r="K79" s="591">
        <f>IF(J79&gt;=50,"🔴 TIER 1",IF(J79&gt;=25,"🟠 TIER 2",IF(J79&gt;=10,"🟡 TIER 3","🟢 TIER 4")))</f>
        <v/>
      </c>
      <c r="L79" s="591">
        <f>COUNTIFS('All 108 Regulators - Frameworks'!B$4:B$500,A79,'All 108 Regulators - Frameworks'!BB$4:BB$500,"DEEP")</f>
        <v/>
      </c>
      <c r="M79" s="591">
        <f>COUNTIFS('All 108 Regulators - Frameworks'!B$4:B$500,A79,'All 108 Regulators - Frameworks'!BB$4:BB$500,"TEMPLATE")</f>
        <v/>
      </c>
      <c r="N79" s="675">
        <f>IFERROR(L79/(L79+M79),0)</f>
        <v/>
      </c>
      <c r="O79" s="675">
        <f>IFERROR(G79/F79,0)</f>
        <v/>
      </c>
      <c r="P79" s="608">
        <f>IFERROR(AVERAGEIFS('All 108 Regulators - Frameworks'!BF$4:BF$500,'All 108 Regulators - Frameworks'!B$4:B$500,A79),0)</f>
        <v/>
      </c>
    </row>
    <row r="80" ht="36" customHeight="1">
      <c r="A80" s="368" t="inlineStr">
        <is>
          <t>RCU</t>
        </is>
      </c>
      <c r="B80" s="370" t="inlineStr">
        <is>
          <t>Royal Commission for AlUla</t>
        </is>
      </c>
      <c r="C80" s="369" t="inlineStr">
        <is>
          <t>15. Special Zones &amp; Giga</t>
        </is>
      </c>
      <c r="D80" s="369" t="n">
        <v>1</v>
      </c>
      <c r="E80" s="369" t="n">
        <v>1</v>
      </c>
      <c r="F80" s="369" t="n">
        <v>2</v>
      </c>
      <c r="G80" s="369" t="n">
        <v>0</v>
      </c>
      <c r="H80" s="369" t="inlineStr">
        <is>
          <t>RCU-FW; NCA-ECC-2:2024</t>
        </is>
      </c>
      <c r="I80" s="369" t="inlineStr">
        <is>
          <t>https://www.gov.sa/</t>
        </is>
      </c>
      <c r="J80" s="594">
        <f>(D80*3)+(G80*5)+(F80*1)</f>
        <v/>
      </c>
      <c r="K80" s="591">
        <f>IF(J80&gt;=50,"🔴 TIER 1",IF(J80&gt;=25,"🟠 TIER 2",IF(J80&gt;=10,"🟡 TIER 3","🟢 TIER 4")))</f>
        <v/>
      </c>
      <c r="L80" s="591">
        <f>COUNTIFS('All 108 Regulators - Frameworks'!B$4:B$500,A80,'All 108 Regulators - Frameworks'!BB$4:BB$500,"DEEP")</f>
        <v/>
      </c>
      <c r="M80" s="591">
        <f>COUNTIFS('All 108 Regulators - Frameworks'!B$4:B$500,A80,'All 108 Regulators - Frameworks'!BB$4:BB$500,"TEMPLATE")</f>
        <v/>
      </c>
      <c r="N80" s="675">
        <f>IFERROR(L80/(L80+M80),0)</f>
        <v/>
      </c>
      <c r="O80" s="675">
        <f>IFERROR(G80/F80,0)</f>
        <v/>
      </c>
      <c r="P80" s="608">
        <f>IFERROR(AVERAGEIFS('All 108 Regulators - Frameworks'!BF$4:BF$500,'All 108 Regulators - Frameworks'!B$4:B$500,A80),0)</f>
        <v/>
      </c>
    </row>
    <row r="81" ht="36" customHeight="1">
      <c r="A81" s="368" t="inlineStr">
        <is>
          <t>AMAALA</t>
        </is>
      </c>
      <c r="B81" s="370" t="inlineStr">
        <is>
          <t>Amaala Giga Project</t>
        </is>
      </c>
      <c r="C81" s="369" t="inlineStr">
        <is>
          <t>15. Special Zones &amp; Giga</t>
        </is>
      </c>
      <c r="D81" s="369" t="n">
        <v>1</v>
      </c>
      <c r="E81" s="369" t="n">
        <v>1</v>
      </c>
      <c r="F81" s="369" t="n">
        <v>2</v>
      </c>
      <c r="G81" s="369" t="n">
        <v>0</v>
      </c>
      <c r="H81" s="369" t="inlineStr">
        <is>
          <t>AMAALA-FW; NCA-ECC-2:2024</t>
        </is>
      </c>
      <c r="I81" s="369" t="inlineStr">
        <is>
          <t>https://www.gov.sa/</t>
        </is>
      </c>
      <c r="J81" s="594">
        <f>(D81*3)+(G81*5)+(F81*1)</f>
        <v/>
      </c>
      <c r="K81" s="591">
        <f>IF(J81&gt;=50,"🔴 TIER 1",IF(J81&gt;=25,"🟠 TIER 2",IF(J81&gt;=10,"🟡 TIER 3","🟢 TIER 4")))</f>
        <v/>
      </c>
      <c r="L81" s="591">
        <f>COUNTIFS('All 108 Regulators - Frameworks'!B$4:B$500,A81,'All 108 Regulators - Frameworks'!BB$4:BB$500,"DEEP")</f>
        <v/>
      </c>
      <c r="M81" s="591">
        <f>COUNTIFS('All 108 Regulators - Frameworks'!B$4:B$500,A81,'All 108 Regulators - Frameworks'!BB$4:BB$500,"TEMPLATE")</f>
        <v/>
      </c>
      <c r="N81" s="675">
        <f>IFERROR(L81/(L81+M81),0)</f>
        <v/>
      </c>
      <c r="O81" s="675">
        <f>IFERROR(G81/F81,0)</f>
        <v/>
      </c>
      <c r="P81" s="608">
        <f>IFERROR(AVERAGEIFS('All 108 Regulators - Frameworks'!BF$4:BF$500,'All 108 Regulators - Frameworks'!B$4:B$500,A81),0)</f>
        <v/>
      </c>
    </row>
    <row r="82" ht="36" customHeight="1">
      <c r="A82" s="85" t="inlineStr">
        <is>
          <t>NUPCO</t>
        </is>
      </c>
      <c r="B82" s="72" t="inlineStr">
        <is>
          <t>National Unified Procurement Company</t>
        </is>
      </c>
      <c r="C82" s="70" t="inlineStr">
        <is>
          <t>2. Healthcare &amp; Life Sciences</t>
        </is>
      </c>
      <c r="D82" s="70" t="n">
        <v>1</v>
      </c>
      <c r="E82" s="70" t="n">
        <v>1</v>
      </c>
      <c r="F82" s="70" t="n">
        <v>2</v>
      </c>
      <c r="G82" s="70" t="n">
        <v>0</v>
      </c>
      <c r="H82" s="70" t="inlineStr">
        <is>
          <t>NUPCO-FW; NCA-ECC-2:2024</t>
        </is>
      </c>
      <c r="I82" s="70" t="inlineStr">
        <is>
          <t>https://www.gov.sa/</t>
        </is>
      </c>
      <c r="J82" s="594">
        <f>(D82*3)+(G82*5)+(F82*1)</f>
        <v/>
      </c>
      <c r="K82" s="591">
        <f>IF(J82&gt;=50,"🔴 TIER 1",IF(J82&gt;=25,"🟠 TIER 2",IF(J82&gt;=10,"🟡 TIER 3","🟢 TIER 4")))</f>
        <v/>
      </c>
      <c r="L82" s="591">
        <f>COUNTIFS('All 108 Regulators - Frameworks'!B$4:B$500,A82,'All 108 Regulators - Frameworks'!BB$4:BB$500,"DEEP")</f>
        <v/>
      </c>
      <c r="M82" s="591">
        <f>COUNTIFS('All 108 Regulators - Frameworks'!B$4:B$500,A82,'All 108 Regulators - Frameworks'!BB$4:BB$500,"TEMPLATE")</f>
        <v/>
      </c>
      <c r="N82" s="675">
        <f>IFERROR(L82/(L82+M82),0)</f>
        <v/>
      </c>
      <c r="O82" s="675">
        <f>IFERROR(G82/F82,0)</f>
        <v/>
      </c>
      <c r="P82" s="608">
        <f>IFERROR(AVERAGEIFS('All 108 Regulators - Frameworks'!BF$4:BF$500,'All 108 Regulators - Frameworks'!B$4:B$500,A82),0)</f>
        <v/>
      </c>
    </row>
    <row r="83" ht="36" customHeight="1">
      <c r="A83" s="85" t="inlineStr">
        <is>
          <t>KAIMRC</t>
        </is>
      </c>
      <c r="B83" s="72" t="inlineStr">
        <is>
          <t>King Abdullah Intl Medical Research Centre</t>
        </is>
      </c>
      <c r="C83" s="70" t="inlineStr">
        <is>
          <t>2. Healthcare &amp; Life Sciences</t>
        </is>
      </c>
      <c r="D83" s="70" t="n">
        <v>1</v>
      </c>
      <c r="E83" s="70" t="n">
        <v>1</v>
      </c>
      <c r="F83" s="70" t="n">
        <v>2</v>
      </c>
      <c r="G83" s="70" t="n">
        <v>0</v>
      </c>
      <c r="H83" s="70" t="inlineStr">
        <is>
          <t>KAIMRC-FW; NCA-ECC-2:2024</t>
        </is>
      </c>
      <c r="I83" s="70" t="inlineStr">
        <is>
          <t>https://www.gov.sa/</t>
        </is>
      </c>
      <c r="J83" s="594">
        <f>(D83*3)+(G83*5)+(F83*1)</f>
        <v/>
      </c>
      <c r="K83" s="591">
        <f>IF(J83&gt;=50,"🔴 TIER 1",IF(J83&gt;=25,"🟠 TIER 2",IF(J83&gt;=10,"🟡 TIER 3","🟢 TIER 4")))</f>
        <v/>
      </c>
      <c r="L83" s="591">
        <f>COUNTIFS('All 108 Regulators - Frameworks'!B$4:B$500,A83,'All 108 Regulators - Frameworks'!BB$4:BB$500,"DEEP")</f>
        <v/>
      </c>
      <c r="M83" s="591">
        <f>COUNTIFS('All 108 Regulators - Frameworks'!B$4:B$500,A83,'All 108 Regulators - Frameworks'!BB$4:BB$500,"TEMPLATE")</f>
        <v/>
      </c>
      <c r="N83" s="675">
        <f>IFERROR(L83/(L83+M83),0)</f>
        <v/>
      </c>
      <c r="O83" s="675">
        <f>IFERROR(G83/F83,0)</f>
        <v/>
      </c>
      <c r="P83" s="608">
        <f>IFERROR(AVERAGEIFS('All 108 Regulators - Frameworks'!BF$4:BF$500,'All 108 Regulators - Frameworks'!B$4:B$500,A83),0)</f>
        <v/>
      </c>
    </row>
    <row r="84" ht="36" customHeight="1">
      <c r="A84" s="85" t="inlineStr">
        <is>
          <t>NGHA</t>
        </is>
      </c>
      <c r="B84" s="72" t="inlineStr">
        <is>
          <t>National Guard Health Affairs</t>
        </is>
      </c>
      <c r="C84" s="70" t="inlineStr">
        <is>
          <t>2. Healthcare &amp; Life Sciences</t>
        </is>
      </c>
      <c r="D84" s="70" t="n">
        <v>1</v>
      </c>
      <c r="E84" s="70" t="n">
        <v>1</v>
      </c>
      <c r="F84" s="70" t="n">
        <v>2</v>
      </c>
      <c r="G84" s="70" t="n">
        <v>0</v>
      </c>
      <c r="H84" s="70" t="inlineStr">
        <is>
          <t>NGHA-FW; NCA-ECC-2:2024</t>
        </is>
      </c>
      <c r="I84" s="70" t="inlineStr">
        <is>
          <t>https://www.gov.sa/</t>
        </is>
      </c>
      <c r="J84" s="594">
        <f>(D84*3)+(G84*5)+(F84*1)</f>
        <v/>
      </c>
      <c r="K84" s="591">
        <f>IF(J84&gt;=50,"🔴 TIER 1",IF(J84&gt;=25,"🟠 TIER 2",IF(J84&gt;=10,"🟡 TIER 3","🟢 TIER 4")))</f>
        <v/>
      </c>
      <c r="L84" s="591">
        <f>COUNTIFS('All 108 Regulators - Frameworks'!B$4:B$500,A84,'All 108 Regulators - Frameworks'!BB$4:BB$500,"DEEP")</f>
        <v/>
      </c>
      <c r="M84" s="591">
        <f>COUNTIFS('All 108 Regulators - Frameworks'!B$4:B$500,A84,'All 108 Regulators - Frameworks'!BB$4:BB$500,"TEMPLATE")</f>
        <v/>
      </c>
      <c r="N84" s="675">
        <f>IFERROR(L84/(L84+M84),0)</f>
        <v/>
      </c>
      <c r="O84" s="675">
        <f>IFERROR(G84/F84,0)</f>
        <v/>
      </c>
      <c r="P84" s="608">
        <f>IFERROR(AVERAGEIFS('All 108 Regulators - Frameworks'!BF$4:BF$500,'All 108 Regulators - Frameworks'!B$4:B$500,A84),0)</f>
        <v/>
      </c>
    </row>
    <row r="85" ht="36" customHeight="1">
      <c r="A85" s="85" t="inlineStr">
        <is>
          <t>KACST-H</t>
        </is>
      </c>
      <c r="B85" s="72" t="inlineStr">
        <is>
          <t>KACST Health Research Programme</t>
        </is>
      </c>
      <c r="C85" s="70" t="inlineStr">
        <is>
          <t>2. Healthcare &amp; Life Sciences</t>
        </is>
      </c>
      <c r="D85" s="70" t="n">
        <v>1</v>
      </c>
      <c r="E85" s="70" t="n">
        <v>1</v>
      </c>
      <c r="F85" s="70" t="n">
        <v>2</v>
      </c>
      <c r="G85" s="70" t="n">
        <v>0</v>
      </c>
      <c r="H85" s="70" t="inlineStr">
        <is>
          <t>KACST-H-FW; NCA-ECC-2:2024</t>
        </is>
      </c>
      <c r="I85" s="70" t="inlineStr">
        <is>
          <t>https://www.gov.sa/</t>
        </is>
      </c>
      <c r="J85" s="594">
        <f>(D85*3)+(G85*5)+(F85*1)</f>
        <v/>
      </c>
      <c r="K85" s="591">
        <f>IF(J85&gt;=50,"🔴 TIER 1",IF(J85&gt;=25,"🟠 TIER 2",IF(J85&gt;=10,"🟡 TIER 3","🟢 TIER 4")))</f>
        <v/>
      </c>
      <c r="L85" s="591">
        <f>COUNTIFS('All 108 Regulators - Frameworks'!B$4:B$500,A85,'All 108 Regulators - Frameworks'!BB$4:BB$500,"DEEP")</f>
        <v/>
      </c>
      <c r="M85" s="591">
        <f>COUNTIFS('All 108 Regulators - Frameworks'!B$4:B$500,A85,'All 108 Regulators - Frameworks'!BB$4:BB$500,"TEMPLATE")</f>
        <v/>
      </c>
      <c r="N85" s="675">
        <f>IFERROR(L85/(L85+M85),0)</f>
        <v/>
      </c>
      <c r="O85" s="675">
        <f>IFERROR(G85/F85,0)</f>
        <v/>
      </c>
      <c r="P85" s="608">
        <f>IFERROR(AVERAGEIFS('All 108 Regulators - Frameworks'!BF$4:BF$500,'All 108 Regulators - Frameworks'!B$4:B$500,A85),0)</f>
        <v/>
      </c>
    </row>
    <row r="86" ht="36" customHeight="1">
      <c r="A86" s="85" t="inlineStr">
        <is>
          <t>KFSHRC</t>
        </is>
      </c>
      <c r="B86" s="72" t="inlineStr">
        <is>
          <t>King Faisal Specialist Hospital &amp; Research</t>
        </is>
      </c>
      <c r="C86" s="70" t="inlineStr">
        <is>
          <t>2. Healthcare &amp; Life Sciences</t>
        </is>
      </c>
      <c r="D86" s="70" t="n">
        <v>1</v>
      </c>
      <c r="E86" s="70" t="n">
        <v>1</v>
      </c>
      <c r="F86" s="70" t="n">
        <v>2</v>
      </c>
      <c r="G86" s="70" t="n">
        <v>0</v>
      </c>
      <c r="H86" s="70" t="inlineStr">
        <is>
          <t>KFSHRC-FW; NCA-ECC-2:2024</t>
        </is>
      </c>
      <c r="I86" s="70" t="inlineStr">
        <is>
          <t>https://www.gov.sa/</t>
        </is>
      </c>
      <c r="J86" s="594">
        <f>(D86*3)+(G86*5)+(F86*1)</f>
        <v/>
      </c>
      <c r="K86" s="591">
        <f>IF(J86&gt;=50,"🔴 TIER 1",IF(J86&gt;=25,"🟠 TIER 2",IF(J86&gt;=10,"🟡 TIER 3","🟢 TIER 4")))</f>
        <v/>
      </c>
      <c r="L86" s="591">
        <f>COUNTIFS('All 108 Regulators - Frameworks'!B$4:B$500,A86,'All 108 Regulators - Frameworks'!BB$4:BB$500,"DEEP")</f>
        <v/>
      </c>
      <c r="M86" s="591">
        <f>COUNTIFS('All 108 Regulators - Frameworks'!B$4:B$500,A86,'All 108 Regulators - Frameworks'!BB$4:BB$500,"TEMPLATE")</f>
        <v/>
      </c>
      <c r="N86" s="675">
        <f>IFERROR(L86/(L86+M86),0)</f>
        <v/>
      </c>
      <c r="O86" s="675">
        <f>IFERROR(G86/F86,0)</f>
        <v/>
      </c>
      <c r="P86" s="608">
        <f>IFERROR(AVERAGEIFS('All 108 Regulators - Frameworks'!BF$4:BF$500,'All 108 Regulators - Frameworks'!B$4:B$500,A86),0)</f>
        <v/>
      </c>
    </row>
    <row r="87" ht="36" customHeight="1">
      <c r="A87" s="85" t="inlineStr">
        <is>
          <t>SEHA</t>
        </is>
      </c>
      <c r="B87" s="72" t="inlineStr">
        <is>
          <t>Seha Virtual Hospital</t>
        </is>
      </c>
      <c r="C87" s="70" t="inlineStr">
        <is>
          <t>2. Healthcare &amp; Life Sciences</t>
        </is>
      </c>
      <c r="D87" s="70" t="n">
        <v>1</v>
      </c>
      <c r="E87" s="70" t="n">
        <v>1</v>
      </c>
      <c r="F87" s="70" t="n">
        <v>2</v>
      </c>
      <c r="G87" s="70" t="n">
        <v>0</v>
      </c>
      <c r="H87" s="70" t="inlineStr">
        <is>
          <t>SEHA-FW; NCA-ECC-2:2024</t>
        </is>
      </c>
      <c r="I87" s="70" t="inlineStr">
        <is>
          <t>https://www.gov.sa/</t>
        </is>
      </c>
      <c r="J87" s="594">
        <f>(D87*3)+(G87*5)+(F87*1)</f>
        <v/>
      </c>
      <c r="K87" s="591">
        <f>IF(J87&gt;=50,"🔴 TIER 1",IF(J87&gt;=25,"🟠 TIER 2",IF(J87&gt;=10,"🟡 TIER 3","🟢 TIER 4")))</f>
        <v/>
      </c>
      <c r="L87" s="591">
        <f>COUNTIFS('All 108 Regulators - Frameworks'!B$4:B$500,A87,'All 108 Regulators - Frameworks'!BB$4:BB$500,"DEEP")</f>
        <v/>
      </c>
      <c r="M87" s="591">
        <f>COUNTIFS('All 108 Regulators - Frameworks'!B$4:B$500,A87,'All 108 Regulators - Frameworks'!BB$4:BB$500,"TEMPLATE")</f>
        <v/>
      </c>
      <c r="N87" s="675">
        <f>IFERROR(L87/(L87+M87),0)</f>
        <v/>
      </c>
      <c r="O87" s="675">
        <f>IFERROR(G87/F87,0)</f>
        <v/>
      </c>
      <c r="P87" s="608">
        <f>IFERROR(AVERAGEIFS('All 108 Regulators - Frameworks'!BF$4:BF$500,'All 108 Regulators - Frameworks'!B$4:B$500,A87),0)</f>
        <v/>
      </c>
    </row>
    <row r="88" ht="36" customHeight="1">
      <c r="A88" s="85" t="inlineStr">
        <is>
          <t>SCEBA</t>
        </is>
      </c>
      <c r="B88" s="72" t="inlineStr">
        <is>
          <t>Saudi Centre for Evidence-Based Healthcare</t>
        </is>
      </c>
      <c r="C88" s="70" t="inlineStr">
        <is>
          <t>2. Healthcare &amp; Life Sciences</t>
        </is>
      </c>
      <c r="D88" s="70" t="n">
        <v>1</v>
      </c>
      <c r="E88" s="70" t="n">
        <v>1</v>
      </c>
      <c r="F88" s="70" t="n">
        <v>2</v>
      </c>
      <c r="G88" s="70" t="n">
        <v>0</v>
      </c>
      <c r="H88" s="70" t="inlineStr">
        <is>
          <t>SCEBA-FW; NCA-ECC-2:2024</t>
        </is>
      </c>
      <c r="I88" s="70" t="inlineStr">
        <is>
          <t>https://www.gov.sa/</t>
        </is>
      </c>
      <c r="J88" s="594">
        <f>(D88*3)+(G88*5)+(F88*1)</f>
        <v/>
      </c>
      <c r="K88" s="591">
        <f>IF(J88&gt;=50,"🔴 TIER 1",IF(J88&gt;=25,"🟠 TIER 2",IF(J88&gt;=10,"🟡 TIER 3","🟢 TIER 4")))</f>
        <v/>
      </c>
      <c r="L88" s="591">
        <f>COUNTIFS('All 108 Regulators - Frameworks'!B$4:B$500,A88,'All 108 Regulators - Frameworks'!BB$4:BB$500,"DEEP")</f>
        <v/>
      </c>
      <c r="M88" s="591">
        <f>COUNTIFS('All 108 Regulators - Frameworks'!B$4:B$500,A88,'All 108 Regulators - Frameworks'!BB$4:BB$500,"TEMPLATE")</f>
        <v/>
      </c>
      <c r="N88" s="675">
        <f>IFERROR(L88/(L88+M88),0)</f>
        <v/>
      </c>
      <c r="O88" s="675">
        <f>IFERROR(G88/F88,0)</f>
        <v/>
      </c>
      <c r="P88" s="608">
        <f>IFERROR(AVERAGEIFS('All 108 Regulators - Frameworks'!BF$4:BF$500,'All 108 Regulators - Frameworks'!B$4:B$500,A88),0)</f>
        <v/>
      </c>
    </row>
    <row r="89" ht="36" customHeight="1">
      <c r="A89" s="85" t="inlineStr">
        <is>
          <t>KSMC</t>
        </is>
      </c>
      <c r="B89" s="72" t="inlineStr">
        <is>
          <t>King Salman Medical City</t>
        </is>
      </c>
      <c r="C89" s="70" t="inlineStr">
        <is>
          <t>2. Healthcare &amp; Life Sciences</t>
        </is>
      </c>
      <c r="D89" s="70" t="n">
        <v>1</v>
      </c>
      <c r="E89" s="70" t="n">
        <v>1</v>
      </c>
      <c r="F89" s="70" t="n">
        <v>2</v>
      </c>
      <c r="G89" s="70" t="n">
        <v>0</v>
      </c>
      <c r="H89" s="70" t="inlineStr">
        <is>
          <t>KSMC-FW; NCA-ECC-2:2024</t>
        </is>
      </c>
      <c r="I89" s="70" t="inlineStr">
        <is>
          <t>https://www.gov.sa/</t>
        </is>
      </c>
      <c r="J89" s="594">
        <f>(D89*3)+(G89*5)+(F89*1)</f>
        <v/>
      </c>
      <c r="K89" s="591">
        <f>IF(J89&gt;=50,"🔴 TIER 1",IF(J89&gt;=25,"🟠 TIER 2",IF(J89&gt;=10,"🟡 TIER 3","🟢 TIER 4")))</f>
        <v/>
      </c>
      <c r="L89" s="591">
        <f>COUNTIFS('All 108 Regulators - Frameworks'!B$4:B$500,A89,'All 108 Regulators - Frameworks'!BB$4:BB$500,"DEEP")</f>
        <v/>
      </c>
      <c r="M89" s="591">
        <f>COUNTIFS('All 108 Regulators - Frameworks'!B$4:B$500,A89,'All 108 Regulators - Frameworks'!BB$4:BB$500,"TEMPLATE")</f>
        <v/>
      </c>
      <c r="N89" s="675">
        <f>IFERROR(L89/(L89+M89),0)</f>
        <v/>
      </c>
      <c r="O89" s="675">
        <f>IFERROR(G89/F89,0)</f>
        <v/>
      </c>
      <c r="P89" s="608">
        <f>IFERROR(AVERAGEIFS('All 108 Regulators - Frameworks'!BF$4:BF$500,'All 108 Regulators - Frameworks'!B$4:B$500,A89),0)</f>
        <v/>
      </c>
    </row>
    <row r="90" ht="36" customHeight="1">
      <c r="A90" s="85" t="inlineStr">
        <is>
          <t>MNGHA</t>
        </is>
      </c>
      <c r="B90" s="72" t="inlineStr">
        <is>
          <t>Ministry National Guard HA Hospitals</t>
        </is>
      </c>
      <c r="C90" s="70" t="inlineStr">
        <is>
          <t>2. Healthcare &amp; Life Sciences</t>
        </is>
      </c>
      <c r="D90" s="70" t="n">
        <v>1</v>
      </c>
      <c r="E90" s="70" t="n">
        <v>1</v>
      </c>
      <c r="F90" s="70" t="n">
        <v>2</v>
      </c>
      <c r="G90" s="70" t="n">
        <v>0</v>
      </c>
      <c r="H90" s="70" t="inlineStr">
        <is>
          <t>MNGHA-FW; NCA-ECC-2:2024</t>
        </is>
      </c>
      <c r="I90" s="70" t="inlineStr">
        <is>
          <t>https://www.gov.sa/</t>
        </is>
      </c>
      <c r="J90" s="594">
        <f>(D90*3)+(G90*5)+(F90*1)</f>
        <v/>
      </c>
      <c r="K90" s="591">
        <f>IF(J90&gt;=50,"🔴 TIER 1",IF(J90&gt;=25,"🟠 TIER 2",IF(J90&gt;=10,"🟡 TIER 3","🟢 TIER 4")))</f>
        <v/>
      </c>
      <c r="L90" s="591">
        <f>COUNTIFS('All 108 Regulators - Frameworks'!B$4:B$500,A90,'All 108 Regulators - Frameworks'!BB$4:BB$500,"DEEP")</f>
        <v/>
      </c>
      <c r="M90" s="591">
        <f>COUNTIFS('All 108 Regulators - Frameworks'!B$4:B$500,A90,'All 108 Regulators - Frameworks'!BB$4:BB$500,"TEMPLATE")</f>
        <v/>
      </c>
      <c r="N90" s="675">
        <f>IFERROR(L90/(L90+M90),0)</f>
        <v/>
      </c>
      <c r="O90" s="675">
        <f>IFERROR(G90/F90,0)</f>
        <v/>
      </c>
      <c r="P90" s="608">
        <f>IFERROR(AVERAGEIFS('All 108 Regulators - Frameworks'!BF$4:BF$500,'All 108 Regulators - Frameworks'!B$4:B$500,A90),0)</f>
        <v/>
      </c>
    </row>
    <row r="91" ht="36" customHeight="1">
      <c r="A91" s="390" t="inlineStr">
        <is>
          <t>COM</t>
        </is>
      </c>
      <c r="B91" s="392" t="inlineStr">
        <is>
          <t>Council of Ministers</t>
        </is>
      </c>
      <c r="C91" s="391" t="inlineStr">
        <is>
          <t>16. Councils &amp; Supreme Committees</t>
        </is>
      </c>
      <c r="D91" s="391" t="n">
        <v>1</v>
      </c>
      <c r="E91" s="391" t="n">
        <v>1</v>
      </c>
      <c r="F91" s="391" t="n">
        <v>2</v>
      </c>
      <c r="G91" s="391" t="n">
        <v>0</v>
      </c>
      <c r="H91" s="391" t="inlineStr">
        <is>
          <t>COM-FW; NCA-ECC-2:2024</t>
        </is>
      </c>
      <c r="I91" s="391" t="inlineStr">
        <is>
          <t>https://www.gov.sa/</t>
        </is>
      </c>
      <c r="J91" s="594">
        <f>(D91*3)+(G91*5)+(F91*1)</f>
        <v/>
      </c>
      <c r="K91" s="591">
        <f>IF(J91&gt;=50,"🔴 TIER 1",IF(J91&gt;=25,"🟠 TIER 2",IF(J91&gt;=10,"🟡 TIER 3","🟢 TIER 4")))</f>
        <v/>
      </c>
      <c r="L91" s="591">
        <f>COUNTIFS('All 108 Regulators - Frameworks'!B$4:B$500,A91,'All 108 Regulators - Frameworks'!BB$4:BB$500,"DEEP")</f>
        <v/>
      </c>
      <c r="M91" s="591">
        <f>COUNTIFS('All 108 Regulators - Frameworks'!B$4:B$500,A91,'All 108 Regulators - Frameworks'!BB$4:BB$500,"TEMPLATE")</f>
        <v/>
      </c>
      <c r="N91" s="675">
        <f>IFERROR(L91/(L91+M91),0)</f>
        <v/>
      </c>
      <c r="O91" s="675">
        <f>IFERROR(G91/F91,0)</f>
        <v/>
      </c>
      <c r="P91" s="608">
        <f>IFERROR(AVERAGEIFS('All 108 Regulators - Frameworks'!BF$4:BF$500,'All 108 Regulators - Frameworks'!B$4:B$500,A91),0)</f>
        <v/>
      </c>
    </row>
    <row r="92" ht="36" customHeight="1">
      <c r="A92" s="390" t="inlineStr">
        <is>
          <t>SHURA</t>
        </is>
      </c>
      <c r="B92" s="392" t="inlineStr">
        <is>
          <t>Majlis Al-Shura (Consultative Assembly)</t>
        </is>
      </c>
      <c r="C92" s="391" t="inlineStr">
        <is>
          <t>16. Councils &amp; Supreme Committees</t>
        </is>
      </c>
      <c r="D92" s="391" t="n">
        <v>1</v>
      </c>
      <c r="E92" s="391" t="n">
        <v>1</v>
      </c>
      <c r="F92" s="391" t="n">
        <v>2</v>
      </c>
      <c r="G92" s="391" t="n">
        <v>0</v>
      </c>
      <c r="H92" s="391" t="inlineStr">
        <is>
          <t>SHURA-FW; NCA-ECC-2:2024</t>
        </is>
      </c>
      <c r="I92" s="391" t="inlineStr">
        <is>
          <t>https://www.gov.sa/</t>
        </is>
      </c>
      <c r="J92" s="594">
        <f>(D92*3)+(G92*5)+(F92*1)</f>
        <v/>
      </c>
      <c r="K92" s="591">
        <f>IF(J92&gt;=50,"🔴 TIER 1",IF(J92&gt;=25,"🟠 TIER 2",IF(J92&gt;=10,"🟡 TIER 3","🟢 TIER 4")))</f>
        <v/>
      </c>
      <c r="L92" s="591">
        <f>COUNTIFS('All 108 Regulators - Frameworks'!B$4:B$500,A92,'All 108 Regulators - Frameworks'!BB$4:BB$500,"DEEP")</f>
        <v/>
      </c>
      <c r="M92" s="591">
        <f>COUNTIFS('All 108 Regulators - Frameworks'!B$4:B$500,A92,'All 108 Regulators - Frameworks'!BB$4:BB$500,"TEMPLATE")</f>
        <v/>
      </c>
      <c r="N92" s="675">
        <f>IFERROR(L92/(L92+M92),0)</f>
        <v/>
      </c>
      <c r="O92" s="675">
        <f>IFERROR(G92/F92,0)</f>
        <v/>
      </c>
      <c r="P92" s="608">
        <f>IFERROR(AVERAGEIFS('All 108 Regulators - Frameworks'!BF$4:BF$500,'All 108 Regulators - Frameworks'!B$4:B$500,A92),0)</f>
        <v/>
      </c>
    </row>
    <row r="93" ht="36" customHeight="1">
      <c r="A93" s="390" t="inlineStr">
        <is>
          <t>V2030</t>
        </is>
      </c>
      <c r="B93" s="392" t="inlineStr">
        <is>
          <t>Vision 2030 Programme Office</t>
        </is>
      </c>
      <c r="C93" s="391" t="inlineStr">
        <is>
          <t>16. Councils &amp; Supreme Committees</t>
        </is>
      </c>
      <c r="D93" s="391" t="n">
        <v>1</v>
      </c>
      <c r="E93" s="391" t="n">
        <v>1</v>
      </c>
      <c r="F93" s="391" t="n">
        <v>2</v>
      </c>
      <c r="G93" s="391" t="n">
        <v>0</v>
      </c>
      <c r="H93" s="391" t="inlineStr">
        <is>
          <t>V2030-FW; NCA-ECC-2:2024</t>
        </is>
      </c>
      <c r="I93" s="391" t="inlineStr">
        <is>
          <t>https://www.gov.sa/</t>
        </is>
      </c>
      <c r="J93" s="594">
        <f>(D93*3)+(G93*5)+(F93*1)</f>
        <v/>
      </c>
      <c r="K93" s="591">
        <f>IF(J93&gt;=50,"🔴 TIER 1",IF(J93&gt;=25,"🟠 TIER 2",IF(J93&gt;=10,"🟡 TIER 3","🟢 TIER 4")))</f>
        <v/>
      </c>
      <c r="L93" s="591">
        <f>COUNTIFS('All 108 Regulators - Frameworks'!B$4:B$500,A93,'All 108 Regulators - Frameworks'!BB$4:BB$500,"DEEP")</f>
        <v/>
      </c>
      <c r="M93" s="591">
        <f>COUNTIFS('All 108 Regulators - Frameworks'!B$4:B$500,A93,'All 108 Regulators - Frameworks'!BB$4:BB$500,"TEMPLATE")</f>
        <v/>
      </c>
      <c r="N93" s="675">
        <f>IFERROR(L93/(L93+M93),0)</f>
        <v/>
      </c>
      <c r="O93" s="675">
        <f>IFERROR(G93/F93,0)</f>
        <v/>
      </c>
      <c r="P93" s="608">
        <f>IFERROR(AVERAGEIFS('All 108 Regulators - Frameworks'!BF$4:BF$500,'All 108 Regulators - Frameworks'!B$4:B$500,A93),0)</f>
        <v/>
      </c>
    </row>
    <row r="94" ht="36" customHeight="1">
      <c r="A94" s="390" t="inlineStr">
        <is>
          <t>SBC</t>
        </is>
      </c>
      <c r="B94" s="392" t="inlineStr">
        <is>
          <t>Saudi Business Centre</t>
        </is>
      </c>
      <c r="C94" s="391" t="inlineStr">
        <is>
          <t>16. Councils &amp; Supreme Committees</t>
        </is>
      </c>
      <c r="D94" s="391" t="n">
        <v>1</v>
      </c>
      <c r="E94" s="391" t="n">
        <v>1</v>
      </c>
      <c r="F94" s="391" t="n">
        <v>2</v>
      </c>
      <c r="G94" s="391" t="n">
        <v>0</v>
      </c>
      <c r="H94" s="391" t="inlineStr">
        <is>
          <t>SBC-FW; NCA-ECC-2:2024</t>
        </is>
      </c>
      <c r="I94" s="391" t="inlineStr">
        <is>
          <t>https://www.gov.sa/</t>
        </is>
      </c>
      <c r="J94" s="594">
        <f>(D94*3)+(G94*5)+(F94*1)</f>
        <v/>
      </c>
      <c r="K94" s="591">
        <f>IF(J94&gt;=50,"🔴 TIER 1",IF(J94&gt;=25,"🟠 TIER 2",IF(J94&gt;=10,"🟡 TIER 3","🟢 TIER 4")))</f>
        <v/>
      </c>
      <c r="L94" s="591">
        <f>COUNTIFS('All 108 Regulators - Frameworks'!B$4:B$500,A94,'All 108 Regulators - Frameworks'!BB$4:BB$500,"DEEP")</f>
        <v/>
      </c>
      <c r="M94" s="591">
        <f>COUNTIFS('All 108 Regulators - Frameworks'!B$4:B$500,A94,'All 108 Regulators - Frameworks'!BB$4:BB$500,"TEMPLATE")</f>
        <v/>
      </c>
      <c r="N94" s="675">
        <f>IFERROR(L94/(L94+M94),0)</f>
        <v/>
      </c>
      <c r="O94" s="675">
        <f>IFERROR(G94/F94,0)</f>
        <v/>
      </c>
      <c r="P94" s="608">
        <f>IFERROR(AVERAGEIFS('All 108 Regulators - Frameworks'!BF$4:BF$500,'All 108 Regulators - Frameworks'!B$4:B$500,A94),0)</f>
        <v/>
      </c>
    </row>
    <row r="95" ht="36" customHeight="1">
      <c r="A95" s="411" t="inlineStr">
        <is>
          <t>RHC1</t>
        </is>
      </c>
      <c r="B95" s="72" t="inlineStr">
        <is>
          <t>Riyadh Health Cluster 1</t>
        </is>
      </c>
      <c r="C95" s="70" t="inlineStr">
        <is>
          <t>17. Regional Health Clusters</t>
        </is>
      </c>
      <c r="D95" s="70" t="n">
        <v>0</v>
      </c>
      <c r="E95" s="70" t="n">
        <v>10</v>
      </c>
      <c r="F95" s="70" t="n">
        <v>10</v>
      </c>
      <c r="G95" s="70" t="n">
        <v>8</v>
      </c>
      <c r="H95" s="70" t="inlineStr">
        <is>
          <t>MOH-HIS; MOH-EMR-NABIDH; MOH-PS; MOH-PR; CBAHI-HAS-H; NCA-ECC-2:2024; PDPL-2021; MOH-TELE; NHIC-NABIDH; NCA-OTCC</t>
        </is>
      </c>
      <c r="I95" s="70" t="inlineStr">
        <is>
          <t>https://www.moh.gov.sa/en/</t>
        </is>
      </c>
      <c r="J95" s="594">
        <f>(D95*3)+(G95*5)+(F95*1)</f>
        <v/>
      </c>
      <c r="K95" s="591">
        <f>IF(J95&gt;=50,"🔴 TIER 1",IF(J95&gt;=25,"🟠 TIER 2",IF(J95&gt;=10,"🟡 TIER 3","🟢 TIER 4")))</f>
        <v/>
      </c>
      <c r="L95" s="591">
        <f>COUNTIFS('All 108 Regulators - Frameworks'!B$4:B$500,A95,'All 108 Regulators - Frameworks'!BB$4:BB$500,"DEEP")</f>
        <v/>
      </c>
      <c r="M95" s="591">
        <f>COUNTIFS('All 108 Regulators - Frameworks'!B$4:B$500,A95,'All 108 Regulators - Frameworks'!BB$4:BB$500,"TEMPLATE")</f>
        <v/>
      </c>
      <c r="N95" s="675">
        <f>IFERROR(L95/(L95+M95),0)</f>
        <v/>
      </c>
      <c r="O95" s="675">
        <f>IFERROR(G95/F95,0)</f>
        <v/>
      </c>
      <c r="P95" s="608">
        <f>IFERROR(AVERAGEIFS('All 108 Regulators - Frameworks'!BF$4:BF$500,'All 108 Regulators - Frameworks'!B$4:B$500,A95),0)</f>
        <v/>
      </c>
    </row>
    <row r="96" ht="36" customHeight="1">
      <c r="A96" s="411" t="inlineStr">
        <is>
          <t>RHC2</t>
        </is>
      </c>
      <c r="B96" s="72" t="inlineStr">
        <is>
          <t>Riyadh Health Cluster 2</t>
        </is>
      </c>
      <c r="C96" s="70" t="inlineStr">
        <is>
          <t>17. Regional Health Clusters</t>
        </is>
      </c>
      <c r="D96" s="70" t="n">
        <v>0</v>
      </c>
      <c r="E96" s="70" t="n">
        <v>10</v>
      </c>
      <c r="F96" s="70" t="n">
        <v>10</v>
      </c>
      <c r="G96" s="70" t="n">
        <v>8</v>
      </c>
      <c r="H96" s="70" t="inlineStr">
        <is>
          <t>MOH-HIS; MOH-EMR-NABIDH; MOH-PS; MOH-PR; CBAHI-HAS-H; NCA-ECC-2:2024; PDPL-2021; MOH-TELE; NHIC-NABIDH; NCA-OTCC</t>
        </is>
      </c>
      <c r="I96" s="70" t="inlineStr">
        <is>
          <t>https://www.moh.gov.sa/en/</t>
        </is>
      </c>
      <c r="J96" s="594">
        <f>(D96*3)+(G96*5)+(F96*1)</f>
        <v/>
      </c>
      <c r="K96" s="591">
        <f>IF(J96&gt;=50,"🔴 TIER 1",IF(J96&gt;=25,"🟠 TIER 2",IF(J96&gt;=10,"🟡 TIER 3","🟢 TIER 4")))</f>
        <v/>
      </c>
      <c r="L96" s="591">
        <f>COUNTIFS('All 108 Regulators - Frameworks'!B$4:B$500,A96,'All 108 Regulators - Frameworks'!BB$4:BB$500,"DEEP")</f>
        <v/>
      </c>
      <c r="M96" s="591">
        <f>COUNTIFS('All 108 Regulators - Frameworks'!B$4:B$500,A96,'All 108 Regulators - Frameworks'!BB$4:BB$500,"TEMPLATE")</f>
        <v/>
      </c>
      <c r="N96" s="675">
        <f>IFERROR(L96/(L96+M96),0)</f>
        <v/>
      </c>
      <c r="O96" s="675">
        <f>IFERROR(G96/F96,0)</f>
        <v/>
      </c>
      <c r="P96" s="608">
        <f>IFERROR(AVERAGEIFS('All 108 Regulators - Frameworks'!BF$4:BF$500,'All 108 Regulators - Frameworks'!B$4:B$500,A96),0)</f>
        <v/>
      </c>
    </row>
    <row r="97" ht="36" customHeight="1">
      <c r="A97" s="411" t="inlineStr">
        <is>
          <t>JDHC</t>
        </is>
      </c>
      <c r="B97" s="72" t="inlineStr">
        <is>
          <t>Jeddah Health Cluster</t>
        </is>
      </c>
      <c r="C97" s="70" t="inlineStr">
        <is>
          <t>17. Regional Health Clusters</t>
        </is>
      </c>
      <c r="D97" s="70" t="n">
        <v>0</v>
      </c>
      <c r="E97" s="70" t="n">
        <v>10</v>
      </c>
      <c r="F97" s="70" t="n">
        <v>10</v>
      </c>
      <c r="G97" s="70" t="n">
        <v>8</v>
      </c>
      <c r="H97" s="70" t="inlineStr">
        <is>
          <t>MOH-HIS; MOH-EMR-NABIDH; MOH-PS; MOH-PR; CBAHI-HAS-H; NCA-ECC-2:2024; PDPL-2021; MOH-TELE; NHIC-NABIDH; NCA-OTCC</t>
        </is>
      </c>
      <c r="I97" s="70" t="inlineStr">
        <is>
          <t>https://www.moh.gov.sa/en/</t>
        </is>
      </c>
      <c r="J97" s="594">
        <f>(D97*3)+(G97*5)+(F97*1)</f>
        <v/>
      </c>
      <c r="K97" s="591">
        <f>IF(J97&gt;=50,"🔴 TIER 1",IF(J97&gt;=25,"🟠 TIER 2",IF(J97&gt;=10,"🟡 TIER 3","🟢 TIER 4")))</f>
        <v/>
      </c>
      <c r="L97" s="591">
        <f>COUNTIFS('All 108 Regulators - Frameworks'!B$4:B$500,A97,'All 108 Regulators - Frameworks'!BB$4:BB$500,"DEEP")</f>
        <v/>
      </c>
      <c r="M97" s="591">
        <f>COUNTIFS('All 108 Regulators - Frameworks'!B$4:B$500,A97,'All 108 Regulators - Frameworks'!BB$4:BB$500,"TEMPLATE")</f>
        <v/>
      </c>
      <c r="N97" s="675">
        <f>IFERROR(L97/(L97+M97),0)</f>
        <v/>
      </c>
      <c r="O97" s="675">
        <f>IFERROR(G97/F97,0)</f>
        <v/>
      </c>
      <c r="P97" s="608">
        <f>IFERROR(AVERAGEIFS('All 108 Regulators - Frameworks'!BF$4:BF$500,'All 108 Regulators - Frameworks'!B$4:B$500,A97),0)</f>
        <v/>
      </c>
    </row>
    <row r="98" ht="36" customHeight="1">
      <c r="A98" s="411" t="inlineStr">
        <is>
          <t>MKHC</t>
        </is>
      </c>
      <c r="B98" s="72" t="inlineStr">
        <is>
          <t>Makkah Health Cluster</t>
        </is>
      </c>
      <c r="C98" s="70" t="inlineStr">
        <is>
          <t>17. Regional Health Clusters</t>
        </is>
      </c>
      <c r="D98" s="70" t="n">
        <v>0</v>
      </c>
      <c r="E98" s="70" t="n">
        <v>10</v>
      </c>
      <c r="F98" s="70" t="n">
        <v>10</v>
      </c>
      <c r="G98" s="70" t="n">
        <v>8</v>
      </c>
      <c r="H98" s="70" t="inlineStr">
        <is>
          <t>MOH-HIS; MOH-EMR-NABIDH; MOH-PS; MOH-PR; CBAHI-HAS-H; NCA-ECC-2:2024; PDPL-2021; MOH-TELE; NHIC-NABIDH; NCA-OTCC</t>
        </is>
      </c>
      <c r="I98" s="70" t="inlineStr">
        <is>
          <t>https://www.moh.gov.sa/en/</t>
        </is>
      </c>
      <c r="J98" s="594">
        <f>(D98*3)+(G98*5)+(F98*1)</f>
        <v/>
      </c>
      <c r="K98" s="591">
        <f>IF(J98&gt;=50,"🔴 TIER 1",IF(J98&gt;=25,"🟠 TIER 2",IF(J98&gt;=10,"🟡 TIER 3","🟢 TIER 4")))</f>
        <v/>
      </c>
      <c r="L98" s="591">
        <f>COUNTIFS('All 108 Regulators - Frameworks'!B$4:B$500,A98,'All 108 Regulators - Frameworks'!BB$4:BB$500,"DEEP")</f>
        <v/>
      </c>
      <c r="M98" s="591">
        <f>COUNTIFS('All 108 Regulators - Frameworks'!B$4:B$500,A98,'All 108 Regulators - Frameworks'!BB$4:BB$500,"TEMPLATE")</f>
        <v/>
      </c>
      <c r="N98" s="675">
        <f>IFERROR(L98/(L98+M98),0)</f>
        <v/>
      </c>
      <c r="O98" s="675">
        <f>IFERROR(G98/F98,0)</f>
        <v/>
      </c>
      <c r="P98" s="608">
        <f>IFERROR(AVERAGEIFS('All 108 Regulators - Frameworks'!BF$4:BF$500,'All 108 Regulators - Frameworks'!B$4:B$500,A98),0)</f>
        <v/>
      </c>
    </row>
    <row r="99" ht="36" customHeight="1">
      <c r="A99" s="411" t="inlineStr">
        <is>
          <t>MDHC</t>
        </is>
      </c>
      <c r="B99" s="72" t="inlineStr">
        <is>
          <t>Madinah Health Cluster</t>
        </is>
      </c>
      <c r="C99" s="70" t="inlineStr">
        <is>
          <t>17. Regional Health Clusters</t>
        </is>
      </c>
      <c r="D99" s="70" t="n">
        <v>0</v>
      </c>
      <c r="E99" s="70" t="n">
        <v>10</v>
      </c>
      <c r="F99" s="70" t="n">
        <v>10</v>
      </c>
      <c r="G99" s="70" t="n">
        <v>8</v>
      </c>
      <c r="H99" s="70" t="inlineStr">
        <is>
          <t>MOH-HIS; MOH-EMR-NABIDH; MOH-PS; MOH-PR; CBAHI-HAS-H; NCA-ECC-2:2024; PDPL-2021; MOH-TELE; NHIC-NABIDH; NCA-OTCC</t>
        </is>
      </c>
      <c r="I99" s="70" t="inlineStr">
        <is>
          <t>https://www.moh.gov.sa/en/</t>
        </is>
      </c>
      <c r="J99" s="594">
        <f>(D99*3)+(G99*5)+(F99*1)</f>
        <v/>
      </c>
      <c r="K99" s="591">
        <f>IF(J99&gt;=50,"🔴 TIER 1",IF(J99&gt;=25,"🟠 TIER 2",IF(J99&gt;=10,"🟡 TIER 3","🟢 TIER 4")))</f>
        <v/>
      </c>
      <c r="L99" s="591">
        <f>COUNTIFS('All 108 Regulators - Frameworks'!B$4:B$500,A99,'All 108 Regulators - Frameworks'!BB$4:BB$500,"DEEP")</f>
        <v/>
      </c>
      <c r="M99" s="591">
        <f>COUNTIFS('All 108 Regulators - Frameworks'!B$4:B$500,A99,'All 108 Regulators - Frameworks'!BB$4:BB$500,"TEMPLATE")</f>
        <v/>
      </c>
      <c r="N99" s="675">
        <f>IFERROR(L99/(L99+M99),0)</f>
        <v/>
      </c>
      <c r="O99" s="675">
        <f>IFERROR(G99/F99,0)</f>
        <v/>
      </c>
      <c r="P99" s="608">
        <f>IFERROR(AVERAGEIFS('All 108 Regulators - Frameworks'!BF$4:BF$500,'All 108 Regulators - Frameworks'!B$4:B$500,A99),0)</f>
        <v/>
      </c>
    </row>
    <row r="100" ht="36" customHeight="1">
      <c r="A100" s="411" t="inlineStr">
        <is>
          <t>EKHC</t>
        </is>
      </c>
      <c r="B100" s="72" t="inlineStr">
        <is>
          <t>Eastern Region Health Cluster</t>
        </is>
      </c>
      <c r="C100" s="70" t="inlineStr">
        <is>
          <t>17. Regional Health Clusters</t>
        </is>
      </c>
      <c r="D100" s="70" t="n">
        <v>0</v>
      </c>
      <c r="E100" s="70" t="n">
        <v>10</v>
      </c>
      <c r="F100" s="70" t="n">
        <v>10</v>
      </c>
      <c r="G100" s="70" t="n">
        <v>8</v>
      </c>
      <c r="H100" s="70" t="inlineStr">
        <is>
          <t>MOH-HIS; MOH-EMR-NABIDH; MOH-PS; MOH-PR; CBAHI-HAS-H; NCA-ECC-2:2024; PDPL-2021; MOH-TELE; NHIC-NABIDH; NCA-OTCC</t>
        </is>
      </c>
      <c r="I100" s="70" t="inlineStr">
        <is>
          <t>https://www.moh.gov.sa/en/</t>
        </is>
      </c>
      <c r="J100" s="594">
        <f>(D100*3)+(G100*5)+(F100*1)</f>
        <v/>
      </c>
      <c r="K100" s="591">
        <f>IF(J100&gt;=50,"🔴 TIER 1",IF(J100&gt;=25,"🟠 TIER 2",IF(J100&gt;=10,"🟡 TIER 3","🟢 TIER 4")))</f>
        <v/>
      </c>
      <c r="L100" s="591">
        <f>COUNTIFS('All 108 Regulators - Frameworks'!B$4:B$500,A100,'All 108 Regulators - Frameworks'!BB$4:BB$500,"DEEP")</f>
        <v/>
      </c>
      <c r="M100" s="591">
        <f>COUNTIFS('All 108 Regulators - Frameworks'!B$4:B$500,A100,'All 108 Regulators - Frameworks'!BB$4:BB$500,"TEMPLATE")</f>
        <v/>
      </c>
      <c r="N100" s="675">
        <f>IFERROR(L100/(L100+M100),0)</f>
        <v/>
      </c>
      <c r="O100" s="675">
        <f>IFERROR(G100/F100,0)</f>
        <v/>
      </c>
      <c r="P100" s="608">
        <f>IFERROR(AVERAGEIFS('All 108 Regulators - Frameworks'!BF$4:BF$500,'All 108 Regulators - Frameworks'!B$4:B$500,A100),0)</f>
        <v/>
      </c>
    </row>
    <row r="101" ht="36" customHeight="1">
      <c r="A101" s="411" t="inlineStr">
        <is>
          <t>AZHC</t>
        </is>
      </c>
      <c r="B101" s="72" t="inlineStr">
        <is>
          <t>Aseer Health Cluster</t>
        </is>
      </c>
      <c r="C101" s="70" t="inlineStr">
        <is>
          <t>17. Regional Health Clusters</t>
        </is>
      </c>
      <c r="D101" s="70" t="n">
        <v>0</v>
      </c>
      <c r="E101" s="70" t="n">
        <v>10</v>
      </c>
      <c r="F101" s="70" t="n">
        <v>10</v>
      </c>
      <c r="G101" s="70" t="n">
        <v>8</v>
      </c>
      <c r="H101" s="70" t="inlineStr">
        <is>
          <t>MOH-HIS; MOH-EMR-NABIDH; MOH-PS; MOH-PR; CBAHI-HAS-H; NCA-ECC-2:2024; PDPL-2021; MOH-TELE; NHIC-NABIDH; NCA-OTCC</t>
        </is>
      </c>
      <c r="I101" s="70" t="inlineStr">
        <is>
          <t>https://www.moh.gov.sa/en/</t>
        </is>
      </c>
      <c r="J101" s="594">
        <f>(D101*3)+(G101*5)+(F101*1)</f>
        <v/>
      </c>
      <c r="K101" s="591">
        <f>IF(J101&gt;=50,"🔴 TIER 1",IF(J101&gt;=25,"🟠 TIER 2",IF(J101&gt;=10,"🟡 TIER 3","🟢 TIER 4")))</f>
        <v/>
      </c>
      <c r="L101" s="591">
        <f>COUNTIFS('All 108 Regulators - Frameworks'!B$4:B$500,A101,'All 108 Regulators - Frameworks'!BB$4:BB$500,"DEEP")</f>
        <v/>
      </c>
      <c r="M101" s="591">
        <f>COUNTIFS('All 108 Regulators - Frameworks'!B$4:B$500,A101,'All 108 Regulators - Frameworks'!BB$4:BB$500,"TEMPLATE")</f>
        <v/>
      </c>
      <c r="N101" s="675">
        <f>IFERROR(L101/(L101+M101),0)</f>
        <v/>
      </c>
      <c r="O101" s="675">
        <f>IFERROR(G101/F101,0)</f>
        <v/>
      </c>
      <c r="P101" s="608">
        <f>IFERROR(AVERAGEIFS('All 108 Regulators - Frameworks'!BF$4:BF$500,'All 108 Regulators - Frameworks'!B$4:B$500,A101),0)</f>
        <v/>
      </c>
    </row>
    <row r="102" ht="36" customHeight="1">
      <c r="A102" s="411" t="inlineStr">
        <is>
          <t>JZHC</t>
        </is>
      </c>
      <c r="B102" s="72" t="inlineStr">
        <is>
          <t>Jazan Health Cluster</t>
        </is>
      </c>
      <c r="C102" s="70" t="inlineStr">
        <is>
          <t>17. Regional Health Clusters</t>
        </is>
      </c>
      <c r="D102" s="70" t="n">
        <v>0</v>
      </c>
      <c r="E102" s="70" t="n">
        <v>10</v>
      </c>
      <c r="F102" s="70" t="n">
        <v>10</v>
      </c>
      <c r="G102" s="70" t="n">
        <v>8</v>
      </c>
      <c r="H102" s="70" t="inlineStr">
        <is>
          <t>MOH-HIS; MOH-EMR-NABIDH; MOH-PS; MOH-PR; CBAHI-HAS-H; NCA-ECC-2:2024; PDPL-2021; MOH-TELE; NHIC-NABIDH; NCA-OTCC</t>
        </is>
      </c>
      <c r="I102" s="70" t="inlineStr">
        <is>
          <t>https://www.moh.gov.sa/en/</t>
        </is>
      </c>
      <c r="J102" s="594">
        <f>(D102*3)+(G102*5)+(F102*1)</f>
        <v/>
      </c>
      <c r="K102" s="591">
        <f>IF(J102&gt;=50,"🔴 TIER 1",IF(J102&gt;=25,"🟠 TIER 2",IF(J102&gt;=10,"🟡 TIER 3","🟢 TIER 4")))</f>
        <v/>
      </c>
      <c r="L102" s="591">
        <f>COUNTIFS('All 108 Regulators - Frameworks'!B$4:B$500,A102,'All 108 Regulators - Frameworks'!BB$4:BB$500,"DEEP")</f>
        <v/>
      </c>
      <c r="M102" s="591">
        <f>COUNTIFS('All 108 Regulators - Frameworks'!B$4:B$500,A102,'All 108 Regulators - Frameworks'!BB$4:BB$500,"TEMPLATE")</f>
        <v/>
      </c>
      <c r="N102" s="675">
        <f>IFERROR(L102/(L102+M102),0)</f>
        <v/>
      </c>
      <c r="O102" s="675">
        <f>IFERROR(G102/F102,0)</f>
        <v/>
      </c>
      <c r="P102" s="608">
        <f>IFERROR(AVERAGEIFS('All 108 Regulators - Frameworks'!BF$4:BF$500,'All 108 Regulators - Frameworks'!B$4:B$500,A102),0)</f>
        <v/>
      </c>
    </row>
    <row r="103" ht="36" customHeight="1">
      <c r="A103" s="411" t="inlineStr">
        <is>
          <t>TBHC</t>
        </is>
      </c>
      <c r="B103" s="72" t="inlineStr">
        <is>
          <t>Tabuk Health Cluster</t>
        </is>
      </c>
      <c r="C103" s="70" t="inlineStr">
        <is>
          <t>17. Regional Health Clusters</t>
        </is>
      </c>
      <c r="D103" s="70" t="n">
        <v>0</v>
      </c>
      <c r="E103" s="70" t="n">
        <v>10</v>
      </c>
      <c r="F103" s="70" t="n">
        <v>10</v>
      </c>
      <c r="G103" s="70" t="n">
        <v>8</v>
      </c>
      <c r="H103" s="70" t="inlineStr">
        <is>
          <t>MOH-HIS; MOH-EMR-NABIDH; MOH-PS; MOH-PR; CBAHI-HAS-H; NCA-ECC-2:2024; PDPL-2021; MOH-TELE; NHIC-NABIDH; NCA-OTCC</t>
        </is>
      </c>
      <c r="I103" s="70" t="inlineStr">
        <is>
          <t>https://www.moh.gov.sa/en/</t>
        </is>
      </c>
      <c r="J103" s="594">
        <f>(D103*3)+(G103*5)+(F103*1)</f>
        <v/>
      </c>
      <c r="K103" s="591">
        <f>IF(J103&gt;=50,"🔴 TIER 1",IF(J103&gt;=25,"🟠 TIER 2",IF(J103&gt;=10,"🟡 TIER 3","🟢 TIER 4")))</f>
        <v/>
      </c>
      <c r="L103" s="591">
        <f>COUNTIFS('All 108 Regulators - Frameworks'!B$4:B$500,A103,'All 108 Regulators - Frameworks'!BB$4:BB$500,"DEEP")</f>
        <v/>
      </c>
      <c r="M103" s="591">
        <f>COUNTIFS('All 108 Regulators - Frameworks'!B$4:B$500,A103,'All 108 Regulators - Frameworks'!BB$4:BB$500,"TEMPLATE")</f>
        <v/>
      </c>
      <c r="N103" s="675">
        <f>IFERROR(L103/(L103+M103),0)</f>
        <v/>
      </c>
      <c r="O103" s="675">
        <f>IFERROR(G103/F103,0)</f>
        <v/>
      </c>
      <c r="P103" s="608">
        <f>IFERROR(AVERAGEIFS('All 108 Regulators - Frameworks'!BF$4:BF$500,'All 108 Regulators - Frameworks'!B$4:B$500,A103),0)</f>
        <v/>
      </c>
    </row>
    <row r="104" ht="36" customHeight="1">
      <c r="A104" s="411" t="inlineStr">
        <is>
          <t>NMHC</t>
        </is>
      </c>
      <c r="B104" s="72" t="inlineStr">
        <is>
          <t>Najran Health Cluster</t>
        </is>
      </c>
      <c r="C104" s="70" t="inlineStr">
        <is>
          <t>17. Regional Health Clusters</t>
        </is>
      </c>
      <c r="D104" s="70" t="n">
        <v>0</v>
      </c>
      <c r="E104" s="70" t="n">
        <v>10</v>
      </c>
      <c r="F104" s="70" t="n">
        <v>10</v>
      </c>
      <c r="G104" s="70" t="n">
        <v>8</v>
      </c>
      <c r="H104" s="70" t="inlineStr">
        <is>
          <t>MOH-HIS; MOH-EMR-NABIDH; MOH-PS; MOH-PR; CBAHI-HAS-H; NCA-ECC-2:2024; PDPL-2021; MOH-TELE; NHIC-NABIDH; NCA-OTCC</t>
        </is>
      </c>
      <c r="I104" s="70" t="inlineStr">
        <is>
          <t>https://www.moh.gov.sa/en/</t>
        </is>
      </c>
      <c r="J104" s="594">
        <f>(D104*3)+(G104*5)+(F104*1)</f>
        <v/>
      </c>
      <c r="K104" s="591">
        <f>IF(J104&gt;=50,"🔴 TIER 1",IF(J104&gt;=25,"🟠 TIER 2",IF(J104&gt;=10,"🟡 TIER 3","🟢 TIER 4")))</f>
        <v/>
      </c>
      <c r="L104" s="591">
        <f>COUNTIFS('All 108 Regulators - Frameworks'!B$4:B$500,A104,'All 108 Regulators - Frameworks'!BB$4:BB$500,"DEEP")</f>
        <v/>
      </c>
      <c r="M104" s="591">
        <f>COUNTIFS('All 108 Regulators - Frameworks'!B$4:B$500,A104,'All 108 Regulators - Frameworks'!BB$4:BB$500,"TEMPLATE")</f>
        <v/>
      </c>
      <c r="N104" s="675">
        <f>IFERROR(L104/(L104+M104),0)</f>
        <v/>
      </c>
      <c r="O104" s="675">
        <f>IFERROR(G104/F104,0)</f>
        <v/>
      </c>
      <c r="P104" s="608">
        <f>IFERROR(AVERAGEIFS('All 108 Regulators - Frameworks'!BF$4:BF$500,'All 108 Regulators - Frameworks'!B$4:B$500,A104),0)</f>
        <v/>
      </c>
    </row>
    <row r="105" ht="36" customHeight="1">
      <c r="A105" s="411" t="inlineStr">
        <is>
          <t>QLHC</t>
        </is>
      </c>
      <c r="B105" s="72" t="inlineStr">
        <is>
          <t>Qassim Health Cluster</t>
        </is>
      </c>
      <c r="C105" s="70" t="inlineStr">
        <is>
          <t>17. Regional Health Clusters</t>
        </is>
      </c>
      <c r="D105" s="70" t="n">
        <v>0</v>
      </c>
      <c r="E105" s="70" t="n">
        <v>10</v>
      </c>
      <c r="F105" s="70" t="n">
        <v>10</v>
      </c>
      <c r="G105" s="70" t="n">
        <v>8</v>
      </c>
      <c r="H105" s="70" t="inlineStr">
        <is>
          <t>MOH-HIS; MOH-EMR-NABIDH; MOH-PS; MOH-PR; CBAHI-HAS-H; NCA-ECC-2:2024; PDPL-2021; MOH-TELE; NHIC-NABIDH; NCA-OTCC</t>
        </is>
      </c>
      <c r="I105" s="70" t="inlineStr">
        <is>
          <t>https://www.moh.gov.sa/en/</t>
        </is>
      </c>
      <c r="J105" s="594">
        <f>(D105*3)+(G105*5)+(F105*1)</f>
        <v/>
      </c>
      <c r="K105" s="591">
        <f>IF(J105&gt;=50,"🔴 TIER 1",IF(J105&gt;=25,"🟠 TIER 2",IF(J105&gt;=10,"🟡 TIER 3","🟢 TIER 4")))</f>
        <v/>
      </c>
      <c r="L105" s="591">
        <f>COUNTIFS('All 108 Regulators - Frameworks'!B$4:B$500,A105,'All 108 Regulators - Frameworks'!BB$4:BB$500,"DEEP")</f>
        <v/>
      </c>
      <c r="M105" s="591">
        <f>COUNTIFS('All 108 Regulators - Frameworks'!B$4:B$500,A105,'All 108 Regulators - Frameworks'!BB$4:BB$500,"TEMPLATE")</f>
        <v/>
      </c>
      <c r="N105" s="675">
        <f>IFERROR(L105/(L105+M105),0)</f>
        <v/>
      </c>
      <c r="O105" s="675">
        <f>IFERROR(G105/F105,0)</f>
        <v/>
      </c>
      <c r="P105" s="608">
        <f>IFERROR(AVERAGEIFS('All 108 Regulators - Frameworks'!BF$4:BF$500,'All 108 Regulators - Frameworks'!B$4:B$500,A105),0)</f>
        <v/>
      </c>
    </row>
    <row r="106" ht="36" customHeight="1">
      <c r="A106" s="411" t="inlineStr">
        <is>
          <t>HALHC</t>
        </is>
      </c>
      <c r="B106" s="72" t="inlineStr">
        <is>
          <t>Hail Health Cluster</t>
        </is>
      </c>
      <c r="C106" s="70" t="inlineStr">
        <is>
          <t>17. Regional Health Clusters</t>
        </is>
      </c>
      <c r="D106" s="70" t="n">
        <v>0</v>
      </c>
      <c r="E106" s="70" t="n">
        <v>10</v>
      </c>
      <c r="F106" s="70" t="n">
        <v>10</v>
      </c>
      <c r="G106" s="70" t="n">
        <v>8</v>
      </c>
      <c r="H106" s="70" t="inlineStr">
        <is>
          <t>MOH-HIS; MOH-EMR-NABIDH; MOH-PS; MOH-PR; CBAHI-HAS-H; NCA-ECC-2:2024; PDPL-2021; MOH-TELE; NHIC-NABIDH; NCA-OTCC</t>
        </is>
      </c>
      <c r="I106" s="70" t="inlineStr">
        <is>
          <t>https://www.moh.gov.sa/en/</t>
        </is>
      </c>
      <c r="J106" s="594">
        <f>(D106*3)+(G106*5)+(F106*1)</f>
        <v/>
      </c>
      <c r="K106" s="591">
        <f>IF(J106&gt;=50,"🔴 TIER 1",IF(J106&gt;=25,"🟠 TIER 2",IF(J106&gt;=10,"🟡 TIER 3","🟢 TIER 4")))</f>
        <v/>
      </c>
      <c r="L106" s="591">
        <f>COUNTIFS('All 108 Regulators - Frameworks'!B$4:B$500,A106,'All 108 Regulators - Frameworks'!BB$4:BB$500,"DEEP")</f>
        <v/>
      </c>
      <c r="M106" s="591">
        <f>COUNTIFS('All 108 Regulators - Frameworks'!B$4:B$500,A106,'All 108 Regulators - Frameworks'!BB$4:BB$500,"TEMPLATE")</f>
        <v/>
      </c>
      <c r="N106" s="675">
        <f>IFERROR(L106/(L106+M106),0)</f>
        <v/>
      </c>
      <c r="O106" s="675">
        <f>IFERROR(G106/F106,0)</f>
        <v/>
      </c>
      <c r="P106" s="608">
        <f>IFERROR(AVERAGEIFS('All 108 Regulators - Frameworks'!BF$4:BF$500,'All 108 Regulators - Frameworks'!B$4:B$500,A106),0)</f>
        <v/>
      </c>
    </row>
    <row r="107" ht="36" customHeight="1">
      <c r="A107" s="411" t="inlineStr">
        <is>
          <t>NRHC</t>
        </is>
      </c>
      <c r="B107" s="72" t="inlineStr">
        <is>
          <t>Northern Borders Health Cluster</t>
        </is>
      </c>
      <c r="C107" s="70" t="inlineStr">
        <is>
          <t>17. Regional Health Clusters</t>
        </is>
      </c>
      <c r="D107" s="70" t="n">
        <v>0</v>
      </c>
      <c r="E107" s="70" t="n">
        <v>10</v>
      </c>
      <c r="F107" s="70" t="n">
        <v>10</v>
      </c>
      <c r="G107" s="70" t="n">
        <v>8</v>
      </c>
      <c r="H107" s="70" t="inlineStr">
        <is>
          <t>MOH-HIS; MOH-EMR-NABIDH; MOH-PS; MOH-PR; CBAHI-HAS-H; NCA-ECC-2:2024; PDPL-2021; MOH-TELE; NHIC-NABIDH; NCA-OTCC</t>
        </is>
      </c>
      <c r="I107" s="70" t="inlineStr">
        <is>
          <t>https://www.moh.gov.sa/en/</t>
        </is>
      </c>
      <c r="J107" s="594">
        <f>(D107*3)+(G107*5)+(F107*1)</f>
        <v/>
      </c>
      <c r="K107" s="591">
        <f>IF(J107&gt;=50,"🔴 TIER 1",IF(J107&gt;=25,"🟠 TIER 2",IF(J107&gt;=10,"🟡 TIER 3","🟢 TIER 4")))</f>
        <v/>
      </c>
      <c r="L107" s="591">
        <f>COUNTIFS('All 108 Regulators - Frameworks'!B$4:B$500,A107,'All 108 Regulators - Frameworks'!BB$4:BB$500,"DEEP")</f>
        <v/>
      </c>
      <c r="M107" s="591">
        <f>COUNTIFS('All 108 Regulators - Frameworks'!B$4:B$500,A107,'All 108 Regulators - Frameworks'!BB$4:BB$500,"TEMPLATE")</f>
        <v/>
      </c>
      <c r="N107" s="675">
        <f>IFERROR(L107/(L107+M107),0)</f>
        <v/>
      </c>
      <c r="O107" s="675">
        <f>IFERROR(G107/F107,0)</f>
        <v/>
      </c>
      <c r="P107" s="608">
        <f>IFERROR(AVERAGEIFS('All 108 Regulators - Frameworks'!BF$4:BF$500,'All 108 Regulators - Frameworks'!B$4:B$500,A107),0)</f>
        <v/>
      </c>
    </row>
    <row r="108" ht="36" customHeight="1">
      <c r="A108" s="411" t="inlineStr">
        <is>
          <t>BHHC</t>
        </is>
      </c>
      <c r="B108" s="72" t="inlineStr">
        <is>
          <t>Baha Health Cluster</t>
        </is>
      </c>
      <c r="C108" s="70" t="inlineStr">
        <is>
          <t>17. Regional Health Clusters</t>
        </is>
      </c>
      <c r="D108" s="70" t="n">
        <v>0</v>
      </c>
      <c r="E108" s="70" t="n">
        <v>10</v>
      </c>
      <c r="F108" s="70" t="n">
        <v>10</v>
      </c>
      <c r="G108" s="70" t="n">
        <v>8</v>
      </c>
      <c r="H108" s="70" t="inlineStr">
        <is>
          <t>MOH-HIS; MOH-EMR-NABIDH; MOH-PS; MOH-PR; CBAHI-HAS-H; NCA-ECC-2:2024; PDPL-2021; MOH-TELE; NHIC-NABIDH; NCA-OTCC</t>
        </is>
      </c>
      <c r="I108" s="70" t="inlineStr">
        <is>
          <t>https://www.moh.gov.sa/en/</t>
        </is>
      </c>
      <c r="J108" s="594">
        <f>(D108*3)+(G108*5)+(F108*1)</f>
        <v/>
      </c>
      <c r="K108" s="591">
        <f>IF(J108&gt;=50,"🔴 TIER 1",IF(J108&gt;=25,"🟠 TIER 2",IF(J108&gt;=10,"🟡 TIER 3","🟢 TIER 4")))</f>
        <v/>
      </c>
      <c r="L108" s="591">
        <f>COUNTIFS('All 108 Regulators - Frameworks'!B$4:B$500,A108,'All 108 Regulators - Frameworks'!BB$4:BB$500,"DEEP")</f>
        <v/>
      </c>
      <c r="M108" s="591">
        <f>COUNTIFS('All 108 Regulators - Frameworks'!B$4:B$500,A108,'All 108 Regulators - Frameworks'!BB$4:BB$500,"TEMPLATE")</f>
        <v/>
      </c>
      <c r="N108" s="675">
        <f>IFERROR(L108/(L108+M108),0)</f>
        <v/>
      </c>
      <c r="O108" s="675">
        <f>IFERROR(G108/F108,0)</f>
        <v/>
      </c>
      <c r="P108" s="608">
        <f>IFERROR(AVERAGEIFS('All 108 Regulators - Frameworks'!BF$4:BF$500,'All 108 Regulators - Frameworks'!B$4:B$500,A108),0)</f>
        <v/>
      </c>
    </row>
  </sheetData>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J339"/>
  <sheetViews>
    <sheetView zoomScaleNormal="100" workbookViewId="0">
      <pane ySplit="1" topLeftCell="A2" activePane="bottomLeft" state="frozen"/>
      <selection pane="bottomLeft" activeCell="A1" sqref="A1"/>
    </sheetView>
  </sheetViews>
  <sheetFormatPr baseColWidth="8" defaultColWidth="8.6640625" defaultRowHeight="14.25"/>
  <cols>
    <col width="5" customWidth="1" min="1" max="1"/>
    <col width="18" customWidth="1" min="2" max="2"/>
    <col width="38" customWidth="1" min="3" max="3"/>
    <col width="13" customWidth="1" min="4" max="4"/>
    <col width="22" customWidth="1" min="5" max="5"/>
    <col width="20" customWidth="1" min="6" max="6"/>
    <col width="8" customWidth="1" min="7" max="7"/>
    <col width="13" customWidth="1" min="8" max="8"/>
    <col width="18" customWidth="1" min="9" max="9"/>
    <col width="38" customWidth="1" min="10" max="10"/>
  </cols>
  <sheetData>
    <row r="1" ht="15" customHeight="1">
      <c r="A1" s="5" t="inlineStr">
        <is>
          <t>Rank</t>
        </is>
      </c>
      <c r="B1" s="5" t="inlineStr">
        <is>
          <t>Framework Code</t>
        </is>
      </c>
      <c r="C1" s="5" t="inlineStr">
        <is>
          <t>Framework Name (EN)</t>
        </is>
      </c>
      <c r="D1" s="5" t="inlineStr">
        <is>
          <t>Regulator</t>
        </is>
      </c>
      <c r="E1" s="5" t="inlineStr">
        <is>
          <t>Group</t>
        </is>
      </c>
      <c r="F1" s="5" t="inlineStr">
        <is>
          <t>Version</t>
        </is>
      </c>
      <c r="G1" s="5" t="inlineStr">
        <is>
          <t>Controls</t>
        </is>
      </c>
      <c r="H1" s="5" t="inlineStr">
        <is>
          <t>HC Relevance</t>
        </is>
      </c>
      <c r="I1" s="5" t="inlineStr">
        <is>
          <t>Role</t>
        </is>
      </c>
      <c r="J1" s="5" t="inlineStr">
        <is>
          <t>Official URL</t>
        </is>
      </c>
    </row>
    <row r="2" ht="45" customHeight="1">
      <c r="A2" s="42" t="n">
        <v>1</v>
      </c>
      <c r="B2" s="18" t="inlineStr">
        <is>
          <t>ECC-2:2024</t>
        </is>
      </c>
      <c r="C2" s="20" t="inlineStr">
        <is>
          <t>Essential Cybersecurity Controls</t>
        </is>
      </c>
      <c r="D2" s="37" t="inlineStr">
        <is>
          <t>NCA</t>
        </is>
      </c>
      <c r="E2" s="19" t="inlineStr">
        <is>
          <t>3. Cybersecurity &amp; Data</t>
        </is>
      </c>
      <c r="F2" s="19" t="inlineStr">
        <is>
          <t>ECC-2:2024 (Oct 2024)</t>
        </is>
      </c>
      <c r="G2" s="21" t="inlineStr">
        <is>
          <t>108</t>
        </is>
      </c>
      <c r="H2" s="23" t="inlineStr">
        <is>
          <t>HIGHEST</t>
        </is>
      </c>
      <c r="I2" s="22" t="inlineStr">
        <is>
          <t>Mandatory Enforcer</t>
        </is>
      </c>
      <c r="J2" s="24" t="inlineStr">
        <is>
          <t>https://nca.gov.sa/en/regulatory-documents/controls-list/ecc/</t>
        </is>
      </c>
    </row>
    <row r="3" ht="45" customHeight="1">
      <c r="A3" s="42" t="n">
        <v>2</v>
      </c>
      <c r="B3" s="18" t="inlineStr">
        <is>
          <t>OTCC-1:2022</t>
        </is>
      </c>
      <c r="C3" s="20" t="inlineStr">
        <is>
          <t>OT Cybersecurity Controls</t>
        </is>
      </c>
      <c r="D3" s="37" t="inlineStr">
        <is>
          <t>NCA</t>
        </is>
      </c>
      <c r="E3" s="19" t="inlineStr">
        <is>
          <t>3. Cybersecurity &amp; Data</t>
        </is>
      </c>
      <c r="F3" s="19" t="inlineStr">
        <is>
          <t>OTCC-1:2022</t>
        </is>
      </c>
      <c r="G3" s="21" t="inlineStr">
        <is>
          <t>53</t>
        </is>
      </c>
      <c r="H3" s="23" t="inlineStr">
        <is>
          <t>HIGHEST</t>
        </is>
      </c>
      <c r="I3" s="22" t="inlineStr">
        <is>
          <t>Mandatory Enforcer</t>
        </is>
      </c>
      <c r="J3" s="24" t="inlineStr">
        <is>
          <t>https://nca.gov.sa/otcc_en.pdf</t>
        </is>
      </c>
    </row>
    <row r="4" ht="45" customHeight="1">
      <c r="A4" s="42" t="n">
        <v>3</v>
      </c>
      <c r="B4" s="18" t="inlineStr">
        <is>
          <t>NCA-REG-2024</t>
        </is>
      </c>
      <c r="C4" s="20" t="inlineStr">
        <is>
          <t>NCA Regulatory Framework (Enforcement &amp; Penalties)</t>
        </is>
      </c>
      <c r="D4" s="37" t="inlineStr">
        <is>
          <t>NCA</t>
        </is>
      </c>
      <c r="E4" s="19" t="inlineStr">
        <is>
          <t>3. Cybersecurity &amp; Data</t>
        </is>
      </c>
      <c r="F4" s="19" t="inlineStr">
        <is>
          <t>Dec 2024</t>
        </is>
      </c>
      <c r="G4" s="21" t="inlineStr">
        <is>
          <t>N/A</t>
        </is>
      </c>
      <c r="H4" s="23" t="inlineStr">
        <is>
          <t>HIGHEST</t>
        </is>
      </c>
      <c r="I4" s="22" t="inlineStr">
        <is>
          <t>Mandatory Enforcer</t>
        </is>
      </c>
      <c r="J4" s="24" t="inlineStr">
        <is>
          <t>https://www.twobirds.com/en/insights/2025/</t>
        </is>
      </c>
    </row>
    <row r="5" ht="45" customHeight="1">
      <c r="A5" s="42" t="n">
        <v>4</v>
      </c>
      <c r="B5" s="18" t="inlineStr">
        <is>
          <t>PDPL-2021</t>
        </is>
      </c>
      <c r="C5" s="20" t="inlineStr">
        <is>
          <t>Personal Data Protection Law</t>
        </is>
      </c>
      <c r="D5" s="37" t="inlineStr">
        <is>
          <t>SDAIA</t>
        </is>
      </c>
      <c r="E5" s="19" t="inlineStr">
        <is>
          <t>3. Cybersecurity &amp; Data</t>
        </is>
      </c>
      <c r="F5" s="19" t="inlineStr">
        <is>
          <t>Sep 2021 + Apr 2023</t>
        </is>
      </c>
      <c r="G5" s="21" t="inlineStr">
        <is>
          <t>45</t>
        </is>
      </c>
      <c r="H5" s="23" t="inlineStr">
        <is>
          <t>HIGHEST</t>
        </is>
      </c>
      <c r="I5" s="22" t="inlineStr">
        <is>
          <t>Mandatory Enforcer</t>
        </is>
      </c>
      <c r="J5" s="24" t="inlineStr">
        <is>
          <t>https://sdaia.gov.sa/en/SDAIA/about/Pages/RegulationsAndPolicies.aspx</t>
        </is>
      </c>
    </row>
    <row r="6" ht="45" customHeight="1">
      <c r="A6" s="42" t="n">
        <v>5</v>
      </c>
      <c r="B6" s="18" t="inlineStr">
        <is>
          <t>PDPL-IR-2023</t>
        </is>
      </c>
      <c r="C6" s="20" t="inlineStr">
        <is>
          <t>PDPL Implementing Regulations</t>
        </is>
      </c>
      <c r="D6" s="37" t="inlineStr">
        <is>
          <t>SDAIA</t>
        </is>
      </c>
      <c r="E6" s="19" t="inlineStr">
        <is>
          <t>3. Cybersecurity &amp; Data</t>
        </is>
      </c>
      <c r="F6" s="19" t="inlineStr">
        <is>
          <t>7 Sep 2023</t>
        </is>
      </c>
      <c r="G6" s="21" t="inlineStr">
        <is>
          <t>89</t>
        </is>
      </c>
      <c r="H6" s="23" t="inlineStr">
        <is>
          <t>HIGHEST</t>
        </is>
      </c>
      <c r="I6" s="22" t="inlineStr">
        <is>
          <t>Mandatory Enforcer</t>
        </is>
      </c>
      <c r="J6" s="24" t="inlineStr">
        <is>
          <t>https://sdaia.gov.sa/en/SDAIA/about/Pages/RegulationsAndPolicies.aspx</t>
        </is>
      </c>
    </row>
    <row r="7" ht="45" customHeight="1">
      <c r="A7" s="42" t="n">
        <v>6</v>
      </c>
      <c r="B7" s="18" t="inlineStr">
        <is>
          <t>PDPL-DTR-2024</t>
        </is>
      </c>
      <c r="C7" s="20" t="inlineStr">
        <is>
          <t>Data Transfer Regulation (revised)</t>
        </is>
      </c>
      <c r="D7" s="37" t="inlineStr">
        <is>
          <t>SDAIA</t>
        </is>
      </c>
      <c r="E7" s="19" t="inlineStr">
        <is>
          <t>3. Cybersecurity &amp; Data</t>
        </is>
      </c>
      <c r="F7" s="19" t="inlineStr">
        <is>
          <t>Sep 2024</t>
        </is>
      </c>
      <c r="G7" s="21" t="inlineStr">
        <is>
          <t>12</t>
        </is>
      </c>
      <c r="H7" s="23" t="inlineStr">
        <is>
          <t>HIGHEST</t>
        </is>
      </c>
      <c r="I7" s="22" t="inlineStr">
        <is>
          <t>Mandatory Enforcer</t>
        </is>
      </c>
      <c r="J7" s="24" t="inlineStr">
        <is>
          <t>https://sdaia.gov.sa/en/SDAIA/about/Pages/RegulationsAndPolicies.aspx</t>
        </is>
      </c>
    </row>
    <row r="8" ht="45" customHeight="1">
      <c r="A8" s="42" t="n">
        <v>7</v>
      </c>
      <c r="B8" s="18" t="inlineStr">
        <is>
          <t>NDMO-RULEBOOK</t>
        </is>
      </c>
      <c r="C8" s="20" t="inlineStr">
        <is>
          <t>PDPL Controllers Registration &amp; Rules</t>
        </is>
      </c>
      <c r="D8" s="37" t="inlineStr">
        <is>
          <t>SDAIA</t>
        </is>
      </c>
      <c r="E8" s="19" t="inlineStr">
        <is>
          <t>3. Cybersecurity &amp; Data</t>
        </is>
      </c>
      <c r="F8" s="19" t="inlineStr">
        <is>
          <t>2023 updated</t>
        </is>
      </c>
      <c r="G8" s="21" t="inlineStr">
        <is>
          <t>N/A</t>
        </is>
      </c>
      <c r="H8" s="23" t="inlineStr">
        <is>
          <t>HIGHEST</t>
        </is>
      </c>
      <c r="I8" s="22" t="inlineStr">
        <is>
          <t>Mandatory Enforcer</t>
        </is>
      </c>
      <c r="J8" s="24" t="inlineStr">
        <is>
          <t>https://sdaia.gov.sa/</t>
        </is>
      </c>
    </row>
    <row r="9" ht="45" customHeight="1">
      <c r="A9" s="42" t="n">
        <v>8</v>
      </c>
      <c r="B9" s="18" t="inlineStr">
        <is>
          <t>NCA-ECC-2:2024</t>
        </is>
      </c>
      <c r="C9" s="20" t="inlineStr">
        <is>
          <t>Essential Cybersecurity Controls</t>
        </is>
      </c>
      <c r="D9" s="37" t="inlineStr">
        <is>
          <t>SDAIA</t>
        </is>
      </c>
      <c r="E9" s="19" t="inlineStr">
        <is>
          <t>3. Cybersecurity &amp; Data</t>
        </is>
      </c>
      <c r="F9" s="19" t="inlineStr">
        <is>
          <t>ECC-2:2024</t>
        </is>
      </c>
      <c r="G9" s="21" t="inlineStr">
        <is>
          <t>108</t>
        </is>
      </c>
      <c r="H9" s="23" t="inlineStr">
        <is>
          <t>HIGHEST</t>
        </is>
      </c>
      <c r="I9" s="66" t="inlineStr">
        <is>
          <t>Mandatory Complier</t>
        </is>
      </c>
      <c r="J9" s="24" t="inlineStr">
        <is>
          <t>https://nca.gov.sa/</t>
        </is>
      </c>
    </row>
    <row r="10" ht="45" customHeight="1">
      <c r="A10" s="42" t="n">
        <v>9</v>
      </c>
      <c r="B10" s="85" t="inlineStr">
        <is>
          <t>MOH-HL</t>
        </is>
      </c>
      <c r="C10" s="72" t="inlineStr">
        <is>
          <t>Health Law</t>
        </is>
      </c>
      <c r="D10" s="50" t="inlineStr">
        <is>
          <t>MOH</t>
        </is>
      </c>
      <c r="E10" s="70" t="inlineStr">
        <is>
          <t>2. Healthcare &amp; Life Sciences</t>
        </is>
      </c>
      <c r="F10" s="70" t="inlineStr">
        <is>
          <t>RD M/11 2002 updated</t>
        </is>
      </c>
      <c r="G10" s="71" t="inlineStr">
        <is>
          <t>N/A</t>
        </is>
      </c>
      <c r="H10" s="86" t="inlineStr">
        <is>
          <t>HIGHEST</t>
        </is>
      </c>
      <c r="I10" s="22" t="inlineStr">
        <is>
          <t>Mandatory Enforcer</t>
        </is>
      </c>
      <c r="J10" s="87" t="inlineStr">
        <is>
          <t>https://www.moh.gov.sa/en/Ministry/Rules/Pages/default.aspx</t>
        </is>
      </c>
    </row>
    <row r="11" ht="45" customHeight="1">
      <c r="A11" s="42" t="n">
        <v>10</v>
      </c>
      <c r="B11" s="85" t="inlineStr">
        <is>
          <t>MOH-HIS</t>
        </is>
      </c>
      <c r="C11" s="72" t="inlineStr">
        <is>
          <t>Health Information System Standards</t>
        </is>
      </c>
      <c r="D11" s="50" t="inlineStr">
        <is>
          <t>MOH</t>
        </is>
      </c>
      <c r="E11" s="70" t="inlineStr">
        <is>
          <t>2. Healthcare &amp; Life Sciences</t>
        </is>
      </c>
      <c r="F11" s="70" t="inlineStr">
        <is>
          <t>2024 update</t>
        </is>
      </c>
      <c r="G11" s="71" t="inlineStr">
        <is>
          <t>112</t>
        </is>
      </c>
      <c r="H11" s="86" t="inlineStr">
        <is>
          <t>HIGHEST</t>
        </is>
      </c>
      <c r="I11" s="22" t="inlineStr">
        <is>
          <t>Mandatory Enforcer</t>
        </is>
      </c>
      <c r="J11" s="87" t="inlineStr">
        <is>
          <t>https://www.moh.gov.sa/en/</t>
        </is>
      </c>
    </row>
    <row r="12" ht="45" customHeight="1">
      <c r="A12" s="42" t="n">
        <v>11</v>
      </c>
      <c r="B12" s="85" t="inlineStr">
        <is>
          <t>MOH-EMR-NABIDH</t>
        </is>
      </c>
      <c r="C12" s="72" t="inlineStr">
        <is>
          <t>EMR Standards / NABIDH Platform</t>
        </is>
      </c>
      <c r="D12" s="50" t="inlineStr">
        <is>
          <t>MOH</t>
        </is>
      </c>
      <c r="E12" s="70" t="inlineStr">
        <is>
          <t>2. Healthcare &amp; Life Sciences</t>
        </is>
      </c>
      <c r="F12" s="70" t="inlineStr">
        <is>
          <t>Mandatory 2024</t>
        </is>
      </c>
      <c r="G12" s="71" t="inlineStr">
        <is>
          <t>52</t>
        </is>
      </c>
      <c r="H12" s="86" t="inlineStr">
        <is>
          <t>HIGHEST</t>
        </is>
      </c>
      <c r="I12" s="22" t="inlineStr">
        <is>
          <t>Mandatory Enforcer</t>
        </is>
      </c>
      <c r="J12" s="87" t="inlineStr">
        <is>
          <t>https://www.moh.gov.sa/en/</t>
        </is>
      </c>
    </row>
    <row r="13" ht="45" customHeight="1">
      <c r="A13" s="42" t="n">
        <v>12</v>
      </c>
      <c r="B13" s="85" t="inlineStr">
        <is>
          <t>MOH-PS</t>
        </is>
      </c>
      <c r="C13" s="72" t="inlineStr">
        <is>
          <t>Patient Safety Standards</t>
        </is>
      </c>
      <c r="D13" s="50" t="inlineStr">
        <is>
          <t>MOH</t>
        </is>
      </c>
      <c r="E13" s="70" t="inlineStr">
        <is>
          <t>2. Healthcare &amp; Life Sciences</t>
        </is>
      </c>
      <c r="F13" s="70" t="inlineStr">
        <is>
          <t>2024 update</t>
        </is>
      </c>
      <c r="G13" s="71" t="inlineStr">
        <is>
          <t>72</t>
        </is>
      </c>
      <c r="H13" s="86" t="inlineStr">
        <is>
          <t>HIGHEST</t>
        </is>
      </c>
      <c r="I13" s="22" t="inlineStr">
        <is>
          <t>Mandatory Enforcer</t>
        </is>
      </c>
      <c r="J13" s="87" t="inlineStr">
        <is>
          <t>https://www.moh.gov.sa/en/</t>
        </is>
      </c>
    </row>
    <row r="14" ht="45" customHeight="1">
      <c r="A14" s="42" t="n">
        <v>13</v>
      </c>
      <c r="B14" s="85" t="inlineStr">
        <is>
          <t>MOH-TELE</t>
        </is>
      </c>
      <c r="C14" s="72" t="inlineStr">
        <is>
          <t>Telemedicine Regulations</t>
        </is>
      </c>
      <c r="D14" s="50" t="inlineStr">
        <is>
          <t>MOH</t>
        </is>
      </c>
      <c r="E14" s="70" t="inlineStr">
        <is>
          <t>2. Healthcare &amp; Life Sciences</t>
        </is>
      </c>
      <c r="F14" s="70" t="inlineStr">
        <is>
          <t>Late 2023</t>
        </is>
      </c>
      <c r="G14" s="71" t="inlineStr">
        <is>
          <t>38</t>
        </is>
      </c>
      <c r="H14" s="86" t="inlineStr">
        <is>
          <t>HIGHEST</t>
        </is>
      </c>
      <c r="I14" s="22" t="inlineStr">
        <is>
          <t>Mandatory Enforcer</t>
        </is>
      </c>
      <c r="J14" s="87" t="inlineStr">
        <is>
          <t>https://www.moh.gov.sa/en/</t>
        </is>
      </c>
    </row>
    <row r="15" ht="45" customHeight="1">
      <c r="A15" s="42" t="n">
        <v>14</v>
      </c>
      <c r="B15" s="85" t="inlineStr">
        <is>
          <t>NCA-ECC-2:2024</t>
        </is>
      </c>
      <c r="C15" s="72" t="inlineStr">
        <is>
          <t>Essential Cybersecurity Controls</t>
        </is>
      </c>
      <c r="D15" s="50" t="inlineStr">
        <is>
          <t>MOH</t>
        </is>
      </c>
      <c r="E15" s="70" t="inlineStr">
        <is>
          <t>2. Healthcare &amp; Life Sciences</t>
        </is>
      </c>
      <c r="F15" s="70" t="inlineStr">
        <is>
          <t>ECC-2:2024</t>
        </is>
      </c>
      <c r="G15" s="71" t="inlineStr">
        <is>
          <t>108</t>
        </is>
      </c>
      <c r="H15" s="86" t="inlineStr">
        <is>
          <t>HIGHEST</t>
        </is>
      </c>
      <c r="I15" s="66" t="inlineStr">
        <is>
          <t>Mandatory Complier</t>
        </is>
      </c>
      <c r="J15" s="87" t="inlineStr">
        <is>
          <t>https://nca.gov.sa/</t>
        </is>
      </c>
    </row>
    <row r="16" ht="45" customHeight="1">
      <c r="A16" s="42" t="n">
        <v>15</v>
      </c>
      <c r="B16" s="85" t="inlineStr">
        <is>
          <t>PDPL-2021</t>
        </is>
      </c>
      <c r="C16" s="72" t="inlineStr">
        <is>
          <t>Personal Data Protection Law</t>
        </is>
      </c>
      <c r="D16" s="50" t="inlineStr">
        <is>
          <t>MOH</t>
        </is>
      </c>
      <c r="E16" s="70" t="inlineStr">
        <is>
          <t>2. Healthcare &amp; Life Sciences</t>
        </is>
      </c>
      <c r="F16" s="70" t="inlineStr">
        <is>
          <t>2021+IR 2023</t>
        </is>
      </c>
      <c r="G16" s="71" t="inlineStr">
        <is>
          <t>45</t>
        </is>
      </c>
      <c r="H16" s="86" t="inlineStr">
        <is>
          <t>HIGHEST</t>
        </is>
      </c>
      <c r="I16" s="66" t="inlineStr">
        <is>
          <t>Mandatory Complier</t>
        </is>
      </c>
      <c r="J16" s="87" t="inlineStr">
        <is>
          <t>https://sdaia.gov.sa/</t>
        </is>
      </c>
    </row>
    <row r="17" ht="45" customHeight="1">
      <c r="A17" s="42" t="n">
        <v>16</v>
      </c>
      <c r="B17" s="85" t="inlineStr">
        <is>
          <t>NCA-OTCC</t>
        </is>
      </c>
      <c r="C17" s="72" t="inlineStr">
        <is>
          <t>OT Cybersecurity Controls</t>
        </is>
      </c>
      <c r="D17" s="50" t="inlineStr">
        <is>
          <t>MOH</t>
        </is>
      </c>
      <c r="E17" s="70" t="inlineStr">
        <is>
          <t>2. Healthcare &amp; Life Sciences</t>
        </is>
      </c>
      <c r="F17" s="70" t="inlineStr">
        <is>
          <t>OTCC-1:2022</t>
        </is>
      </c>
      <c r="G17" s="71" t="inlineStr">
        <is>
          <t>53</t>
        </is>
      </c>
      <c r="H17" s="86" t="inlineStr">
        <is>
          <t>HIGHEST</t>
        </is>
      </c>
      <c r="I17" s="66" t="inlineStr">
        <is>
          <t>Mandatory Complier</t>
        </is>
      </c>
      <c r="J17" s="87" t="inlineStr">
        <is>
          <t>https://nca.gov.sa/</t>
        </is>
      </c>
    </row>
    <row r="18" ht="45" customHeight="1">
      <c r="A18" s="42" t="n">
        <v>17</v>
      </c>
      <c r="B18" s="85" t="inlineStr">
        <is>
          <t>SFDA-MDR</t>
        </is>
      </c>
      <c r="C18" s="72" t="inlineStr">
        <is>
          <t>Medical Device Regulations</t>
        </is>
      </c>
      <c r="D18" s="50" t="inlineStr">
        <is>
          <t>SFDA</t>
        </is>
      </c>
      <c r="E18" s="70" t="inlineStr">
        <is>
          <t>2. Healthcare &amp; Life Sciences</t>
        </is>
      </c>
      <c r="F18" s="70" t="inlineStr">
        <is>
          <t>2022 updated</t>
        </is>
      </c>
      <c r="G18" s="71" t="inlineStr">
        <is>
          <t>87</t>
        </is>
      </c>
      <c r="H18" s="86" t="inlineStr">
        <is>
          <t>HIGHEST</t>
        </is>
      </c>
      <c r="I18" s="22" t="inlineStr">
        <is>
          <t>Mandatory Enforcer</t>
        </is>
      </c>
      <c r="J18" s="87" t="inlineStr">
        <is>
          <t>https://www.sfda.gov.sa/en</t>
        </is>
      </c>
    </row>
    <row r="19" ht="45" customHeight="1">
      <c r="A19" s="42" t="n">
        <v>18</v>
      </c>
      <c r="B19" s="85" t="inlineStr">
        <is>
          <t>SFDA-PHARMA</t>
        </is>
      </c>
      <c r="C19" s="72" t="inlineStr">
        <is>
          <t>Drug &amp; Pharmacy Law</t>
        </is>
      </c>
      <c r="D19" s="50" t="inlineStr">
        <is>
          <t>SFDA</t>
        </is>
      </c>
      <c r="E19" s="70" t="inlineStr">
        <is>
          <t>2. Healthcare &amp; Life Sciences</t>
        </is>
      </c>
      <c r="F19" s="70" t="inlineStr">
        <is>
          <t>2020 updated</t>
        </is>
      </c>
      <c r="G19" s="71" t="inlineStr">
        <is>
          <t>134</t>
        </is>
      </c>
      <c r="H19" s="86" t="inlineStr">
        <is>
          <t>HIGHEST</t>
        </is>
      </c>
      <c r="I19" s="22" t="inlineStr">
        <is>
          <t>Mandatory Enforcer</t>
        </is>
      </c>
      <c r="J19" s="87" t="inlineStr">
        <is>
          <t>https://www.sfda.gov.sa/en</t>
        </is>
      </c>
    </row>
    <row r="20" ht="45" customHeight="1">
      <c r="A20" s="42" t="n">
        <v>19</v>
      </c>
      <c r="B20" s="85" t="inlineStr">
        <is>
          <t>SFDA-AI-MDS-G010</t>
        </is>
      </c>
      <c r="C20" s="72" t="inlineStr">
        <is>
          <t>AI/ML in Medical Devices (MDS-G010)</t>
        </is>
      </c>
      <c r="D20" s="50" t="inlineStr">
        <is>
          <t>SFDA</t>
        </is>
      </c>
      <c r="E20" s="70" t="inlineStr">
        <is>
          <t>2. Healthcare &amp; Life Sciences</t>
        </is>
      </c>
      <c r="F20" s="70" t="inlineStr">
        <is>
          <t>2024</t>
        </is>
      </c>
      <c r="G20" s="71" t="inlineStr">
        <is>
          <t>N/A</t>
        </is>
      </c>
      <c r="H20" s="86" t="inlineStr">
        <is>
          <t>HIGHEST</t>
        </is>
      </c>
      <c r="I20" s="22" t="inlineStr">
        <is>
          <t>Mandatory Enforcer</t>
        </is>
      </c>
      <c r="J20" s="87" t="inlineStr">
        <is>
          <t>https://www.sfda.gov.sa/en</t>
        </is>
      </c>
    </row>
    <row r="21" ht="45" customHeight="1">
      <c r="A21" s="42" t="n">
        <v>20</v>
      </c>
      <c r="B21" s="85" t="inlineStr">
        <is>
          <t>SFDA-PMS</t>
        </is>
      </c>
      <c r="C21" s="72" t="inlineStr">
        <is>
          <t>Post-Market Surveillance Requirements</t>
        </is>
      </c>
      <c r="D21" s="50" t="inlineStr">
        <is>
          <t>SFDA</t>
        </is>
      </c>
      <c r="E21" s="70" t="inlineStr">
        <is>
          <t>2. Healthcare &amp; Life Sciences</t>
        </is>
      </c>
      <c r="F21" s="70" t="inlineStr">
        <is>
          <t>2022</t>
        </is>
      </c>
      <c r="G21" s="71" t="inlineStr">
        <is>
          <t>25</t>
        </is>
      </c>
      <c r="H21" s="86" t="inlineStr">
        <is>
          <t>HIGHEST</t>
        </is>
      </c>
      <c r="I21" s="22" t="inlineStr">
        <is>
          <t>Mandatory Enforcer</t>
        </is>
      </c>
      <c r="J21" s="87" t="inlineStr">
        <is>
          <t>https://www.sfda.gov.sa/en</t>
        </is>
      </c>
    </row>
    <row r="22" ht="45" customHeight="1">
      <c r="A22" s="42" t="n">
        <v>21</v>
      </c>
      <c r="B22" s="85" t="inlineStr">
        <is>
          <t>NCA-ECC-2:2024</t>
        </is>
      </c>
      <c r="C22" s="72" t="inlineStr">
        <is>
          <t>Essential Cybersecurity Controls</t>
        </is>
      </c>
      <c r="D22" s="50" t="inlineStr">
        <is>
          <t>SFDA</t>
        </is>
      </c>
      <c r="E22" s="70" t="inlineStr">
        <is>
          <t>2. Healthcare &amp; Life Sciences</t>
        </is>
      </c>
      <c r="F22" s="70" t="inlineStr">
        <is>
          <t>ECC-2:2024</t>
        </is>
      </c>
      <c r="G22" s="71" t="inlineStr">
        <is>
          <t>108</t>
        </is>
      </c>
      <c r="H22" s="86" t="inlineStr">
        <is>
          <t>HIGHEST</t>
        </is>
      </c>
      <c r="I22" s="66" t="inlineStr">
        <is>
          <t>Mandatory Complier</t>
        </is>
      </c>
      <c r="J22" s="87" t="inlineStr">
        <is>
          <t>https://nca.gov.sa/</t>
        </is>
      </c>
    </row>
    <row r="23" ht="45" customHeight="1">
      <c r="A23" s="42" t="n">
        <v>22</v>
      </c>
      <c r="B23" s="85" t="inlineStr">
        <is>
          <t>CBAHI-HAS-H</t>
        </is>
      </c>
      <c r="C23" s="72" t="inlineStr">
        <is>
          <t>Hospital Accreditation Standards (5th Ed.)</t>
        </is>
      </c>
      <c r="D23" s="50" t="inlineStr">
        <is>
          <t>CBAHI</t>
        </is>
      </c>
      <c r="E23" s="70" t="inlineStr">
        <is>
          <t>2. Healthcare &amp; Life Sciences</t>
        </is>
      </c>
      <c r="F23" s="70" t="inlineStr">
        <is>
          <t>5th Edition 2021</t>
        </is>
      </c>
      <c r="G23" s="71" t="inlineStr">
        <is>
          <t>298</t>
        </is>
      </c>
      <c r="H23" s="86" t="inlineStr">
        <is>
          <t>HIGHEST</t>
        </is>
      </c>
      <c r="I23" s="92" t="inlineStr">
        <is>
          <t>Voluntary</t>
        </is>
      </c>
      <c r="J23" s="87" t="inlineStr">
        <is>
          <t>https://www.cbahi.gov.sa/</t>
        </is>
      </c>
    </row>
    <row r="24" ht="45" customHeight="1">
      <c r="A24" s="42" t="n">
        <v>23</v>
      </c>
      <c r="B24" s="85" t="inlineStr">
        <is>
          <t>SHC-HSTP</t>
        </is>
      </c>
      <c r="C24" s="72" t="inlineStr">
        <is>
          <t>Health Sector Transformation Programme</t>
        </is>
      </c>
      <c r="D24" s="50" t="inlineStr">
        <is>
          <t>SHC</t>
        </is>
      </c>
      <c r="E24" s="70" t="inlineStr">
        <is>
          <t>2. Healthcare &amp; Life Sciences</t>
        </is>
      </c>
      <c r="F24" s="70" t="inlineStr">
        <is>
          <t>2016-2030</t>
        </is>
      </c>
      <c r="G24" s="71" t="inlineStr">
        <is>
          <t>N/A</t>
        </is>
      </c>
      <c r="H24" s="86" t="inlineStr">
        <is>
          <t>HIGHEST</t>
        </is>
      </c>
      <c r="I24" s="22" t="inlineStr">
        <is>
          <t>Mandatory Enforcer</t>
        </is>
      </c>
      <c r="J24" s="87" t="inlineStr">
        <is>
          <t>https://shc.org.sa/</t>
        </is>
      </c>
    </row>
    <row r="25" ht="45" customHeight="1">
      <c r="A25" s="42" t="n">
        <v>24</v>
      </c>
      <c r="B25" s="85" t="inlineStr">
        <is>
          <t>NHIC-NABIDH</t>
        </is>
      </c>
      <c r="C25" s="72" t="inlineStr">
        <is>
          <t>NABIDH National EHR Platform Standard</t>
        </is>
      </c>
      <c r="D25" s="50" t="inlineStr">
        <is>
          <t>NHIC</t>
        </is>
      </c>
      <c r="E25" s="70" t="inlineStr">
        <is>
          <t>2. Healthcare &amp; Life Sciences</t>
        </is>
      </c>
      <c r="F25" s="70" t="inlineStr">
        <is>
          <t>Mandatory 2024</t>
        </is>
      </c>
      <c r="G25" s="71" t="inlineStr">
        <is>
          <t>40</t>
        </is>
      </c>
      <c r="H25" s="86" t="inlineStr">
        <is>
          <t>HIGHEST</t>
        </is>
      </c>
      <c r="I25" s="22" t="inlineStr">
        <is>
          <t>Mandatory Enforcer</t>
        </is>
      </c>
      <c r="J25" s="87" t="inlineStr">
        <is>
          <t>https://nhic.gov.sa/</t>
        </is>
      </c>
    </row>
    <row r="26" ht="45" customHeight="1">
      <c r="A26" s="42" t="n">
        <v>25</v>
      </c>
      <c r="B26" s="85" t="inlineStr">
        <is>
          <t>NHIC-INTEROP</t>
        </is>
      </c>
      <c r="C26" s="72" t="inlineStr">
        <is>
          <t>Health IT Interoperability Framework (FHIR-based)</t>
        </is>
      </c>
      <c r="D26" s="50" t="inlineStr">
        <is>
          <t>NHIC</t>
        </is>
      </c>
      <c r="E26" s="70" t="inlineStr">
        <is>
          <t>2. Healthcare &amp; Life Sciences</t>
        </is>
      </c>
      <c r="F26" s="70" t="inlineStr">
        <is>
          <t>2022</t>
        </is>
      </c>
      <c r="G26" s="71" t="inlineStr">
        <is>
          <t>25</t>
        </is>
      </c>
      <c r="H26" s="86" t="inlineStr">
        <is>
          <t>HIGHEST</t>
        </is>
      </c>
      <c r="I26" s="22" t="inlineStr">
        <is>
          <t>Mandatory Enforcer</t>
        </is>
      </c>
      <c r="J26" s="87" t="inlineStr">
        <is>
          <t>https://nhic.gov.sa/</t>
        </is>
      </c>
    </row>
    <row r="27" ht="45" customHeight="1">
      <c r="A27" s="42" t="n">
        <v>26</v>
      </c>
      <c r="B27" s="85" t="inlineStr">
        <is>
          <t>NCA-ECC-2:2024</t>
        </is>
      </c>
      <c r="C27" s="72" t="inlineStr">
        <is>
          <t>Essential Cybersecurity Controls</t>
        </is>
      </c>
      <c r="D27" s="50" t="inlineStr">
        <is>
          <t>NHIC</t>
        </is>
      </c>
      <c r="E27" s="70" t="inlineStr">
        <is>
          <t>2. Healthcare &amp; Life Sciences</t>
        </is>
      </c>
      <c r="F27" s="70" t="inlineStr">
        <is>
          <t>ECC-2:2024</t>
        </is>
      </c>
      <c r="G27" s="71" t="inlineStr">
        <is>
          <t>108</t>
        </is>
      </c>
      <c r="H27" s="86" t="inlineStr">
        <is>
          <t>HIGHEST</t>
        </is>
      </c>
      <c r="I27" s="66" t="inlineStr">
        <is>
          <t>Mandatory Complier</t>
        </is>
      </c>
      <c r="J27" s="87" t="inlineStr">
        <is>
          <t>https://nca.gov.sa/</t>
        </is>
      </c>
    </row>
    <row r="28" ht="45" customHeight="1">
      <c r="A28" s="42" t="n">
        <v>27</v>
      </c>
      <c r="B28" s="85" t="inlineStr">
        <is>
          <t>PDPL-2021</t>
        </is>
      </c>
      <c r="C28" s="72" t="inlineStr">
        <is>
          <t>Personal Data Protection Law</t>
        </is>
      </c>
      <c r="D28" s="50" t="inlineStr">
        <is>
          <t>NHIC</t>
        </is>
      </c>
      <c r="E28" s="70" t="inlineStr">
        <is>
          <t>2. Healthcare &amp; Life Sciences</t>
        </is>
      </c>
      <c r="F28" s="70" t="inlineStr">
        <is>
          <t>2021+IR 2023</t>
        </is>
      </c>
      <c r="G28" s="71" t="inlineStr">
        <is>
          <t>45</t>
        </is>
      </c>
      <c r="H28" s="86" t="inlineStr">
        <is>
          <t>HIGHEST</t>
        </is>
      </c>
      <c r="I28" s="66" t="inlineStr">
        <is>
          <t>Mandatory Complier</t>
        </is>
      </c>
      <c r="J28" s="87" t="inlineStr">
        <is>
          <t>https://sdaia.gov.sa/</t>
        </is>
      </c>
    </row>
    <row r="29" ht="45" customHeight="1">
      <c r="A29" s="42" t="n">
        <v>28</v>
      </c>
      <c r="B29" s="120" t="inlineStr">
        <is>
          <t>CST-IOT</t>
        </is>
      </c>
      <c r="C29" s="122" t="inlineStr">
        <is>
          <t>IoT Regulatory Framework</t>
        </is>
      </c>
      <c r="D29" s="125" t="inlineStr">
        <is>
          <t>CST</t>
        </is>
      </c>
      <c r="E29" s="121" t="inlineStr">
        <is>
          <t>4. ICT / Digital / Telecom</t>
        </is>
      </c>
      <c r="F29" s="121" t="inlineStr">
        <is>
          <t>Active</t>
        </is>
      </c>
      <c r="G29" s="123" t="inlineStr">
        <is>
          <t>N/A</t>
        </is>
      </c>
      <c r="H29" s="139" t="inlineStr">
        <is>
          <t>HIGHEST</t>
        </is>
      </c>
      <c r="I29" s="22" t="inlineStr">
        <is>
          <t>Mandatory Enforcer</t>
        </is>
      </c>
      <c r="J29" s="125" t="inlineStr">
        <is>
          <t>https://www.cst.gov.sa/en</t>
        </is>
      </c>
    </row>
    <row r="30" ht="45" customHeight="1">
      <c r="A30" s="42" t="n">
        <v>29</v>
      </c>
      <c r="B30" s="411" t="inlineStr">
        <is>
          <t>MOH-HIS</t>
        </is>
      </c>
      <c r="C30" s="72" t="inlineStr">
        <is>
          <t>Health Information System Standards</t>
        </is>
      </c>
      <c r="D30" s="413" t="inlineStr">
        <is>
          <t>RHC1</t>
        </is>
      </c>
      <c r="E30" s="70" t="inlineStr">
        <is>
          <t>17. Regional Health Clusters</t>
        </is>
      </c>
      <c r="F30" s="70" t="inlineStr">
        <is>
          <t>2024 update</t>
        </is>
      </c>
      <c r="G30" s="71" t="inlineStr">
        <is>
          <t>112</t>
        </is>
      </c>
      <c r="H30" s="86" t="inlineStr">
        <is>
          <t>HIGHEST</t>
        </is>
      </c>
      <c r="I30" s="66" t="inlineStr">
        <is>
          <t>Mandatory Complier</t>
        </is>
      </c>
      <c r="J30" s="87" t="inlineStr">
        <is>
          <t>https://www.moh.gov.sa/en/</t>
        </is>
      </c>
    </row>
    <row r="31" ht="45" customHeight="1">
      <c r="A31" s="42" t="n">
        <v>30</v>
      </c>
      <c r="B31" s="411" t="inlineStr">
        <is>
          <t>MOH-EMR-NABIDH</t>
        </is>
      </c>
      <c r="C31" s="72" t="inlineStr">
        <is>
          <t>EMR Standards / NABIDH</t>
        </is>
      </c>
      <c r="D31" s="413" t="inlineStr">
        <is>
          <t>RHC1</t>
        </is>
      </c>
      <c r="E31" s="70" t="inlineStr">
        <is>
          <t>17. Regional Health Clusters</t>
        </is>
      </c>
      <c r="F31" s="70" t="inlineStr">
        <is>
          <t>Mandatory 2024</t>
        </is>
      </c>
      <c r="G31" s="71" t="inlineStr">
        <is>
          <t>52</t>
        </is>
      </c>
      <c r="H31" s="86" t="inlineStr">
        <is>
          <t>HIGHEST</t>
        </is>
      </c>
      <c r="I31" s="66" t="inlineStr">
        <is>
          <t>Mandatory Complier</t>
        </is>
      </c>
      <c r="J31" s="87" t="inlineStr">
        <is>
          <t>https://www.moh.gov.sa/en/</t>
        </is>
      </c>
    </row>
    <row r="32" ht="45" customHeight="1">
      <c r="A32" s="42" t="n">
        <v>31</v>
      </c>
      <c r="B32" s="411" t="inlineStr">
        <is>
          <t>MOH-PS</t>
        </is>
      </c>
      <c r="C32" s="72" t="inlineStr">
        <is>
          <t>Patient Safety Standards</t>
        </is>
      </c>
      <c r="D32" s="413" t="inlineStr">
        <is>
          <t>RHC1</t>
        </is>
      </c>
      <c r="E32" s="70" t="inlineStr">
        <is>
          <t>17. Regional Health Clusters</t>
        </is>
      </c>
      <c r="F32" s="70" t="inlineStr">
        <is>
          <t>2024 update</t>
        </is>
      </c>
      <c r="G32" s="71" t="inlineStr">
        <is>
          <t>72</t>
        </is>
      </c>
      <c r="H32" s="86" t="inlineStr">
        <is>
          <t>HIGHEST</t>
        </is>
      </c>
      <c r="I32" s="66" t="inlineStr">
        <is>
          <t>Mandatory Complier</t>
        </is>
      </c>
      <c r="J32" s="87" t="inlineStr">
        <is>
          <t>https://www.moh.gov.sa/en/</t>
        </is>
      </c>
    </row>
    <row r="33" ht="45" customHeight="1">
      <c r="A33" s="42" t="n">
        <v>32</v>
      </c>
      <c r="B33" s="411" t="inlineStr">
        <is>
          <t>CBAHI-HAS-H</t>
        </is>
      </c>
      <c r="C33" s="72" t="inlineStr">
        <is>
          <t>Hospital Accreditation Standards</t>
        </is>
      </c>
      <c r="D33" s="413" t="inlineStr">
        <is>
          <t>RHC1</t>
        </is>
      </c>
      <c r="E33" s="70" t="inlineStr">
        <is>
          <t>17. Regional Health Clusters</t>
        </is>
      </c>
      <c r="F33" s="70" t="inlineStr">
        <is>
          <t>5th Ed. 2021</t>
        </is>
      </c>
      <c r="G33" s="71" t="inlineStr">
        <is>
          <t>298</t>
        </is>
      </c>
      <c r="H33" s="86" t="inlineStr">
        <is>
          <t>HIGHEST</t>
        </is>
      </c>
      <c r="I33" s="92" t="inlineStr">
        <is>
          <t>Voluntary</t>
        </is>
      </c>
      <c r="J33" s="87" t="inlineStr">
        <is>
          <t>https://www.cbahi.gov.sa/</t>
        </is>
      </c>
    </row>
    <row r="34" ht="45" customHeight="1">
      <c r="A34" s="42" t="n">
        <v>33</v>
      </c>
      <c r="B34" s="411" t="inlineStr">
        <is>
          <t>NCA-ECC-2:2024</t>
        </is>
      </c>
      <c r="C34" s="72" t="inlineStr">
        <is>
          <t>Essential Cybersecurity Controls</t>
        </is>
      </c>
      <c r="D34" s="413" t="inlineStr">
        <is>
          <t>RHC1</t>
        </is>
      </c>
      <c r="E34" s="70" t="inlineStr">
        <is>
          <t>17. Regional Health Clusters</t>
        </is>
      </c>
      <c r="F34" s="70" t="inlineStr">
        <is>
          <t>ECC-2:2024</t>
        </is>
      </c>
      <c r="G34" s="71" t="inlineStr">
        <is>
          <t>108</t>
        </is>
      </c>
      <c r="H34" s="86" t="inlineStr">
        <is>
          <t>HIGHEST</t>
        </is>
      </c>
      <c r="I34" s="66" t="inlineStr">
        <is>
          <t>Mandatory Complier</t>
        </is>
      </c>
      <c r="J34" s="87" t="inlineStr">
        <is>
          <t>https://nca.gov.sa/</t>
        </is>
      </c>
    </row>
    <row r="35" ht="45" customHeight="1">
      <c r="A35" s="42" t="n">
        <v>34</v>
      </c>
      <c r="B35" s="411" t="inlineStr">
        <is>
          <t>PDPL-2021</t>
        </is>
      </c>
      <c r="C35" s="72" t="inlineStr">
        <is>
          <t>Personal Data Protection Law</t>
        </is>
      </c>
      <c r="D35" s="413" t="inlineStr">
        <is>
          <t>RHC1</t>
        </is>
      </c>
      <c r="E35" s="70" t="inlineStr">
        <is>
          <t>17. Regional Health Clusters</t>
        </is>
      </c>
      <c r="F35" s="70" t="inlineStr">
        <is>
          <t>2021+IR 2023</t>
        </is>
      </c>
      <c r="G35" s="71" t="inlineStr">
        <is>
          <t>45</t>
        </is>
      </c>
      <c r="H35" s="86" t="inlineStr">
        <is>
          <t>HIGHEST</t>
        </is>
      </c>
      <c r="I35" s="66" t="inlineStr">
        <is>
          <t>Mandatory Complier</t>
        </is>
      </c>
      <c r="J35" s="87" t="inlineStr">
        <is>
          <t>https://sdaia.gov.sa/</t>
        </is>
      </c>
    </row>
    <row r="36" ht="45" customHeight="1">
      <c r="A36" s="42" t="n">
        <v>35</v>
      </c>
      <c r="B36" s="411" t="inlineStr">
        <is>
          <t>NHIC-NABIDH</t>
        </is>
      </c>
      <c r="C36" s="72" t="inlineStr">
        <is>
          <t>NABIDH EHR Platform Standard</t>
        </is>
      </c>
      <c r="D36" s="413" t="inlineStr">
        <is>
          <t>RHC1</t>
        </is>
      </c>
      <c r="E36" s="70" t="inlineStr">
        <is>
          <t>17. Regional Health Clusters</t>
        </is>
      </c>
      <c r="F36" s="70" t="inlineStr">
        <is>
          <t>Mandatory 2024</t>
        </is>
      </c>
      <c r="G36" s="71" t="inlineStr">
        <is>
          <t>40</t>
        </is>
      </c>
      <c r="H36" s="86" t="inlineStr">
        <is>
          <t>HIGHEST</t>
        </is>
      </c>
      <c r="I36" s="66" t="inlineStr">
        <is>
          <t>Mandatory Complier</t>
        </is>
      </c>
      <c r="J36" s="87" t="inlineStr">
        <is>
          <t>https://nhic.gov.sa/</t>
        </is>
      </c>
    </row>
    <row r="37" ht="45" customHeight="1">
      <c r="A37" s="42" t="n">
        <v>36</v>
      </c>
      <c r="B37" s="411" t="inlineStr">
        <is>
          <t>NCA-OTCC</t>
        </is>
      </c>
      <c r="C37" s="72" t="inlineStr">
        <is>
          <t>OT Cybersecurity Controls</t>
        </is>
      </c>
      <c r="D37" s="413" t="inlineStr">
        <is>
          <t>RHC1</t>
        </is>
      </c>
      <c r="E37" s="70" t="inlineStr">
        <is>
          <t>17. Regional Health Clusters</t>
        </is>
      </c>
      <c r="F37" s="70" t="inlineStr">
        <is>
          <t>OTCC-1:2022</t>
        </is>
      </c>
      <c r="G37" s="71" t="inlineStr">
        <is>
          <t>53</t>
        </is>
      </c>
      <c r="H37" s="86" t="inlineStr">
        <is>
          <t>HIGHEST</t>
        </is>
      </c>
      <c r="I37" s="66" t="inlineStr">
        <is>
          <t>Mandatory Complier</t>
        </is>
      </c>
      <c r="J37" s="87" t="inlineStr">
        <is>
          <t>https://nca.gov.sa/</t>
        </is>
      </c>
    </row>
    <row r="38" ht="45" customHeight="1">
      <c r="A38" s="42" t="n">
        <v>37</v>
      </c>
      <c r="B38" s="411" t="inlineStr">
        <is>
          <t>MOH-HIS</t>
        </is>
      </c>
      <c r="C38" s="72" t="inlineStr">
        <is>
          <t>Health Information System Standards</t>
        </is>
      </c>
      <c r="D38" s="413" t="inlineStr">
        <is>
          <t>RHC2</t>
        </is>
      </c>
      <c r="E38" s="70" t="inlineStr">
        <is>
          <t>17. Regional Health Clusters</t>
        </is>
      </c>
      <c r="F38" s="70" t="inlineStr">
        <is>
          <t>2024 update</t>
        </is>
      </c>
      <c r="G38" s="71" t="inlineStr">
        <is>
          <t>112</t>
        </is>
      </c>
      <c r="H38" s="86" t="inlineStr">
        <is>
          <t>HIGHEST</t>
        </is>
      </c>
      <c r="I38" s="66" t="inlineStr">
        <is>
          <t>Mandatory Complier</t>
        </is>
      </c>
      <c r="J38" s="87" t="inlineStr">
        <is>
          <t>https://www.moh.gov.sa/en/</t>
        </is>
      </c>
    </row>
    <row r="39" ht="45" customHeight="1">
      <c r="A39" s="42" t="n">
        <v>38</v>
      </c>
      <c r="B39" s="411" t="inlineStr">
        <is>
          <t>MOH-EMR-NABIDH</t>
        </is>
      </c>
      <c r="C39" s="72" t="inlineStr">
        <is>
          <t>EMR Standards / NABIDH</t>
        </is>
      </c>
      <c r="D39" s="413" t="inlineStr">
        <is>
          <t>RHC2</t>
        </is>
      </c>
      <c r="E39" s="70" t="inlineStr">
        <is>
          <t>17. Regional Health Clusters</t>
        </is>
      </c>
      <c r="F39" s="70" t="inlineStr">
        <is>
          <t>Mandatory 2024</t>
        </is>
      </c>
      <c r="G39" s="71" t="inlineStr">
        <is>
          <t>52</t>
        </is>
      </c>
      <c r="H39" s="86" t="inlineStr">
        <is>
          <t>HIGHEST</t>
        </is>
      </c>
      <c r="I39" s="66" t="inlineStr">
        <is>
          <t>Mandatory Complier</t>
        </is>
      </c>
      <c r="J39" s="87" t="inlineStr">
        <is>
          <t>https://www.moh.gov.sa/en/</t>
        </is>
      </c>
    </row>
    <row r="40" ht="45" customHeight="1">
      <c r="A40" s="42" t="n">
        <v>39</v>
      </c>
      <c r="B40" s="411" t="inlineStr">
        <is>
          <t>MOH-PS</t>
        </is>
      </c>
      <c r="C40" s="72" t="inlineStr">
        <is>
          <t>Patient Safety Standards</t>
        </is>
      </c>
      <c r="D40" s="413" t="inlineStr">
        <is>
          <t>RHC2</t>
        </is>
      </c>
      <c r="E40" s="70" t="inlineStr">
        <is>
          <t>17. Regional Health Clusters</t>
        </is>
      </c>
      <c r="F40" s="70" t="inlineStr">
        <is>
          <t>2024 update</t>
        </is>
      </c>
      <c r="G40" s="71" t="inlineStr">
        <is>
          <t>72</t>
        </is>
      </c>
      <c r="H40" s="86" t="inlineStr">
        <is>
          <t>HIGHEST</t>
        </is>
      </c>
      <c r="I40" s="66" t="inlineStr">
        <is>
          <t>Mandatory Complier</t>
        </is>
      </c>
      <c r="J40" s="87" t="inlineStr">
        <is>
          <t>https://www.moh.gov.sa/en/</t>
        </is>
      </c>
    </row>
    <row r="41" ht="45" customHeight="1">
      <c r="A41" s="42" t="n">
        <v>40</v>
      </c>
      <c r="B41" s="411" t="inlineStr">
        <is>
          <t>CBAHI-HAS-H</t>
        </is>
      </c>
      <c r="C41" s="72" t="inlineStr">
        <is>
          <t>Hospital Accreditation Standards</t>
        </is>
      </c>
      <c r="D41" s="413" t="inlineStr">
        <is>
          <t>RHC2</t>
        </is>
      </c>
      <c r="E41" s="70" t="inlineStr">
        <is>
          <t>17. Regional Health Clusters</t>
        </is>
      </c>
      <c r="F41" s="70" t="inlineStr">
        <is>
          <t>5th Ed. 2021</t>
        </is>
      </c>
      <c r="G41" s="71" t="inlineStr">
        <is>
          <t>298</t>
        </is>
      </c>
      <c r="H41" s="86" t="inlineStr">
        <is>
          <t>HIGHEST</t>
        </is>
      </c>
      <c r="I41" s="92" t="inlineStr">
        <is>
          <t>Voluntary</t>
        </is>
      </c>
      <c r="J41" s="87" t="inlineStr">
        <is>
          <t>https://www.cbahi.gov.sa/</t>
        </is>
      </c>
    </row>
    <row r="42" ht="45" customHeight="1">
      <c r="A42" s="42" t="n">
        <v>41</v>
      </c>
      <c r="B42" s="411" t="inlineStr">
        <is>
          <t>NCA-ECC-2:2024</t>
        </is>
      </c>
      <c r="C42" s="72" t="inlineStr">
        <is>
          <t>Essential Cybersecurity Controls</t>
        </is>
      </c>
      <c r="D42" s="413" t="inlineStr">
        <is>
          <t>RHC2</t>
        </is>
      </c>
      <c r="E42" s="70" t="inlineStr">
        <is>
          <t>17. Regional Health Clusters</t>
        </is>
      </c>
      <c r="F42" s="70" t="inlineStr">
        <is>
          <t>ECC-2:2024</t>
        </is>
      </c>
      <c r="G42" s="71" t="inlineStr">
        <is>
          <t>108</t>
        </is>
      </c>
      <c r="H42" s="86" t="inlineStr">
        <is>
          <t>HIGHEST</t>
        </is>
      </c>
      <c r="I42" s="66" t="inlineStr">
        <is>
          <t>Mandatory Complier</t>
        </is>
      </c>
      <c r="J42" s="87" t="inlineStr">
        <is>
          <t>https://nca.gov.sa/</t>
        </is>
      </c>
    </row>
    <row r="43" ht="45" customHeight="1">
      <c r="A43" s="42" t="n">
        <v>42</v>
      </c>
      <c r="B43" s="411" t="inlineStr">
        <is>
          <t>PDPL-2021</t>
        </is>
      </c>
      <c r="C43" s="72" t="inlineStr">
        <is>
          <t>Personal Data Protection Law</t>
        </is>
      </c>
      <c r="D43" s="413" t="inlineStr">
        <is>
          <t>RHC2</t>
        </is>
      </c>
      <c r="E43" s="70" t="inlineStr">
        <is>
          <t>17. Regional Health Clusters</t>
        </is>
      </c>
      <c r="F43" s="70" t="inlineStr">
        <is>
          <t>2021+IR 2023</t>
        </is>
      </c>
      <c r="G43" s="71" t="inlineStr">
        <is>
          <t>45</t>
        </is>
      </c>
      <c r="H43" s="86" t="inlineStr">
        <is>
          <t>HIGHEST</t>
        </is>
      </c>
      <c r="I43" s="66" t="inlineStr">
        <is>
          <t>Mandatory Complier</t>
        </is>
      </c>
      <c r="J43" s="87" t="inlineStr">
        <is>
          <t>https://sdaia.gov.sa/</t>
        </is>
      </c>
    </row>
    <row r="44" ht="45" customHeight="1">
      <c r="A44" s="42" t="n">
        <v>43</v>
      </c>
      <c r="B44" s="411" t="inlineStr">
        <is>
          <t>NHIC-NABIDH</t>
        </is>
      </c>
      <c r="C44" s="72" t="inlineStr">
        <is>
          <t>NABIDH EHR Platform Standard</t>
        </is>
      </c>
      <c r="D44" s="413" t="inlineStr">
        <is>
          <t>RHC2</t>
        </is>
      </c>
      <c r="E44" s="70" t="inlineStr">
        <is>
          <t>17. Regional Health Clusters</t>
        </is>
      </c>
      <c r="F44" s="70" t="inlineStr">
        <is>
          <t>Mandatory 2024</t>
        </is>
      </c>
      <c r="G44" s="71" t="inlineStr">
        <is>
          <t>40</t>
        </is>
      </c>
      <c r="H44" s="86" t="inlineStr">
        <is>
          <t>HIGHEST</t>
        </is>
      </c>
      <c r="I44" s="66" t="inlineStr">
        <is>
          <t>Mandatory Complier</t>
        </is>
      </c>
      <c r="J44" s="87" t="inlineStr">
        <is>
          <t>https://nhic.gov.sa/</t>
        </is>
      </c>
    </row>
    <row r="45" ht="45" customHeight="1">
      <c r="A45" s="42" t="n">
        <v>44</v>
      </c>
      <c r="B45" s="411" t="inlineStr">
        <is>
          <t>NCA-OTCC</t>
        </is>
      </c>
      <c r="C45" s="72" t="inlineStr">
        <is>
          <t>OT Cybersecurity Controls</t>
        </is>
      </c>
      <c r="D45" s="413" t="inlineStr">
        <is>
          <t>RHC2</t>
        </is>
      </c>
      <c r="E45" s="70" t="inlineStr">
        <is>
          <t>17. Regional Health Clusters</t>
        </is>
      </c>
      <c r="F45" s="70" t="inlineStr">
        <is>
          <t>OTCC-1:2022</t>
        </is>
      </c>
      <c r="G45" s="71" t="inlineStr">
        <is>
          <t>53</t>
        </is>
      </c>
      <c r="H45" s="86" t="inlineStr">
        <is>
          <t>HIGHEST</t>
        </is>
      </c>
      <c r="I45" s="66" t="inlineStr">
        <is>
          <t>Mandatory Complier</t>
        </is>
      </c>
      <c r="J45" s="87" t="inlineStr">
        <is>
          <t>https://nca.gov.sa/</t>
        </is>
      </c>
    </row>
    <row r="46" ht="45" customHeight="1">
      <c r="A46" s="42" t="n">
        <v>45</v>
      </c>
      <c r="B46" s="411" t="inlineStr">
        <is>
          <t>MOH-HIS</t>
        </is>
      </c>
      <c r="C46" s="72" t="inlineStr">
        <is>
          <t>Health Information System Standards</t>
        </is>
      </c>
      <c r="D46" s="413" t="inlineStr">
        <is>
          <t>JDHC</t>
        </is>
      </c>
      <c r="E46" s="70" t="inlineStr">
        <is>
          <t>17. Regional Health Clusters</t>
        </is>
      </c>
      <c r="F46" s="70" t="inlineStr">
        <is>
          <t>2024 update</t>
        </is>
      </c>
      <c r="G46" s="71" t="inlineStr">
        <is>
          <t>112</t>
        </is>
      </c>
      <c r="H46" s="86" t="inlineStr">
        <is>
          <t>HIGHEST</t>
        </is>
      </c>
      <c r="I46" s="66" t="inlineStr">
        <is>
          <t>Mandatory Complier</t>
        </is>
      </c>
      <c r="J46" s="87" t="inlineStr">
        <is>
          <t>https://www.moh.gov.sa/en/</t>
        </is>
      </c>
    </row>
    <row r="47" ht="45" customHeight="1">
      <c r="A47" s="42" t="n">
        <v>46</v>
      </c>
      <c r="B47" s="411" t="inlineStr">
        <is>
          <t>MOH-EMR-NABIDH</t>
        </is>
      </c>
      <c r="C47" s="72" t="inlineStr">
        <is>
          <t>EMR Standards / NABIDH</t>
        </is>
      </c>
      <c r="D47" s="413" t="inlineStr">
        <is>
          <t>JDHC</t>
        </is>
      </c>
      <c r="E47" s="70" t="inlineStr">
        <is>
          <t>17. Regional Health Clusters</t>
        </is>
      </c>
      <c r="F47" s="70" t="inlineStr">
        <is>
          <t>Mandatory 2024</t>
        </is>
      </c>
      <c r="G47" s="71" t="inlineStr">
        <is>
          <t>52</t>
        </is>
      </c>
      <c r="H47" s="86" t="inlineStr">
        <is>
          <t>HIGHEST</t>
        </is>
      </c>
      <c r="I47" s="66" t="inlineStr">
        <is>
          <t>Mandatory Complier</t>
        </is>
      </c>
      <c r="J47" s="87" t="inlineStr">
        <is>
          <t>https://www.moh.gov.sa/en/</t>
        </is>
      </c>
    </row>
    <row r="48" ht="45" customHeight="1">
      <c r="A48" s="42" t="n">
        <v>47</v>
      </c>
      <c r="B48" s="411" t="inlineStr">
        <is>
          <t>MOH-PS</t>
        </is>
      </c>
      <c r="C48" s="72" t="inlineStr">
        <is>
          <t>Patient Safety Standards</t>
        </is>
      </c>
      <c r="D48" s="413" t="inlineStr">
        <is>
          <t>JDHC</t>
        </is>
      </c>
      <c r="E48" s="70" t="inlineStr">
        <is>
          <t>17. Regional Health Clusters</t>
        </is>
      </c>
      <c r="F48" s="70" t="inlineStr">
        <is>
          <t>2024 update</t>
        </is>
      </c>
      <c r="G48" s="71" t="inlineStr">
        <is>
          <t>72</t>
        </is>
      </c>
      <c r="H48" s="86" t="inlineStr">
        <is>
          <t>HIGHEST</t>
        </is>
      </c>
      <c r="I48" s="66" t="inlineStr">
        <is>
          <t>Mandatory Complier</t>
        </is>
      </c>
      <c r="J48" s="87" t="inlineStr">
        <is>
          <t>https://www.moh.gov.sa/en/</t>
        </is>
      </c>
    </row>
    <row r="49" ht="45" customHeight="1">
      <c r="A49" s="42" t="n">
        <v>48</v>
      </c>
      <c r="B49" s="411" t="inlineStr">
        <is>
          <t>CBAHI-HAS-H</t>
        </is>
      </c>
      <c r="C49" s="72" t="inlineStr">
        <is>
          <t>Hospital Accreditation Standards</t>
        </is>
      </c>
      <c r="D49" s="413" t="inlineStr">
        <is>
          <t>JDHC</t>
        </is>
      </c>
      <c r="E49" s="70" t="inlineStr">
        <is>
          <t>17. Regional Health Clusters</t>
        </is>
      </c>
      <c r="F49" s="70" t="inlineStr">
        <is>
          <t>5th Ed. 2021</t>
        </is>
      </c>
      <c r="G49" s="71" t="inlineStr">
        <is>
          <t>298</t>
        </is>
      </c>
      <c r="H49" s="86" t="inlineStr">
        <is>
          <t>HIGHEST</t>
        </is>
      </c>
      <c r="I49" s="92" t="inlineStr">
        <is>
          <t>Voluntary</t>
        </is>
      </c>
      <c r="J49" s="87" t="inlineStr">
        <is>
          <t>https://www.cbahi.gov.sa/</t>
        </is>
      </c>
    </row>
    <row r="50" ht="45" customHeight="1">
      <c r="A50" s="42" t="n">
        <v>49</v>
      </c>
      <c r="B50" s="411" t="inlineStr">
        <is>
          <t>NCA-ECC-2:2024</t>
        </is>
      </c>
      <c r="C50" s="72" t="inlineStr">
        <is>
          <t>Essential Cybersecurity Controls</t>
        </is>
      </c>
      <c r="D50" s="413" t="inlineStr">
        <is>
          <t>JDHC</t>
        </is>
      </c>
      <c r="E50" s="70" t="inlineStr">
        <is>
          <t>17. Regional Health Clusters</t>
        </is>
      </c>
      <c r="F50" s="70" t="inlineStr">
        <is>
          <t>ECC-2:2024</t>
        </is>
      </c>
      <c r="G50" s="71" t="inlineStr">
        <is>
          <t>108</t>
        </is>
      </c>
      <c r="H50" s="86" t="inlineStr">
        <is>
          <t>HIGHEST</t>
        </is>
      </c>
      <c r="I50" s="66" t="inlineStr">
        <is>
          <t>Mandatory Complier</t>
        </is>
      </c>
      <c r="J50" s="87" t="inlineStr">
        <is>
          <t>https://nca.gov.sa/</t>
        </is>
      </c>
    </row>
    <row r="51" ht="45" customHeight="1">
      <c r="A51" s="42" t="n">
        <v>50</v>
      </c>
      <c r="B51" s="411" t="inlineStr">
        <is>
          <t>PDPL-2021</t>
        </is>
      </c>
      <c r="C51" s="72" t="inlineStr">
        <is>
          <t>Personal Data Protection Law</t>
        </is>
      </c>
      <c r="D51" s="413" t="inlineStr">
        <is>
          <t>JDHC</t>
        </is>
      </c>
      <c r="E51" s="70" t="inlineStr">
        <is>
          <t>17. Regional Health Clusters</t>
        </is>
      </c>
      <c r="F51" s="70" t="inlineStr">
        <is>
          <t>2021+IR 2023</t>
        </is>
      </c>
      <c r="G51" s="71" t="inlineStr">
        <is>
          <t>45</t>
        </is>
      </c>
      <c r="H51" s="86" t="inlineStr">
        <is>
          <t>HIGHEST</t>
        </is>
      </c>
      <c r="I51" s="66" t="inlineStr">
        <is>
          <t>Mandatory Complier</t>
        </is>
      </c>
      <c r="J51" s="87" t="inlineStr">
        <is>
          <t>https://sdaia.gov.sa/</t>
        </is>
      </c>
    </row>
    <row r="52" ht="45" customHeight="1">
      <c r="A52" s="42" t="n">
        <v>51</v>
      </c>
      <c r="B52" s="411" t="inlineStr">
        <is>
          <t>NHIC-NABIDH</t>
        </is>
      </c>
      <c r="C52" s="72" t="inlineStr">
        <is>
          <t>NABIDH EHR Platform Standard</t>
        </is>
      </c>
      <c r="D52" s="413" t="inlineStr">
        <is>
          <t>JDHC</t>
        </is>
      </c>
      <c r="E52" s="70" t="inlineStr">
        <is>
          <t>17. Regional Health Clusters</t>
        </is>
      </c>
      <c r="F52" s="70" t="inlineStr">
        <is>
          <t>Mandatory 2024</t>
        </is>
      </c>
      <c r="G52" s="71" t="inlineStr">
        <is>
          <t>40</t>
        </is>
      </c>
      <c r="H52" s="86" t="inlineStr">
        <is>
          <t>HIGHEST</t>
        </is>
      </c>
      <c r="I52" s="66" t="inlineStr">
        <is>
          <t>Mandatory Complier</t>
        </is>
      </c>
      <c r="J52" s="87" t="inlineStr">
        <is>
          <t>https://nhic.gov.sa/</t>
        </is>
      </c>
    </row>
    <row r="53" ht="45" customHeight="1">
      <c r="A53" s="42" t="n">
        <v>52</v>
      </c>
      <c r="B53" s="411" t="inlineStr">
        <is>
          <t>NCA-OTCC</t>
        </is>
      </c>
      <c r="C53" s="72" t="inlineStr">
        <is>
          <t>OT Cybersecurity Controls</t>
        </is>
      </c>
      <c r="D53" s="413" t="inlineStr">
        <is>
          <t>JDHC</t>
        </is>
      </c>
      <c r="E53" s="70" t="inlineStr">
        <is>
          <t>17. Regional Health Clusters</t>
        </is>
      </c>
      <c r="F53" s="70" t="inlineStr">
        <is>
          <t>OTCC-1:2022</t>
        </is>
      </c>
      <c r="G53" s="71" t="inlineStr">
        <is>
          <t>53</t>
        </is>
      </c>
      <c r="H53" s="86" t="inlineStr">
        <is>
          <t>HIGHEST</t>
        </is>
      </c>
      <c r="I53" s="66" t="inlineStr">
        <is>
          <t>Mandatory Complier</t>
        </is>
      </c>
      <c r="J53" s="87" t="inlineStr">
        <is>
          <t>https://nca.gov.sa/</t>
        </is>
      </c>
    </row>
    <row r="54" ht="45" customHeight="1">
      <c r="A54" s="42" t="n">
        <v>53</v>
      </c>
      <c r="B54" s="411" t="inlineStr">
        <is>
          <t>MOH-HIS</t>
        </is>
      </c>
      <c r="C54" s="72" t="inlineStr">
        <is>
          <t>Health Information System Standards</t>
        </is>
      </c>
      <c r="D54" s="413" t="inlineStr">
        <is>
          <t>MKHC</t>
        </is>
      </c>
      <c r="E54" s="70" t="inlineStr">
        <is>
          <t>17. Regional Health Clusters</t>
        </is>
      </c>
      <c r="F54" s="70" t="inlineStr">
        <is>
          <t>2024 update</t>
        </is>
      </c>
      <c r="G54" s="71" t="inlineStr">
        <is>
          <t>112</t>
        </is>
      </c>
      <c r="H54" s="86" t="inlineStr">
        <is>
          <t>HIGHEST</t>
        </is>
      </c>
      <c r="I54" s="66" t="inlineStr">
        <is>
          <t>Mandatory Complier</t>
        </is>
      </c>
      <c r="J54" s="87" t="inlineStr">
        <is>
          <t>https://www.moh.gov.sa/en/</t>
        </is>
      </c>
    </row>
    <row r="55" ht="45" customHeight="1">
      <c r="A55" s="42" t="n">
        <v>54</v>
      </c>
      <c r="B55" s="411" t="inlineStr">
        <is>
          <t>MOH-EMR-NABIDH</t>
        </is>
      </c>
      <c r="C55" s="72" t="inlineStr">
        <is>
          <t>EMR Standards / NABIDH</t>
        </is>
      </c>
      <c r="D55" s="413" t="inlineStr">
        <is>
          <t>MKHC</t>
        </is>
      </c>
      <c r="E55" s="70" t="inlineStr">
        <is>
          <t>17. Regional Health Clusters</t>
        </is>
      </c>
      <c r="F55" s="70" t="inlineStr">
        <is>
          <t>Mandatory 2024</t>
        </is>
      </c>
      <c r="G55" s="71" t="inlineStr">
        <is>
          <t>52</t>
        </is>
      </c>
      <c r="H55" s="86" t="inlineStr">
        <is>
          <t>HIGHEST</t>
        </is>
      </c>
      <c r="I55" s="66" t="inlineStr">
        <is>
          <t>Mandatory Complier</t>
        </is>
      </c>
      <c r="J55" s="87" t="inlineStr">
        <is>
          <t>https://www.moh.gov.sa/en/</t>
        </is>
      </c>
    </row>
    <row r="56" ht="45" customHeight="1">
      <c r="A56" s="42" t="n">
        <v>55</v>
      </c>
      <c r="B56" s="411" t="inlineStr">
        <is>
          <t>MOH-PS</t>
        </is>
      </c>
      <c r="C56" s="72" t="inlineStr">
        <is>
          <t>Patient Safety Standards</t>
        </is>
      </c>
      <c r="D56" s="413" t="inlineStr">
        <is>
          <t>MKHC</t>
        </is>
      </c>
      <c r="E56" s="70" t="inlineStr">
        <is>
          <t>17. Regional Health Clusters</t>
        </is>
      </c>
      <c r="F56" s="70" t="inlineStr">
        <is>
          <t>2024 update</t>
        </is>
      </c>
      <c r="G56" s="71" t="inlineStr">
        <is>
          <t>72</t>
        </is>
      </c>
      <c r="H56" s="86" t="inlineStr">
        <is>
          <t>HIGHEST</t>
        </is>
      </c>
      <c r="I56" s="66" t="inlineStr">
        <is>
          <t>Mandatory Complier</t>
        </is>
      </c>
      <c r="J56" s="87" t="inlineStr">
        <is>
          <t>https://www.moh.gov.sa/en/</t>
        </is>
      </c>
    </row>
    <row r="57" ht="45" customHeight="1">
      <c r="A57" s="42" t="n">
        <v>56</v>
      </c>
      <c r="B57" s="411" t="inlineStr">
        <is>
          <t>CBAHI-HAS-H</t>
        </is>
      </c>
      <c r="C57" s="72" t="inlineStr">
        <is>
          <t>Hospital Accreditation Standards</t>
        </is>
      </c>
      <c r="D57" s="413" t="inlineStr">
        <is>
          <t>MKHC</t>
        </is>
      </c>
      <c r="E57" s="70" t="inlineStr">
        <is>
          <t>17. Regional Health Clusters</t>
        </is>
      </c>
      <c r="F57" s="70" t="inlineStr">
        <is>
          <t>5th Ed. 2021</t>
        </is>
      </c>
      <c r="G57" s="71" t="inlineStr">
        <is>
          <t>298</t>
        </is>
      </c>
      <c r="H57" s="86" t="inlineStr">
        <is>
          <t>HIGHEST</t>
        </is>
      </c>
      <c r="I57" s="92" t="inlineStr">
        <is>
          <t>Voluntary</t>
        </is>
      </c>
      <c r="J57" s="87" t="inlineStr">
        <is>
          <t>https://www.cbahi.gov.sa/</t>
        </is>
      </c>
    </row>
    <row r="58" ht="45" customHeight="1">
      <c r="A58" s="42" t="n">
        <v>57</v>
      </c>
      <c r="B58" s="411" t="inlineStr">
        <is>
          <t>NCA-ECC-2:2024</t>
        </is>
      </c>
      <c r="C58" s="72" t="inlineStr">
        <is>
          <t>Essential Cybersecurity Controls</t>
        </is>
      </c>
      <c r="D58" s="413" t="inlineStr">
        <is>
          <t>MKHC</t>
        </is>
      </c>
      <c r="E58" s="70" t="inlineStr">
        <is>
          <t>17. Regional Health Clusters</t>
        </is>
      </c>
      <c r="F58" s="70" t="inlineStr">
        <is>
          <t>ECC-2:2024</t>
        </is>
      </c>
      <c r="G58" s="71" t="inlineStr">
        <is>
          <t>108</t>
        </is>
      </c>
      <c r="H58" s="86" t="inlineStr">
        <is>
          <t>HIGHEST</t>
        </is>
      </c>
      <c r="I58" s="66" t="inlineStr">
        <is>
          <t>Mandatory Complier</t>
        </is>
      </c>
      <c r="J58" s="87" t="inlineStr">
        <is>
          <t>https://nca.gov.sa/</t>
        </is>
      </c>
    </row>
    <row r="59" ht="45" customHeight="1">
      <c r="A59" s="42" t="n">
        <v>58</v>
      </c>
      <c r="B59" s="411" t="inlineStr">
        <is>
          <t>PDPL-2021</t>
        </is>
      </c>
      <c r="C59" s="72" t="inlineStr">
        <is>
          <t>Personal Data Protection Law</t>
        </is>
      </c>
      <c r="D59" s="413" t="inlineStr">
        <is>
          <t>MKHC</t>
        </is>
      </c>
      <c r="E59" s="70" t="inlineStr">
        <is>
          <t>17. Regional Health Clusters</t>
        </is>
      </c>
      <c r="F59" s="70" t="inlineStr">
        <is>
          <t>2021+IR 2023</t>
        </is>
      </c>
      <c r="G59" s="71" t="inlineStr">
        <is>
          <t>45</t>
        </is>
      </c>
      <c r="H59" s="86" t="inlineStr">
        <is>
          <t>HIGHEST</t>
        </is>
      </c>
      <c r="I59" s="66" t="inlineStr">
        <is>
          <t>Mandatory Complier</t>
        </is>
      </c>
      <c r="J59" s="87" t="inlineStr">
        <is>
          <t>https://sdaia.gov.sa/</t>
        </is>
      </c>
    </row>
    <row r="60" ht="45" customHeight="1">
      <c r="A60" s="42" t="n">
        <v>59</v>
      </c>
      <c r="B60" s="411" t="inlineStr">
        <is>
          <t>NHIC-NABIDH</t>
        </is>
      </c>
      <c r="C60" s="72" t="inlineStr">
        <is>
          <t>NABIDH EHR Platform Standard</t>
        </is>
      </c>
      <c r="D60" s="413" t="inlineStr">
        <is>
          <t>MKHC</t>
        </is>
      </c>
      <c r="E60" s="70" t="inlineStr">
        <is>
          <t>17. Regional Health Clusters</t>
        </is>
      </c>
      <c r="F60" s="70" t="inlineStr">
        <is>
          <t>Mandatory 2024</t>
        </is>
      </c>
      <c r="G60" s="71" t="inlineStr">
        <is>
          <t>40</t>
        </is>
      </c>
      <c r="H60" s="86" t="inlineStr">
        <is>
          <t>HIGHEST</t>
        </is>
      </c>
      <c r="I60" s="66" t="inlineStr">
        <is>
          <t>Mandatory Complier</t>
        </is>
      </c>
      <c r="J60" s="87" t="inlineStr">
        <is>
          <t>https://nhic.gov.sa/</t>
        </is>
      </c>
    </row>
    <row r="61" ht="45" customHeight="1">
      <c r="A61" s="42" t="n">
        <v>60</v>
      </c>
      <c r="B61" s="411" t="inlineStr">
        <is>
          <t>NCA-OTCC</t>
        </is>
      </c>
      <c r="C61" s="72" t="inlineStr">
        <is>
          <t>OT Cybersecurity Controls</t>
        </is>
      </c>
      <c r="D61" s="413" t="inlineStr">
        <is>
          <t>MKHC</t>
        </is>
      </c>
      <c r="E61" s="70" t="inlineStr">
        <is>
          <t>17. Regional Health Clusters</t>
        </is>
      </c>
      <c r="F61" s="70" t="inlineStr">
        <is>
          <t>OTCC-1:2022</t>
        </is>
      </c>
      <c r="G61" s="71" t="inlineStr">
        <is>
          <t>53</t>
        </is>
      </c>
      <c r="H61" s="86" t="inlineStr">
        <is>
          <t>HIGHEST</t>
        </is>
      </c>
      <c r="I61" s="66" t="inlineStr">
        <is>
          <t>Mandatory Complier</t>
        </is>
      </c>
      <c r="J61" s="87" t="inlineStr">
        <is>
          <t>https://nca.gov.sa/</t>
        </is>
      </c>
    </row>
    <row r="62" ht="45" customHeight="1">
      <c r="A62" s="42" t="n">
        <v>61</v>
      </c>
      <c r="B62" s="411" t="inlineStr">
        <is>
          <t>MOH-HIS</t>
        </is>
      </c>
      <c r="C62" s="72" t="inlineStr">
        <is>
          <t>Health Information System Standards</t>
        </is>
      </c>
      <c r="D62" s="413" t="inlineStr">
        <is>
          <t>MDHC</t>
        </is>
      </c>
      <c r="E62" s="70" t="inlineStr">
        <is>
          <t>17. Regional Health Clusters</t>
        </is>
      </c>
      <c r="F62" s="70" t="inlineStr">
        <is>
          <t>2024 update</t>
        </is>
      </c>
      <c r="G62" s="71" t="inlineStr">
        <is>
          <t>112</t>
        </is>
      </c>
      <c r="H62" s="86" t="inlineStr">
        <is>
          <t>HIGHEST</t>
        </is>
      </c>
      <c r="I62" s="66" t="inlineStr">
        <is>
          <t>Mandatory Complier</t>
        </is>
      </c>
      <c r="J62" s="87" t="inlineStr">
        <is>
          <t>https://www.moh.gov.sa/en/</t>
        </is>
      </c>
    </row>
    <row r="63" ht="45" customHeight="1">
      <c r="A63" s="42" t="n">
        <v>62</v>
      </c>
      <c r="B63" s="411" t="inlineStr">
        <is>
          <t>MOH-EMR-NABIDH</t>
        </is>
      </c>
      <c r="C63" s="72" t="inlineStr">
        <is>
          <t>EMR Standards / NABIDH</t>
        </is>
      </c>
      <c r="D63" s="413" t="inlineStr">
        <is>
          <t>MDHC</t>
        </is>
      </c>
      <c r="E63" s="70" t="inlineStr">
        <is>
          <t>17. Regional Health Clusters</t>
        </is>
      </c>
      <c r="F63" s="70" t="inlineStr">
        <is>
          <t>Mandatory 2024</t>
        </is>
      </c>
      <c r="G63" s="71" t="inlineStr">
        <is>
          <t>52</t>
        </is>
      </c>
      <c r="H63" s="86" t="inlineStr">
        <is>
          <t>HIGHEST</t>
        </is>
      </c>
      <c r="I63" s="66" t="inlineStr">
        <is>
          <t>Mandatory Complier</t>
        </is>
      </c>
      <c r="J63" s="87" t="inlineStr">
        <is>
          <t>https://www.moh.gov.sa/en/</t>
        </is>
      </c>
    </row>
    <row r="64" ht="45" customHeight="1">
      <c r="A64" s="42" t="n">
        <v>63</v>
      </c>
      <c r="B64" s="411" t="inlineStr">
        <is>
          <t>MOH-PS</t>
        </is>
      </c>
      <c r="C64" s="72" t="inlineStr">
        <is>
          <t>Patient Safety Standards</t>
        </is>
      </c>
      <c r="D64" s="413" t="inlineStr">
        <is>
          <t>MDHC</t>
        </is>
      </c>
      <c r="E64" s="70" t="inlineStr">
        <is>
          <t>17. Regional Health Clusters</t>
        </is>
      </c>
      <c r="F64" s="70" t="inlineStr">
        <is>
          <t>2024 update</t>
        </is>
      </c>
      <c r="G64" s="71" t="inlineStr">
        <is>
          <t>72</t>
        </is>
      </c>
      <c r="H64" s="86" t="inlineStr">
        <is>
          <t>HIGHEST</t>
        </is>
      </c>
      <c r="I64" s="66" t="inlineStr">
        <is>
          <t>Mandatory Complier</t>
        </is>
      </c>
      <c r="J64" s="87" t="inlineStr">
        <is>
          <t>https://www.moh.gov.sa/en/</t>
        </is>
      </c>
    </row>
    <row r="65" ht="45" customHeight="1">
      <c r="A65" s="42" t="n">
        <v>64</v>
      </c>
      <c r="B65" s="411" t="inlineStr">
        <is>
          <t>CBAHI-HAS-H</t>
        </is>
      </c>
      <c r="C65" s="72" t="inlineStr">
        <is>
          <t>Hospital Accreditation Standards</t>
        </is>
      </c>
      <c r="D65" s="413" t="inlineStr">
        <is>
          <t>MDHC</t>
        </is>
      </c>
      <c r="E65" s="70" t="inlineStr">
        <is>
          <t>17. Regional Health Clusters</t>
        </is>
      </c>
      <c r="F65" s="70" t="inlineStr">
        <is>
          <t>5th Ed. 2021</t>
        </is>
      </c>
      <c r="G65" s="71" t="inlineStr">
        <is>
          <t>298</t>
        </is>
      </c>
      <c r="H65" s="86" t="inlineStr">
        <is>
          <t>HIGHEST</t>
        </is>
      </c>
      <c r="I65" s="92" t="inlineStr">
        <is>
          <t>Voluntary</t>
        </is>
      </c>
      <c r="J65" s="87" t="inlineStr">
        <is>
          <t>https://www.cbahi.gov.sa/</t>
        </is>
      </c>
    </row>
    <row r="66" ht="45" customHeight="1">
      <c r="A66" s="42" t="n">
        <v>65</v>
      </c>
      <c r="B66" s="411" t="inlineStr">
        <is>
          <t>NCA-ECC-2:2024</t>
        </is>
      </c>
      <c r="C66" s="72" t="inlineStr">
        <is>
          <t>Essential Cybersecurity Controls</t>
        </is>
      </c>
      <c r="D66" s="413" t="inlineStr">
        <is>
          <t>MDHC</t>
        </is>
      </c>
      <c r="E66" s="70" t="inlineStr">
        <is>
          <t>17. Regional Health Clusters</t>
        </is>
      </c>
      <c r="F66" s="70" t="inlineStr">
        <is>
          <t>ECC-2:2024</t>
        </is>
      </c>
      <c r="G66" s="71" t="inlineStr">
        <is>
          <t>108</t>
        </is>
      </c>
      <c r="H66" s="86" t="inlineStr">
        <is>
          <t>HIGHEST</t>
        </is>
      </c>
      <c r="I66" s="66" t="inlineStr">
        <is>
          <t>Mandatory Complier</t>
        </is>
      </c>
      <c r="J66" s="87" t="inlineStr">
        <is>
          <t>https://nca.gov.sa/</t>
        </is>
      </c>
    </row>
    <row r="67" ht="45" customHeight="1">
      <c r="A67" s="42" t="n">
        <v>66</v>
      </c>
      <c r="B67" s="411" t="inlineStr">
        <is>
          <t>PDPL-2021</t>
        </is>
      </c>
      <c r="C67" s="72" t="inlineStr">
        <is>
          <t>Personal Data Protection Law</t>
        </is>
      </c>
      <c r="D67" s="413" t="inlineStr">
        <is>
          <t>MDHC</t>
        </is>
      </c>
      <c r="E67" s="70" t="inlineStr">
        <is>
          <t>17. Regional Health Clusters</t>
        </is>
      </c>
      <c r="F67" s="70" t="inlineStr">
        <is>
          <t>2021+IR 2023</t>
        </is>
      </c>
      <c r="G67" s="71" t="inlineStr">
        <is>
          <t>45</t>
        </is>
      </c>
      <c r="H67" s="86" t="inlineStr">
        <is>
          <t>HIGHEST</t>
        </is>
      </c>
      <c r="I67" s="66" t="inlineStr">
        <is>
          <t>Mandatory Complier</t>
        </is>
      </c>
      <c r="J67" s="87" t="inlineStr">
        <is>
          <t>https://sdaia.gov.sa/</t>
        </is>
      </c>
    </row>
    <row r="68" ht="45" customHeight="1">
      <c r="A68" s="42" t="n">
        <v>67</v>
      </c>
      <c r="B68" s="411" t="inlineStr">
        <is>
          <t>NHIC-NABIDH</t>
        </is>
      </c>
      <c r="C68" s="72" t="inlineStr">
        <is>
          <t>NABIDH EHR Platform Standard</t>
        </is>
      </c>
      <c r="D68" s="413" t="inlineStr">
        <is>
          <t>MDHC</t>
        </is>
      </c>
      <c r="E68" s="70" t="inlineStr">
        <is>
          <t>17. Regional Health Clusters</t>
        </is>
      </c>
      <c r="F68" s="70" t="inlineStr">
        <is>
          <t>Mandatory 2024</t>
        </is>
      </c>
      <c r="G68" s="71" t="inlineStr">
        <is>
          <t>40</t>
        </is>
      </c>
      <c r="H68" s="86" t="inlineStr">
        <is>
          <t>HIGHEST</t>
        </is>
      </c>
      <c r="I68" s="66" t="inlineStr">
        <is>
          <t>Mandatory Complier</t>
        </is>
      </c>
      <c r="J68" s="87" t="inlineStr">
        <is>
          <t>https://nhic.gov.sa/</t>
        </is>
      </c>
    </row>
    <row r="69" ht="45" customHeight="1">
      <c r="A69" s="42" t="n">
        <v>68</v>
      </c>
      <c r="B69" s="411" t="inlineStr">
        <is>
          <t>NCA-OTCC</t>
        </is>
      </c>
      <c r="C69" s="72" t="inlineStr">
        <is>
          <t>OT Cybersecurity Controls</t>
        </is>
      </c>
      <c r="D69" s="413" t="inlineStr">
        <is>
          <t>MDHC</t>
        </is>
      </c>
      <c r="E69" s="70" t="inlineStr">
        <is>
          <t>17. Regional Health Clusters</t>
        </is>
      </c>
      <c r="F69" s="70" t="inlineStr">
        <is>
          <t>OTCC-1:2022</t>
        </is>
      </c>
      <c r="G69" s="71" t="inlineStr">
        <is>
          <t>53</t>
        </is>
      </c>
      <c r="H69" s="86" t="inlineStr">
        <is>
          <t>HIGHEST</t>
        </is>
      </c>
      <c r="I69" s="66" t="inlineStr">
        <is>
          <t>Mandatory Complier</t>
        </is>
      </c>
      <c r="J69" s="87" t="inlineStr">
        <is>
          <t>https://nca.gov.sa/</t>
        </is>
      </c>
    </row>
    <row r="70" ht="45" customHeight="1">
      <c r="A70" s="42" t="n">
        <v>69</v>
      </c>
      <c r="B70" s="411" t="inlineStr">
        <is>
          <t>MOH-HIS</t>
        </is>
      </c>
      <c r="C70" s="72" t="inlineStr">
        <is>
          <t>Health Information System Standards</t>
        </is>
      </c>
      <c r="D70" s="413" t="inlineStr">
        <is>
          <t>EKHC</t>
        </is>
      </c>
      <c r="E70" s="70" t="inlineStr">
        <is>
          <t>17. Regional Health Clusters</t>
        </is>
      </c>
      <c r="F70" s="70" t="inlineStr">
        <is>
          <t>2024 update</t>
        </is>
      </c>
      <c r="G70" s="71" t="inlineStr">
        <is>
          <t>112</t>
        </is>
      </c>
      <c r="H70" s="86" t="inlineStr">
        <is>
          <t>HIGHEST</t>
        </is>
      </c>
      <c r="I70" s="66" t="inlineStr">
        <is>
          <t>Mandatory Complier</t>
        </is>
      </c>
      <c r="J70" s="87" t="inlineStr">
        <is>
          <t>https://www.moh.gov.sa/en/</t>
        </is>
      </c>
    </row>
    <row r="71" ht="45" customHeight="1">
      <c r="A71" s="42" t="n">
        <v>70</v>
      </c>
      <c r="B71" s="411" t="inlineStr">
        <is>
          <t>MOH-EMR-NABIDH</t>
        </is>
      </c>
      <c r="C71" s="72" t="inlineStr">
        <is>
          <t>EMR Standards / NABIDH</t>
        </is>
      </c>
      <c r="D71" s="413" t="inlineStr">
        <is>
          <t>EKHC</t>
        </is>
      </c>
      <c r="E71" s="70" t="inlineStr">
        <is>
          <t>17. Regional Health Clusters</t>
        </is>
      </c>
      <c r="F71" s="70" t="inlineStr">
        <is>
          <t>Mandatory 2024</t>
        </is>
      </c>
      <c r="G71" s="71" t="inlineStr">
        <is>
          <t>52</t>
        </is>
      </c>
      <c r="H71" s="86" t="inlineStr">
        <is>
          <t>HIGHEST</t>
        </is>
      </c>
      <c r="I71" s="66" t="inlineStr">
        <is>
          <t>Mandatory Complier</t>
        </is>
      </c>
      <c r="J71" s="87" t="inlineStr">
        <is>
          <t>https://www.moh.gov.sa/en/</t>
        </is>
      </c>
    </row>
    <row r="72" ht="45" customHeight="1">
      <c r="A72" s="42" t="n">
        <v>71</v>
      </c>
      <c r="B72" s="411" t="inlineStr">
        <is>
          <t>MOH-PS</t>
        </is>
      </c>
      <c r="C72" s="72" t="inlineStr">
        <is>
          <t>Patient Safety Standards</t>
        </is>
      </c>
      <c r="D72" s="413" t="inlineStr">
        <is>
          <t>EKHC</t>
        </is>
      </c>
      <c r="E72" s="70" t="inlineStr">
        <is>
          <t>17. Regional Health Clusters</t>
        </is>
      </c>
      <c r="F72" s="70" t="inlineStr">
        <is>
          <t>2024 update</t>
        </is>
      </c>
      <c r="G72" s="71" t="inlineStr">
        <is>
          <t>72</t>
        </is>
      </c>
      <c r="H72" s="86" t="inlineStr">
        <is>
          <t>HIGHEST</t>
        </is>
      </c>
      <c r="I72" s="66" t="inlineStr">
        <is>
          <t>Mandatory Complier</t>
        </is>
      </c>
      <c r="J72" s="87" t="inlineStr">
        <is>
          <t>https://www.moh.gov.sa/en/</t>
        </is>
      </c>
    </row>
    <row r="73" ht="45" customHeight="1">
      <c r="A73" s="42" t="n">
        <v>72</v>
      </c>
      <c r="B73" s="411" t="inlineStr">
        <is>
          <t>CBAHI-HAS-H</t>
        </is>
      </c>
      <c r="C73" s="72" t="inlineStr">
        <is>
          <t>Hospital Accreditation Standards</t>
        </is>
      </c>
      <c r="D73" s="413" t="inlineStr">
        <is>
          <t>EKHC</t>
        </is>
      </c>
      <c r="E73" s="70" t="inlineStr">
        <is>
          <t>17. Regional Health Clusters</t>
        </is>
      </c>
      <c r="F73" s="70" t="inlineStr">
        <is>
          <t>5th Ed. 2021</t>
        </is>
      </c>
      <c r="G73" s="71" t="inlineStr">
        <is>
          <t>298</t>
        </is>
      </c>
      <c r="H73" s="86" t="inlineStr">
        <is>
          <t>HIGHEST</t>
        </is>
      </c>
      <c r="I73" s="92" t="inlineStr">
        <is>
          <t>Voluntary</t>
        </is>
      </c>
      <c r="J73" s="87" t="inlineStr">
        <is>
          <t>https://www.cbahi.gov.sa/</t>
        </is>
      </c>
    </row>
    <row r="74" ht="45" customHeight="1">
      <c r="A74" s="42" t="n">
        <v>73</v>
      </c>
      <c r="B74" s="411" t="inlineStr">
        <is>
          <t>NCA-ECC-2:2024</t>
        </is>
      </c>
      <c r="C74" s="72" t="inlineStr">
        <is>
          <t>Essential Cybersecurity Controls</t>
        </is>
      </c>
      <c r="D74" s="413" t="inlineStr">
        <is>
          <t>EKHC</t>
        </is>
      </c>
      <c r="E74" s="70" t="inlineStr">
        <is>
          <t>17. Regional Health Clusters</t>
        </is>
      </c>
      <c r="F74" s="70" t="inlineStr">
        <is>
          <t>ECC-2:2024</t>
        </is>
      </c>
      <c r="G74" s="71" t="inlineStr">
        <is>
          <t>108</t>
        </is>
      </c>
      <c r="H74" s="86" t="inlineStr">
        <is>
          <t>HIGHEST</t>
        </is>
      </c>
      <c r="I74" s="66" t="inlineStr">
        <is>
          <t>Mandatory Complier</t>
        </is>
      </c>
      <c r="J74" s="87" t="inlineStr">
        <is>
          <t>https://nca.gov.sa/</t>
        </is>
      </c>
    </row>
    <row r="75" ht="45" customHeight="1">
      <c r="A75" s="42" t="n">
        <v>74</v>
      </c>
      <c r="B75" s="411" t="inlineStr">
        <is>
          <t>PDPL-2021</t>
        </is>
      </c>
      <c r="C75" s="72" t="inlineStr">
        <is>
          <t>Personal Data Protection Law</t>
        </is>
      </c>
      <c r="D75" s="413" t="inlineStr">
        <is>
          <t>EKHC</t>
        </is>
      </c>
      <c r="E75" s="70" t="inlineStr">
        <is>
          <t>17. Regional Health Clusters</t>
        </is>
      </c>
      <c r="F75" s="70" t="inlineStr">
        <is>
          <t>2021+IR 2023</t>
        </is>
      </c>
      <c r="G75" s="71" t="inlineStr">
        <is>
          <t>45</t>
        </is>
      </c>
      <c r="H75" s="86" t="inlineStr">
        <is>
          <t>HIGHEST</t>
        </is>
      </c>
      <c r="I75" s="66" t="inlineStr">
        <is>
          <t>Mandatory Complier</t>
        </is>
      </c>
      <c r="J75" s="87" t="inlineStr">
        <is>
          <t>https://sdaia.gov.sa/</t>
        </is>
      </c>
    </row>
    <row r="76" ht="45" customHeight="1">
      <c r="A76" s="42" t="n">
        <v>75</v>
      </c>
      <c r="B76" s="411" t="inlineStr">
        <is>
          <t>NHIC-NABIDH</t>
        </is>
      </c>
      <c r="C76" s="72" t="inlineStr">
        <is>
          <t>NABIDH EHR Platform Standard</t>
        </is>
      </c>
      <c r="D76" s="413" t="inlineStr">
        <is>
          <t>EKHC</t>
        </is>
      </c>
      <c r="E76" s="70" t="inlineStr">
        <is>
          <t>17. Regional Health Clusters</t>
        </is>
      </c>
      <c r="F76" s="70" t="inlineStr">
        <is>
          <t>Mandatory 2024</t>
        </is>
      </c>
      <c r="G76" s="71" t="inlineStr">
        <is>
          <t>40</t>
        </is>
      </c>
      <c r="H76" s="86" t="inlineStr">
        <is>
          <t>HIGHEST</t>
        </is>
      </c>
      <c r="I76" s="66" t="inlineStr">
        <is>
          <t>Mandatory Complier</t>
        </is>
      </c>
      <c r="J76" s="87" t="inlineStr">
        <is>
          <t>https://nhic.gov.sa/</t>
        </is>
      </c>
    </row>
    <row r="77" ht="45" customHeight="1">
      <c r="A77" s="42" t="n">
        <v>76</v>
      </c>
      <c r="B77" s="411" t="inlineStr">
        <is>
          <t>NCA-OTCC</t>
        </is>
      </c>
      <c r="C77" s="72" t="inlineStr">
        <is>
          <t>OT Cybersecurity Controls</t>
        </is>
      </c>
      <c r="D77" s="413" t="inlineStr">
        <is>
          <t>EKHC</t>
        </is>
      </c>
      <c r="E77" s="70" t="inlineStr">
        <is>
          <t>17. Regional Health Clusters</t>
        </is>
      </c>
      <c r="F77" s="70" t="inlineStr">
        <is>
          <t>OTCC-1:2022</t>
        </is>
      </c>
      <c r="G77" s="71" t="inlineStr">
        <is>
          <t>53</t>
        </is>
      </c>
      <c r="H77" s="86" t="inlineStr">
        <is>
          <t>HIGHEST</t>
        </is>
      </c>
      <c r="I77" s="66" t="inlineStr">
        <is>
          <t>Mandatory Complier</t>
        </is>
      </c>
      <c r="J77" s="87" t="inlineStr">
        <is>
          <t>https://nca.gov.sa/</t>
        </is>
      </c>
    </row>
    <row r="78" ht="45" customHeight="1">
      <c r="A78" s="42" t="n">
        <v>77</v>
      </c>
      <c r="B78" s="411" t="inlineStr">
        <is>
          <t>MOH-HIS</t>
        </is>
      </c>
      <c r="C78" s="72" t="inlineStr">
        <is>
          <t>Health Information System Standards</t>
        </is>
      </c>
      <c r="D78" s="413" t="inlineStr">
        <is>
          <t>AZHC</t>
        </is>
      </c>
      <c r="E78" s="70" t="inlineStr">
        <is>
          <t>17. Regional Health Clusters</t>
        </is>
      </c>
      <c r="F78" s="70" t="inlineStr">
        <is>
          <t>2024 update</t>
        </is>
      </c>
      <c r="G78" s="71" t="inlineStr">
        <is>
          <t>112</t>
        </is>
      </c>
      <c r="H78" s="86" t="inlineStr">
        <is>
          <t>HIGHEST</t>
        </is>
      </c>
      <c r="I78" s="66" t="inlineStr">
        <is>
          <t>Mandatory Complier</t>
        </is>
      </c>
      <c r="J78" s="87" t="inlineStr">
        <is>
          <t>https://www.moh.gov.sa/en/</t>
        </is>
      </c>
    </row>
    <row r="79" ht="45" customHeight="1">
      <c r="A79" s="42" t="n">
        <v>78</v>
      </c>
      <c r="B79" s="411" t="inlineStr">
        <is>
          <t>MOH-EMR-NABIDH</t>
        </is>
      </c>
      <c r="C79" s="72" t="inlineStr">
        <is>
          <t>EMR Standards / NABIDH</t>
        </is>
      </c>
      <c r="D79" s="413" t="inlineStr">
        <is>
          <t>AZHC</t>
        </is>
      </c>
      <c r="E79" s="70" t="inlineStr">
        <is>
          <t>17. Regional Health Clusters</t>
        </is>
      </c>
      <c r="F79" s="70" t="inlineStr">
        <is>
          <t>Mandatory 2024</t>
        </is>
      </c>
      <c r="G79" s="71" t="inlineStr">
        <is>
          <t>52</t>
        </is>
      </c>
      <c r="H79" s="86" t="inlineStr">
        <is>
          <t>HIGHEST</t>
        </is>
      </c>
      <c r="I79" s="66" t="inlineStr">
        <is>
          <t>Mandatory Complier</t>
        </is>
      </c>
      <c r="J79" s="87" t="inlineStr">
        <is>
          <t>https://www.moh.gov.sa/en/</t>
        </is>
      </c>
    </row>
    <row r="80" ht="45" customHeight="1">
      <c r="A80" s="42" t="n">
        <v>79</v>
      </c>
      <c r="B80" s="411" t="inlineStr">
        <is>
          <t>MOH-PS</t>
        </is>
      </c>
      <c r="C80" s="72" t="inlineStr">
        <is>
          <t>Patient Safety Standards</t>
        </is>
      </c>
      <c r="D80" s="413" t="inlineStr">
        <is>
          <t>AZHC</t>
        </is>
      </c>
      <c r="E80" s="70" t="inlineStr">
        <is>
          <t>17. Regional Health Clusters</t>
        </is>
      </c>
      <c r="F80" s="70" t="inlineStr">
        <is>
          <t>2024 update</t>
        </is>
      </c>
      <c r="G80" s="71" t="inlineStr">
        <is>
          <t>72</t>
        </is>
      </c>
      <c r="H80" s="86" t="inlineStr">
        <is>
          <t>HIGHEST</t>
        </is>
      </c>
      <c r="I80" s="66" t="inlineStr">
        <is>
          <t>Mandatory Complier</t>
        </is>
      </c>
      <c r="J80" s="87" t="inlineStr">
        <is>
          <t>https://www.moh.gov.sa/en/</t>
        </is>
      </c>
    </row>
    <row r="81" ht="45" customHeight="1">
      <c r="A81" s="42" t="n">
        <v>80</v>
      </c>
      <c r="B81" s="411" t="inlineStr">
        <is>
          <t>CBAHI-HAS-H</t>
        </is>
      </c>
      <c r="C81" s="72" t="inlineStr">
        <is>
          <t>Hospital Accreditation Standards</t>
        </is>
      </c>
      <c r="D81" s="413" t="inlineStr">
        <is>
          <t>AZHC</t>
        </is>
      </c>
      <c r="E81" s="70" t="inlineStr">
        <is>
          <t>17. Regional Health Clusters</t>
        </is>
      </c>
      <c r="F81" s="70" t="inlineStr">
        <is>
          <t>5th Ed. 2021</t>
        </is>
      </c>
      <c r="G81" s="71" t="inlineStr">
        <is>
          <t>298</t>
        </is>
      </c>
      <c r="H81" s="86" t="inlineStr">
        <is>
          <t>HIGHEST</t>
        </is>
      </c>
      <c r="I81" s="92" t="inlineStr">
        <is>
          <t>Voluntary</t>
        </is>
      </c>
      <c r="J81" s="87" t="inlineStr">
        <is>
          <t>https://www.cbahi.gov.sa/</t>
        </is>
      </c>
    </row>
    <row r="82" ht="45" customHeight="1">
      <c r="A82" s="42" t="n">
        <v>81</v>
      </c>
      <c r="B82" s="411" t="inlineStr">
        <is>
          <t>NCA-ECC-2:2024</t>
        </is>
      </c>
      <c r="C82" s="72" t="inlineStr">
        <is>
          <t>Essential Cybersecurity Controls</t>
        </is>
      </c>
      <c r="D82" s="413" t="inlineStr">
        <is>
          <t>AZHC</t>
        </is>
      </c>
      <c r="E82" s="70" t="inlineStr">
        <is>
          <t>17. Regional Health Clusters</t>
        </is>
      </c>
      <c r="F82" s="70" t="inlineStr">
        <is>
          <t>ECC-2:2024</t>
        </is>
      </c>
      <c r="G82" s="71" t="inlineStr">
        <is>
          <t>108</t>
        </is>
      </c>
      <c r="H82" s="86" t="inlineStr">
        <is>
          <t>HIGHEST</t>
        </is>
      </c>
      <c r="I82" s="66" t="inlineStr">
        <is>
          <t>Mandatory Complier</t>
        </is>
      </c>
      <c r="J82" s="87" t="inlineStr">
        <is>
          <t>https://nca.gov.sa/</t>
        </is>
      </c>
    </row>
    <row r="83" ht="45" customHeight="1">
      <c r="A83" s="42" t="n">
        <v>82</v>
      </c>
      <c r="B83" s="411" t="inlineStr">
        <is>
          <t>PDPL-2021</t>
        </is>
      </c>
      <c r="C83" s="72" t="inlineStr">
        <is>
          <t>Personal Data Protection Law</t>
        </is>
      </c>
      <c r="D83" s="413" t="inlineStr">
        <is>
          <t>AZHC</t>
        </is>
      </c>
      <c r="E83" s="70" t="inlineStr">
        <is>
          <t>17. Regional Health Clusters</t>
        </is>
      </c>
      <c r="F83" s="70" t="inlineStr">
        <is>
          <t>2021+IR 2023</t>
        </is>
      </c>
      <c r="G83" s="71" t="inlineStr">
        <is>
          <t>45</t>
        </is>
      </c>
      <c r="H83" s="86" t="inlineStr">
        <is>
          <t>HIGHEST</t>
        </is>
      </c>
      <c r="I83" s="66" t="inlineStr">
        <is>
          <t>Mandatory Complier</t>
        </is>
      </c>
      <c r="J83" s="87" t="inlineStr">
        <is>
          <t>https://sdaia.gov.sa/</t>
        </is>
      </c>
    </row>
    <row r="84" ht="45" customHeight="1">
      <c r="A84" s="42" t="n">
        <v>83</v>
      </c>
      <c r="B84" s="411" t="inlineStr">
        <is>
          <t>NHIC-NABIDH</t>
        </is>
      </c>
      <c r="C84" s="72" t="inlineStr">
        <is>
          <t>NABIDH EHR Platform Standard</t>
        </is>
      </c>
      <c r="D84" s="413" t="inlineStr">
        <is>
          <t>AZHC</t>
        </is>
      </c>
      <c r="E84" s="70" t="inlineStr">
        <is>
          <t>17. Regional Health Clusters</t>
        </is>
      </c>
      <c r="F84" s="70" t="inlineStr">
        <is>
          <t>Mandatory 2024</t>
        </is>
      </c>
      <c r="G84" s="71" t="inlineStr">
        <is>
          <t>40</t>
        </is>
      </c>
      <c r="H84" s="86" t="inlineStr">
        <is>
          <t>HIGHEST</t>
        </is>
      </c>
      <c r="I84" s="66" t="inlineStr">
        <is>
          <t>Mandatory Complier</t>
        </is>
      </c>
      <c r="J84" s="87" t="inlineStr">
        <is>
          <t>https://nhic.gov.sa/</t>
        </is>
      </c>
    </row>
    <row r="85" ht="45" customHeight="1">
      <c r="A85" s="42" t="n">
        <v>84</v>
      </c>
      <c r="B85" s="411" t="inlineStr">
        <is>
          <t>NCA-OTCC</t>
        </is>
      </c>
      <c r="C85" s="72" t="inlineStr">
        <is>
          <t>OT Cybersecurity Controls</t>
        </is>
      </c>
      <c r="D85" s="413" t="inlineStr">
        <is>
          <t>AZHC</t>
        </is>
      </c>
      <c r="E85" s="70" t="inlineStr">
        <is>
          <t>17. Regional Health Clusters</t>
        </is>
      </c>
      <c r="F85" s="70" t="inlineStr">
        <is>
          <t>OTCC-1:2022</t>
        </is>
      </c>
      <c r="G85" s="71" t="inlineStr">
        <is>
          <t>53</t>
        </is>
      </c>
      <c r="H85" s="86" t="inlineStr">
        <is>
          <t>HIGHEST</t>
        </is>
      </c>
      <c r="I85" s="66" t="inlineStr">
        <is>
          <t>Mandatory Complier</t>
        </is>
      </c>
      <c r="J85" s="87" t="inlineStr">
        <is>
          <t>https://nca.gov.sa/</t>
        </is>
      </c>
    </row>
    <row r="86" ht="45" customHeight="1">
      <c r="A86" s="42" t="n">
        <v>85</v>
      </c>
      <c r="B86" s="411" t="inlineStr">
        <is>
          <t>MOH-HIS</t>
        </is>
      </c>
      <c r="C86" s="72" t="inlineStr">
        <is>
          <t>Health Information System Standards</t>
        </is>
      </c>
      <c r="D86" s="413" t="inlineStr">
        <is>
          <t>JZHC</t>
        </is>
      </c>
      <c r="E86" s="70" t="inlineStr">
        <is>
          <t>17. Regional Health Clusters</t>
        </is>
      </c>
      <c r="F86" s="70" t="inlineStr">
        <is>
          <t>2024 update</t>
        </is>
      </c>
      <c r="G86" s="71" t="inlineStr">
        <is>
          <t>112</t>
        </is>
      </c>
      <c r="H86" s="86" t="inlineStr">
        <is>
          <t>HIGHEST</t>
        </is>
      </c>
      <c r="I86" s="66" t="inlineStr">
        <is>
          <t>Mandatory Complier</t>
        </is>
      </c>
      <c r="J86" s="87" t="inlineStr">
        <is>
          <t>https://www.moh.gov.sa/en/</t>
        </is>
      </c>
    </row>
    <row r="87" ht="45" customHeight="1">
      <c r="A87" s="42" t="n">
        <v>86</v>
      </c>
      <c r="B87" s="411" t="inlineStr">
        <is>
          <t>MOH-EMR-NABIDH</t>
        </is>
      </c>
      <c r="C87" s="72" t="inlineStr">
        <is>
          <t>EMR Standards / NABIDH</t>
        </is>
      </c>
      <c r="D87" s="413" t="inlineStr">
        <is>
          <t>JZHC</t>
        </is>
      </c>
      <c r="E87" s="70" t="inlineStr">
        <is>
          <t>17. Regional Health Clusters</t>
        </is>
      </c>
      <c r="F87" s="70" t="inlineStr">
        <is>
          <t>Mandatory 2024</t>
        </is>
      </c>
      <c r="G87" s="71" t="inlineStr">
        <is>
          <t>52</t>
        </is>
      </c>
      <c r="H87" s="86" t="inlineStr">
        <is>
          <t>HIGHEST</t>
        </is>
      </c>
      <c r="I87" s="66" t="inlineStr">
        <is>
          <t>Mandatory Complier</t>
        </is>
      </c>
      <c r="J87" s="87" t="inlineStr">
        <is>
          <t>https://www.moh.gov.sa/en/</t>
        </is>
      </c>
    </row>
    <row r="88" ht="45" customHeight="1">
      <c r="A88" s="42" t="n">
        <v>87</v>
      </c>
      <c r="B88" s="411" t="inlineStr">
        <is>
          <t>MOH-PS</t>
        </is>
      </c>
      <c r="C88" s="72" t="inlineStr">
        <is>
          <t>Patient Safety Standards</t>
        </is>
      </c>
      <c r="D88" s="413" t="inlineStr">
        <is>
          <t>JZHC</t>
        </is>
      </c>
      <c r="E88" s="70" t="inlineStr">
        <is>
          <t>17. Regional Health Clusters</t>
        </is>
      </c>
      <c r="F88" s="70" t="inlineStr">
        <is>
          <t>2024 update</t>
        </is>
      </c>
      <c r="G88" s="71" t="inlineStr">
        <is>
          <t>72</t>
        </is>
      </c>
      <c r="H88" s="86" t="inlineStr">
        <is>
          <t>HIGHEST</t>
        </is>
      </c>
      <c r="I88" s="66" t="inlineStr">
        <is>
          <t>Mandatory Complier</t>
        </is>
      </c>
      <c r="J88" s="87" t="inlineStr">
        <is>
          <t>https://www.moh.gov.sa/en/</t>
        </is>
      </c>
    </row>
    <row r="89" ht="45" customHeight="1">
      <c r="A89" s="42" t="n">
        <v>88</v>
      </c>
      <c r="B89" s="411" t="inlineStr">
        <is>
          <t>CBAHI-HAS-H</t>
        </is>
      </c>
      <c r="C89" s="72" t="inlineStr">
        <is>
          <t>Hospital Accreditation Standards</t>
        </is>
      </c>
      <c r="D89" s="413" t="inlineStr">
        <is>
          <t>JZHC</t>
        </is>
      </c>
      <c r="E89" s="70" t="inlineStr">
        <is>
          <t>17. Regional Health Clusters</t>
        </is>
      </c>
      <c r="F89" s="70" t="inlineStr">
        <is>
          <t>5th Ed. 2021</t>
        </is>
      </c>
      <c r="G89" s="71" t="inlineStr">
        <is>
          <t>298</t>
        </is>
      </c>
      <c r="H89" s="86" t="inlineStr">
        <is>
          <t>HIGHEST</t>
        </is>
      </c>
      <c r="I89" s="92" t="inlineStr">
        <is>
          <t>Voluntary</t>
        </is>
      </c>
      <c r="J89" s="87" t="inlineStr">
        <is>
          <t>https://www.cbahi.gov.sa/</t>
        </is>
      </c>
    </row>
    <row r="90" ht="45" customHeight="1">
      <c r="A90" s="42" t="n">
        <v>89</v>
      </c>
      <c r="B90" s="411" t="inlineStr">
        <is>
          <t>NCA-ECC-2:2024</t>
        </is>
      </c>
      <c r="C90" s="72" t="inlineStr">
        <is>
          <t>Essential Cybersecurity Controls</t>
        </is>
      </c>
      <c r="D90" s="413" t="inlineStr">
        <is>
          <t>JZHC</t>
        </is>
      </c>
      <c r="E90" s="70" t="inlineStr">
        <is>
          <t>17. Regional Health Clusters</t>
        </is>
      </c>
      <c r="F90" s="70" t="inlineStr">
        <is>
          <t>ECC-2:2024</t>
        </is>
      </c>
      <c r="G90" s="71" t="inlineStr">
        <is>
          <t>108</t>
        </is>
      </c>
      <c r="H90" s="86" t="inlineStr">
        <is>
          <t>HIGHEST</t>
        </is>
      </c>
      <c r="I90" s="66" t="inlineStr">
        <is>
          <t>Mandatory Complier</t>
        </is>
      </c>
      <c r="J90" s="87" t="inlineStr">
        <is>
          <t>https://nca.gov.sa/</t>
        </is>
      </c>
    </row>
    <row r="91" ht="45" customHeight="1">
      <c r="A91" s="42" t="n">
        <v>90</v>
      </c>
      <c r="B91" s="411" t="inlineStr">
        <is>
          <t>PDPL-2021</t>
        </is>
      </c>
      <c r="C91" s="72" t="inlineStr">
        <is>
          <t>Personal Data Protection Law</t>
        </is>
      </c>
      <c r="D91" s="413" t="inlineStr">
        <is>
          <t>JZHC</t>
        </is>
      </c>
      <c r="E91" s="70" t="inlineStr">
        <is>
          <t>17. Regional Health Clusters</t>
        </is>
      </c>
      <c r="F91" s="70" t="inlineStr">
        <is>
          <t>2021+IR 2023</t>
        </is>
      </c>
      <c r="G91" s="71" t="inlineStr">
        <is>
          <t>45</t>
        </is>
      </c>
      <c r="H91" s="86" t="inlineStr">
        <is>
          <t>HIGHEST</t>
        </is>
      </c>
      <c r="I91" s="66" t="inlineStr">
        <is>
          <t>Mandatory Complier</t>
        </is>
      </c>
      <c r="J91" s="87" t="inlineStr">
        <is>
          <t>https://sdaia.gov.sa/</t>
        </is>
      </c>
    </row>
    <row r="92" ht="45" customHeight="1">
      <c r="A92" s="42" t="n">
        <v>91</v>
      </c>
      <c r="B92" s="411" t="inlineStr">
        <is>
          <t>NHIC-NABIDH</t>
        </is>
      </c>
      <c r="C92" s="72" t="inlineStr">
        <is>
          <t>NABIDH EHR Platform Standard</t>
        </is>
      </c>
      <c r="D92" s="413" t="inlineStr">
        <is>
          <t>JZHC</t>
        </is>
      </c>
      <c r="E92" s="70" t="inlineStr">
        <is>
          <t>17. Regional Health Clusters</t>
        </is>
      </c>
      <c r="F92" s="70" t="inlineStr">
        <is>
          <t>Mandatory 2024</t>
        </is>
      </c>
      <c r="G92" s="71" t="inlineStr">
        <is>
          <t>40</t>
        </is>
      </c>
      <c r="H92" s="86" t="inlineStr">
        <is>
          <t>HIGHEST</t>
        </is>
      </c>
      <c r="I92" s="66" t="inlineStr">
        <is>
          <t>Mandatory Complier</t>
        </is>
      </c>
      <c r="J92" s="87" t="inlineStr">
        <is>
          <t>https://nhic.gov.sa/</t>
        </is>
      </c>
    </row>
    <row r="93" ht="45" customHeight="1">
      <c r="A93" s="42" t="n">
        <v>92</v>
      </c>
      <c r="B93" s="411" t="inlineStr">
        <is>
          <t>NCA-OTCC</t>
        </is>
      </c>
      <c r="C93" s="72" t="inlineStr">
        <is>
          <t>OT Cybersecurity Controls</t>
        </is>
      </c>
      <c r="D93" s="413" t="inlineStr">
        <is>
          <t>JZHC</t>
        </is>
      </c>
      <c r="E93" s="70" t="inlineStr">
        <is>
          <t>17. Regional Health Clusters</t>
        </is>
      </c>
      <c r="F93" s="70" t="inlineStr">
        <is>
          <t>OTCC-1:2022</t>
        </is>
      </c>
      <c r="G93" s="71" t="inlineStr">
        <is>
          <t>53</t>
        </is>
      </c>
      <c r="H93" s="86" t="inlineStr">
        <is>
          <t>HIGHEST</t>
        </is>
      </c>
      <c r="I93" s="66" t="inlineStr">
        <is>
          <t>Mandatory Complier</t>
        </is>
      </c>
      <c r="J93" s="87" t="inlineStr">
        <is>
          <t>https://nca.gov.sa/</t>
        </is>
      </c>
    </row>
    <row r="94" ht="45" customHeight="1">
      <c r="A94" s="42" t="n">
        <v>93</v>
      </c>
      <c r="B94" s="411" t="inlineStr">
        <is>
          <t>MOH-HIS</t>
        </is>
      </c>
      <c r="C94" s="72" t="inlineStr">
        <is>
          <t>Health Information System Standards</t>
        </is>
      </c>
      <c r="D94" s="413" t="inlineStr">
        <is>
          <t>TBHC</t>
        </is>
      </c>
      <c r="E94" s="70" t="inlineStr">
        <is>
          <t>17. Regional Health Clusters</t>
        </is>
      </c>
      <c r="F94" s="70" t="inlineStr">
        <is>
          <t>2024 update</t>
        </is>
      </c>
      <c r="G94" s="71" t="inlineStr">
        <is>
          <t>112</t>
        </is>
      </c>
      <c r="H94" s="86" t="inlineStr">
        <is>
          <t>HIGHEST</t>
        </is>
      </c>
      <c r="I94" s="66" t="inlineStr">
        <is>
          <t>Mandatory Complier</t>
        </is>
      </c>
      <c r="J94" s="87" t="inlineStr">
        <is>
          <t>https://www.moh.gov.sa/en/</t>
        </is>
      </c>
    </row>
    <row r="95" ht="45" customHeight="1">
      <c r="A95" s="42" t="n">
        <v>94</v>
      </c>
      <c r="B95" s="411" t="inlineStr">
        <is>
          <t>MOH-EMR-NABIDH</t>
        </is>
      </c>
      <c r="C95" s="72" t="inlineStr">
        <is>
          <t>EMR Standards / NABIDH</t>
        </is>
      </c>
      <c r="D95" s="413" t="inlineStr">
        <is>
          <t>TBHC</t>
        </is>
      </c>
      <c r="E95" s="70" t="inlineStr">
        <is>
          <t>17. Regional Health Clusters</t>
        </is>
      </c>
      <c r="F95" s="70" t="inlineStr">
        <is>
          <t>Mandatory 2024</t>
        </is>
      </c>
      <c r="G95" s="71" t="inlineStr">
        <is>
          <t>52</t>
        </is>
      </c>
      <c r="H95" s="86" t="inlineStr">
        <is>
          <t>HIGHEST</t>
        </is>
      </c>
      <c r="I95" s="66" t="inlineStr">
        <is>
          <t>Mandatory Complier</t>
        </is>
      </c>
      <c r="J95" s="87" t="inlineStr">
        <is>
          <t>https://www.moh.gov.sa/en/</t>
        </is>
      </c>
    </row>
    <row r="96" ht="45" customHeight="1">
      <c r="A96" s="42" t="n">
        <v>95</v>
      </c>
      <c r="B96" s="411" t="inlineStr">
        <is>
          <t>MOH-PS</t>
        </is>
      </c>
      <c r="C96" s="72" t="inlineStr">
        <is>
          <t>Patient Safety Standards</t>
        </is>
      </c>
      <c r="D96" s="413" t="inlineStr">
        <is>
          <t>TBHC</t>
        </is>
      </c>
      <c r="E96" s="70" t="inlineStr">
        <is>
          <t>17. Regional Health Clusters</t>
        </is>
      </c>
      <c r="F96" s="70" t="inlineStr">
        <is>
          <t>2024 update</t>
        </is>
      </c>
      <c r="G96" s="71" t="inlineStr">
        <is>
          <t>72</t>
        </is>
      </c>
      <c r="H96" s="86" t="inlineStr">
        <is>
          <t>HIGHEST</t>
        </is>
      </c>
      <c r="I96" s="66" t="inlineStr">
        <is>
          <t>Mandatory Complier</t>
        </is>
      </c>
      <c r="J96" s="87" t="inlineStr">
        <is>
          <t>https://www.moh.gov.sa/en/</t>
        </is>
      </c>
    </row>
    <row r="97" ht="45" customHeight="1">
      <c r="A97" s="42" t="n">
        <v>96</v>
      </c>
      <c r="B97" s="411" t="inlineStr">
        <is>
          <t>CBAHI-HAS-H</t>
        </is>
      </c>
      <c r="C97" s="72" t="inlineStr">
        <is>
          <t>Hospital Accreditation Standards</t>
        </is>
      </c>
      <c r="D97" s="413" t="inlineStr">
        <is>
          <t>TBHC</t>
        </is>
      </c>
      <c r="E97" s="70" t="inlineStr">
        <is>
          <t>17. Regional Health Clusters</t>
        </is>
      </c>
      <c r="F97" s="70" t="inlineStr">
        <is>
          <t>5th Ed. 2021</t>
        </is>
      </c>
      <c r="G97" s="71" t="inlineStr">
        <is>
          <t>298</t>
        </is>
      </c>
      <c r="H97" s="86" t="inlineStr">
        <is>
          <t>HIGHEST</t>
        </is>
      </c>
      <c r="I97" s="92" t="inlineStr">
        <is>
          <t>Voluntary</t>
        </is>
      </c>
      <c r="J97" s="87" t="inlineStr">
        <is>
          <t>https://www.cbahi.gov.sa/</t>
        </is>
      </c>
    </row>
    <row r="98" ht="45" customHeight="1">
      <c r="A98" s="42" t="n">
        <v>97</v>
      </c>
      <c r="B98" s="411" t="inlineStr">
        <is>
          <t>NCA-ECC-2:2024</t>
        </is>
      </c>
      <c r="C98" s="72" t="inlineStr">
        <is>
          <t>Essential Cybersecurity Controls</t>
        </is>
      </c>
      <c r="D98" s="413" t="inlineStr">
        <is>
          <t>TBHC</t>
        </is>
      </c>
      <c r="E98" s="70" t="inlineStr">
        <is>
          <t>17. Regional Health Clusters</t>
        </is>
      </c>
      <c r="F98" s="70" t="inlineStr">
        <is>
          <t>ECC-2:2024</t>
        </is>
      </c>
      <c r="G98" s="71" t="inlineStr">
        <is>
          <t>108</t>
        </is>
      </c>
      <c r="H98" s="86" t="inlineStr">
        <is>
          <t>HIGHEST</t>
        </is>
      </c>
      <c r="I98" s="66" t="inlineStr">
        <is>
          <t>Mandatory Complier</t>
        </is>
      </c>
      <c r="J98" s="87" t="inlineStr">
        <is>
          <t>https://nca.gov.sa/</t>
        </is>
      </c>
    </row>
    <row r="99" ht="45" customHeight="1">
      <c r="A99" s="42" t="n">
        <v>98</v>
      </c>
      <c r="B99" s="411" t="inlineStr">
        <is>
          <t>PDPL-2021</t>
        </is>
      </c>
      <c r="C99" s="72" t="inlineStr">
        <is>
          <t>Personal Data Protection Law</t>
        </is>
      </c>
      <c r="D99" s="413" t="inlineStr">
        <is>
          <t>TBHC</t>
        </is>
      </c>
      <c r="E99" s="70" t="inlineStr">
        <is>
          <t>17. Regional Health Clusters</t>
        </is>
      </c>
      <c r="F99" s="70" t="inlineStr">
        <is>
          <t>2021+IR 2023</t>
        </is>
      </c>
      <c r="G99" s="71" t="inlineStr">
        <is>
          <t>45</t>
        </is>
      </c>
      <c r="H99" s="86" t="inlineStr">
        <is>
          <t>HIGHEST</t>
        </is>
      </c>
      <c r="I99" s="66" t="inlineStr">
        <is>
          <t>Mandatory Complier</t>
        </is>
      </c>
      <c r="J99" s="87" t="inlineStr">
        <is>
          <t>https://sdaia.gov.sa/</t>
        </is>
      </c>
    </row>
    <row r="100" ht="45" customHeight="1">
      <c r="A100" s="42" t="n">
        <v>99</v>
      </c>
      <c r="B100" s="411" t="inlineStr">
        <is>
          <t>NHIC-NABIDH</t>
        </is>
      </c>
      <c r="C100" s="72" t="inlineStr">
        <is>
          <t>NABIDH EHR Platform Standard</t>
        </is>
      </c>
      <c r="D100" s="413" t="inlineStr">
        <is>
          <t>TBHC</t>
        </is>
      </c>
      <c r="E100" s="70" t="inlineStr">
        <is>
          <t>17. Regional Health Clusters</t>
        </is>
      </c>
      <c r="F100" s="70" t="inlineStr">
        <is>
          <t>Mandatory 2024</t>
        </is>
      </c>
      <c r="G100" s="71" t="inlineStr">
        <is>
          <t>40</t>
        </is>
      </c>
      <c r="H100" s="86" t="inlineStr">
        <is>
          <t>HIGHEST</t>
        </is>
      </c>
      <c r="I100" s="66" t="inlineStr">
        <is>
          <t>Mandatory Complier</t>
        </is>
      </c>
      <c r="J100" s="87" t="inlineStr">
        <is>
          <t>https://nhic.gov.sa/</t>
        </is>
      </c>
    </row>
    <row r="101" ht="45" customHeight="1">
      <c r="A101" s="42" t="n">
        <v>100</v>
      </c>
      <c r="B101" s="411" t="inlineStr">
        <is>
          <t>NCA-OTCC</t>
        </is>
      </c>
      <c r="C101" s="72" t="inlineStr">
        <is>
          <t>OT Cybersecurity Controls</t>
        </is>
      </c>
      <c r="D101" s="413" t="inlineStr">
        <is>
          <t>TBHC</t>
        </is>
      </c>
      <c r="E101" s="70" t="inlineStr">
        <is>
          <t>17. Regional Health Clusters</t>
        </is>
      </c>
      <c r="F101" s="70" t="inlineStr">
        <is>
          <t>OTCC-1:2022</t>
        </is>
      </c>
      <c r="G101" s="71" t="inlineStr">
        <is>
          <t>53</t>
        </is>
      </c>
      <c r="H101" s="86" t="inlineStr">
        <is>
          <t>HIGHEST</t>
        </is>
      </c>
      <c r="I101" s="66" t="inlineStr">
        <is>
          <t>Mandatory Complier</t>
        </is>
      </c>
      <c r="J101" s="87" t="inlineStr">
        <is>
          <t>https://nca.gov.sa/</t>
        </is>
      </c>
    </row>
    <row r="102" ht="45" customHeight="1">
      <c r="A102" s="42" t="n">
        <v>101</v>
      </c>
      <c r="B102" s="411" t="inlineStr">
        <is>
          <t>MOH-HIS</t>
        </is>
      </c>
      <c r="C102" s="72" t="inlineStr">
        <is>
          <t>Health Information System Standards</t>
        </is>
      </c>
      <c r="D102" s="413" t="inlineStr">
        <is>
          <t>NMHC</t>
        </is>
      </c>
      <c r="E102" s="70" t="inlineStr">
        <is>
          <t>17. Regional Health Clusters</t>
        </is>
      </c>
      <c r="F102" s="70" t="inlineStr">
        <is>
          <t>2024 update</t>
        </is>
      </c>
      <c r="G102" s="71" t="inlineStr">
        <is>
          <t>112</t>
        </is>
      </c>
      <c r="H102" s="86" t="inlineStr">
        <is>
          <t>HIGHEST</t>
        </is>
      </c>
      <c r="I102" s="66" t="inlineStr">
        <is>
          <t>Mandatory Complier</t>
        </is>
      </c>
      <c r="J102" s="87" t="inlineStr">
        <is>
          <t>https://www.moh.gov.sa/en/</t>
        </is>
      </c>
    </row>
    <row r="103" ht="45" customHeight="1">
      <c r="A103" s="42" t="n">
        <v>102</v>
      </c>
      <c r="B103" s="411" t="inlineStr">
        <is>
          <t>MOH-EMR-NABIDH</t>
        </is>
      </c>
      <c r="C103" s="72" t="inlineStr">
        <is>
          <t>EMR Standards / NABIDH</t>
        </is>
      </c>
      <c r="D103" s="413" t="inlineStr">
        <is>
          <t>NMHC</t>
        </is>
      </c>
      <c r="E103" s="70" t="inlineStr">
        <is>
          <t>17. Regional Health Clusters</t>
        </is>
      </c>
      <c r="F103" s="70" t="inlineStr">
        <is>
          <t>Mandatory 2024</t>
        </is>
      </c>
      <c r="G103" s="71" t="inlineStr">
        <is>
          <t>52</t>
        </is>
      </c>
      <c r="H103" s="86" t="inlineStr">
        <is>
          <t>HIGHEST</t>
        </is>
      </c>
      <c r="I103" s="66" t="inlineStr">
        <is>
          <t>Mandatory Complier</t>
        </is>
      </c>
      <c r="J103" s="87" t="inlineStr">
        <is>
          <t>https://www.moh.gov.sa/en/</t>
        </is>
      </c>
    </row>
    <row r="104" ht="45" customHeight="1">
      <c r="A104" s="42" t="n">
        <v>103</v>
      </c>
      <c r="B104" s="411" t="inlineStr">
        <is>
          <t>MOH-PS</t>
        </is>
      </c>
      <c r="C104" s="72" t="inlineStr">
        <is>
          <t>Patient Safety Standards</t>
        </is>
      </c>
      <c r="D104" s="413" t="inlineStr">
        <is>
          <t>NMHC</t>
        </is>
      </c>
      <c r="E104" s="70" t="inlineStr">
        <is>
          <t>17. Regional Health Clusters</t>
        </is>
      </c>
      <c r="F104" s="70" t="inlineStr">
        <is>
          <t>2024 update</t>
        </is>
      </c>
      <c r="G104" s="71" t="inlineStr">
        <is>
          <t>72</t>
        </is>
      </c>
      <c r="H104" s="86" t="inlineStr">
        <is>
          <t>HIGHEST</t>
        </is>
      </c>
      <c r="I104" s="66" t="inlineStr">
        <is>
          <t>Mandatory Complier</t>
        </is>
      </c>
      <c r="J104" s="87" t="inlineStr">
        <is>
          <t>https://www.moh.gov.sa/en/</t>
        </is>
      </c>
    </row>
    <row r="105" ht="45" customHeight="1">
      <c r="A105" s="42" t="n">
        <v>104</v>
      </c>
      <c r="B105" s="411" t="inlineStr">
        <is>
          <t>CBAHI-HAS-H</t>
        </is>
      </c>
      <c r="C105" s="72" t="inlineStr">
        <is>
          <t>Hospital Accreditation Standards</t>
        </is>
      </c>
      <c r="D105" s="413" t="inlineStr">
        <is>
          <t>NMHC</t>
        </is>
      </c>
      <c r="E105" s="70" t="inlineStr">
        <is>
          <t>17. Regional Health Clusters</t>
        </is>
      </c>
      <c r="F105" s="70" t="inlineStr">
        <is>
          <t>5th Ed. 2021</t>
        </is>
      </c>
      <c r="G105" s="71" t="inlineStr">
        <is>
          <t>298</t>
        </is>
      </c>
      <c r="H105" s="86" t="inlineStr">
        <is>
          <t>HIGHEST</t>
        </is>
      </c>
      <c r="I105" s="92" t="inlineStr">
        <is>
          <t>Voluntary</t>
        </is>
      </c>
      <c r="J105" s="87" t="inlineStr">
        <is>
          <t>https://www.cbahi.gov.sa/</t>
        </is>
      </c>
    </row>
    <row r="106" ht="45" customHeight="1">
      <c r="A106" s="42" t="n">
        <v>105</v>
      </c>
      <c r="B106" s="411" t="inlineStr">
        <is>
          <t>NCA-ECC-2:2024</t>
        </is>
      </c>
      <c r="C106" s="72" t="inlineStr">
        <is>
          <t>Essential Cybersecurity Controls</t>
        </is>
      </c>
      <c r="D106" s="413" t="inlineStr">
        <is>
          <t>NMHC</t>
        </is>
      </c>
      <c r="E106" s="70" t="inlineStr">
        <is>
          <t>17. Regional Health Clusters</t>
        </is>
      </c>
      <c r="F106" s="70" t="inlineStr">
        <is>
          <t>ECC-2:2024</t>
        </is>
      </c>
      <c r="G106" s="71" t="inlineStr">
        <is>
          <t>108</t>
        </is>
      </c>
      <c r="H106" s="86" t="inlineStr">
        <is>
          <t>HIGHEST</t>
        </is>
      </c>
      <c r="I106" s="66" t="inlineStr">
        <is>
          <t>Mandatory Complier</t>
        </is>
      </c>
      <c r="J106" s="87" t="inlineStr">
        <is>
          <t>https://nca.gov.sa/</t>
        </is>
      </c>
    </row>
    <row r="107" ht="45" customHeight="1">
      <c r="A107" s="42" t="n">
        <v>106</v>
      </c>
      <c r="B107" s="411" t="inlineStr">
        <is>
          <t>PDPL-2021</t>
        </is>
      </c>
      <c r="C107" s="72" t="inlineStr">
        <is>
          <t>Personal Data Protection Law</t>
        </is>
      </c>
      <c r="D107" s="413" t="inlineStr">
        <is>
          <t>NMHC</t>
        </is>
      </c>
      <c r="E107" s="70" t="inlineStr">
        <is>
          <t>17. Regional Health Clusters</t>
        </is>
      </c>
      <c r="F107" s="70" t="inlineStr">
        <is>
          <t>2021+IR 2023</t>
        </is>
      </c>
      <c r="G107" s="71" t="inlineStr">
        <is>
          <t>45</t>
        </is>
      </c>
      <c r="H107" s="86" t="inlineStr">
        <is>
          <t>HIGHEST</t>
        </is>
      </c>
      <c r="I107" s="66" t="inlineStr">
        <is>
          <t>Mandatory Complier</t>
        </is>
      </c>
      <c r="J107" s="87" t="inlineStr">
        <is>
          <t>https://sdaia.gov.sa/</t>
        </is>
      </c>
    </row>
    <row r="108" ht="45" customHeight="1">
      <c r="A108" s="42" t="n">
        <v>107</v>
      </c>
      <c r="B108" s="411" t="inlineStr">
        <is>
          <t>NHIC-NABIDH</t>
        </is>
      </c>
      <c r="C108" s="72" t="inlineStr">
        <is>
          <t>NABIDH EHR Platform Standard</t>
        </is>
      </c>
      <c r="D108" s="413" t="inlineStr">
        <is>
          <t>NMHC</t>
        </is>
      </c>
      <c r="E108" s="70" t="inlineStr">
        <is>
          <t>17. Regional Health Clusters</t>
        </is>
      </c>
      <c r="F108" s="70" t="inlineStr">
        <is>
          <t>Mandatory 2024</t>
        </is>
      </c>
      <c r="G108" s="71" t="inlineStr">
        <is>
          <t>40</t>
        </is>
      </c>
      <c r="H108" s="86" t="inlineStr">
        <is>
          <t>HIGHEST</t>
        </is>
      </c>
      <c r="I108" s="66" t="inlineStr">
        <is>
          <t>Mandatory Complier</t>
        </is>
      </c>
      <c r="J108" s="87" t="inlineStr">
        <is>
          <t>https://nhic.gov.sa/</t>
        </is>
      </c>
    </row>
    <row r="109" ht="45" customHeight="1">
      <c r="A109" s="42" t="n">
        <v>108</v>
      </c>
      <c r="B109" s="411" t="inlineStr">
        <is>
          <t>NCA-OTCC</t>
        </is>
      </c>
      <c r="C109" s="72" t="inlineStr">
        <is>
          <t>OT Cybersecurity Controls</t>
        </is>
      </c>
      <c r="D109" s="413" t="inlineStr">
        <is>
          <t>NMHC</t>
        </is>
      </c>
      <c r="E109" s="70" t="inlineStr">
        <is>
          <t>17. Regional Health Clusters</t>
        </is>
      </c>
      <c r="F109" s="70" t="inlineStr">
        <is>
          <t>OTCC-1:2022</t>
        </is>
      </c>
      <c r="G109" s="71" t="inlineStr">
        <is>
          <t>53</t>
        </is>
      </c>
      <c r="H109" s="86" t="inlineStr">
        <is>
          <t>HIGHEST</t>
        </is>
      </c>
      <c r="I109" s="66" t="inlineStr">
        <is>
          <t>Mandatory Complier</t>
        </is>
      </c>
      <c r="J109" s="87" t="inlineStr">
        <is>
          <t>https://nca.gov.sa/</t>
        </is>
      </c>
    </row>
    <row r="110" ht="45" customHeight="1">
      <c r="A110" s="42" t="n">
        <v>109</v>
      </c>
      <c r="B110" s="411" t="inlineStr">
        <is>
          <t>MOH-HIS</t>
        </is>
      </c>
      <c r="C110" s="72" t="inlineStr">
        <is>
          <t>Health Information System Standards</t>
        </is>
      </c>
      <c r="D110" s="413" t="inlineStr">
        <is>
          <t>QLHC</t>
        </is>
      </c>
      <c r="E110" s="70" t="inlineStr">
        <is>
          <t>17. Regional Health Clusters</t>
        </is>
      </c>
      <c r="F110" s="70" t="inlineStr">
        <is>
          <t>2024 update</t>
        </is>
      </c>
      <c r="G110" s="71" t="inlineStr">
        <is>
          <t>112</t>
        </is>
      </c>
      <c r="H110" s="86" t="inlineStr">
        <is>
          <t>HIGHEST</t>
        </is>
      </c>
      <c r="I110" s="66" t="inlineStr">
        <is>
          <t>Mandatory Complier</t>
        </is>
      </c>
      <c r="J110" s="87" t="inlineStr">
        <is>
          <t>https://www.moh.gov.sa/en/</t>
        </is>
      </c>
    </row>
    <row r="111" ht="45" customHeight="1">
      <c r="A111" s="42" t="n">
        <v>110</v>
      </c>
      <c r="B111" s="411" t="inlineStr">
        <is>
          <t>MOH-EMR-NABIDH</t>
        </is>
      </c>
      <c r="C111" s="72" t="inlineStr">
        <is>
          <t>EMR Standards / NABIDH</t>
        </is>
      </c>
      <c r="D111" s="413" t="inlineStr">
        <is>
          <t>QLHC</t>
        </is>
      </c>
      <c r="E111" s="70" t="inlineStr">
        <is>
          <t>17. Regional Health Clusters</t>
        </is>
      </c>
      <c r="F111" s="70" t="inlineStr">
        <is>
          <t>Mandatory 2024</t>
        </is>
      </c>
      <c r="G111" s="71" t="inlineStr">
        <is>
          <t>52</t>
        </is>
      </c>
      <c r="H111" s="86" t="inlineStr">
        <is>
          <t>HIGHEST</t>
        </is>
      </c>
      <c r="I111" s="66" t="inlineStr">
        <is>
          <t>Mandatory Complier</t>
        </is>
      </c>
      <c r="J111" s="87" t="inlineStr">
        <is>
          <t>https://www.moh.gov.sa/en/</t>
        </is>
      </c>
    </row>
    <row r="112" ht="45" customHeight="1">
      <c r="A112" s="42" t="n">
        <v>111</v>
      </c>
      <c r="B112" s="411" t="inlineStr">
        <is>
          <t>MOH-PS</t>
        </is>
      </c>
      <c r="C112" s="72" t="inlineStr">
        <is>
          <t>Patient Safety Standards</t>
        </is>
      </c>
      <c r="D112" s="413" t="inlineStr">
        <is>
          <t>QLHC</t>
        </is>
      </c>
      <c r="E112" s="70" t="inlineStr">
        <is>
          <t>17. Regional Health Clusters</t>
        </is>
      </c>
      <c r="F112" s="70" t="inlineStr">
        <is>
          <t>2024 update</t>
        </is>
      </c>
      <c r="G112" s="71" t="inlineStr">
        <is>
          <t>72</t>
        </is>
      </c>
      <c r="H112" s="86" t="inlineStr">
        <is>
          <t>HIGHEST</t>
        </is>
      </c>
      <c r="I112" s="66" t="inlineStr">
        <is>
          <t>Mandatory Complier</t>
        </is>
      </c>
      <c r="J112" s="87" t="inlineStr">
        <is>
          <t>https://www.moh.gov.sa/en/</t>
        </is>
      </c>
    </row>
    <row r="113" ht="45" customHeight="1">
      <c r="A113" s="42" t="n">
        <v>112</v>
      </c>
      <c r="B113" s="411" t="inlineStr">
        <is>
          <t>CBAHI-HAS-H</t>
        </is>
      </c>
      <c r="C113" s="72" t="inlineStr">
        <is>
          <t>Hospital Accreditation Standards</t>
        </is>
      </c>
      <c r="D113" s="413" t="inlineStr">
        <is>
          <t>QLHC</t>
        </is>
      </c>
      <c r="E113" s="70" t="inlineStr">
        <is>
          <t>17. Regional Health Clusters</t>
        </is>
      </c>
      <c r="F113" s="70" t="inlineStr">
        <is>
          <t>5th Ed. 2021</t>
        </is>
      </c>
      <c r="G113" s="71" t="inlineStr">
        <is>
          <t>298</t>
        </is>
      </c>
      <c r="H113" s="86" t="inlineStr">
        <is>
          <t>HIGHEST</t>
        </is>
      </c>
      <c r="I113" s="92" t="inlineStr">
        <is>
          <t>Voluntary</t>
        </is>
      </c>
      <c r="J113" s="87" t="inlineStr">
        <is>
          <t>https://www.cbahi.gov.sa/</t>
        </is>
      </c>
    </row>
    <row r="114" ht="45" customHeight="1">
      <c r="A114" s="42" t="n">
        <v>113</v>
      </c>
      <c r="B114" s="411" t="inlineStr">
        <is>
          <t>NCA-ECC-2:2024</t>
        </is>
      </c>
      <c r="C114" s="72" t="inlineStr">
        <is>
          <t>Essential Cybersecurity Controls</t>
        </is>
      </c>
      <c r="D114" s="413" t="inlineStr">
        <is>
          <t>QLHC</t>
        </is>
      </c>
      <c r="E114" s="70" t="inlineStr">
        <is>
          <t>17. Regional Health Clusters</t>
        </is>
      </c>
      <c r="F114" s="70" t="inlineStr">
        <is>
          <t>ECC-2:2024</t>
        </is>
      </c>
      <c r="G114" s="71" t="inlineStr">
        <is>
          <t>108</t>
        </is>
      </c>
      <c r="H114" s="86" t="inlineStr">
        <is>
          <t>HIGHEST</t>
        </is>
      </c>
      <c r="I114" s="66" t="inlineStr">
        <is>
          <t>Mandatory Complier</t>
        </is>
      </c>
      <c r="J114" s="87" t="inlineStr">
        <is>
          <t>https://nca.gov.sa/</t>
        </is>
      </c>
    </row>
    <row r="115" ht="45" customHeight="1">
      <c r="A115" s="42" t="n">
        <v>114</v>
      </c>
      <c r="B115" s="411" t="inlineStr">
        <is>
          <t>PDPL-2021</t>
        </is>
      </c>
      <c r="C115" s="72" t="inlineStr">
        <is>
          <t>Personal Data Protection Law</t>
        </is>
      </c>
      <c r="D115" s="413" t="inlineStr">
        <is>
          <t>QLHC</t>
        </is>
      </c>
      <c r="E115" s="70" t="inlineStr">
        <is>
          <t>17. Regional Health Clusters</t>
        </is>
      </c>
      <c r="F115" s="70" t="inlineStr">
        <is>
          <t>2021+IR 2023</t>
        </is>
      </c>
      <c r="G115" s="71" t="inlineStr">
        <is>
          <t>45</t>
        </is>
      </c>
      <c r="H115" s="86" t="inlineStr">
        <is>
          <t>HIGHEST</t>
        </is>
      </c>
      <c r="I115" s="66" t="inlineStr">
        <is>
          <t>Mandatory Complier</t>
        </is>
      </c>
      <c r="J115" s="87" t="inlineStr">
        <is>
          <t>https://sdaia.gov.sa/</t>
        </is>
      </c>
    </row>
    <row r="116" ht="45" customHeight="1">
      <c r="A116" s="42" t="n">
        <v>115</v>
      </c>
      <c r="B116" s="411" t="inlineStr">
        <is>
          <t>NHIC-NABIDH</t>
        </is>
      </c>
      <c r="C116" s="72" t="inlineStr">
        <is>
          <t>NABIDH EHR Platform Standard</t>
        </is>
      </c>
      <c r="D116" s="413" t="inlineStr">
        <is>
          <t>QLHC</t>
        </is>
      </c>
      <c r="E116" s="70" t="inlineStr">
        <is>
          <t>17. Regional Health Clusters</t>
        </is>
      </c>
      <c r="F116" s="70" t="inlineStr">
        <is>
          <t>Mandatory 2024</t>
        </is>
      </c>
      <c r="G116" s="71" t="inlineStr">
        <is>
          <t>40</t>
        </is>
      </c>
      <c r="H116" s="86" t="inlineStr">
        <is>
          <t>HIGHEST</t>
        </is>
      </c>
      <c r="I116" s="66" t="inlineStr">
        <is>
          <t>Mandatory Complier</t>
        </is>
      </c>
      <c r="J116" s="87" t="inlineStr">
        <is>
          <t>https://nhic.gov.sa/</t>
        </is>
      </c>
    </row>
    <row r="117" ht="45" customHeight="1">
      <c r="A117" s="42" t="n">
        <v>116</v>
      </c>
      <c r="B117" s="411" t="inlineStr">
        <is>
          <t>NCA-OTCC</t>
        </is>
      </c>
      <c r="C117" s="72" t="inlineStr">
        <is>
          <t>OT Cybersecurity Controls</t>
        </is>
      </c>
      <c r="D117" s="413" t="inlineStr">
        <is>
          <t>QLHC</t>
        </is>
      </c>
      <c r="E117" s="70" t="inlineStr">
        <is>
          <t>17. Regional Health Clusters</t>
        </is>
      </c>
      <c r="F117" s="70" t="inlineStr">
        <is>
          <t>OTCC-1:2022</t>
        </is>
      </c>
      <c r="G117" s="71" t="inlineStr">
        <is>
          <t>53</t>
        </is>
      </c>
      <c r="H117" s="86" t="inlineStr">
        <is>
          <t>HIGHEST</t>
        </is>
      </c>
      <c r="I117" s="66" t="inlineStr">
        <is>
          <t>Mandatory Complier</t>
        </is>
      </c>
      <c r="J117" s="87" t="inlineStr">
        <is>
          <t>https://nca.gov.sa/</t>
        </is>
      </c>
    </row>
    <row r="118" ht="45" customHeight="1">
      <c r="A118" s="42" t="n">
        <v>117</v>
      </c>
      <c r="B118" s="411" t="inlineStr">
        <is>
          <t>MOH-HIS</t>
        </is>
      </c>
      <c r="C118" s="72" t="inlineStr">
        <is>
          <t>Health Information System Standards</t>
        </is>
      </c>
      <c r="D118" s="413" t="inlineStr">
        <is>
          <t>HALHC</t>
        </is>
      </c>
      <c r="E118" s="70" t="inlineStr">
        <is>
          <t>17. Regional Health Clusters</t>
        </is>
      </c>
      <c r="F118" s="70" t="inlineStr">
        <is>
          <t>2024 update</t>
        </is>
      </c>
      <c r="G118" s="71" t="inlineStr">
        <is>
          <t>112</t>
        </is>
      </c>
      <c r="H118" s="86" t="inlineStr">
        <is>
          <t>HIGHEST</t>
        </is>
      </c>
      <c r="I118" s="66" t="inlineStr">
        <is>
          <t>Mandatory Complier</t>
        </is>
      </c>
      <c r="J118" s="87" t="inlineStr">
        <is>
          <t>https://www.moh.gov.sa/en/</t>
        </is>
      </c>
    </row>
    <row r="119" ht="45" customHeight="1">
      <c r="A119" s="42" t="n">
        <v>118</v>
      </c>
      <c r="B119" s="411" t="inlineStr">
        <is>
          <t>MOH-EMR-NABIDH</t>
        </is>
      </c>
      <c r="C119" s="72" t="inlineStr">
        <is>
          <t>EMR Standards / NABIDH</t>
        </is>
      </c>
      <c r="D119" s="413" t="inlineStr">
        <is>
          <t>HALHC</t>
        </is>
      </c>
      <c r="E119" s="70" t="inlineStr">
        <is>
          <t>17. Regional Health Clusters</t>
        </is>
      </c>
      <c r="F119" s="70" t="inlineStr">
        <is>
          <t>Mandatory 2024</t>
        </is>
      </c>
      <c r="G119" s="71" t="inlineStr">
        <is>
          <t>52</t>
        </is>
      </c>
      <c r="H119" s="86" t="inlineStr">
        <is>
          <t>HIGHEST</t>
        </is>
      </c>
      <c r="I119" s="66" t="inlineStr">
        <is>
          <t>Mandatory Complier</t>
        </is>
      </c>
      <c r="J119" s="87" t="inlineStr">
        <is>
          <t>https://www.moh.gov.sa/en/</t>
        </is>
      </c>
    </row>
    <row r="120" ht="45" customHeight="1">
      <c r="A120" s="42" t="n">
        <v>119</v>
      </c>
      <c r="B120" s="411" t="inlineStr">
        <is>
          <t>MOH-PS</t>
        </is>
      </c>
      <c r="C120" s="72" t="inlineStr">
        <is>
          <t>Patient Safety Standards</t>
        </is>
      </c>
      <c r="D120" s="413" t="inlineStr">
        <is>
          <t>HALHC</t>
        </is>
      </c>
      <c r="E120" s="70" t="inlineStr">
        <is>
          <t>17. Regional Health Clusters</t>
        </is>
      </c>
      <c r="F120" s="70" t="inlineStr">
        <is>
          <t>2024 update</t>
        </is>
      </c>
      <c r="G120" s="71" t="inlineStr">
        <is>
          <t>72</t>
        </is>
      </c>
      <c r="H120" s="86" t="inlineStr">
        <is>
          <t>HIGHEST</t>
        </is>
      </c>
      <c r="I120" s="66" t="inlineStr">
        <is>
          <t>Mandatory Complier</t>
        </is>
      </c>
      <c r="J120" s="87" t="inlineStr">
        <is>
          <t>https://www.moh.gov.sa/en/</t>
        </is>
      </c>
    </row>
    <row r="121" ht="45" customHeight="1">
      <c r="A121" s="42" t="n">
        <v>120</v>
      </c>
      <c r="B121" s="411" t="inlineStr">
        <is>
          <t>CBAHI-HAS-H</t>
        </is>
      </c>
      <c r="C121" s="72" t="inlineStr">
        <is>
          <t>Hospital Accreditation Standards</t>
        </is>
      </c>
      <c r="D121" s="413" t="inlineStr">
        <is>
          <t>HALHC</t>
        </is>
      </c>
      <c r="E121" s="70" t="inlineStr">
        <is>
          <t>17. Regional Health Clusters</t>
        </is>
      </c>
      <c r="F121" s="70" t="inlineStr">
        <is>
          <t>5th Ed. 2021</t>
        </is>
      </c>
      <c r="G121" s="71" t="inlineStr">
        <is>
          <t>298</t>
        </is>
      </c>
      <c r="H121" s="86" t="inlineStr">
        <is>
          <t>HIGHEST</t>
        </is>
      </c>
      <c r="I121" s="92" t="inlineStr">
        <is>
          <t>Voluntary</t>
        </is>
      </c>
      <c r="J121" s="87" t="inlineStr">
        <is>
          <t>https://www.cbahi.gov.sa/</t>
        </is>
      </c>
    </row>
    <row r="122" ht="45" customHeight="1">
      <c r="A122" s="42" t="n">
        <v>121</v>
      </c>
      <c r="B122" s="411" t="inlineStr">
        <is>
          <t>NCA-ECC-2:2024</t>
        </is>
      </c>
      <c r="C122" s="72" t="inlineStr">
        <is>
          <t>Essential Cybersecurity Controls</t>
        </is>
      </c>
      <c r="D122" s="413" t="inlineStr">
        <is>
          <t>HALHC</t>
        </is>
      </c>
      <c r="E122" s="70" t="inlineStr">
        <is>
          <t>17. Regional Health Clusters</t>
        </is>
      </c>
      <c r="F122" s="70" t="inlineStr">
        <is>
          <t>ECC-2:2024</t>
        </is>
      </c>
      <c r="G122" s="71" t="inlineStr">
        <is>
          <t>108</t>
        </is>
      </c>
      <c r="H122" s="86" t="inlineStr">
        <is>
          <t>HIGHEST</t>
        </is>
      </c>
      <c r="I122" s="66" t="inlineStr">
        <is>
          <t>Mandatory Complier</t>
        </is>
      </c>
      <c r="J122" s="87" t="inlineStr">
        <is>
          <t>https://nca.gov.sa/</t>
        </is>
      </c>
    </row>
    <row r="123" ht="45" customHeight="1">
      <c r="A123" s="42" t="n">
        <v>122</v>
      </c>
      <c r="B123" s="411" t="inlineStr">
        <is>
          <t>PDPL-2021</t>
        </is>
      </c>
      <c r="C123" s="72" t="inlineStr">
        <is>
          <t>Personal Data Protection Law</t>
        </is>
      </c>
      <c r="D123" s="413" t="inlineStr">
        <is>
          <t>HALHC</t>
        </is>
      </c>
      <c r="E123" s="70" t="inlineStr">
        <is>
          <t>17. Regional Health Clusters</t>
        </is>
      </c>
      <c r="F123" s="70" t="inlineStr">
        <is>
          <t>2021+IR 2023</t>
        </is>
      </c>
      <c r="G123" s="71" t="inlineStr">
        <is>
          <t>45</t>
        </is>
      </c>
      <c r="H123" s="86" t="inlineStr">
        <is>
          <t>HIGHEST</t>
        </is>
      </c>
      <c r="I123" s="66" t="inlineStr">
        <is>
          <t>Mandatory Complier</t>
        </is>
      </c>
      <c r="J123" s="87" t="inlineStr">
        <is>
          <t>https://sdaia.gov.sa/</t>
        </is>
      </c>
    </row>
    <row r="124" ht="45" customHeight="1">
      <c r="A124" s="42" t="n">
        <v>123</v>
      </c>
      <c r="B124" s="411" t="inlineStr">
        <is>
          <t>NHIC-NABIDH</t>
        </is>
      </c>
      <c r="C124" s="72" t="inlineStr">
        <is>
          <t>NABIDH EHR Platform Standard</t>
        </is>
      </c>
      <c r="D124" s="413" t="inlineStr">
        <is>
          <t>HALHC</t>
        </is>
      </c>
      <c r="E124" s="70" t="inlineStr">
        <is>
          <t>17. Regional Health Clusters</t>
        </is>
      </c>
      <c r="F124" s="70" t="inlineStr">
        <is>
          <t>Mandatory 2024</t>
        </is>
      </c>
      <c r="G124" s="71" t="inlineStr">
        <is>
          <t>40</t>
        </is>
      </c>
      <c r="H124" s="86" t="inlineStr">
        <is>
          <t>HIGHEST</t>
        </is>
      </c>
      <c r="I124" s="66" t="inlineStr">
        <is>
          <t>Mandatory Complier</t>
        </is>
      </c>
      <c r="J124" s="87" t="inlineStr">
        <is>
          <t>https://nhic.gov.sa/</t>
        </is>
      </c>
    </row>
    <row r="125" ht="45" customHeight="1">
      <c r="A125" s="42" t="n">
        <v>124</v>
      </c>
      <c r="B125" s="411" t="inlineStr">
        <is>
          <t>NCA-OTCC</t>
        </is>
      </c>
      <c r="C125" s="72" t="inlineStr">
        <is>
          <t>OT Cybersecurity Controls</t>
        </is>
      </c>
      <c r="D125" s="413" t="inlineStr">
        <is>
          <t>HALHC</t>
        </is>
      </c>
      <c r="E125" s="70" t="inlineStr">
        <is>
          <t>17. Regional Health Clusters</t>
        </is>
      </c>
      <c r="F125" s="70" t="inlineStr">
        <is>
          <t>OTCC-1:2022</t>
        </is>
      </c>
      <c r="G125" s="71" t="inlineStr">
        <is>
          <t>53</t>
        </is>
      </c>
      <c r="H125" s="86" t="inlineStr">
        <is>
          <t>HIGHEST</t>
        </is>
      </c>
      <c r="I125" s="66" t="inlineStr">
        <is>
          <t>Mandatory Complier</t>
        </is>
      </c>
      <c r="J125" s="87" t="inlineStr">
        <is>
          <t>https://nca.gov.sa/</t>
        </is>
      </c>
    </row>
    <row r="126" ht="45" customHeight="1">
      <c r="A126" s="42" t="n">
        <v>125</v>
      </c>
      <c r="B126" s="411" t="inlineStr">
        <is>
          <t>MOH-HIS</t>
        </is>
      </c>
      <c r="C126" s="72" t="inlineStr">
        <is>
          <t>Health Information System Standards</t>
        </is>
      </c>
      <c r="D126" s="413" t="inlineStr">
        <is>
          <t>NRHC</t>
        </is>
      </c>
      <c r="E126" s="70" t="inlineStr">
        <is>
          <t>17. Regional Health Clusters</t>
        </is>
      </c>
      <c r="F126" s="70" t="inlineStr">
        <is>
          <t>2024 update</t>
        </is>
      </c>
      <c r="G126" s="71" t="inlineStr">
        <is>
          <t>112</t>
        </is>
      </c>
      <c r="H126" s="86" t="inlineStr">
        <is>
          <t>HIGHEST</t>
        </is>
      </c>
      <c r="I126" s="66" t="inlineStr">
        <is>
          <t>Mandatory Complier</t>
        </is>
      </c>
      <c r="J126" s="87" t="inlineStr">
        <is>
          <t>https://www.moh.gov.sa/en/</t>
        </is>
      </c>
    </row>
    <row r="127" ht="45" customHeight="1">
      <c r="A127" s="42" t="n">
        <v>126</v>
      </c>
      <c r="B127" s="411" t="inlineStr">
        <is>
          <t>MOH-EMR-NABIDH</t>
        </is>
      </c>
      <c r="C127" s="72" t="inlineStr">
        <is>
          <t>EMR Standards / NABIDH</t>
        </is>
      </c>
      <c r="D127" s="413" t="inlineStr">
        <is>
          <t>NRHC</t>
        </is>
      </c>
      <c r="E127" s="70" t="inlineStr">
        <is>
          <t>17. Regional Health Clusters</t>
        </is>
      </c>
      <c r="F127" s="70" t="inlineStr">
        <is>
          <t>Mandatory 2024</t>
        </is>
      </c>
      <c r="G127" s="71" t="inlineStr">
        <is>
          <t>52</t>
        </is>
      </c>
      <c r="H127" s="86" t="inlineStr">
        <is>
          <t>HIGHEST</t>
        </is>
      </c>
      <c r="I127" s="66" t="inlineStr">
        <is>
          <t>Mandatory Complier</t>
        </is>
      </c>
      <c r="J127" s="87" t="inlineStr">
        <is>
          <t>https://www.moh.gov.sa/en/</t>
        </is>
      </c>
    </row>
    <row r="128" ht="45" customHeight="1">
      <c r="A128" s="42" t="n">
        <v>127</v>
      </c>
      <c r="B128" s="411" t="inlineStr">
        <is>
          <t>MOH-PS</t>
        </is>
      </c>
      <c r="C128" s="72" t="inlineStr">
        <is>
          <t>Patient Safety Standards</t>
        </is>
      </c>
      <c r="D128" s="413" t="inlineStr">
        <is>
          <t>NRHC</t>
        </is>
      </c>
      <c r="E128" s="70" t="inlineStr">
        <is>
          <t>17. Regional Health Clusters</t>
        </is>
      </c>
      <c r="F128" s="70" t="inlineStr">
        <is>
          <t>2024 update</t>
        </is>
      </c>
      <c r="G128" s="71" t="inlineStr">
        <is>
          <t>72</t>
        </is>
      </c>
      <c r="H128" s="86" t="inlineStr">
        <is>
          <t>HIGHEST</t>
        </is>
      </c>
      <c r="I128" s="66" t="inlineStr">
        <is>
          <t>Mandatory Complier</t>
        </is>
      </c>
      <c r="J128" s="87" t="inlineStr">
        <is>
          <t>https://www.moh.gov.sa/en/</t>
        </is>
      </c>
    </row>
    <row r="129" ht="45" customHeight="1">
      <c r="A129" s="42" t="n">
        <v>128</v>
      </c>
      <c r="B129" s="411" t="inlineStr">
        <is>
          <t>CBAHI-HAS-H</t>
        </is>
      </c>
      <c r="C129" s="72" t="inlineStr">
        <is>
          <t>Hospital Accreditation Standards</t>
        </is>
      </c>
      <c r="D129" s="413" t="inlineStr">
        <is>
          <t>NRHC</t>
        </is>
      </c>
      <c r="E129" s="70" t="inlineStr">
        <is>
          <t>17. Regional Health Clusters</t>
        </is>
      </c>
      <c r="F129" s="70" t="inlineStr">
        <is>
          <t>5th Ed. 2021</t>
        </is>
      </c>
      <c r="G129" s="71" t="inlineStr">
        <is>
          <t>298</t>
        </is>
      </c>
      <c r="H129" s="86" t="inlineStr">
        <is>
          <t>HIGHEST</t>
        </is>
      </c>
      <c r="I129" s="92" t="inlineStr">
        <is>
          <t>Voluntary</t>
        </is>
      </c>
      <c r="J129" s="87" t="inlineStr">
        <is>
          <t>https://www.cbahi.gov.sa/</t>
        </is>
      </c>
    </row>
    <row r="130" ht="45" customHeight="1">
      <c r="A130" s="42" t="n">
        <v>129</v>
      </c>
      <c r="B130" s="411" t="inlineStr">
        <is>
          <t>NCA-ECC-2:2024</t>
        </is>
      </c>
      <c r="C130" s="72" t="inlineStr">
        <is>
          <t>Essential Cybersecurity Controls</t>
        </is>
      </c>
      <c r="D130" s="413" t="inlineStr">
        <is>
          <t>NRHC</t>
        </is>
      </c>
      <c r="E130" s="70" t="inlineStr">
        <is>
          <t>17. Regional Health Clusters</t>
        </is>
      </c>
      <c r="F130" s="70" t="inlineStr">
        <is>
          <t>ECC-2:2024</t>
        </is>
      </c>
      <c r="G130" s="71" t="inlineStr">
        <is>
          <t>108</t>
        </is>
      </c>
      <c r="H130" s="86" t="inlineStr">
        <is>
          <t>HIGHEST</t>
        </is>
      </c>
      <c r="I130" s="66" t="inlineStr">
        <is>
          <t>Mandatory Complier</t>
        </is>
      </c>
      <c r="J130" s="87" t="inlineStr">
        <is>
          <t>https://nca.gov.sa/</t>
        </is>
      </c>
    </row>
    <row r="131" ht="45" customHeight="1">
      <c r="A131" s="42" t="n">
        <v>130</v>
      </c>
      <c r="B131" s="411" t="inlineStr">
        <is>
          <t>PDPL-2021</t>
        </is>
      </c>
      <c r="C131" s="72" t="inlineStr">
        <is>
          <t>Personal Data Protection Law</t>
        </is>
      </c>
      <c r="D131" s="413" t="inlineStr">
        <is>
          <t>NRHC</t>
        </is>
      </c>
      <c r="E131" s="70" t="inlineStr">
        <is>
          <t>17. Regional Health Clusters</t>
        </is>
      </c>
      <c r="F131" s="70" t="inlineStr">
        <is>
          <t>2021+IR 2023</t>
        </is>
      </c>
      <c r="G131" s="71" t="inlineStr">
        <is>
          <t>45</t>
        </is>
      </c>
      <c r="H131" s="86" t="inlineStr">
        <is>
          <t>HIGHEST</t>
        </is>
      </c>
      <c r="I131" s="66" t="inlineStr">
        <is>
          <t>Mandatory Complier</t>
        </is>
      </c>
      <c r="J131" s="87" t="inlineStr">
        <is>
          <t>https://sdaia.gov.sa/</t>
        </is>
      </c>
    </row>
    <row r="132" ht="45" customHeight="1">
      <c r="A132" s="42" t="n">
        <v>131</v>
      </c>
      <c r="B132" s="411" t="inlineStr">
        <is>
          <t>NHIC-NABIDH</t>
        </is>
      </c>
      <c r="C132" s="72" t="inlineStr">
        <is>
          <t>NABIDH EHR Platform Standard</t>
        </is>
      </c>
      <c r="D132" s="413" t="inlineStr">
        <is>
          <t>NRHC</t>
        </is>
      </c>
      <c r="E132" s="70" t="inlineStr">
        <is>
          <t>17. Regional Health Clusters</t>
        </is>
      </c>
      <c r="F132" s="70" t="inlineStr">
        <is>
          <t>Mandatory 2024</t>
        </is>
      </c>
      <c r="G132" s="71" t="inlineStr">
        <is>
          <t>40</t>
        </is>
      </c>
      <c r="H132" s="86" t="inlineStr">
        <is>
          <t>HIGHEST</t>
        </is>
      </c>
      <c r="I132" s="66" t="inlineStr">
        <is>
          <t>Mandatory Complier</t>
        </is>
      </c>
      <c r="J132" s="87" t="inlineStr">
        <is>
          <t>https://nhic.gov.sa/</t>
        </is>
      </c>
    </row>
    <row r="133" ht="45" customHeight="1">
      <c r="A133" s="42" t="n">
        <v>132</v>
      </c>
      <c r="B133" s="411" t="inlineStr">
        <is>
          <t>NCA-OTCC</t>
        </is>
      </c>
      <c r="C133" s="72" t="inlineStr">
        <is>
          <t>OT Cybersecurity Controls</t>
        </is>
      </c>
      <c r="D133" s="413" t="inlineStr">
        <is>
          <t>NRHC</t>
        </is>
      </c>
      <c r="E133" s="70" t="inlineStr">
        <is>
          <t>17. Regional Health Clusters</t>
        </is>
      </c>
      <c r="F133" s="70" t="inlineStr">
        <is>
          <t>OTCC-1:2022</t>
        </is>
      </c>
      <c r="G133" s="71" t="inlineStr">
        <is>
          <t>53</t>
        </is>
      </c>
      <c r="H133" s="86" t="inlineStr">
        <is>
          <t>HIGHEST</t>
        </is>
      </c>
      <c r="I133" s="66" t="inlineStr">
        <is>
          <t>Mandatory Complier</t>
        </is>
      </c>
      <c r="J133" s="87" t="inlineStr">
        <is>
          <t>https://nca.gov.sa/</t>
        </is>
      </c>
    </row>
    <row r="134" ht="45" customHeight="1">
      <c r="A134" s="42" t="n">
        <v>133</v>
      </c>
      <c r="B134" s="411" t="inlineStr">
        <is>
          <t>MOH-HIS</t>
        </is>
      </c>
      <c r="C134" s="72" t="inlineStr">
        <is>
          <t>Health Information System Standards</t>
        </is>
      </c>
      <c r="D134" s="413" t="inlineStr">
        <is>
          <t>BHHC</t>
        </is>
      </c>
      <c r="E134" s="70" t="inlineStr">
        <is>
          <t>17. Regional Health Clusters</t>
        </is>
      </c>
      <c r="F134" s="70" t="inlineStr">
        <is>
          <t>2024 update</t>
        </is>
      </c>
      <c r="G134" s="71" t="inlineStr">
        <is>
          <t>112</t>
        </is>
      </c>
      <c r="H134" s="86" t="inlineStr">
        <is>
          <t>HIGHEST</t>
        </is>
      </c>
      <c r="I134" s="66" t="inlineStr">
        <is>
          <t>Mandatory Complier</t>
        </is>
      </c>
      <c r="J134" s="87" t="inlineStr">
        <is>
          <t>https://www.moh.gov.sa/en/</t>
        </is>
      </c>
    </row>
    <row r="135" ht="45" customHeight="1">
      <c r="A135" s="42" t="n">
        <v>134</v>
      </c>
      <c r="B135" s="411" t="inlineStr">
        <is>
          <t>MOH-EMR-NABIDH</t>
        </is>
      </c>
      <c r="C135" s="72" t="inlineStr">
        <is>
          <t>EMR Standards / NABIDH</t>
        </is>
      </c>
      <c r="D135" s="413" t="inlineStr">
        <is>
          <t>BHHC</t>
        </is>
      </c>
      <c r="E135" s="70" t="inlineStr">
        <is>
          <t>17. Regional Health Clusters</t>
        </is>
      </c>
      <c r="F135" s="70" t="inlineStr">
        <is>
          <t>Mandatory 2024</t>
        </is>
      </c>
      <c r="G135" s="71" t="inlineStr">
        <is>
          <t>52</t>
        </is>
      </c>
      <c r="H135" s="86" t="inlineStr">
        <is>
          <t>HIGHEST</t>
        </is>
      </c>
      <c r="I135" s="66" t="inlineStr">
        <is>
          <t>Mandatory Complier</t>
        </is>
      </c>
      <c r="J135" s="87" t="inlineStr">
        <is>
          <t>https://www.moh.gov.sa/en/</t>
        </is>
      </c>
    </row>
    <row r="136" ht="45" customHeight="1">
      <c r="A136" s="42" t="n">
        <v>135</v>
      </c>
      <c r="B136" s="411" t="inlineStr">
        <is>
          <t>MOH-PS</t>
        </is>
      </c>
      <c r="C136" s="72" t="inlineStr">
        <is>
          <t>Patient Safety Standards</t>
        </is>
      </c>
      <c r="D136" s="413" t="inlineStr">
        <is>
          <t>BHHC</t>
        </is>
      </c>
      <c r="E136" s="70" t="inlineStr">
        <is>
          <t>17. Regional Health Clusters</t>
        </is>
      </c>
      <c r="F136" s="70" t="inlineStr">
        <is>
          <t>2024 update</t>
        </is>
      </c>
      <c r="G136" s="71" t="inlineStr">
        <is>
          <t>72</t>
        </is>
      </c>
      <c r="H136" s="86" t="inlineStr">
        <is>
          <t>HIGHEST</t>
        </is>
      </c>
      <c r="I136" s="66" t="inlineStr">
        <is>
          <t>Mandatory Complier</t>
        </is>
      </c>
      <c r="J136" s="87" t="inlineStr">
        <is>
          <t>https://www.moh.gov.sa/en/</t>
        </is>
      </c>
    </row>
    <row r="137" ht="45" customHeight="1">
      <c r="A137" s="42" t="n">
        <v>136</v>
      </c>
      <c r="B137" s="411" t="inlineStr">
        <is>
          <t>CBAHI-HAS-H</t>
        </is>
      </c>
      <c r="C137" s="72" t="inlineStr">
        <is>
          <t>Hospital Accreditation Standards</t>
        </is>
      </c>
      <c r="D137" s="413" t="inlineStr">
        <is>
          <t>BHHC</t>
        </is>
      </c>
      <c r="E137" s="70" t="inlineStr">
        <is>
          <t>17. Regional Health Clusters</t>
        </is>
      </c>
      <c r="F137" s="70" t="inlineStr">
        <is>
          <t>5th Ed. 2021</t>
        </is>
      </c>
      <c r="G137" s="71" t="inlineStr">
        <is>
          <t>298</t>
        </is>
      </c>
      <c r="H137" s="86" t="inlineStr">
        <is>
          <t>HIGHEST</t>
        </is>
      </c>
      <c r="I137" s="92" t="inlineStr">
        <is>
          <t>Voluntary</t>
        </is>
      </c>
      <c r="J137" s="87" t="inlineStr">
        <is>
          <t>https://www.cbahi.gov.sa/</t>
        </is>
      </c>
    </row>
    <row r="138" ht="45" customHeight="1">
      <c r="A138" s="42" t="n">
        <v>137</v>
      </c>
      <c r="B138" s="411" t="inlineStr">
        <is>
          <t>NCA-ECC-2:2024</t>
        </is>
      </c>
      <c r="C138" s="72" t="inlineStr">
        <is>
          <t>Essential Cybersecurity Controls</t>
        </is>
      </c>
      <c r="D138" s="413" t="inlineStr">
        <is>
          <t>BHHC</t>
        </is>
      </c>
      <c r="E138" s="70" t="inlineStr">
        <is>
          <t>17. Regional Health Clusters</t>
        </is>
      </c>
      <c r="F138" s="70" t="inlineStr">
        <is>
          <t>ECC-2:2024</t>
        </is>
      </c>
      <c r="G138" s="71" t="inlineStr">
        <is>
          <t>108</t>
        </is>
      </c>
      <c r="H138" s="86" t="inlineStr">
        <is>
          <t>HIGHEST</t>
        </is>
      </c>
      <c r="I138" s="66" t="inlineStr">
        <is>
          <t>Mandatory Complier</t>
        </is>
      </c>
      <c r="J138" s="87" t="inlineStr">
        <is>
          <t>https://nca.gov.sa/</t>
        </is>
      </c>
    </row>
    <row r="139" ht="45" customHeight="1">
      <c r="A139" s="42" t="n">
        <v>138</v>
      </c>
      <c r="B139" s="411" t="inlineStr">
        <is>
          <t>PDPL-2021</t>
        </is>
      </c>
      <c r="C139" s="72" t="inlineStr">
        <is>
          <t>Personal Data Protection Law</t>
        </is>
      </c>
      <c r="D139" s="413" t="inlineStr">
        <is>
          <t>BHHC</t>
        </is>
      </c>
      <c r="E139" s="70" t="inlineStr">
        <is>
          <t>17. Regional Health Clusters</t>
        </is>
      </c>
      <c r="F139" s="70" t="inlineStr">
        <is>
          <t>2021+IR 2023</t>
        </is>
      </c>
      <c r="G139" s="71" t="inlineStr">
        <is>
          <t>45</t>
        </is>
      </c>
      <c r="H139" s="86" t="inlineStr">
        <is>
          <t>HIGHEST</t>
        </is>
      </c>
      <c r="I139" s="66" t="inlineStr">
        <is>
          <t>Mandatory Complier</t>
        </is>
      </c>
      <c r="J139" s="87" t="inlineStr">
        <is>
          <t>https://sdaia.gov.sa/</t>
        </is>
      </c>
    </row>
    <row r="140" ht="45" customHeight="1">
      <c r="A140" s="42" t="n">
        <v>139</v>
      </c>
      <c r="B140" s="411" t="inlineStr">
        <is>
          <t>NHIC-NABIDH</t>
        </is>
      </c>
      <c r="C140" s="72" t="inlineStr">
        <is>
          <t>NABIDH EHR Platform Standard</t>
        </is>
      </c>
      <c r="D140" s="413" t="inlineStr">
        <is>
          <t>BHHC</t>
        </is>
      </c>
      <c r="E140" s="70" t="inlineStr">
        <is>
          <t>17. Regional Health Clusters</t>
        </is>
      </c>
      <c r="F140" s="70" t="inlineStr">
        <is>
          <t>Mandatory 2024</t>
        </is>
      </c>
      <c r="G140" s="71" t="inlineStr">
        <is>
          <t>40</t>
        </is>
      </c>
      <c r="H140" s="86" t="inlineStr">
        <is>
          <t>HIGHEST</t>
        </is>
      </c>
      <c r="I140" s="66" t="inlineStr">
        <is>
          <t>Mandatory Complier</t>
        </is>
      </c>
      <c r="J140" s="87" t="inlineStr">
        <is>
          <t>https://nhic.gov.sa/</t>
        </is>
      </c>
    </row>
    <row r="141" ht="45" customHeight="1">
      <c r="A141" s="42" t="n">
        <v>140</v>
      </c>
      <c r="B141" s="411" t="inlineStr">
        <is>
          <t>NCA-OTCC</t>
        </is>
      </c>
      <c r="C141" s="72" t="inlineStr">
        <is>
          <t>OT Cybersecurity Controls</t>
        </is>
      </c>
      <c r="D141" s="413" t="inlineStr">
        <is>
          <t>BHHC</t>
        </is>
      </c>
      <c r="E141" s="70" t="inlineStr">
        <is>
          <t>17. Regional Health Clusters</t>
        </is>
      </c>
      <c r="F141" s="70" t="inlineStr">
        <is>
          <t>OTCC-1:2022</t>
        </is>
      </c>
      <c r="G141" s="71" t="inlineStr">
        <is>
          <t>53</t>
        </is>
      </c>
      <c r="H141" s="86" t="inlineStr">
        <is>
          <t>HIGHEST</t>
        </is>
      </c>
      <c r="I141" s="66" t="inlineStr">
        <is>
          <t>Mandatory Complier</t>
        </is>
      </c>
      <c r="J141" s="87" t="inlineStr">
        <is>
          <t>https://nca.gov.sa/</t>
        </is>
      </c>
    </row>
    <row r="142" ht="45" customHeight="1">
      <c r="A142" s="42" t="n">
        <v>141</v>
      </c>
      <c r="B142" s="18" t="inlineStr">
        <is>
          <t>CCC-1:2020</t>
        </is>
      </c>
      <c r="C142" s="20" t="inlineStr">
        <is>
          <t>Cloud Cybersecurity Controls</t>
        </is>
      </c>
      <c r="D142" s="37" t="inlineStr">
        <is>
          <t>NCA</t>
        </is>
      </c>
      <c r="E142" s="19" t="inlineStr">
        <is>
          <t>3. Cybersecurity &amp; Data</t>
        </is>
      </c>
      <c r="F142" s="19" t="inlineStr">
        <is>
          <t>CCC-1:2020</t>
        </is>
      </c>
      <c r="G142" s="21" t="inlineStr">
        <is>
          <t>67</t>
        </is>
      </c>
      <c r="H142" s="52" t="inlineStr">
        <is>
          <t>HIGH</t>
        </is>
      </c>
      <c r="I142" s="22" t="inlineStr">
        <is>
          <t>Mandatory Enforcer</t>
        </is>
      </c>
      <c r="J142" s="24" t="inlineStr">
        <is>
          <t>https://nca.gov.sa/ccc-en.pdf</t>
        </is>
      </c>
    </row>
    <row r="143" ht="45" customHeight="1">
      <c r="A143" s="42" t="n">
        <v>142</v>
      </c>
      <c r="B143" s="18" t="inlineStr">
        <is>
          <t>DCC-1:2022</t>
        </is>
      </c>
      <c r="C143" s="20" t="inlineStr">
        <is>
          <t>Data Cybersecurity Controls</t>
        </is>
      </c>
      <c r="D143" s="37" t="inlineStr">
        <is>
          <t>NCA</t>
        </is>
      </c>
      <c r="E143" s="19" t="inlineStr">
        <is>
          <t>3. Cybersecurity &amp; Data</t>
        </is>
      </c>
      <c r="F143" s="19" t="inlineStr">
        <is>
          <t>DCC-1:2022</t>
        </is>
      </c>
      <c r="G143" s="21" t="inlineStr">
        <is>
          <t>40</t>
        </is>
      </c>
      <c r="H143" s="52" t="inlineStr">
        <is>
          <t>HIGH</t>
        </is>
      </c>
      <c r="I143" s="22" t="inlineStr">
        <is>
          <t>Mandatory Enforcer</t>
        </is>
      </c>
      <c r="J143" s="24" t="inlineStr">
        <is>
          <t>https://nca.gov.sa/</t>
        </is>
      </c>
    </row>
    <row r="144" ht="45" customHeight="1">
      <c r="A144" s="42" t="n">
        <v>143</v>
      </c>
      <c r="B144" s="18" t="inlineStr">
        <is>
          <t>CSCC-1:2019</t>
        </is>
      </c>
      <c r="C144" s="20" t="inlineStr">
        <is>
          <t>Critical Systems Cybersecurity Controls</t>
        </is>
      </c>
      <c r="D144" s="37" t="inlineStr">
        <is>
          <t>NCA</t>
        </is>
      </c>
      <c r="E144" s="19" t="inlineStr">
        <is>
          <t>3. Cybersecurity &amp; Data</t>
        </is>
      </c>
      <c r="F144" s="19" t="inlineStr">
        <is>
          <t>CSCC-1:2019</t>
        </is>
      </c>
      <c r="G144" s="21" t="inlineStr">
        <is>
          <t>35</t>
        </is>
      </c>
      <c r="H144" s="52" t="inlineStr">
        <is>
          <t>HIGH</t>
        </is>
      </c>
      <c r="I144" s="22" t="inlineStr">
        <is>
          <t>Mandatory Enforcer</t>
        </is>
      </c>
      <c r="J144" s="24" t="inlineStr">
        <is>
          <t>https://nca.gov.sa/en/regulatory-documents/controls-list/cscc/</t>
        </is>
      </c>
    </row>
    <row r="145" ht="45" customHeight="1">
      <c r="A145" s="42" t="n">
        <v>144</v>
      </c>
      <c r="B145" s="18" t="inlineStr">
        <is>
          <t>NCS-1:2020</t>
        </is>
      </c>
      <c r="C145" s="20" t="inlineStr">
        <is>
          <t>National Cryptographic Standards</t>
        </is>
      </c>
      <c r="D145" s="37" t="inlineStr">
        <is>
          <t>NCA</t>
        </is>
      </c>
      <c r="E145" s="19" t="inlineStr">
        <is>
          <t>3. Cybersecurity &amp; Data</t>
        </is>
      </c>
      <c r="F145" s="19" t="inlineStr">
        <is>
          <t>NCS-1:2020</t>
        </is>
      </c>
      <c r="G145" s="21" t="inlineStr">
        <is>
          <t>22</t>
        </is>
      </c>
      <c r="H145" s="52" t="inlineStr">
        <is>
          <t>HIGH</t>
        </is>
      </c>
      <c r="I145" s="22" t="inlineStr">
        <is>
          <t>Mandatory Enforcer</t>
        </is>
      </c>
      <c r="J145" s="24" t="inlineStr">
        <is>
          <t>https://nca.gov.sa/en/regulatory-documents/frameworks-and-standard-list/ncs/</t>
        </is>
      </c>
    </row>
    <row r="146" ht="45" customHeight="1">
      <c r="A146" s="42" t="n">
        <v>145</v>
      </c>
      <c r="B146" s="18" t="inlineStr">
        <is>
          <t>SCyWF</t>
        </is>
      </c>
      <c r="C146" s="20" t="inlineStr">
        <is>
          <t>Saudi Cybersecurity Workforce Framework</t>
        </is>
      </c>
      <c r="D146" s="37" t="inlineStr">
        <is>
          <t>NCA</t>
        </is>
      </c>
      <c r="E146" s="19" t="inlineStr">
        <is>
          <t>3. Cybersecurity &amp; Data</t>
        </is>
      </c>
      <c r="F146" s="19" t="inlineStr">
        <is>
          <t>SCyWF updated 2024</t>
        </is>
      </c>
      <c r="G146" s="21" t="inlineStr">
        <is>
          <t>N/A</t>
        </is>
      </c>
      <c r="H146" s="52" t="inlineStr">
        <is>
          <t>HIGH</t>
        </is>
      </c>
      <c r="I146" s="22" t="inlineStr">
        <is>
          <t>Mandatory Enforcer</t>
        </is>
      </c>
      <c r="J146" s="24" t="inlineStr">
        <is>
          <t>https://nca.gov.sa/en/regulatory-documents/frameworks-and-standard-list/scywf/</t>
        </is>
      </c>
    </row>
    <row r="147" ht="45" customHeight="1">
      <c r="A147" s="42" t="n">
        <v>146</v>
      </c>
      <c r="B147" s="18" t="inlineStr">
        <is>
          <t>NDMO-DGF</t>
        </is>
      </c>
      <c r="C147" s="20" t="inlineStr">
        <is>
          <t>National Data Governance Framework</t>
        </is>
      </c>
      <c r="D147" s="37" t="inlineStr">
        <is>
          <t>SDAIA</t>
        </is>
      </c>
      <c r="E147" s="19" t="inlineStr">
        <is>
          <t>3. Cybersecurity &amp; Data</t>
        </is>
      </c>
      <c r="F147" s="19" t="inlineStr">
        <is>
          <t>2021 updated</t>
        </is>
      </c>
      <c r="G147" s="21" t="inlineStr">
        <is>
          <t>28</t>
        </is>
      </c>
      <c r="H147" s="52" t="inlineStr">
        <is>
          <t>HIGH</t>
        </is>
      </c>
      <c r="I147" s="22" t="inlineStr">
        <is>
          <t>Mandatory Enforcer</t>
        </is>
      </c>
      <c r="J147" s="24" t="inlineStr">
        <is>
          <t>https://sdaia.gov.sa/en/SDAIA/about/Pages/RegulationsAndPolicies.aspx</t>
        </is>
      </c>
    </row>
    <row r="148" ht="45" customHeight="1">
      <c r="A148" s="42" t="n">
        <v>147</v>
      </c>
      <c r="B148" s="18" t="inlineStr">
        <is>
          <t>NDMO-DCP</t>
        </is>
      </c>
      <c r="C148" s="20" t="inlineStr">
        <is>
          <t>Data Classification Policy</t>
        </is>
      </c>
      <c r="D148" s="37" t="inlineStr">
        <is>
          <t>SDAIA</t>
        </is>
      </c>
      <c r="E148" s="19" t="inlineStr">
        <is>
          <t>3. Cybersecurity &amp; Data</t>
        </is>
      </c>
      <c r="F148" s="19" t="inlineStr">
        <is>
          <t>2021</t>
        </is>
      </c>
      <c r="G148" s="21" t="inlineStr">
        <is>
          <t>15</t>
        </is>
      </c>
      <c r="H148" s="52" t="inlineStr">
        <is>
          <t>HIGH</t>
        </is>
      </c>
      <c r="I148" s="22" t="inlineStr">
        <is>
          <t>Mandatory Enforcer</t>
        </is>
      </c>
      <c r="J148" s="24" t="inlineStr">
        <is>
          <t>https://sdaia.gov.sa/en/SDAIA/about/Pages/RegulationsAndPolicies.aspx</t>
        </is>
      </c>
    </row>
    <row r="149" ht="45" customHeight="1">
      <c r="A149" s="42" t="n">
        <v>148</v>
      </c>
      <c r="B149" s="18" t="inlineStr">
        <is>
          <t>NDMO-NDGIR</t>
        </is>
      </c>
      <c r="C149" s="20" t="inlineStr">
        <is>
          <t>National Data Governance Interim Regulations</t>
        </is>
      </c>
      <c r="D149" s="37" t="inlineStr">
        <is>
          <t>SDAIA</t>
        </is>
      </c>
      <c r="E149" s="19" t="inlineStr">
        <is>
          <t>3. Cybersecurity &amp; Data</t>
        </is>
      </c>
      <c r="F149" s="19" t="inlineStr">
        <is>
          <t>2020</t>
        </is>
      </c>
      <c r="G149" s="21" t="inlineStr">
        <is>
          <t>N/A</t>
        </is>
      </c>
      <c r="H149" s="52" t="inlineStr">
        <is>
          <t>HIGH</t>
        </is>
      </c>
      <c r="I149" s="22" t="inlineStr">
        <is>
          <t>Mandatory Enforcer</t>
        </is>
      </c>
      <c r="J149" s="24" t="inlineStr">
        <is>
          <t>https://sdaia.gov.sa/en/SDAIA/about/Pages/RegulationsAndPolicies.aspx</t>
        </is>
      </c>
    </row>
    <row r="150" ht="45" customHeight="1">
      <c r="A150" s="42" t="n">
        <v>149</v>
      </c>
      <c r="B150" s="18" t="inlineStr">
        <is>
          <t>SDAIA-NSDAI</t>
        </is>
      </c>
      <c r="C150" s="20" t="inlineStr">
        <is>
          <t>National Strategy for Data &amp; AI</t>
        </is>
      </c>
      <c r="D150" s="37" t="inlineStr">
        <is>
          <t>SDAIA</t>
        </is>
      </c>
      <c r="E150" s="19" t="inlineStr">
        <is>
          <t>3. Cybersecurity &amp; Data</t>
        </is>
      </c>
      <c r="F150" s="19" t="inlineStr">
        <is>
          <t>2020-2030</t>
        </is>
      </c>
      <c r="G150" s="21" t="inlineStr">
        <is>
          <t>N/A</t>
        </is>
      </c>
      <c r="H150" s="52" t="inlineStr">
        <is>
          <t>HIGH</t>
        </is>
      </c>
      <c r="I150" s="64" t="inlineStr">
        <is>
          <t>Policy Setter</t>
        </is>
      </c>
      <c r="J150" s="24" t="inlineStr">
        <is>
          <t>https://sdaia.gov.sa/</t>
        </is>
      </c>
    </row>
    <row r="151" ht="45" customHeight="1">
      <c r="A151" s="42" t="n">
        <v>150</v>
      </c>
      <c r="B151" s="85" t="inlineStr">
        <is>
          <t>MOH-PR</t>
        </is>
      </c>
      <c r="C151" s="72" t="inlineStr">
        <is>
          <t>Patient Rights Charter</t>
        </is>
      </c>
      <c r="D151" s="50" t="inlineStr">
        <is>
          <t>MOH</t>
        </is>
      </c>
      <c r="E151" s="70" t="inlineStr">
        <is>
          <t>2. Healthcare &amp; Life Sciences</t>
        </is>
      </c>
      <c r="F151" s="70" t="inlineStr">
        <is>
          <t>2019</t>
        </is>
      </c>
      <c r="G151" s="71" t="inlineStr">
        <is>
          <t>45</t>
        </is>
      </c>
      <c r="H151" s="88" t="inlineStr">
        <is>
          <t>HIGH</t>
        </is>
      </c>
      <c r="I151" s="22" t="inlineStr">
        <is>
          <t>Mandatory Enforcer</t>
        </is>
      </c>
      <c r="J151" s="87" t="inlineStr">
        <is>
          <t>https://www.moh.gov.sa/en/</t>
        </is>
      </c>
    </row>
    <row r="152" ht="45" customHeight="1">
      <c r="A152" s="42" t="n">
        <v>151</v>
      </c>
      <c r="B152" s="85" t="inlineStr">
        <is>
          <t>MOH-PHILAW</t>
        </is>
      </c>
      <c r="C152" s="72" t="inlineStr">
        <is>
          <t>Private Health Institutions Law</t>
        </is>
      </c>
      <c r="D152" s="50" t="inlineStr">
        <is>
          <t>MOH</t>
        </is>
      </c>
      <c r="E152" s="70" t="inlineStr">
        <is>
          <t>2. Healthcare &amp; Life Sciences</t>
        </is>
      </c>
      <c r="F152" s="70" t="inlineStr">
        <is>
          <t>2024 updated</t>
        </is>
      </c>
      <c r="G152" s="71" t="inlineStr">
        <is>
          <t>35</t>
        </is>
      </c>
      <c r="H152" s="88" t="inlineStr">
        <is>
          <t>HIGH</t>
        </is>
      </c>
      <c r="I152" s="22" t="inlineStr">
        <is>
          <t>Mandatory Enforcer</t>
        </is>
      </c>
      <c r="J152" s="87" t="inlineStr">
        <is>
          <t>https://www.moh.gov.sa/en/Ministry/Rules/Pages/default.aspx</t>
        </is>
      </c>
    </row>
    <row r="153" ht="45" customHeight="1">
      <c r="A153" s="42" t="n">
        <v>152</v>
      </c>
      <c r="B153" s="85" t="inlineStr">
        <is>
          <t>MOH-NHIS</t>
        </is>
      </c>
      <c r="C153" s="72" t="inlineStr">
        <is>
          <t>National Health Insurance Standards</t>
        </is>
      </c>
      <c r="D153" s="50" t="inlineStr">
        <is>
          <t>MOH</t>
        </is>
      </c>
      <c r="E153" s="70" t="inlineStr">
        <is>
          <t>2. Healthcare &amp; Life Sciences</t>
        </is>
      </c>
      <c r="F153" s="70" t="inlineStr">
        <is>
          <t>2024</t>
        </is>
      </c>
      <c r="G153" s="71" t="inlineStr">
        <is>
          <t>30</t>
        </is>
      </c>
      <c r="H153" s="88" t="inlineStr">
        <is>
          <t>HIGH</t>
        </is>
      </c>
      <c r="I153" s="22" t="inlineStr">
        <is>
          <t>Mandatory Enforcer</t>
        </is>
      </c>
      <c r="J153" s="87" t="inlineStr">
        <is>
          <t>https://www.moh.gov.sa/en/</t>
        </is>
      </c>
    </row>
    <row r="154" ht="45" customHeight="1">
      <c r="A154" s="42" t="n">
        <v>153</v>
      </c>
      <c r="B154" s="85" t="inlineStr">
        <is>
          <t>MOH-HAJHLT</t>
        </is>
      </c>
      <c r="C154" s="72" t="inlineStr">
        <is>
          <t>Hajj &amp; Umrah Health Standards</t>
        </is>
      </c>
      <c r="D154" s="50" t="inlineStr">
        <is>
          <t>MOH</t>
        </is>
      </c>
      <c r="E154" s="70" t="inlineStr">
        <is>
          <t>2. Healthcare &amp; Life Sciences</t>
        </is>
      </c>
      <c r="F154" s="70" t="inlineStr">
        <is>
          <t>Annual</t>
        </is>
      </c>
      <c r="G154" s="71" t="inlineStr">
        <is>
          <t>25</t>
        </is>
      </c>
      <c r="H154" s="88" t="inlineStr">
        <is>
          <t>HIGH</t>
        </is>
      </c>
      <c r="I154" s="22" t="inlineStr">
        <is>
          <t>Mandatory Enforcer</t>
        </is>
      </c>
      <c r="J154" s="87" t="inlineStr">
        <is>
          <t>https://www.moh.gov.sa/en/</t>
        </is>
      </c>
    </row>
    <row r="155" ht="45" customHeight="1">
      <c r="A155" s="42" t="n">
        <v>154</v>
      </c>
      <c r="B155" s="85" t="inlineStr">
        <is>
          <t>NCA-DCC</t>
        </is>
      </c>
      <c r="C155" s="72" t="inlineStr">
        <is>
          <t>Data Cybersecurity Controls</t>
        </is>
      </c>
      <c r="D155" s="50" t="inlineStr">
        <is>
          <t>MOH</t>
        </is>
      </c>
      <c r="E155" s="70" t="inlineStr">
        <is>
          <t>2. Healthcare &amp; Life Sciences</t>
        </is>
      </c>
      <c r="F155" s="70" t="inlineStr">
        <is>
          <t>DCC-1:2022</t>
        </is>
      </c>
      <c r="G155" s="71" t="inlineStr">
        <is>
          <t>40</t>
        </is>
      </c>
      <c r="H155" s="88" t="inlineStr">
        <is>
          <t>HIGH</t>
        </is>
      </c>
      <c r="I155" s="66" t="inlineStr">
        <is>
          <t>Mandatory Complier</t>
        </is>
      </c>
      <c r="J155" s="87" t="inlineStr">
        <is>
          <t>https://nca.gov.sa/</t>
        </is>
      </c>
    </row>
    <row r="156" ht="45" customHeight="1">
      <c r="A156" s="42" t="n">
        <v>155</v>
      </c>
      <c r="B156" s="85" t="inlineStr">
        <is>
          <t>SFDA-GMP</t>
        </is>
      </c>
      <c r="C156" s="72" t="inlineStr">
        <is>
          <t>Good Manufacturing Practice</t>
        </is>
      </c>
      <c r="D156" s="50" t="inlineStr">
        <is>
          <t>SFDA</t>
        </is>
      </c>
      <c r="E156" s="70" t="inlineStr">
        <is>
          <t>2. Healthcare &amp; Life Sciences</t>
        </is>
      </c>
      <c r="F156" s="70" t="inlineStr">
        <is>
          <t>Updated 2021</t>
        </is>
      </c>
      <c r="G156" s="71" t="inlineStr">
        <is>
          <t>68</t>
        </is>
      </c>
      <c r="H156" s="88" t="inlineStr">
        <is>
          <t>HIGH</t>
        </is>
      </c>
      <c r="I156" s="22" t="inlineStr">
        <is>
          <t>Mandatory Enforcer</t>
        </is>
      </c>
      <c r="J156" s="87" t="inlineStr">
        <is>
          <t>https://www.sfda.gov.sa/en</t>
        </is>
      </c>
    </row>
    <row r="157" ht="45" customHeight="1">
      <c r="A157" s="42" t="n">
        <v>156</v>
      </c>
      <c r="B157" s="85" t="inlineStr">
        <is>
          <t>SFDA-CT</t>
        </is>
      </c>
      <c r="C157" s="72" t="inlineStr">
        <is>
          <t>Clinical Trial Regulations</t>
        </is>
      </c>
      <c r="D157" s="50" t="inlineStr">
        <is>
          <t>SFDA</t>
        </is>
      </c>
      <c r="E157" s="70" t="inlineStr">
        <is>
          <t>2. Healthcare &amp; Life Sciences</t>
        </is>
      </c>
      <c r="F157" s="70" t="inlineStr">
        <is>
          <t>Updated 2025</t>
        </is>
      </c>
      <c r="G157" s="71" t="inlineStr">
        <is>
          <t>40</t>
        </is>
      </c>
      <c r="H157" s="88" t="inlineStr">
        <is>
          <t>HIGH</t>
        </is>
      </c>
      <c r="I157" s="22" t="inlineStr">
        <is>
          <t>Mandatory Enforcer</t>
        </is>
      </c>
      <c r="J157" s="87" t="inlineStr">
        <is>
          <t>https://www.sfda.gov.sa/en</t>
        </is>
      </c>
    </row>
    <row r="158" ht="45" customHeight="1">
      <c r="A158" s="42" t="n">
        <v>157</v>
      </c>
      <c r="B158" s="85" t="inlineStr">
        <is>
          <t>PDPL-2021</t>
        </is>
      </c>
      <c r="C158" s="72" t="inlineStr">
        <is>
          <t>Personal Data Protection Law</t>
        </is>
      </c>
      <c r="D158" s="50" t="inlineStr">
        <is>
          <t>SFDA</t>
        </is>
      </c>
      <c r="E158" s="70" t="inlineStr">
        <is>
          <t>2. Healthcare &amp; Life Sciences</t>
        </is>
      </c>
      <c r="F158" s="70" t="inlineStr">
        <is>
          <t>2021+IR 2023</t>
        </is>
      </c>
      <c r="G158" s="71" t="inlineStr">
        <is>
          <t>45</t>
        </is>
      </c>
      <c r="H158" s="88" t="inlineStr">
        <is>
          <t>HIGH</t>
        </is>
      </c>
      <c r="I158" s="66" t="inlineStr">
        <is>
          <t>Mandatory Complier</t>
        </is>
      </c>
      <c r="J158" s="87" t="inlineStr">
        <is>
          <t>https://sdaia.gov.sa/</t>
        </is>
      </c>
    </row>
    <row r="159" ht="45" customHeight="1">
      <c r="A159" s="42" t="n">
        <v>158</v>
      </c>
      <c r="B159" s="85" t="inlineStr">
        <is>
          <t>CBAHI-HAS-PHC</t>
        </is>
      </c>
      <c r="C159" s="72" t="inlineStr">
        <is>
          <t>Primary Health Care Accreditation Standards</t>
        </is>
      </c>
      <c r="D159" s="50" t="inlineStr">
        <is>
          <t>CBAHI</t>
        </is>
      </c>
      <c r="E159" s="70" t="inlineStr">
        <is>
          <t>2. Healthcare &amp; Life Sciences</t>
        </is>
      </c>
      <c r="F159" s="70" t="inlineStr">
        <is>
          <t>3rd Edition 2020</t>
        </is>
      </c>
      <c r="G159" s="71" t="inlineStr">
        <is>
          <t>145</t>
        </is>
      </c>
      <c r="H159" s="88" t="inlineStr">
        <is>
          <t>HIGH</t>
        </is>
      </c>
      <c r="I159" s="92" t="inlineStr">
        <is>
          <t>Voluntary</t>
        </is>
      </c>
      <c r="J159" s="87" t="inlineStr">
        <is>
          <t>https://www.cbahi.gov.sa/</t>
        </is>
      </c>
    </row>
    <row r="160" ht="45" customHeight="1">
      <c r="A160" s="42" t="n">
        <v>159</v>
      </c>
      <c r="B160" s="85" t="inlineStr">
        <is>
          <t>CBAHI-HAS-LAB</t>
        </is>
      </c>
      <c r="C160" s="72" t="inlineStr">
        <is>
          <t>Laboratory Accreditation Standards</t>
        </is>
      </c>
      <c r="D160" s="50" t="inlineStr">
        <is>
          <t>CBAHI</t>
        </is>
      </c>
      <c r="E160" s="70" t="inlineStr">
        <is>
          <t>2. Healthcare &amp; Life Sciences</t>
        </is>
      </c>
      <c r="F160" s="70" t="inlineStr">
        <is>
          <t>2nd Edition 2019</t>
        </is>
      </c>
      <c r="G160" s="71" t="inlineStr">
        <is>
          <t>80</t>
        </is>
      </c>
      <c r="H160" s="88" t="inlineStr">
        <is>
          <t>HIGH</t>
        </is>
      </c>
      <c r="I160" s="92" t="inlineStr">
        <is>
          <t>Voluntary</t>
        </is>
      </c>
      <c r="J160" s="87" t="inlineStr">
        <is>
          <t>https://www.cbahi.gov.sa/</t>
        </is>
      </c>
    </row>
    <row r="161" ht="45" customHeight="1">
      <c r="A161" s="42" t="n">
        <v>160</v>
      </c>
      <c r="B161" s="85" t="inlineStr">
        <is>
          <t>CBAHI-HAS-LTC</t>
        </is>
      </c>
      <c r="C161" s="72" t="inlineStr">
        <is>
          <t>Long-Term Care Standards</t>
        </is>
      </c>
      <c r="D161" s="50" t="inlineStr">
        <is>
          <t>CBAHI</t>
        </is>
      </c>
      <c r="E161" s="70" t="inlineStr">
        <is>
          <t>2. Healthcare &amp; Life Sciences</t>
        </is>
      </c>
      <c r="F161" s="70" t="inlineStr">
        <is>
          <t>1st Edition 2018</t>
        </is>
      </c>
      <c r="G161" s="71" t="inlineStr">
        <is>
          <t>90</t>
        </is>
      </c>
      <c r="H161" s="88" t="inlineStr">
        <is>
          <t>HIGH</t>
        </is>
      </c>
      <c r="I161" s="92" t="inlineStr">
        <is>
          <t>Voluntary</t>
        </is>
      </c>
      <c r="J161" s="87" t="inlineStr">
        <is>
          <t>https://www.cbahi.gov.sa/</t>
        </is>
      </c>
    </row>
    <row r="162" ht="45" customHeight="1">
      <c r="A162" s="42" t="n">
        <v>161</v>
      </c>
      <c r="B162" s="85" t="inlineStr">
        <is>
          <t>CBAHI-HAS-AMB</t>
        </is>
      </c>
      <c r="C162" s="72" t="inlineStr">
        <is>
          <t>Ambulatory Care Standards</t>
        </is>
      </c>
      <c r="D162" s="50" t="inlineStr">
        <is>
          <t>CBAHI</t>
        </is>
      </c>
      <c r="E162" s="70" t="inlineStr">
        <is>
          <t>2. Healthcare &amp; Life Sciences</t>
        </is>
      </c>
      <c r="F162" s="70" t="inlineStr">
        <is>
          <t>2nd Edition 2019</t>
        </is>
      </c>
      <c r="G162" s="71" t="inlineStr">
        <is>
          <t>75</t>
        </is>
      </c>
      <c r="H162" s="88" t="inlineStr">
        <is>
          <t>HIGH</t>
        </is>
      </c>
      <c r="I162" s="92" t="inlineStr">
        <is>
          <t>Voluntary</t>
        </is>
      </c>
      <c r="J162" s="87" t="inlineStr">
        <is>
          <t>https://www.cbahi.gov.sa/</t>
        </is>
      </c>
    </row>
    <row r="163" ht="45" customHeight="1">
      <c r="A163" s="42" t="n">
        <v>162</v>
      </c>
      <c r="B163" s="85" t="inlineStr">
        <is>
          <t>NCA-ECC-2:2024</t>
        </is>
      </c>
      <c r="C163" s="72" t="inlineStr">
        <is>
          <t>Essential Cybersecurity Controls</t>
        </is>
      </c>
      <c r="D163" s="50" t="inlineStr">
        <is>
          <t>CBAHI</t>
        </is>
      </c>
      <c r="E163" s="70" t="inlineStr">
        <is>
          <t>2. Healthcare &amp; Life Sciences</t>
        </is>
      </c>
      <c r="F163" s="70" t="inlineStr">
        <is>
          <t>ECC-2:2024</t>
        </is>
      </c>
      <c r="G163" s="71" t="inlineStr">
        <is>
          <t>108</t>
        </is>
      </c>
      <c r="H163" s="88" t="inlineStr">
        <is>
          <t>HIGH</t>
        </is>
      </c>
      <c r="I163" s="66" t="inlineStr">
        <is>
          <t>Mandatory Complier</t>
        </is>
      </c>
      <c r="J163" s="87" t="inlineStr">
        <is>
          <t>https://nca.gov.sa/</t>
        </is>
      </c>
    </row>
    <row r="164" ht="45" customHeight="1">
      <c r="A164" s="42" t="n">
        <v>163</v>
      </c>
      <c r="B164" s="85" t="inlineStr">
        <is>
          <t>MOH-HIS</t>
        </is>
      </c>
      <c r="C164" s="72" t="inlineStr">
        <is>
          <t>Health Information System Standards</t>
        </is>
      </c>
      <c r="D164" s="50" t="inlineStr">
        <is>
          <t>CBAHI</t>
        </is>
      </c>
      <c r="E164" s="70" t="inlineStr">
        <is>
          <t>2. Healthcare &amp; Life Sciences</t>
        </is>
      </c>
      <c r="F164" s="70" t="inlineStr">
        <is>
          <t>2024 update</t>
        </is>
      </c>
      <c r="G164" s="71" t="inlineStr">
        <is>
          <t>112</t>
        </is>
      </c>
      <c r="H164" s="88" t="inlineStr">
        <is>
          <t>HIGH</t>
        </is>
      </c>
      <c r="I164" s="66" t="inlineStr">
        <is>
          <t>Mandatory Complier</t>
        </is>
      </c>
      <c r="J164" s="87" t="inlineStr">
        <is>
          <t>https://www.moh.gov.sa/en/</t>
        </is>
      </c>
    </row>
    <row r="165" ht="45" customHeight="1">
      <c r="A165" s="42" t="n">
        <v>164</v>
      </c>
      <c r="B165" s="85" t="inlineStr">
        <is>
          <t>SCFHS-PLF</t>
        </is>
      </c>
      <c r="C165" s="72" t="inlineStr">
        <is>
          <t>Professional Licensing Framework</t>
        </is>
      </c>
      <c r="D165" s="50" t="inlineStr">
        <is>
          <t>SCFHS</t>
        </is>
      </c>
      <c r="E165" s="70" t="inlineStr">
        <is>
          <t>2. Healthcare &amp; Life Sciences</t>
        </is>
      </c>
      <c r="F165" s="70" t="inlineStr">
        <is>
          <t>Updated 2024</t>
        </is>
      </c>
      <c r="G165" s="71" t="inlineStr">
        <is>
          <t>N/A</t>
        </is>
      </c>
      <c r="H165" s="88" t="inlineStr">
        <is>
          <t>HIGH</t>
        </is>
      </c>
      <c r="I165" s="22" t="inlineStr">
        <is>
          <t>Mandatory Enforcer</t>
        </is>
      </c>
      <c r="J165" s="87" t="inlineStr">
        <is>
          <t>https://scfhs.org.sa/en</t>
        </is>
      </c>
    </row>
    <row r="166" ht="45" customHeight="1">
      <c r="A166" s="42" t="n">
        <v>165</v>
      </c>
      <c r="B166" s="85" t="inlineStr">
        <is>
          <t>SCFHS-CPD</t>
        </is>
      </c>
      <c r="C166" s="72" t="inlineStr">
        <is>
          <t>CPD Framework</t>
        </is>
      </c>
      <c r="D166" s="50" t="inlineStr">
        <is>
          <t>SCFHS</t>
        </is>
      </c>
      <c r="E166" s="70" t="inlineStr">
        <is>
          <t>2. Healthcare &amp; Life Sciences</t>
        </is>
      </c>
      <c r="F166" s="70" t="inlineStr">
        <is>
          <t>Updated 2024</t>
        </is>
      </c>
      <c r="G166" s="71" t="inlineStr">
        <is>
          <t>N/A</t>
        </is>
      </c>
      <c r="H166" s="88" t="inlineStr">
        <is>
          <t>HIGH</t>
        </is>
      </c>
      <c r="I166" s="22" t="inlineStr">
        <is>
          <t>Mandatory Enforcer</t>
        </is>
      </c>
      <c r="J166" s="87" t="inlineStr">
        <is>
          <t>https://scfhs.org.sa/en</t>
        </is>
      </c>
    </row>
    <row r="167" ht="45" customHeight="1">
      <c r="A167" s="42" t="n">
        <v>166</v>
      </c>
      <c r="B167" s="85" t="inlineStr">
        <is>
          <t>CCHI-HIR</t>
        </is>
      </c>
      <c r="C167" s="72" t="inlineStr">
        <is>
          <t>Cooperative Health Insurance Law &amp; Regulations</t>
        </is>
      </c>
      <c r="D167" s="50" t="inlineStr">
        <is>
          <t>CCHI</t>
        </is>
      </c>
      <c r="E167" s="70" t="inlineStr">
        <is>
          <t>2. Healthcare &amp; Life Sciences</t>
        </is>
      </c>
      <c r="F167" s="70" t="inlineStr">
        <is>
          <t>Updated 2024</t>
        </is>
      </c>
      <c r="G167" s="71" t="inlineStr">
        <is>
          <t>50</t>
        </is>
      </c>
      <c r="H167" s="88" t="inlineStr">
        <is>
          <t>HIGH</t>
        </is>
      </c>
      <c r="I167" s="22" t="inlineStr">
        <is>
          <t>Mandatory Enforcer</t>
        </is>
      </c>
      <c r="J167" s="87" t="inlineStr">
        <is>
          <t>https://cchi.gov.sa/</t>
        </is>
      </c>
    </row>
    <row r="168" ht="45" customHeight="1">
      <c r="A168" s="42" t="n">
        <v>167</v>
      </c>
      <c r="B168" s="85" t="inlineStr">
        <is>
          <t>CCHI-UBP</t>
        </is>
      </c>
      <c r="C168" s="72" t="inlineStr">
        <is>
          <t>Unified Health Benefits Package</t>
        </is>
      </c>
      <c r="D168" s="50" t="inlineStr">
        <is>
          <t>CCHI</t>
        </is>
      </c>
      <c r="E168" s="70" t="inlineStr">
        <is>
          <t>2. Healthcare &amp; Life Sciences</t>
        </is>
      </c>
      <c r="F168" s="70" t="inlineStr">
        <is>
          <t>2024-2025</t>
        </is>
      </c>
      <c r="G168" s="71" t="inlineStr">
        <is>
          <t>35</t>
        </is>
      </c>
      <c r="H168" s="88" t="inlineStr">
        <is>
          <t>HIGH</t>
        </is>
      </c>
      <c r="I168" s="22" t="inlineStr">
        <is>
          <t>Mandatory Enforcer</t>
        </is>
      </c>
      <c r="J168" s="87" t="inlineStr">
        <is>
          <t>https://cchi.gov.sa/</t>
        </is>
      </c>
    </row>
    <row r="169" ht="45" customHeight="1">
      <c r="A169" s="42" t="n">
        <v>168</v>
      </c>
      <c r="B169" s="85" t="inlineStr">
        <is>
          <t>NCA-ECC-2:2024</t>
        </is>
      </c>
      <c r="C169" s="72" t="inlineStr">
        <is>
          <t>Essential Cybersecurity Controls</t>
        </is>
      </c>
      <c r="D169" s="50" t="inlineStr">
        <is>
          <t>CCHI</t>
        </is>
      </c>
      <c r="E169" s="70" t="inlineStr">
        <is>
          <t>2. Healthcare &amp; Life Sciences</t>
        </is>
      </c>
      <c r="F169" s="70" t="inlineStr">
        <is>
          <t>ECC-2:2024</t>
        </is>
      </c>
      <c r="G169" s="71" t="inlineStr">
        <is>
          <t>108</t>
        </is>
      </c>
      <c r="H169" s="88" t="inlineStr">
        <is>
          <t>HIGH</t>
        </is>
      </c>
      <c r="I169" s="66" t="inlineStr">
        <is>
          <t>Mandatory Complier</t>
        </is>
      </c>
      <c r="J169" s="87" t="inlineStr">
        <is>
          <t>https://nca.gov.sa/</t>
        </is>
      </c>
    </row>
    <row r="170" ht="45" customHeight="1">
      <c r="A170" s="42" t="n">
        <v>169</v>
      </c>
      <c r="B170" s="85" t="inlineStr">
        <is>
          <t>PDPL-2021</t>
        </is>
      </c>
      <c r="C170" s="72" t="inlineStr">
        <is>
          <t>Personal Data Protection Law</t>
        </is>
      </c>
      <c r="D170" s="50" t="inlineStr">
        <is>
          <t>CCHI</t>
        </is>
      </c>
      <c r="E170" s="70" t="inlineStr">
        <is>
          <t>2. Healthcare &amp; Life Sciences</t>
        </is>
      </c>
      <c r="F170" s="70" t="inlineStr">
        <is>
          <t>2021+IR 2023</t>
        </is>
      </c>
      <c r="G170" s="71" t="inlineStr">
        <is>
          <t>45</t>
        </is>
      </c>
      <c r="H170" s="88" t="inlineStr">
        <is>
          <t>HIGH</t>
        </is>
      </c>
      <c r="I170" s="66" t="inlineStr">
        <is>
          <t>Mandatory Complier</t>
        </is>
      </c>
      <c r="J170" s="87" t="inlineStr">
        <is>
          <t>https://sdaia.gov.sa/</t>
        </is>
      </c>
    </row>
    <row r="171" ht="45" customHeight="1">
      <c r="A171" s="42" t="n">
        <v>170</v>
      </c>
      <c r="B171" s="85" t="inlineStr">
        <is>
          <t>SAMA-CSF</t>
        </is>
      </c>
      <c r="C171" s="72" t="inlineStr">
        <is>
          <t>SAMA Cybersecurity Framework</t>
        </is>
      </c>
      <c r="D171" s="50" t="inlineStr">
        <is>
          <t>CCHI</t>
        </is>
      </c>
      <c r="E171" s="70" t="inlineStr">
        <is>
          <t>2. Healthcare &amp; Life Sciences</t>
        </is>
      </c>
      <c r="F171" s="70" t="inlineStr">
        <is>
          <t>2017</t>
        </is>
      </c>
      <c r="G171" s="71" t="inlineStr">
        <is>
          <t>114</t>
        </is>
      </c>
      <c r="H171" s="88" t="inlineStr">
        <is>
          <t>HIGH</t>
        </is>
      </c>
      <c r="I171" s="66" t="inlineStr">
        <is>
          <t>Mandatory Complier</t>
        </is>
      </c>
      <c r="J171" s="87" t="inlineStr">
        <is>
          <t>https://www.sama.gov.sa/</t>
        </is>
      </c>
    </row>
    <row r="172" ht="45" customHeight="1">
      <c r="A172" s="42" t="n">
        <v>171</v>
      </c>
      <c r="B172" s="85" t="inlineStr">
        <is>
          <t>SHC-QF</t>
        </is>
      </c>
      <c r="C172" s="72" t="inlineStr">
        <is>
          <t>Saudi Health Quality Framework</t>
        </is>
      </c>
      <c r="D172" s="50" t="inlineStr">
        <is>
          <t>SHC</t>
        </is>
      </c>
      <c r="E172" s="70" t="inlineStr">
        <is>
          <t>2. Healthcare &amp; Life Sciences</t>
        </is>
      </c>
      <c r="F172" s="70" t="inlineStr">
        <is>
          <t>Updated 2022</t>
        </is>
      </c>
      <c r="G172" s="71" t="inlineStr">
        <is>
          <t>N/A</t>
        </is>
      </c>
      <c r="H172" s="88" t="inlineStr">
        <is>
          <t>HIGH</t>
        </is>
      </c>
      <c r="I172" s="64" t="inlineStr">
        <is>
          <t>Policy Setter</t>
        </is>
      </c>
      <c r="J172" s="87" t="inlineStr">
        <is>
          <t>https://shc.org.sa/</t>
        </is>
      </c>
    </row>
    <row r="173" ht="45" customHeight="1">
      <c r="A173" s="42" t="n">
        <v>172</v>
      </c>
      <c r="B173" s="85" t="inlineStr">
        <is>
          <t>SHC-PRIV</t>
        </is>
      </c>
      <c r="C173" s="72" t="inlineStr">
        <is>
          <t>Health Sector Privatisation Framework</t>
        </is>
      </c>
      <c r="D173" s="50" t="inlineStr">
        <is>
          <t>SHC</t>
        </is>
      </c>
      <c r="E173" s="70" t="inlineStr">
        <is>
          <t>2. Healthcare &amp; Life Sciences</t>
        </is>
      </c>
      <c r="F173" s="70" t="inlineStr">
        <is>
          <t>Active</t>
        </is>
      </c>
      <c r="G173" s="71" t="inlineStr">
        <is>
          <t>N/A</t>
        </is>
      </c>
      <c r="H173" s="88" t="inlineStr">
        <is>
          <t>HIGH</t>
        </is>
      </c>
      <c r="I173" s="64" t="inlineStr">
        <is>
          <t>Policy Setter</t>
        </is>
      </c>
      <c r="J173" s="87" t="inlineStr">
        <is>
          <t>https://shc.org.sa/</t>
        </is>
      </c>
    </row>
    <row r="174" ht="45" customHeight="1">
      <c r="A174" s="42" t="n">
        <v>173</v>
      </c>
      <c r="B174" s="85" t="inlineStr">
        <is>
          <t>NCA-ECC-2:2024</t>
        </is>
      </c>
      <c r="C174" s="72" t="inlineStr">
        <is>
          <t>Essential Cybersecurity Controls</t>
        </is>
      </c>
      <c r="D174" s="50" t="inlineStr">
        <is>
          <t>SHC</t>
        </is>
      </c>
      <c r="E174" s="70" t="inlineStr">
        <is>
          <t>2. Healthcare &amp; Life Sciences</t>
        </is>
      </c>
      <c r="F174" s="70" t="inlineStr">
        <is>
          <t>ECC-2:2024</t>
        </is>
      </c>
      <c r="G174" s="71" t="inlineStr">
        <is>
          <t>108</t>
        </is>
      </c>
      <c r="H174" s="88" t="inlineStr">
        <is>
          <t>HIGH</t>
        </is>
      </c>
      <c r="I174" s="66" t="inlineStr">
        <is>
          <t>Mandatory Complier</t>
        </is>
      </c>
      <c r="J174" s="87" t="inlineStr">
        <is>
          <t>https://nca.gov.sa/</t>
        </is>
      </c>
    </row>
    <row r="175" ht="45" customHeight="1">
      <c r="A175" s="42" t="n">
        <v>174</v>
      </c>
      <c r="B175" s="85" t="inlineStr">
        <is>
          <t>NHIC-HDS</t>
        </is>
      </c>
      <c r="C175" s="72" t="inlineStr">
        <is>
          <t>National Health Data Standards</t>
        </is>
      </c>
      <c r="D175" s="50" t="inlineStr">
        <is>
          <t>NHIC</t>
        </is>
      </c>
      <c r="E175" s="70" t="inlineStr">
        <is>
          <t>2. Healthcare &amp; Life Sciences</t>
        </is>
      </c>
      <c r="F175" s="70" t="inlineStr">
        <is>
          <t>2022 update</t>
        </is>
      </c>
      <c r="G175" s="71" t="inlineStr">
        <is>
          <t>30</t>
        </is>
      </c>
      <c r="H175" s="88" t="inlineStr">
        <is>
          <t>HIGH</t>
        </is>
      </c>
      <c r="I175" s="22" t="inlineStr">
        <is>
          <t>Mandatory Enforcer</t>
        </is>
      </c>
      <c r="J175" s="87" t="inlineStr">
        <is>
          <t>https://nhic.gov.sa/</t>
        </is>
      </c>
    </row>
    <row r="176" ht="45" customHeight="1">
      <c r="A176" s="42" t="n">
        <v>175</v>
      </c>
      <c r="B176" s="85" t="inlineStr">
        <is>
          <t>NHIC-CODES</t>
        </is>
      </c>
      <c r="C176" s="72" t="inlineStr">
        <is>
          <t>Clinical Coding Standards (ICD-10, SNOMED)</t>
        </is>
      </c>
      <c r="D176" s="50" t="inlineStr">
        <is>
          <t>NHIC</t>
        </is>
      </c>
      <c r="E176" s="70" t="inlineStr">
        <is>
          <t>2. Healthcare &amp; Life Sciences</t>
        </is>
      </c>
      <c r="F176" s="70" t="inlineStr">
        <is>
          <t>Updated 2022</t>
        </is>
      </c>
      <c r="G176" s="71" t="inlineStr">
        <is>
          <t>N/A</t>
        </is>
      </c>
      <c r="H176" s="88" t="inlineStr">
        <is>
          <t>HIGH</t>
        </is>
      </c>
      <c r="I176" s="22" t="inlineStr">
        <is>
          <t>Mandatory Enforcer</t>
        </is>
      </c>
      <c r="J176" s="87" t="inlineStr">
        <is>
          <t>https://nhic.gov.sa/</t>
        </is>
      </c>
    </row>
    <row r="177" ht="45" customHeight="1">
      <c r="A177" s="42" t="n">
        <v>176</v>
      </c>
      <c r="B177" s="120" t="inlineStr">
        <is>
          <t>CST-TITA</t>
        </is>
      </c>
      <c r="C177" s="122" t="inlineStr">
        <is>
          <t>Telecommunications &amp; IT Act</t>
        </is>
      </c>
      <c r="D177" s="125" t="inlineStr">
        <is>
          <t>CST</t>
        </is>
      </c>
      <c r="E177" s="121" t="inlineStr">
        <is>
          <t>4. ICT / Digital / Telecom</t>
        </is>
      </c>
      <c r="F177" s="121" t="inlineStr">
        <is>
          <t>Updated 2022</t>
        </is>
      </c>
      <c r="G177" s="123" t="inlineStr">
        <is>
          <t>N/A</t>
        </is>
      </c>
      <c r="H177" s="124" t="inlineStr">
        <is>
          <t>HIGH</t>
        </is>
      </c>
      <c r="I177" s="22" t="inlineStr">
        <is>
          <t>Mandatory Enforcer</t>
        </is>
      </c>
      <c r="J177" s="125" t="inlineStr">
        <is>
          <t>https://www.cst.gov.sa/en</t>
        </is>
      </c>
    </row>
    <row r="178" ht="45" customHeight="1">
      <c r="A178" s="42" t="n">
        <v>177</v>
      </c>
      <c r="B178" s="120" t="inlineStr">
        <is>
          <t>CST-CSRF</t>
        </is>
      </c>
      <c r="C178" s="122" t="inlineStr">
        <is>
          <t>Cybersecurity Regulatory Framework for ICT</t>
        </is>
      </c>
      <c r="D178" s="125" t="inlineStr">
        <is>
          <t>CST</t>
        </is>
      </c>
      <c r="E178" s="121" t="inlineStr">
        <is>
          <t>4. ICT / Digital / Telecom</t>
        </is>
      </c>
      <c r="F178" s="121" t="inlineStr">
        <is>
          <t>Version 1.0 June 2020</t>
        </is>
      </c>
      <c r="G178" s="123" t="inlineStr">
        <is>
          <t>45</t>
        </is>
      </c>
      <c r="H178" s="124" t="inlineStr">
        <is>
          <t>HIGH</t>
        </is>
      </c>
      <c r="I178" s="22" t="inlineStr">
        <is>
          <t>Mandatory Enforcer</t>
        </is>
      </c>
      <c r="J178" s="125" t="inlineStr">
        <is>
          <t>https://www.cst.gov.sa/en</t>
        </is>
      </c>
    </row>
    <row r="179" ht="45" customHeight="1">
      <c r="A179" s="42" t="n">
        <v>178</v>
      </c>
      <c r="B179" s="120" t="inlineStr">
        <is>
          <t>CST-CYBER-OPS</t>
        </is>
      </c>
      <c r="C179" s="122" t="inlineStr">
        <is>
          <t>Cybersecurity Operations Regulations (ICT)</t>
        </is>
      </c>
      <c r="D179" s="125" t="inlineStr">
        <is>
          <t>CST</t>
        </is>
      </c>
      <c r="E179" s="121" t="inlineStr">
        <is>
          <t>4. ICT / Digital / Telecom</t>
        </is>
      </c>
      <c r="F179" s="121" t="inlineStr">
        <is>
          <t>1 Aug 2022</t>
        </is>
      </c>
      <c r="G179" s="123" t="inlineStr">
        <is>
          <t>35</t>
        </is>
      </c>
      <c r="H179" s="124" t="inlineStr">
        <is>
          <t>HIGH</t>
        </is>
      </c>
      <c r="I179" s="22" t="inlineStr">
        <is>
          <t>Mandatory Enforcer</t>
        </is>
      </c>
      <c r="J179" s="125" t="inlineStr">
        <is>
          <t>https://www.cst.gov.sa/en</t>
        </is>
      </c>
    </row>
    <row r="180" ht="45" customHeight="1">
      <c r="A180" s="42" t="n">
        <v>179</v>
      </c>
      <c r="B180" s="120" t="inlineStr">
        <is>
          <t>CST-CCR</t>
        </is>
      </c>
      <c r="C180" s="122" t="inlineStr">
        <is>
          <t>Cloud Computing Regulatory Framework</t>
        </is>
      </c>
      <c r="D180" s="125" t="inlineStr">
        <is>
          <t>CST</t>
        </is>
      </c>
      <c r="E180" s="121" t="inlineStr">
        <is>
          <t>4. ICT / Digital / Telecom</t>
        </is>
      </c>
      <c r="F180" s="121" t="inlineStr">
        <is>
          <t>Updated 2023</t>
        </is>
      </c>
      <c r="G180" s="123" t="inlineStr">
        <is>
          <t>58</t>
        </is>
      </c>
      <c r="H180" s="124" t="inlineStr">
        <is>
          <t>HIGH</t>
        </is>
      </c>
      <c r="I180" s="22" t="inlineStr">
        <is>
          <t>Mandatory Enforcer</t>
        </is>
      </c>
      <c r="J180" s="125" t="inlineStr">
        <is>
          <t>https://www.cst.gov.sa/en</t>
        </is>
      </c>
    </row>
    <row r="181" ht="45" customHeight="1">
      <c r="A181" s="42" t="n">
        <v>180</v>
      </c>
      <c r="B181" s="120" t="inlineStr">
        <is>
          <t>CST-DPS</t>
        </is>
      </c>
      <c r="C181" s="122" t="inlineStr">
        <is>
          <t>Digital Platform Services Regulations</t>
        </is>
      </c>
      <c r="D181" s="125" t="inlineStr">
        <is>
          <t>CST</t>
        </is>
      </c>
      <c r="E181" s="121" t="inlineStr">
        <is>
          <t>4. ICT / Digital / Telecom</t>
        </is>
      </c>
      <c r="F181" s="121" t="inlineStr">
        <is>
          <t>2024</t>
        </is>
      </c>
      <c r="G181" s="123" t="inlineStr">
        <is>
          <t>30</t>
        </is>
      </c>
      <c r="H181" s="124" t="inlineStr">
        <is>
          <t>HIGH</t>
        </is>
      </c>
      <c r="I181" s="22" t="inlineStr">
        <is>
          <t>Mandatory Enforcer</t>
        </is>
      </c>
      <c r="J181" s="125" t="inlineStr">
        <is>
          <t>https://www.cst.gov.sa/en</t>
        </is>
      </c>
    </row>
    <row r="182" ht="45" customHeight="1">
      <c r="A182" s="42" t="n">
        <v>181</v>
      </c>
      <c r="B182" s="120" t="inlineStr">
        <is>
          <t>CST-DCS</t>
        </is>
      </c>
      <c r="C182" s="122" t="inlineStr">
        <is>
          <t>Data Center Services Regulations</t>
        </is>
      </c>
      <c r="D182" s="125" t="inlineStr">
        <is>
          <t>CST</t>
        </is>
      </c>
      <c r="E182" s="121" t="inlineStr">
        <is>
          <t>4. ICT / Digital / Telecom</t>
        </is>
      </c>
      <c r="F182" s="121" t="inlineStr">
        <is>
          <t>2024</t>
        </is>
      </c>
      <c r="G182" s="123" t="inlineStr">
        <is>
          <t>25</t>
        </is>
      </c>
      <c r="H182" s="124" t="inlineStr">
        <is>
          <t>HIGH</t>
        </is>
      </c>
      <c r="I182" s="22" t="inlineStr">
        <is>
          <t>Mandatory Enforcer</t>
        </is>
      </c>
      <c r="J182" s="125" t="inlineStr">
        <is>
          <t>https://www.cst.gov.sa/en</t>
        </is>
      </c>
    </row>
    <row r="183" ht="45" customHeight="1">
      <c r="A183" s="42" t="n">
        <v>182</v>
      </c>
      <c r="B183" s="120" t="inlineStr">
        <is>
          <t>NCA-ECC-2:2024</t>
        </is>
      </c>
      <c r="C183" s="122" t="inlineStr">
        <is>
          <t>Essential Cybersecurity Controls</t>
        </is>
      </c>
      <c r="D183" s="125" t="inlineStr">
        <is>
          <t>CST</t>
        </is>
      </c>
      <c r="E183" s="121" t="inlineStr">
        <is>
          <t>4. ICT / Digital / Telecom</t>
        </is>
      </c>
      <c r="F183" s="121" t="inlineStr">
        <is>
          <t>ECC-2:2024</t>
        </is>
      </c>
      <c r="G183" s="123" t="inlineStr">
        <is>
          <t>108</t>
        </is>
      </c>
      <c r="H183" s="124" t="inlineStr">
        <is>
          <t>HIGH</t>
        </is>
      </c>
      <c r="I183" s="66" t="inlineStr">
        <is>
          <t>Mandatory Complier</t>
        </is>
      </c>
      <c r="J183" s="125" t="inlineStr">
        <is>
          <t>https://nca.gov.sa/</t>
        </is>
      </c>
    </row>
    <row r="184" ht="45" customHeight="1">
      <c r="A184" s="42" t="n">
        <v>183</v>
      </c>
      <c r="B184" s="120" t="inlineStr">
        <is>
          <t>DGA-CFP</t>
        </is>
      </c>
      <c r="C184" s="122" t="inlineStr">
        <is>
          <t>Cloud First Policy</t>
        </is>
      </c>
      <c r="D184" s="125" t="inlineStr">
        <is>
          <t>DGA</t>
        </is>
      </c>
      <c r="E184" s="121" t="inlineStr">
        <is>
          <t>4. ICT / Digital / Telecom</t>
        </is>
      </c>
      <c r="F184" s="121" t="inlineStr">
        <is>
          <t>2021</t>
        </is>
      </c>
      <c r="G184" s="123" t="inlineStr">
        <is>
          <t>28</t>
        </is>
      </c>
      <c r="H184" s="124" t="inlineStr">
        <is>
          <t>HIGH</t>
        </is>
      </c>
      <c r="I184" s="22" t="inlineStr">
        <is>
          <t>Mandatory Enforcer</t>
        </is>
      </c>
      <c r="J184" s="125" t="inlineStr">
        <is>
          <t>https://dga.gov.sa/en</t>
        </is>
      </c>
    </row>
    <row r="185" ht="45" customHeight="1">
      <c r="A185" s="42" t="n">
        <v>184</v>
      </c>
      <c r="B185" s="120" t="inlineStr">
        <is>
          <t>NCA-ECC-2:2024</t>
        </is>
      </c>
      <c r="C185" s="122" t="inlineStr">
        <is>
          <t>Essential Cybersecurity Controls</t>
        </is>
      </c>
      <c r="D185" s="125" t="inlineStr">
        <is>
          <t>DGA</t>
        </is>
      </c>
      <c r="E185" s="121" t="inlineStr">
        <is>
          <t>4. ICT / Digital / Telecom</t>
        </is>
      </c>
      <c r="F185" s="121" t="inlineStr">
        <is>
          <t>ECC-2:2024</t>
        </is>
      </c>
      <c r="G185" s="123" t="inlineStr">
        <is>
          <t>108</t>
        </is>
      </c>
      <c r="H185" s="124" t="inlineStr">
        <is>
          <t>HIGH</t>
        </is>
      </c>
      <c r="I185" s="66" t="inlineStr">
        <is>
          <t>Mandatory Complier</t>
        </is>
      </c>
      <c r="J185" s="125" t="inlineStr">
        <is>
          <t>https://nca.gov.sa/</t>
        </is>
      </c>
    </row>
    <row r="186" ht="45" customHeight="1">
      <c r="A186" s="42" t="n">
        <v>185</v>
      </c>
      <c r="B186" s="167" t="inlineStr">
        <is>
          <t>SASO-PS</t>
        </is>
      </c>
      <c r="C186" s="169" t="inlineStr">
        <is>
          <t>Product Safety &amp; Technical Regulations</t>
        </is>
      </c>
      <c r="D186" s="414" t="inlineStr">
        <is>
          <t>SASO</t>
        </is>
      </c>
      <c r="E186" s="168" t="inlineStr">
        <is>
          <t>7. Standards &amp; Quality</t>
        </is>
      </c>
      <c r="F186" s="168" t="inlineStr">
        <is>
          <t>Updated 2024-2025</t>
        </is>
      </c>
      <c r="G186" s="170" t="inlineStr">
        <is>
          <t>467</t>
        </is>
      </c>
      <c r="H186" s="171" t="inlineStr">
        <is>
          <t>HIGH</t>
        </is>
      </c>
      <c r="I186" s="22" t="inlineStr">
        <is>
          <t>Mandatory Enforcer</t>
        </is>
      </c>
      <c r="J186" s="172" t="inlineStr">
        <is>
          <t>https://www.saso.gov.sa/en</t>
        </is>
      </c>
    </row>
    <row r="187" ht="45" customHeight="1">
      <c r="A187" s="42" t="n">
        <v>186</v>
      </c>
      <c r="B187" s="167" t="inlineStr">
        <is>
          <t>SASO-SABER</t>
        </is>
      </c>
      <c r="C187" s="169" t="inlineStr">
        <is>
          <t>SABER Product Conformity Platform</t>
        </is>
      </c>
      <c r="D187" s="414" t="inlineStr">
        <is>
          <t>SASO</t>
        </is>
      </c>
      <c r="E187" s="168" t="inlineStr">
        <is>
          <t>7. Standards &amp; Quality</t>
        </is>
      </c>
      <c r="F187" s="168" t="inlineStr">
        <is>
          <t>Operational 2019</t>
        </is>
      </c>
      <c r="G187" s="170" t="inlineStr">
        <is>
          <t>N/A</t>
        </is>
      </c>
      <c r="H187" s="171" t="inlineStr">
        <is>
          <t>HIGH</t>
        </is>
      </c>
      <c r="I187" s="22" t="inlineStr">
        <is>
          <t>Mandatory Enforcer</t>
        </is>
      </c>
      <c r="J187" s="172" t="inlineStr">
        <is>
          <t>https://saber.org.sa/</t>
        </is>
      </c>
    </row>
    <row r="188" ht="45" customHeight="1">
      <c r="A188" s="42" t="n">
        <v>187</v>
      </c>
      <c r="B188" s="167" t="inlineStr">
        <is>
          <t>NCA-ECC-2:2024</t>
        </is>
      </c>
      <c r="C188" s="169" t="inlineStr">
        <is>
          <t>Essential Cybersecurity Controls</t>
        </is>
      </c>
      <c r="D188" s="414" t="inlineStr">
        <is>
          <t>SASO</t>
        </is>
      </c>
      <c r="E188" s="168" t="inlineStr">
        <is>
          <t>7. Standards &amp; Quality</t>
        </is>
      </c>
      <c r="F188" s="168" t="inlineStr">
        <is>
          <t>ECC-2:2024</t>
        </is>
      </c>
      <c r="G188" s="170" t="inlineStr">
        <is>
          <t>108</t>
        </is>
      </c>
      <c r="H188" s="171" t="inlineStr">
        <is>
          <t>HIGH</t>
        </is>
      </c>
      <c r="I188" s="66" t="inlineStr">
        <is>
          <t>Mandatory Complier</t>
        </is>
      </c>
      <c r="J188" s="172" t="inlineStr">
        <is>
          <t>https://nca.gov.sa/</t>
        </is>
      </c>
    </row>
    <row r="189" ht="45" customHeight="1">
      <c r="A189" s="42" t="n">
        <v>188</v>
      </c>
      <c r="B189" s="205" t="inlineStr">
        <is>
          <t>MHRSD-NITAQAT</t>
        </is>
      </c>
      <c r="C189" s="192" t="inlineStr">
        <is>
          <t>Saudisation / Nitaqat System</t>
        </is>
      </c>
      <c r="D189" s="26" t="inlineStr">
        <is>
          <t>MHRSD</t>
        </is>
      </c>
      <c r="E189" s="190" t="inlineStr">
        <is>
          <t>1. Ministries</t>
        </is>
      </c>
      <c r="F189" s="190" t="inlineStr">
        <is>
          <t>Annual update</t>
        </is>
      </c>
      <c r="G189" s="191" t="inlineStr">
        <is>
          <t>N/A</t>
        </is>
      </c>
      <c r="H189" s="206" t="inlineStr">
        <is>
          <t>HIGH</t>
        </is>
      </c>
      <c r="I189" s="22" t="inlineStr">
        <is>
          <t>Mandatory Enforcer</t>
        </is>
      </c>
      <c r="J189" s="207" t="inlineStr">
        <is>
          <t>https://www.hrsd.gov.sa/en</t>
        </is>
      </c>
    </row>
    <row r="190" ht="45" customHeight="1">
      <c r="A190" s="42" t="n">
        <v>189</v>
      </c>
      <c r="B190" s="205" t="inlineStr">
        <is>
          <t>OSH-REGS</t>
        </is>
      </c>
      <c r="C190" s="192" t="inlineStr">
        <is>
          <t>Occupational Safety &amp; Health Regulations</t>
        </is>
      </c>
      <c r="D190" s="26" t="inlineStr">
        <is>
          <t>MHRSD</t>
        </is>
      </c>
      <c r="E190" s="190" t="inlineStr">
        <is>
          <t>1. Ministries</t>
        </is>
      </c>
      <c r="F190" s="190" t="inlineStr">
        <is>
          <t>Updated 2020</t>
        </is>
      </c>
      <c r="G190" s="191" t="inlineStr">
        <is>
          <t>80</t>
        </is>
      </c>
      <c r="H190" s="206" t="inlineStr">
        <is>
          <t>HIGH</t>
        </is>
      </c>
      <c r="I190" s="22" t="inlineStr">
        <is>
          <t>Mandatory Enforcer</t>
        </is>
      </c>
      <c r="J190" s="207" t="inlineStr">
        <is>
          <t>https://www.hrsd.gov.sa/en</t>
        </is>
      </c>
    </row>
    <row r="191" ht="45" customHeight="1">
      <c r="A191" s="42" t="n">
        <v>190</v>
      </c>
      <c r="B191" s="97" t="inlineStr">
        <is>
          <t>PDPL-2021</t>
        </is>
      </c>
      <c r="C191" s="99" t="inlineStr">
        <is>
          <t>Personal Data Protection Law</t>
        </is>
      </c>
      <c r="D191" s="415" t="inlineStr">
        <is>
          <t>IAIC</t>
        </is>
      </c>
      <c r="E191" s="98" t="inlineStr">
        <is>
          <t>5. Financial Regulators</t>
        </is>
      </c>
      <c r="F191" s="98" t="inlineStr">
        <is>
          <t>2021+IR 2023</t>
        </is>
      </c>
      <c r="G191" s="100" t="inlineStr">
        <is>
          <t>45</t>
        </is>
      </c>
      <c r="H191" s="416" t="inlineStr">
        <is>
          <t>HIGH</t>
        </is>
      </c>
      <c r="I191" s="66" t="inlineStr">
        <is>
          <t>Mandatory Complier</t>
        </is>
      </c>
      <c r="J191" s="102" t="inlineStr">
        <is>
          <t>https://sdaia.gov.sa/</t>
        </is>
      </c>
    </row>
    <row r="192" ht="45" customHeight="1">
      <c r="A192" s="42" t="n">
        <v>191</v>
      </c>
      <c r="B192" s="411" t="inlineStr">
        <is>
          <t>MOH-PR</t>
        </is>
      </c>
      <c r="C192" s="72" t="inlineStr">
        <is>
          <t>Patient Rights Charter</t>
        </is>
      </c>
      <c r="D192" s="413" t="inlineStr">
        <is>
          <t>RHC1</t>
        </is>
      </c>
      <c r="E192" s="70" t="inlineStr">
        <is>
          <t>17. Regional Health Clusters</t>
        </is>
      </c>
      <c r="F192" s="70" t="inlineStr">
        <is>
          <t>2019</t>
        </is>
      </c>
      <c r="G192" s="71" t="inlineStr">
        <is>
          <t>45</t>
        </is>
      </c>
      <c r="H192" s="88" t="inlineStr">
        <is>
          <t>HIGH</t>
        </is>
      </c>
      <c r="I192" s="66" t="inlineStr">
        <is>
          <t>Mandatory Complier</t>
        </is>
      </c>
      <c r="J192" s="87" t="inlineStr">
        <is>
          <t>https://www.moh.gov.sa/en/</t>
        </is>
      </c>
    </row>
    <row r="193" ht="45" customHeight="1">
      <c r="A193" s="42" t="n">
        <v>192</v>
      </c>
      <c r="B193" s="411" t="inlineStr">
        <is>
          <t>MOH-TELE</t>
        </is>
      </c>
      <c r="C193" s="72" t="inlineStr">
        <is>
          <t>Telemedicine Regulations</t>
        </is>
      </c>
      <c r="D193" s="413" t="inlineStr">
        <is>
          <t>RHC1</t>
        </is>
      </c>
      <c r="E193" s="70" t="inlineStr">
        <is>
          <t>17. Regional Health Clusters</t>
        </is>
      </c>
      <c r="F193" s="70" t="inlineStr">
        <is>
          <t>Late 2023</t>
        </is>
      </c>
      <c r="G193" s="71" t="inlineStr">
        <is>
          <t>38</t>
        </is>
      </c>
      <c r="H193" s="88" t="inlineStr">
        <is>
          <t>HIGH</t>
        </is>
      </c>
      <c r="I193" s="66" t="inlineStr">
        <is>
          <t>Mandatory Complier</t>
        </is>
      </c>
      <c r="J193" s="87" t="inlineStr">
        <is>
          <t>https://www.moh.gov.sa/en/</t>
        </is>
      </c>
    </row>
    <row r="194" ht="45" customHeight="1">
      <c r="A194" s="42" t="n">
        <v>193</v>
      </c>
      <c r="B194" s="411" t="inlineStr">
        <is>
          <t>MOH-PR</t>
        </is>
      </c>
      <c r="C194" s="72" t="inlineStr">
        <is>
          <t>Patient Rights Charter</t>
        </is>
      </c>
      <c r="D194" s="413" t="inlineStr">
        <is>
          <t>RHC2</t>
        </is>
      </c>
      <c r="E194" s="70" t="inlineStr">
        <is>
          <t>17. Regional Health Clusters</t>
        </is>
      </c>
      <c r="F194" s="70" t="inlineStr">
        <is>
          <t>2019</t>
        </is>
      </c>
      <c r="G194" s="71" t="inlineStr">
        <is>
          <t>45</t>
        </is>
      </c>
      <c r="H194" s="88" t="inlineStr">
        <is>
          <t>HIGH</t>
        </is>
      </c>
      <c r="I194" s="66" t="inlineStr">
        <is>
          <t>Mandatory Complier</t>
        </is>
      </c>
      <c r="J194" s="87" t="inlineStr">
        <is>
          <t>https://www.moh.gov.sa/en/</t>
        </is>
      </c>
    </row>
    <row r="195" ht="45" customHeight="1">
      <c r="A195" s="42" t="n">
        <v>194</v>
      </c>
      <c r="B195" s="411" t="inlineStr">
        <is>
          <t>MOH-TELE</t>
        </is>
      </c>
      <c r="C195" s="72" t="inlineStr">
        <is>
          <t>Telemedicine Regulations</t>
        </is>
      </c>
      <c r="D195" s="413" t="inlineStr">
        <is>
          <t>RHC2</t>
        </is>
      </c>
      <c r="E195" s="70" t="inlineStr">
        <is>
          <t>17. Regional Health Clusters</t>
        </is>
      </c>
      <c r="F195" s="70" t="inlineStr">
        <is>
          <t>Late 2023</t>
        </is>
      </c>
      <c r="G195" s="71" t="inlineStr">
        <is>
          <t>38</t>
        </is>
      </c>
      <c r="H195" s="88" t="inlineStr">
        <is>
          <t>HIGH</t>
        </is>
      </c>
      <c r="I195" s="66" t="inlineStr">
        <is>
          <t>Mandatory Complier</t>
        </is>
      </c>
      <c r="J195" s="87" t="inlineStr">
        <is>
          <t>https://www.moh.gov.sa/en/</t>
        </is>
      </c>
    </row>
    <row r="196" ht="45" customHeight="1">
      <c r="A196" s="42" t="n">
        <v>195</v>
      </c>
      <c r="B196" s="411" t="inlineStr">
        <is>
          <t>MOH-PR</t>
        </is>
      </c>
      <c r="C196" s="72" t="inlineStr">
        <is>
          <t>Patient Rights Charter</t>
        </is>
      </c>
      <c r="D196" s="413" t="inlineStr">
        <is>
          <t>JDHC</t>
        </is>
      </c>
      <c r="E196" s="70" t="inlineStr">
        <is>
          <t>17. Regional Health Clusters</t>
        </is>
      </c>
      <c r="F196" s="70" t="inlineStr">
        <is>
          <t>2019</t>
        </is>
      </c>
      <c r="G196" s="71" t="inlineStr">
        <is>
          <t>45</t>
        </is>
      </c>
      <c r="H196" s="88" t="inlineStr">
        <is>
          <t>HIGH</t>
        </is>
      </c>
      <c r="I196" s="66" t="inlineStr">
        <is>
          <t>Mandatory Complier</t>
        </is>
      </c>
      <c r="J196" s="87" t="inlineStr">
        <is>
          <t>https://www.moh.gov.sa/en/</t>
        </is>
      </c>
    </row>
    <row r="197" ht="45" customHeight="1">
      <c r="A197" s="42" t="n">
        <v>196</v>
      </c>
      <c r="B197" s="411" t="inlineStr">
        <is>
          <t>MOH-TELE</t>
        </is>
      </c>
      <c r="C197" s="72" t="inlineStr">
        <is>
          <t>Telemedicine Regulations</t>
        </is>
      </c>
      <c r="D197" s="413" t="inlineStr">
        <is>
          <t>JDHC</t>
        </is>
      </c>
      <c r="E197" s="70" t="inlineStr">
        <is>
          <t>17. Regional Health Clusters</t>
        </is>
      </c>
      <c r="F197" s="70" t="inlineStr">
        <is>
          <t>Late 2023</t>
        </is>
      </c>
      <c r="G197" s="71" t="inlineStr">
        <is>
          <t>38</t>
        </is>
      </c>
      <c r="H197" s="88" t="inlineStr">
        <is>
          <t>HIGH</t>
        </is>
      </c>
      <c r="I197" s="66" t="inlineStr">
        <is>
          <t>Mandatory Complier</t>
        </is>
      </c>
      <c r="J197" s="87" t="inlineStr">
        <is>
          <t>https://www.moh.gov.sa/en/</t>
        </is>
      </c>
    </row>
    <row r="198" ht="45" customHeight="1">
      <c r="A198" s="42" t="n">
        <v>197</v>
      </c>
      <c r="B198" s="411" t="inlineStr">
        <is>
          <t>MOH-PR</t>
        </is>
      </c>
      <c r="C198" s="72" t="inlineStr">
        <is>
          <t>Patient Rights Charter</t>
        </is>
      </c>
      <c r="D198" s="413" t="inlineStr">
        <is>
          <t>MKHC</t>
        </is>
      </c>
      <c r="E198" s="70" t="inlineStr">
        <is>
          <t>17. Regional Health Clusters</t>
        </is>
      </c>
      <c r="F198" s="70" t="inlineStr">
        <is>
          <t>2019</t>
        </is>
      </c>
      <c r="G198" s="71" t="inlineStr">
        <is>
          <t>45</t>
        </is>
      </c>
      <c r="H198" s="88" t="inlineStr">
        <is>
          <t>HIGH</t>
        </is>
      </c>
      <c r="I198" s="66" t="inlineStr">
        <is>
          <t>Mandatory Complier</t>
        </is>
      </c>
      <c r="J198" s="87" t="inlineStr">
        <is>
          <t>https://www.moh.gov.sa/en/</t>
        </is>
      </c>
    </row>
    <row r="199" ht="45" customHeight="1">
      <c r="A199" s="42" t="n">
        <v>198</v>
      </c>
      <c r="B199" s="411" t="inlineStr">
        <is>
          <t>MOH-TELE</t>
        </is>
      </c>
      <c r="C199" s="72" t="inlineStr">
        <is>
          <t>Telemedicine Regulations</t>
        </is>
      </c>
      <c r="D199" s="413" t="inlineStr">
        <is>
          <t>MKHC</t>
        </is>
      </c>
      <c r="E199" s="70" t="inlineStr">
        <is>
          <t>17. Regional Health Clusters</t>
        </is>
      </c>
      <c r="F199" s="70" t="inlineStr">
        <is>
          <t>Late 2023</t>
        </is>
      </c>
      <c r="G199" s="71" t="inlineStr">
        <is>
          <t>38</t>
        </is>
      </c>
      <c r="H199" s="88" t="inlineStr">
        <is>
          <t>HIGH</t>
        </is>
      </c>
      <c r="I199" s="66" t="inlineStr">
        <is>
          <t>Mandatory Complier</t>
        </is>
      </c>
      <c r="J199" s="87" t="inlineStr">
        <is>
          <t>https://www.moh.gov.sa/en/</t>
        </is>
      </c>
    </row>
    <row r="200" ht="45" customHeight="1">
      <c r="A200" s="42" t="n">
        <v>199</v>
      </c>
      <c r="B200" s="411" t="inlineStr">
        <is>
          <t>MOH-PR</t>
        </is>
      </c>
      <c r="C200" s="72" t="inlineStr">
        <is>
          <t>Patient Rights Charter</t>
        </is>
      </c>
      <c r="D200" s="413" t="inlineStr">
        <is>
          <t>MDHC</t>
        </is>
      </c>
      <c r="E200" s="70" t="inlineStr">
        <is>
          <t>17. Regional Health Clusters</t>
        </is>
      </c>
      <c r="F200" s="70" t="inlineStr">
        <is>
          <t>2019</t>
        </is>
      </c>
      <c r="G200" s="71" t="inlineStr">
        <is>
          <t>45</t>
        </is>
      </c>
      <c r="H200" s="88" t="inlineStr">
        <is>
          <t>HIGH</t>
        </is>
      </c>
      <c r="I200" s="66" t="inlineStr">
        <is>
          <t>Mandatory Complier</t>
        </is>
      </c>
      <c r="J200" s="87" t="inlineStr">
        <is>
          <t>https://www.moh.gov.sa/en/</t>
        </is>
      </c>
    </row>
    <row r="201" ht="45" customHeight="1">
      <c r="A201" s="42" t="n">
        <v>200</v>
      </c>
      <c r="B201" s="411" t="inlineStr">
        <is>
          <t>MOH-TELE</t>
        </is>
      </c>
      <c r="C201" s="72" t="inlineStr">
        <is>
          <t>Telemedicine Regulations</t>
        </is>
      </c>
      <c r="D201" s="413" t="inlineStr">
        <is>
          <t>MDHC</t>
        </is>
      </c>
      <c r="E201" s="70" t="inlineStr">
        <is>
          <t>17. Regional Health Clusters</t>
        </is>
      </c>
      <c r="F201" s="70" t="inlineStr">
        <is>
          <t>Late 2023</t>
        </is>
      </c>
      <c r="G201" s="71" t="inlineStr">
        <is>
          <t>38</t>
        </is>
      </c>
      <c r="H201" s="88" t="inlineStr">
        <is>
          <t>HIGH</t>
        </is>
      </c>
      <c r="I201" s="66" t="inlineStr">
        <is>
          <t>Mandatory Complier</t>
        </is>
      </c>
      <c r="J201" s="87" t="inlineStr">
        <is>
          <t>https://www.moh.gov.sa/en/</t>
        </is>
      </c>
    </row>
    <row r="202" ht="45" customHeight="1">
      <c r="A202" s="42" t="n">
        <v>201</v>
      </c>
      <c r="B202" s="411" t="inlineStr">
        <is>
          <t>MOH-PR</t>
        </is>
      </c>
      <c r="C202" s="72" t="inlineStr">
        <is>
          <t>Patient Rights Charter</t>
        </is>
      </c>
      <c r="D202" s="413" t="inlineStr">
        <is>
          <t>EKHC</t>
        </is>
      </c>
      <c r="E202" s="70" t="inlineStr">
        <is>
          <t>17. Regional Health Clusters</t>
        </is>
      </c>
      <c r="F202" s="70" t="inlineStr">
        <is>
          <t>2019</t>
        </is>
      </c>
      <c r="G202" s="71" t="inlineStr">
        <is>
          <t>45</t>
        </is>
      </c>
      <c r="H202" s="88" t="inlineStr">
        <is>
          <t>HIGH</t>
        </is>
      </c>
      <c r="I202" s="66" t="inlineStr">
        <is>
          <t>Mandatory Complier</t>
        </is>
      </c>
      <c r="J202" s="87" t="inlineStr">
        <is>
          <t>https://www.moh.gov.sa/en/</t>
        </is>
      </c>
    </row>
    <row r="203" ht="45" customHeight="1">
      <c r="A203" s="42" t="n">
        <v>202</v>
      </c>
      <c r="B203" s="411" t="inlineStr">
        <is>
          <t>MOH-TELE</t>
        </is>
      </c>
      <c r="C203" s="72" t="inlineStr">
        <is>
          <t>Telemedicine Regulations</t>
        </is>
      </c>
      <c r="D203" s="413" t="inlineStr">
        <is>
          <t>EKHC</t>
        </is>
      </c>
      <c r="E203" s="70" t="inlineStr">
        <is>
          <t>17. Regional Health Clusters</t>
        </is>
      </c>
      <c r="F203" s="70" t="inlineStr">
        <is>
          <t>Late 2023</t>
        </is>
      </c>
      <c r="G203" s="71" t="inlineStr">
        <is>
          <t>38</t>
        </is>
      </c>
      <c r="H203" s="88" t="inlineStr">
        <is>
          <t>HIGH</t>
        </is>
      </c>
      <c r="I203" s="66" t="inlineStr">
        <is>
          <t>Mandatory Complier</t>
        </is>
      </c>
      <c r="J203" s="87" t="inlineStr">
        <is>
          <t>https://www.moh.gov.sa/en/</t>
        </is>
      </c>
    </row>
    <row r="204" ht="45" customHeight="1">
      <c r="A204" s="42" t="n">
        <v>203</v>
      </c>
      <c r="B204" s="411" t="inlineStr">
        <is>
          <t>MOH-PR</t>
        </is>
      </c>
      <c r="C204" s="72" t="inlineStr">
        <is>
          <t>Patient Rights Charter</t>
        </is>
      </c>
      <c r="D204" s="413" t="inlineStr">
        <is>
          <t>AZHC</t>
        </is>
      </c>
      <c r="E204" s="70" t="inlineStr">
        <is>
          <t>17. Regional Health Clusters</t>
        </is>
      </c>
      <c r="F204" s="70" t="inlineStr">
        <is>
          <t>2019</t>
        </is>
      </c>
      <c r="G204" s="71" t="inlineStr">
        <is>
          <t>45</t>
        </is>
      </c>
      <c r="H204" s="88" t="inlineStr">
        <is>
          <t>HIGH</t>
        </is>
      </c>
      <c r="I204" s="66" t="inlineStr">
        <is>
          <t>Mandatory Complier</t>
        </is>
      </c>
      <c r="J204" s="87" t="inlineStr">
        <is>
          <t>https://www.moh.gov.sa/en/</t>
        </is>
      </c>
    </row>
    <row r="205" ht="45" customHeight="1">
      <c r="A205" s="42" t="n">
        <v>204</v>
      </c>
      <c r="B205" s="411" t="inlineStr">
        <is>
          <t>MOH-TELE</t>
        </is>
      </c>
      <c r="C205" s="72" t="inlineStr">
        <is>
          <t>Telemedicine Regulations</t>
        </is>
      </c>
      <c r="D205" s="413" t="inlineStr">
        <is>
          <t>AZHC</t>
        </is>
      </c>
      <c r="E205" s="70" t="inlineStr">
        <is>
          <t>17. Regional Health Clusters</t>
        </is>
      </c>
      <c r="F205" s="70" t="inlineStr">
        <is>
          <t>Late 2023</t>
        </is>
      </c>
      <c r="G205" s="71" t="inlineStr">
        <is>
          <t>38</t>
        </is>
      </c>
      <c r="H205" s="88" t="inlineStr">
        <is>
          <t>HIGH</t>
        </is>
      </c>
      <c r="I205" s="66" t="inlineStr">
        <is>
          <t>Mandatory Complier</t>
        </is>
      </c>
      <c r="J205" s="87" t="inlineStr">
        <is>
          <t>https://www.moh.gov.sa/en/</t>
        </is>
      </c>
    </row>
    <row r="206" ht="45" customHeight="1">
      <c r="A206" s="42" t="n">
        <v>205</v>
      </c>
      <c r="B206" s="411" t="inlineStr">
        <is>
          <t>MOH-PR</t>
        </is>
      </c>
      <c r="C206" s="72" t="inlineStr">
        <is>
          <t>Patient Rights Charter</t>
        </is>
      </c>
      <c r="D206" s="413" t="inlineStr">
        <is>
          <t>JZHC</t>
        </is>
      </c>
      <c r="E206" s="70" t="inlineStr">
        <is>
          <t>17. Regional Health Clusters</t>
        </is>
      </c>
      <c r="F206" s="70" t="inlineStr">
        <is>
          <t>2019</t>
        </is>
      </c>
      <c r="G206" s="71" t="inlineStr">
        <is>
          <t>45</t>
        </is>
      </c>
      <c r="H206" s="88" t="inlineStr">
        <is>
          <t>HIGH</t>
        </is>
      </c>
      <c r="I206" s="66" t="inlineStr">
        <is>
          <t>Mandatory Complier</t>
        </is>
      </c>
      <c r="J206" s="87" t="inlineStr">
        <is>
          <t>https://www.moh.gov.sa/en/</t>
        </is>
      </c>
    </row>
    <row r="207" ht="45" customHeight="1">
      <c r="A207" s="42" t="n">
        <v>206</v>
      </c>
      <c r="B207" s="411" t="inlineStr">
        <is>
          <t>MOH-TELE</t>
        </is>
      </c>
      <c r="C207" s="72" t="inlineStr">
        <is>
          <t>Telemedicine Regulations</t>
        </is>
      </c>
      <c r="D207" s="413" t="inlineStr">
        <is>
          <t>JZHC</t>
        </is>
      </c>
      <c r="E207" s="70" t="inlineStr">
        <is>
          <t>17. Regional Health Clusters</t>
        </is>
      </c>
      <c r="F207" s="70" t="inlineStr">
        <is>
          <t>Late 2023</t>
        </is>
      </c>
      <c r="G207" s="71" t="inlineStr">
        <is>
          <t>38</t>
        </is>
      </c>
      <c r="H207" s="88" t="inlineStr">
        <is>
          <t>HIGH</t>
        </is>
      </c>
      <c r="I207" s="66" t="inlineStr">
        <is>
          <t>Mandatory Complier</t>
        </is>
      </c>
      <c r="J207" s="87" t="inlineStr">
        <is>
          <t>https://www.moh.gov.sa/en/</t>
        </is>
      </c>
    </row>
    <row r="208" ht="45" customHeight="1">
      <c r="A208" s="42" t="n">
        <v>207</v>
      </c>
      <c r="B208" s="411" t="inlineStr">
        <is>
          <t>MOH-PR</t>
        </is>
      </c>
      <c r="C208" s="72" t="inlineStr">
        <is>
          <t>Patient Rights Charter</t>
        </is>
      </c>
      <c r="D208" s="413" t="inlineStr">
        <is>
          <t>TBHC</t>
        </is>
      </c>
      <c r="E208" s="70" t="inlineStr">
        <is>
          <t>17. Regional Health Clusters</t>
        </is>
      </c>
      <c r="F208" s="70" t="inlineStr">
        <is>
          <t>2019</t>
        </is>
      </c>
      <c r="G208" s="71" t="inlineStr">
        <is>
          <t>45</t>
        </is>
      </c>
      <c r="H208" s="88" t="inlineStr">
        <is>
          <t>HIGH</t>
        </is>
      </c>
      <c r="I208" s="66" t="inlineStr">
        <is>
          <t>Mandatory Complier</t>
        </is>
      </c>
      <c r="J208" s="87" t="inlineStr">
        <is>
          <t>https://www.moh.gov.sa/en/</t>
        </is>
      </c>
    </row>
    <row r="209" ht="45" customHeight="1">
      <c r="A209" s="42" t="n">
        <v>208</v>
      </c>
      <c r="B209" s="411" t="inlineStr">
        <is>
          <t>MOH-TELE</t>
        </is>
      </c>
      <c r="C209" s="72" t="inlineStr">
        <is>
          <t>Telemedicine Regulations</t>
        </is>
      </c>
      <c r="D209" s="413" t="inlineStr">
        <is>
          <t>TBHC</t>
        </is>
      </c>
      <c r="E209" s="70" t="inlineStr">
        <is>
          <t>17. Regional Health Clusters</t>
        </is>
      </c>
      <c r="F209" s="70" t="inlineStr">
        <is>
          <t>Late 2023</t>
        </is>
      </c>
      <c r="G209" s="71" t="inlineStr">
        <is>
          <t>38</t>
        </is>
      </c>
      <c r="H209" s="88" t="inlineStr">
        <is>
          <t>HIGH</t>
        </is>
      </c>
      <c r="I209" s="66" t="inlineStr">
        <is>
          <t>Mandatory Complier</t>
        </is>
      </c>
      <c r="J209" s="87" t="inlineStr">
        <is>
          <t>https://www.moh.gov.sa/en/</t>
        </is>
      </c>
    </row>
    <row r="210" ht="45" customHeight="1">
      <c r="A210" s="42" t="n">
        <v>209</v>
      </c>
      <c r="B210" s="411" t="inlineStr">
        <is>
          <t>MOH-PR</t>
        </is>
      </c>
      <c r="C210" s="72" t="inlineStr">
        <is>
          <t>Patient Rights Charter</t>
        </is>
      </c>
      <c r="D210" s="413" t="inlineStr">
        <is>
          <t>NMHC</t>
        </is>
      </c>
      <c r="E210" s="70" t="inlineStr">
        <is>
          <t>17. Regional Health Clusters</t>
        </is>
      </c>
      <c r="F210" s="70" t="inlineStr">
        <is>
          <t>2019</t>
        </is>
      </c>
      <c r="G210" s="71" t="inlineStr">
        <is>
          <t>45</t>
        </is>
      </c>
      <c r="H210" s="88" t="inlineStr">
        <is>
          <t>HIGH</t>
        </is>
      </c>
      <c r="I210" s="66" t="inlineStr">
        <is>
          <t>Mandatory Complier</t>
        </is>
      </c>
      <c r="J210" s="87" t="inlineStr">
        <is>
          <t>https://www.moh.gov.sa/en/</t>
        </is>
      </c>
    </row>
    <row r="211" ht="45" customHeight="1">
      <c r="A211" s="42" t="n">
        <v>210</v>
      </c>
      <c r="B211" s="411" t="inlineStr">
        <is>
          <t>MOH-TELE</t>
        </is>
      </c>
      <c r="C211" s="72" t="inlineStr">
        <is>
          <t>Telemedicine Regulations</t>
        </is>
      </c>
      <c r="D211" s="413" t="inlineStr">
        <is>
          <t>NMHC</t>
        </is>
      </c>
      <c r="E211" s="70" t="inlineStr">
        <is>
          <t>17. Regional Health Clusters</t>
        </is>
      </c>
      <c r="F211" s="70" t="inlineStr">
        <is>
          <t>Late 2023</t>
        </is>
      </c>
      <c r="G211" s="71" t="inlineStr">
        <is>
          <t>38</t>
        </is>
      </c>
      <c r="H211" s="88" t="inlineStr">
        <is>
          <t>HIGH</t>
        </is>
      </c>
      <c r="I211" s="66" t="inlineStr">
        <is>
          <t>Mandatory Complier</t>
        </is>
      </c>
      <c r="J211" s="87" t="inlineStr">
        <is>
          <t>https://www.moh.gov.sa/en/</t>
        </is>
      </c>
    </row>
    <row r="212" ht="45" customHeight="1">
      <c r="A212" s="42" t="n">
        <v>211</v>
      </c>
      <c r="B212" s="411" t="inlineStr">
        <is>
          <t>MOH-PR</t>
        </is>
      </c>
      <c r="C212" s="72" t="inlineStr">
        <is>
          <t>Patient Rights Charter</t>
        </is>
      </c>
      <c r="D212" s="413" t="inlineStr">
        <is>
          <t>QLHC</t>
        </is>
      </c>
      <c r="E212" s="70" t="inlineStr">
        <is>
          <t>17. Regional Health Clusters</t>
        </is>
      </c>
      <c r="F212" s="70" t="inlineStr">
        <is>
          <t>2019</t>
        </is>
      </c>
      <c r="G212" s="71" t="inlineStr">
        <is>
          <t>45</t>
        </is>
      </c>
      <c r="H212" s="88" t="inlineStr">
        <is>
          <t>HIGH</t>
        </is>
      </c>
      <c r="I212" s="66" t="inlineStr">
        <is>
          <t>Mandatory Complier</t>
        </is>
      </c>
      <c r="J212" s="87" t="inlineStr">
        <is>
          <t>https://www.moh.gov.sa/en/</t>
        </is>
      </c>
    </row>
    <row r="213" ht="45" customHeight="1">
      <c r="A213" s="42" t="n">
        <v>212</v>
      </c>
      <c r="B213" s="411" t="inlineStr">
        <is>
          <t>MOH-TELE</t>
        </is>
      </c>
      <c r="C213" s="72" t="inlineStr">
        <is>
          <t>Telemedicine Regulations</t>
        </is>
      </c>
      <c r="D213" s="413" t="inlineStr">
        <is>
          <t>QLHC</t>
        </is>
      </c>
      <c r="E213" s="70" t="inlineStr">
        <is>
          <t>17. Regional Health Clusters</t>
        </is>
      </c>
      <c r="F213" s="70" t="inlineStr">
        <is>
          <t>Late 2023</t>
        </is>
      </c>
      <c r="G213" s="71" t="inlineStr">
        <is>
          <t>38</t>
        </is>
      </c>
      <c r="H213" s="88" t="inlineStr">
        <is>
          <t>HIGH</t>
        </is>
      </c>
      <c r="I213" s="66" t="inlineStr">
        <is>
          <t>Mandatory Complier</t>
        </is>
      </c>
      <c r="J213" s="87" t="inlineStr">
        <is>
          <t>https://www.moh.gov.sa/en/</t>
        </is>
      </c>
    </row>
    <row r="214" ht="45" customHeight="1">
      <c r="A214" s="42" t="n">
        <v>213</v>
      </c>
      <c r="B214" s="411" t="inlineStr">
        <is>
          <t>MOH-PR</t>
        </is>
      </c>
      <c r="C214" s="72" t="inlineStr">
        <is>
          <t>Patient Rights Charter</t>
        </is>
      </c>
      <c r="D214" s="413" t="inlineStr">
        <is>
          <t>HALHC</t>
        </is>
      </c>
      <c r="E214" s="70" t="inlineStr">
        <is>
          <t>17. Regional Health Clusters</t>
        </is>
      </c>
      <c r="F214" s="70" t="inlineStr">
        <is>
          <t>2019</t>
        </is>
      </c>
      <c r="G214" s="71" t="inlineStr">
        <is>
          <t>45</t>
        </is>
      </c>
      <c r="H214" s="88" t="inlineStr">
        <is>
          <t>HIGH</t>
        </is>
      </c>
      <c r="I214" s="66" t="inlineStr">
        <is>
          <t>Mandatory Complier</t>
        </is>
      </c>
      <c r="J214" s="87" t="inlineStr">
        <is>
          <t>https://www.moh.gov.sa/en/</t>
        </is>
      </c>
    </row>
    <row r="215" ht="45" customHeight="1">
      <c r="A215" s="42" t="n">
        <v>214</v>
      </c>
      <c r="B215" s="411" t="inlineStr">
        <is>
          <t>MOH-TELE</t>
        </is>
      </c>
      <c r="C215" s="72" t="inlineStr">
        <is>
          <t>Telemedicine Regulations</t>
        </is>
      </c>
      <c r="D215" s="413" t="inlineStr">
        <is>
          <t>HALHC</t>
        </is>
      </c>
      <c r="E215" s="70" t="inlineStr">
        <is>
          <t>17. Regional Health Clusters</t>
        </is>
      </c>
      <c r="F215" s="70" t="inlineStr">
        <is>
          <t>Late 2023</t>
        </is>
      </c>
      <c r="G215" s="71" t="inlineStr">
        <is>
          <t>38</t>
        </is>
      </c>
      <c r="H215" s="88" t="inlineStr">
        <is>
          <t>HIGH</t>
        </is>
      </c>
      <c r="I215" s="66" t="inlineStr">
        <is>
          <t>Mandatory Complier</t>
        </is>
      </c>
      <c r="J215" s="87" t="inlineStr">
        <is>
          <t>https://www.moh.gov.sa/en/</t>
        </is>
      </c>
    </row>
    <row r="216" ht="45" customHeight="1">
      <c r="A216" s="42" t="n">
        <v>215</v>
      </c>
      <c r="B216" s="411" t="inlineStr">
        <is>
          <t>MOH-PR</t>
        </is>
      </c>
      <c r="C216" s="72" t="inlineStr">
        <is>
          <t>Patient Rights Charter</t>
        </is>
      </c>
      <c r="D216" s="413" t="inlineStr">
        <is>
          <t>NRHC</t>
        </is>
      </c>
      <c r="E216" s="70" t="inlineStr">
        <is>
          <t>17. Regional Health Clusters</t>
        </is>
      </c>
      <c r="F216" s="70" t="inlineStr">
        <is>
          <t>2019</t>
        </is>
      </c>
      <c r="G216" s="71" t="inlineStr">
        <is>
          <t>45</t>
        </is>
      </c>
      <c r="H216" s="88" t="inlineStr">
        <is>
          <t>HIGH</t>
        </is>
      </c>
      <c r="I216" s="66" t="inlineStr">
        <is>
          <t>Mandatory Complier</t>
        </is>
      </c>
      <c r="J216" s="87" t="inlineStr">
        <is>
          <t>https://www.moh.gov.sa/en/</t>
        </is>
      </c>
    </row>
    <row r="217" ht="45" customHeight="1">
      <c r="A217" s="42" t="n">
        <v>216</v>
      </c>
      <c r="B217" s="411" t="inlineStr">
        <is>
          <t>MOH-TELE</t>
        </is>
      </c>
      <c r="C217" s="72" t="inlineStr">
        <is>
          <t>Telemedicine Regulations</t>
        </is>
      </c>
      <c r="D217" s="413" t="inlineStr">
        <is>
          <t>NRHC</t>
        </is>
      </c>
      <c r="E217" s="70" t="inlineStr">
        <is>
          <t>17. Regional Health Clusters</t>
        </is>
      </c>
      <c r="F217" s="70" t="inlineStr">
        <is>
          <t>Late 2023</t>
        </is>
      </c>
      <c r="G217" s="71" t="inlineStr">
        <is>
          <t>38</t>
        </is>
      </c>
      <c r="H217" s="88" t="inlineStr">
        <is>
          <t>HIGH</t>
        </is>
      </c>
      <c r="I217" s="66" t="inlineStr">
        <is>
          <t>Mandatory Complier</t>
        </is>
      </c>
      <c r="J217" s="87" t="inlineStr">
        <is>
          <t>https://www.moh.gov.sa/en/</t>
        </is>
      </c>
    </row>
    <row r="218" ht="45" customHeight="1">
      <c r="A218" s="42" t="n">
        <v>217</v>
      </c>
      <c r="B218" s="411" t="inlineStr">
        <is>
          <t>MOH-PR</t>
        </is>
      </c>
      <c r="C218" s="72" t="inlineStr">
        <is>
          <t>Patient Rights Charter</t>
        </is>
      </c>
      <c r="D218" s="413" t="inlineStr">
        <is>
          <t>BHHC</t>
        </is>
      </c>
      <c r="E218" s="70" t="inlineStr">
        <is>
          <t>17. Regional Health Clusters</t>
        </is>
      </c>
      <c r="F218" s="70" t="inlineStr">
        <is>
          <t>2019</t>
        </is>
      </c>
      <c r="G218" s="71" t="inlineStr">
        <is>
          <t>45</t>
        </is>
      </c>
      <c r="H218" s="88" t="inlineStr">
        <is>
          <t>HIGH</t>
        </is>
      </c>
      <c r="I218" s="66" t="inlineStr">
        <is>
          <t>Mandatory Complier</t>
        </is>
      </c>
      <c r="J218" s="87" t="inlineStr">
        <is>
          <t>https://www.moh.gov.sa/en/</t>
        </is>
      </c>
    </row>
    <row r="219" ht="45" customHeight="1">
      <c r="A219" s="42" t="n">
        <v>218</v>
      </c>
      <c r="B219" s="411" t="inlineStr">
        <is>
          <t>MOH-TELE</t>
        </is>
      </c>
      <c r="C219" s="72" t="inlineStr">
        <is>
          <t>Telemedicine Regulations</t>
        </is>
      </c>
      <c r="D219" s="413" t="inlineStr">
        <is>
          <t>BHHC</t>
        </is>
      </c>
      <c r="E219" s="70" t="inlineStr">
        <is>
          <t>17. Regional Health Clusters</t>
        </is>
      </c>
      <c r="F219" s="70" t="inlineStr">
        <is>
          <t>Late 2023</t>
        </is>
      </c>
      <c r="G219" s="71" t="inlineStr">
        <is>
          <t>38</t>
        </is>
      </c>
      <c r="H219" s="88" t="inlineStr">
        <is>
          <t>HIGH</t>
        </is>
      </c>
      <c r="I219" s="66" t="inlineStr">
        <is>
          <t>Mandatory Complier</t>
        </is>
      </c>
      <c r="J219" s="87" t="inlineStr">
        <is>
          <t>https://www.moh.gov.sa/en/</t>
        </is>
      </c>
    </row>
    <row r="220" ht="45" customHeight="1">
      <c r="A220" s="42" t="n">
        <v>219</v>
      </c>
      <c r="B220" s="18" t="inlineStr">
        <is>
          <t>TCC-1:2021</t>
        </is>
      </c>
      <c r="C220" s="20" t="inlineStr">
        <is>
          <t>Telework Cybersecurity Controls</t>
        </is>
      </c>
      <c r="D220" s="37" t="inlineStr">
        <is>
          <t>NCA</t>
        </is>
      </c>
      <c r="E220" s="19" t="inlineStr">
        <is>
          <t>3. Cybersecurity &amp; Data</t>
        </is>
      </c>
      <c r="F220" s="19" t="inlineStr">
        <is>
          <t>TCC-1:2021</t>
        </is>
      </c>
      <c r="G220" s="21" t="inlineStr">
        <is>
          <t>28</t>
        </is>
      </c>
      <c r="H220" s="63" t="inlineStr">
        <is>
          <t>MODERATE</t>
        </is>
      </c>
      <c r="I220" s="22" t="inlineStr">
        <is>
          <t>Mandatory Enforcer</t>
        </is>
      </c>
      <c r="J220" s="24" t="inlineStr">
        <is>
          <t>https://nca.gov.sa/en/regulatory-documents/controls-list/tcc/</t>
        </is>
      </c>
    </row>
    <row r="221" ht="45" customHeight="1">
      <c r="A221" s="42" t="n">
        <v>220</v>
      </c>
      <c r="B221" s="18" t="inlineStr">
        <is>
          <t>NCA-MCSOC</t>
        </is>
      </c>
      <c r="C221" s="20" t="inlineStr">
        <is>
          <t>Managed SOC Policy</t>
        </is>
      </c>
      <c r="D221" s="37" t="inlineStr">
        <is>
          <t>NCA</t>
        </is>
      </c>
      <c r="E221" s="19" t="inlineStr">
        <is>
          <t>3. Cybersecurity &amp; Data</t>
        </is>
      </c>
      <c r="F221" s="19" t="inlineStr">
        <is>
          <t>2024</t>
        </is>
      </c>
      <c r="G221" s="21" t="inlineStr">
        <is>
          <t>N/A</t>
        </is>
      </c>
      <c r="H221" s="63" t="inlineStr">
        <is>
          <t>MODERATE</t>
        </is>
      </c>
      <c r="I221" s="22" t="inlineStr">
        <is>
          <t>Mandatory Enforcer</t>
        </is>
      </c>
      <c r="J221" s="24" t="inlineStr">
        <is>
          <t>https://nca.gov.sa/en/regulatory-documents/</t>
        </is>
      </c>
    </row>
    <row r="222" ht="45" customHeight="1">
      <c r="A222" s="42" t="n">
        <v>221</v>
      </c>
      <c r="B222" s="18" t="inlineStr">
        <is>
          <t>SDAIA-AI-ETH</t>
        </is>
      </c>
      <c r="C222" s="20" t="inlineStr">
        <is>
          <t>AI Ethics Principles (2nd Ed.)</t>
        </is>
      </c>
      <c r="D222" s="37" t="inlineStr">
        <is>
          <t>SDAIA</t>
        </is>
      </c>
      <c r="E222" s="19" t="inlineStr">
        <is>
          <t>3. Cybersecurity &amp; Data</t>
        </is>
      </c>
      <c r="F222" s="19" t="inlineStr">
        <is>
          <t>2nd Ed. late 2023</t>
        </is>
      </c>
      <c r="G222" s="21" t="inlineStr">
        <is>
          <t>N/A</t>
        </is>
      </c>
      <c r="H222" s="63" t="inlineStr">
        <is>
          <t>MODERATE</t>
        </is>
      </c>
      <c r="I222" s="61" t="inlineStr">
        <is>
          <t>Guideline</t>
        </is>
      </c>
      <c r="J222" s="24" t="inlineStr">
        <is>
          <t>https://sdaia.gov.sa/en/SDAIA/about/Pages/RegulationsAndPolicies.aspx</t>
        </is>
      </c>
    </row>
    <row r="223" ht="45" customHeight="1">
      <c r="A223" s="42" t="n">
        <v>222</v>
      </c>
      <c r="B223" s="18" t="inlineStr">
        <is>
          <t>SDAIA-AI-ADO</t>
        </is>
      </c>
      <c r="C223" s="20" t="inlineStr">
        <is>
          <t>AI Adoption Framework</t>
        </is>
      </c>
      <c r="D223" s="37" t="inlineStr">
        <is>
          <t>SDAIA</t>
        </is>
      </c>
      <c r="E223" s="19" t="inlineStr">
        <is>
          <t>3. Cybersecurity &amp; Data</t>
        </is>
      </c>
      <c r="F223" s="19" t="inlineStr">
        <is>
          <t>Sep 2024</t>
        </is>
      </c>
      <c r="G223" s="21" t="inlineStr">
        <is>
          <t>N/A</t>
        </is>
      </c>
      <c r="H223" s="63" t="inlineStr">
        <is>
          <t>MODERATE</t>
        </is>
      </c>
      <c r="I223" s="61" t="inlineStr">
        <is>
          <t>Guideline</t>
        </is>
      </c>
      <c r="J223" s="24" t="inlineStr">
        <is>
          <t>https://sdaia.gov.sa/en/SDAIA/about/Pages/RegulationsAndPolicies.aspx</t>
        </is>
      </c>
    </row>
    <row r="224" ht="45" customHeight="1">
      <c r="A224" s="42" t="n">
        <v>223</v>
      </c>
      <c r="B224" s="18" t="inlineStr">
        <is>
          <t>SDAIA-GENAI</t>
        </is>
      </c>
      <c r="C224" s="20" t="inlineStr">
        <is>
          <t>Generative AI Guidelines</t>
        </is>
      </c>
      <c r="D224" s="37" t="inlineStr">
        <is>
          <t>SDAIA</t>
        </is>
      </c>
      <c r="E224" s="19" t="inlineStr">
        <is>
          <t>3. Cybersecurity &amp; Data</t>
        </is>
      </c>
      <c r="F224" s="19" t="inlineStr">
        <is>
          <t>Early 2024</t>
        </is>
      </c>
      <c r="G224" s="21" t="inlineStr">
        <is>
          <t>N/A</t>
        </is>
      </c>
      <c r="H224" s="63" t="inlineStr">
        <is>
          <t>MODERATE</t>
        </is>
      </c>
      <c r="I224" s="61" t="inlineStr">
        <is>
          <t>Guideline</t>
        </is>
      </c>
      <c r="J224" s="24" t="inlineStr">
        <is>
          <t>https://sdaia.gov.sa/en/SDAIA/about/Pages/RegulationsAndPolicies.aspx</t>
        </is>
      </c>
    </row>
    <row r="225" ht="45" customHeight="1">
      <c r="A225" s="42" t="n">
        <v>224</v>
      </c>
      <c r="B225" s="85" t="inlineStr">
        <is>
          <t>SCFHS-SBOARD</t>
        </is>
      </c>
      <c r="C225" s="72" t="inlineStr">
        <is>
          <t>Saudi Board Postgraduate Education Standards</t>
        </is>
      </c>
      <c r="D225" s="50" t="inlineStr">
        <is>
          <t>SCFHS</t>
        </is>
      </c>
      <c r="E225" s="70" t="inlineStr">
        <is>
          <t>2. Healthcare &amp; Life Sciences</t>
        </is>
      </c>
      <c r="F225" s="70" t="inlineStr">
        <is>
          <t>2025 Strategy</t>
        </is>
      </c>
      <c r="G225" s="71" t="inlineStr">
        <is>
          <t>N/A</t>
        </is>
      </c>
      <c r="H225" s="93" t="inlineStr">
        <is>
          <t>MODERATE</t>
        </is>
      </c>
      <c r="I225" s="22" t="inlineStr">
        <is>
          <t>Mandatory Enforcer</t>
        </is>
      </c>
      <c r="J225" s="87" t="inlineStr">
        <is>
          <t>https://scfhs.org.sa/en/strategy</t>
        </is>
      </c>
    </row>
    <row r="226" ht="45" customHeight="1">
      <c r="A226" s="42" t="n">
        <v>225</v>
      </c>
      <c r="B226" s="85" t="inlineStr">
        <is>
          <t>SCFHS-SCRUT</t>
        </is>
      </c>
      <c r="C226" s="72" t="inlineStr">
        <is>
          <t>Scrutiny &amp; Malpractice Procedures</t>
        </is>
      </c>
      <c r="D226" s="50" t="inlineStr">
        <is>
          <t>SCFHS</t>
        </is>
      </c>
      <c r="E226" s="70" t="inlineStr">
        <is>
          <t>2. Healthcare &amp; Life Sciences</t>
        </is>
      </c>
      <c r="F226" s="70" t="inlineStr">
        <is>
          <t>Active</t>
        </is>
      </c>
      <c r="G226" s="71" t="inlineStr">
        <is>
          <t>N/A</t>
        </is>
      </c>
      <c r="H226" s="93" t="inlineStr">
        <is>
          <t>MODERATE</t>
        </is>
      </c>
      <c r="I226" s="22" t="inlineStr">
        <is>
          <t>Mandatory Enforcer</t>
        </is>
      </c>
      <c r="J226" s="87" t="inlineStr">
        <is>
          <t>https://scfhs.org.sa/en</t>
        </is>
      </c>
    </row>
    <row r="227" ht="45" customHeight="1">
      <c r="A227" s="42" t="n">
        <v>226</v>
      </c>
      <c r="B227" s="85" t="inlineStr">
        <is>
          <t>SCFHS-INTL</t>
        </is>
      </c>
      <c r="C227" s="72" t="inlineStr">
        <is>
          <t>International Credential Verification</t>
        </is>
      </c>
      <c r="D227" s="50" t="inlineStr">
        <is>
          <t>SCFHS</t>
        </is>
      </c>
      <c r="E227" s="70" t="inlineStr">
        <is>
          <t>2. Healthcare &amp; Life Sciences</t>
        </is>
      </c>
      <c r="F227" s="70" t="inlineStr">
        <is>
          <t>Updated 2024</t>
        </is>
      </c>
      <c r="G227" s="71" t="inlineStr">
        <is>
          <t>N/A</t>
        </is>
      </c>
      <c r="H227" s="93" t="inlineStr">
        <is>
          <t>MODERATE</t>
        </is>
      </c>
      <c r="I227" s="22" t="inlineStr">
        <is>
          <t>Mandatory Enforcer</t>
        </is>
      </c>
      <c r="J227" s="87" t="inlineStr">
        <is>
          <t>https://scfhs.org.sa/en</t>
        </is>
      </c>
    </row>
    <row r="228" ht="45" customHeight="1">
      <c r="A228" s="42" t="n">
        <v>227</v>
      </c>
      <c r="B228" s="85" t="inlineStr">
        <is>
          <t>NCA-ECC-2:2024</t>
        </is>
      </c>
      <c r="C228" s="72" t="inlineStr">
        <is>
          <t>Essential Cybersecurity Controls</t>
        </is>
      </c>
      <c r="D228" s="50" t="inlineStr">
        <is>
          <t>SCFHS</t>
        </is>
      </c>
      <c r="E228" s="70" t="inlineStr">
        <is>
          <t>2. Healthcare &amp; Life Sciences</t>
        </is>
      </c>
      <c r="F228" s="70" t="inlineStr">
        <is>
          <t>ECC-2:2024</t>
        </is>
      </c>
      <c r="G228" s="71" t="inlineStr">
        <is>
          <t>108</t>
        </is>
      </c>
      <c r="H228" s="93" t="inlineStr">
        <is>
          <t>MODERATE</t>
        </is>
      </c>
      <c r="I228" s="66" t="inlineStr">
        <is>
          <t>Mandatory Complier</t>
        </is>
      </c>
      <c r="J228" s="87" t="inlineStr">
        <is>
          <t>https://nca.gov.sa/</t>
        </is>
      </c>
    </row>
    <row r="229" ht="45" customHeight="1">
      <c r="A229" s="42" t="n">
        <v>228</v>
      </c>
      <c r="B229" s="85" t="inlineStr">
        <is>
          <t>PDPL-2021</t>
        </is>
      </c>
      <c r="C229" s="72" t="inlineStr">
        <is>
          <t>Personal Data Protection Law</t>
        </is>
      </c>
      <c r="D229" s="50" t="inlineStr">
        <is>
          <t>SCFHS</t>
        </is>
      </c>
      <c r="E229" s="70" t="inlineStr">
        <is>
          <t>2. Healthcare &amp; Life Sciences</t>
        </is>
      </c>
      <c r="F229" s="70" t="inlineStr">
        <is>
          <t>2021+IR 2023</t>
        </is>
      </c>
      <c r="G229" s="71" t="inlineStr">
        <is>
          <t>45</t>
        </is>
      </c>
      <c r="H229" s="93" t="inlineStr">
        <is>
          <t>MODERATE</t>
        </is>
      </c>
      <c r="I229" s="66" t="inlineStr">
        <is>
          <t>Mandatory Complier</t>
        </is>
      </c>
      <c r="J229" s="87" t="inlineStr">
        <is>
          <t>https://sdaia.gov.sa/</t>
        </is>
      </c>
    </row>
    <row r="230" ht="45" customHeight="1">
      <c r="A230" s="42" t="n">
        <v>229</v>
      </c>
      <c r="B230" s="85" t="inlineStr">
        <is>
          <t>CCHI-DCS</t>
        </is>
      </c>
      <c r="C230" s="72" t="inlineStr">
        <is>
          <t>Digital Claims Processing Standards</t>
        </is>
      </c>
      <c r="D230" s="50" t="inlineStr">
        <is>
          <t>CCHI</t>
        </is>
      </c>
      <c r="E230" s="70" t="inlineStr">
        <is>
          <t>2. Healthcare &amp; Life Sciences</t>
        </is>
      </c>
      <c r="F230" s="70" t="inlineStr">
        <is>
          <t>2024-2025</t>
        </is>
      </c>
      <c r="G230" s="71" t="inlineStr">
        <is>
          <t>20</t>
        </is>
      </c>
      <c r="H230" s="93" t="inlineStr">
        <is>
          <t>MODERATE</t>
        </is>
      </c>
      <c r="I230" s="22" t="inlineStr">
        <is>
          <t>Mandatory Enforcer</t>
        </is>
      </c>
      <c r="J230" s="87" t="inlineStr">
        <is>
          <t>https://cchi.gov.sa/</t>
        </is>
      </c>
    </row>
    <row r="231" ht="45" customHeight="1">
      <c r="A231" s="42" t="n">
        <v>230</v>
      </c>
      <c r="B231" s="85" t="inlineStr">
        <is>
          <t>CCHI-INSLIC</t>
        </is>
      </c>
      <c r="C231" s="72" t="inlineStr">
        <is>
          <t>Health Insurance Licensing Requirements</t>
        </is>
      </c>
      <c r="D231" s="50" t="inlineStr">
        <is>
          <t>CCHI</t>
        </is>
      </c>
      <c r="E231" s="70" t="inlineStr">
        <is>
          <t>2. Healthcare &amp; Life Sciences</t>
        </is>
      </c>
      <c r="F231" s="70" t="inlineStr">
        <is>
          <t>Updated 2024</t>
        </is>
      </c>
      <c r="G231" s="71" t="inlineStr">
        <is>
          <t>30</t>
        </is>
      </c>
      <c r="H231" s="93" t="inlineStr">
        <is>
          <t>MODERATE</t>
        </is>
      </c>
      <c r="I231" s="22" t="inlineStr">
        <is>
          <t>Mandatory Enforcer</t>
        </is>
      </c>
      <c r="J231" s="87" t="inlineStr">
        <is>
          <t>https://cchi.gov.sa/</t>
        </is>
      </c>
    </row>
    <row r="232" ht="45" customHeight="1">
      <c r="A232" s="42" t="n">
        <v>231</v>
      </c>
      <c r="B232" s="85" t="inlineStr">
        <is>
          <t>CCHI-PROVNET</t>
        </is>
      </c>
      <c r="C232" s="72" t="inlineStr">
        <is>
          <t>Provider Network Standards</t>
        </is>
      </c>
      <c r="D232" s="50" t="inlineStr">
        <is>
          <t>CCHI</t>
        </is>
      </c>
      <c r="E232" s="70" t="inlineStr">
        <is>
          <t>2. Healthcare &amp; Life Sciences</t>
        </is>
      </c>
      <c r="F232" s="70" t="inlineStr">
        <is>
          <t>Updated 2023</t>
        </is>
      </c>
      <c r="G232" s="71" t="inlineStr">
        <is>
          <t>25</t>
        </is>
      </c>
      <c r="H232" s="93" t="inlineStr">
        <is>
          <t>MODERATE</t>
        </is>
      </c>
      <c r="I232" s="22" t="inlineStr">
        <is>
          <t>Mandatory Enforcer</t>
        </is>
      </c>
      <c r="J232" s="87" t="inlineStr">
        <is>
          <t>https://cchi.gov.sa/</t>
        </is>
      </c>
    </row>
    <row r="233" ht="45" customHeight="1">
      <c r="A233" s="42" t="n">
        <v>232</v>
      </c>
      <c r="B233" s="85" t="inlineStr">
        <is>
          <t>SHC-NHAP</t>
        </is>
      </c>
      <c r="C233" s="72" t="inlineStr">
        <is>
          <t>National Health Accounts Programme</t>
        </is>
      </c>
      <c r="D233" s="50" t="inlineStr">
        <is>
          <t>SHC</t>
        </is>
      </c>
      <c r="E233" s="70" t="inlineStr">
        <is>
          <t>2. Healthcare &amp; Life Sciences</t>
        </is>
      </c>
      <c r="F233" s="70" t="inlineStr">
        <is>
          <t>Annual</t>
        </is>
      </c>
      <c r="G233" s="71" t="inlineStr">
        <is>
          <t>N/A</t>
        </is>
      </c>
      <c r="H233" s="93" t="inlineStr">
        <is>
          <t>MODERATE</t>
        </is>
      </c>
      <c r="I233" s="64" t="inlineStr">
        <is>
          <t>Policy Setter</t>
        </is>
      </c>
      <c r="J233" s="87" t="inlineStr">
        <is>
          <t>https://shc.org.sa/</t>
        </is>
      </c>
    </row>
    <row r="234" ht="45" customHeight="1">
      <c r="A234" s="42" t="n">
        <v>233</v>
      </c>
      <c r="B234" s="97" t="inlineStr">
        <is>
          <t>SAMA-CSF</t>
        </is>
      </c>
      <c r="C234" s="99" t="inlineStr">
        <is>
          <t>Cybersecurity Framework</t>
        </is>
      </c>
      <c r="D234" s="415" t="inlineStr">
        <is>
          <t>SAMA</t>
        </is>
      </c>
      <c r="E234" s="98" t="inlineStr">
        <is>
          <t>5. Financial Regulators</t>
        </is>
      </c>
      <c r="F234" s="98" t="inlineStr">
        <is>
          <t>2017</t>
        </is>
      </c>
      <c r="G234" s="100" t="inlineStr">
        <is>
          <t>114</t>
        </is>
      </c>
      <c r="H234" s="101" t="inlineStr">
        <is>
          <t>MODERATE</t>
        </is>
      </c>
      <c r="I234" s="22" t="inlineStr">
        <is>
          <t>Mandatory Enforcer</t>
        </is>
      </c>
      <c r="J234" s="102" t="inlineStr">
        <is>
          <t>https://www.sama.gov.sa/en-US/RulesInstructions/CyberSecurity/</t>
        </is>
      </c>
    </row>
    <row r="235" ht="45" customHeight="1">
      <c r="A235" s="42" t="n">
        <v>234</v>
      </c>
      <c r="B235" s="97" t="inlineStr">
        <is>
          <t>SAMA-BCM</t>
        </is>
      </c>
      <c r="C235" s="99" t="inlineStr">
        <is>
          <t>Business Continuity Management Framework</t>
        </is>
      </c>
      <c r="D235" s="415" t="inlineStr">
        <is>
          <t>SAMA</t>
        </is>
      </c>
      <c r="E235" s="98" t="inlineStr">
        <is>
          <t>5. Financial Regulators</t>
        </is>
      </c>
      <c r="F235" s="98" t="inlineStr">
        <is>
          <t>Updated 2023</t>
        </is>
      </c>
      <c r="G235" s="100" t="inlineStr">
        <is>
          <t>40</t>
        </is>
      </c>
      <c r="H235" s="101" t="inlineStr">
        <is>
          <t>MODERATE</t>
        </is>
      </c>
      <c r="I235" s="22" t="inlineStr">
        <is>
          <t>Mandatory Enforcer</t>
        </is>
      </c>
      <c r="J235" s="102" t="inlineStr">
        <is>
          <t>https://www.sama.gov.sa/</t>
        </is>
      </c>
    </row>
    <row r="236" ht="45" customHeight="1">
      <c r="A236" s="42" t="n">
        <v>235</v>
      </c>
      <c r="B236" s="97" t="inlineStr">
        <is>
          <t>SAMA-CCP</t>
        </is>
      </c>
      <c r="C236" s="99" t="inlineStr">
        <is>
          <t>Consumer/Customer Protection Principles</t>
        </is>
      </c>
      <c r="D236" s="415" t="inlineStr">
        <is>
          <t>SAMA</t>
        </is>
      </c>
      <c r="E236" s="98" t="inlineStr">
        <is>
          <t>5. Financial Regulators</t>
        </is>
      </c>
      <c r="F236" s="98" t="inlineStr">
        <is>
          <t>Updated 2022</t>
        </is>
      </c>
      <c r="G236" s="100" t="inlineStr">
        <is>
          <t>34</t>
        </is>
      </c>
      <c r="H236" s="101" t="inlineStr">
        <is>
          <t>MODERATE</t>
        </is>
      </c>
      <c r="I236" s="22" t="inlineStr">
        <is>
          <t>Mandatory Enforcer</t>
        </is>
      </c>
      <c r="J236" s="102" t="inlineStr">
        <is>
          <t>https://www.sama.gov.sa/</t>
        </is>
      </c>
    </row>
    <row r="237" ht="45" customHeight="1">
      <c r="A237" s="42" t="n">
        <v>236</v>
      </c>
      <c r="B237" s="97" t="inlineStr">
        <is>
          <t>SAMA-CLOUD</t>
        </is>
      </c>
      <c r="C237" s="99" t="inlineStr">
        <is>
          <t>Cloud Computing Policy</t>
        </is>
      </c>
      <c r="D237" s="415" t="inlineStr">
        <is>
          <t>SAMA</t>
        </is>
      </c>
      <c r="E237" s="98" t="inlineStr">
        <is>
          <t>5. Financial Regulators</t>
        </is>
      </c>
      <c r="F237" s="98" t="inlineStr">
        <is>
          <t>Active</t>
        </is>
      </c>
      <c r="G237" s="100" t="inlineStr">
        <is>
          <t>N/A</t>
        </is>
      </c>
      <c r="H237" s="101" t="inlineStr">
        <is>
          <t>MODERATE</t>
        </is>
      </c>
      <c r="I237" s="22" t="inlineStr">
        <is>
          <t>Mandatory Enforcer</t>
        </is>
      </c>
      <c r="J237" s="102" t="inlineStr">
        <is>
          <t>https://www.sama.gov.sa/</t>
        </is>
      </c>
    </row>
    <row r="238" ht="45" customHeight="1">
      <c r="A238" s="42" t="n">
        <v>237</v>
      </c>
      <c r="B238" s="97" t="inlineStr">
        <is>
          <t>NCA-ECC-2:2024</t>
        </is>
      </c>
      <c r="C238" s="99" t="inlineStr">
        <is>
          <t>Essential Cybersecurity Controls</t>
        </is>
      </c>
      <c r="D238" s="415" t="inlineStr">
        <is>
          <t>SAMA</t>
        </is>
      </c>
      <c r="E238" s="98" t="inlineStr">
        <is>
          <t>5. Financial Regulators</t>
        </is>
      </c>
      <c r="F238" s="98" t="inlineStr">
        <is>
          <t>ECC-2:2024</t>
        </is>
      </c>
      <c r="G238" s="100" t="inlineStr">
        <is>
          <t>108</t>
        </is>
      </c>
      <c r="H238" s="101" t="inlineStr">
        <is>
          <t>MODERATE</t>
        </is>
      </c>
      <c r="I238" s="66" t="inlineStr">
        <is>
          <t>Mandatory Complier</t>
        </is>
      </c>
      <c r="J238" s="102" t="inlineStr">
        <is>
          <t>https://nca.gov.sa/</t>
        </is>
      </c>
    </row>
    <row r="239" ht="45" customHeight="1">
      <c r="A239" s="42" t="n">
        <v>238</v>
      </c>
      <c r="B239" s="97" t="inlineStr">
        <is>
          <t>PDPL-2021</t>
        </is>
      </c>
      <c r="C239" s="99" t="inlineStr">
        <is>
          <t>Personal Data Protection Law</t>
        </is>
      </c>
      <c r="D239" s="415" t="inlineStr">
        <is>
          <t>SAMA</t>
        </is>
      </c>
      <c r="E239" s="98" t="inlineStr">
        <is>
          <t>5. Financial Regulators</t>
        </is>
      </c>
      <c r="F239" s="98" t="inlineStr">
        <is>
          <t>2021+IR 2023</t>
        </is>
      </c>
      <c r="G239" s="100" t="inlineStr">
        <is>
          <t>45</t>
        </is>
      </c>
      <c r="H239" s="101" t="inlineStr">
        <is>
          <t>MODERATE</t>
        </is>
      </c>
      <c r="I239" s="66" t="inlineStr">
        <is>
          <t>Mandatory Complier</t>
        </is>
      </c>
      <c r="J239" s="102" t="inlineStr">
        <is>
          <t>https://sdaia.gov.sa/</t>
        </is>
      </c>
    </row>
    <row r="240" ht="45" customHeight="1">
      <c r="A240" s="42" t="n">
        <v>239</v>
      </c>
      <c r="B240" s="120" t="inlineStr">
        <is>
          <t>CST-USERIGHTS</t>
        </is>
      </c>
      <c r="C240" s="122" t="inlineStr">
        <is>
          <t>Protection of Rights of ICT Services Users</t>
        </is>
      </c>
      <c r="D240" s="125" t="inlineStr">
        <is>
          <t>CST</t>
        </is>
      </c>
      <c r="E240" s="121" t="inlineStr">
        <is>
          <t>4. ICT / Digital / Telecom</t>
        </is>
      </c>
      <c r="F240" s="121" t="inlineStr">
        <is>
          <t>Updated 2024</t>
        </is>
      </c>
      <c r="G240" s="123" t="inlineStr">
        <is>
          <t>N/A</t>
        </is>
      </c>
      <c r="H240" s="140" t="inlineStr">
        <is>
          <t>MODERATE</t>
        </is>
      </c>
      <c r="I240" s="22" t="inlineStr">
        <is>
          <t>Mandatory Enforcer</t>
        </is>
      </c>
      <c r="J240" s="125" t="inlineStr">
        <is>
          <t>https://www.cst.gov.sa/en</t>
        </is>
      </c>
    </row>
    <row r="241" ht="45" customHeight="1">
      <c r="A241" s="42" t="n">
        <v>240</v>
      </c>
      <c r="B241" s="120" t="inlineStr">
        <is>
          <t>DGA-DMI</t>
        </is>
      </c>
      <c r="C241" s="122" t="inlineStr">
        <is>
          <t>Digital Maturity Index Methodology</t>
        </is>
      </c>
      <c r="D241" s="125" t="inlineStr">
        <is>
          <t>DGA</t>
        </is>
      </c>
      <c r="E241" s="121" t="inlineStr">
        <is>
          <t>4. ICT / Digital / Telecom</t>
        </is>
      </c>
      <c r="F241" s="121" t="inlineStr">
        <is>
          <t>Updated 2022</t>
        </is>
      </c>
      <c r="G241" s="123" t="inlineStr">
        <is>
          <t>42</t>
        </is>
      </c>
      <c r="H241" s="140" t="inlineStr">
        <is>
          <t>MODERATE</t>
        </is>
      </c>
      <c r="I241" s="22" t="inlineStr">
        <is>
          <t>Mandatory Enforcer</t>
        </is>
      </c>
      <c r="J241" s="125" t="inlineStr">
        <is>
          <t>https://dga.gov.sa/en</t>
        </is>
      </c>
    </row>
    <row r="242" ht="45" customHeight="1">
      <c r="A242" s="42" t="n">
        <v>241</v>
      </c>
      <c r="B242" s="120" t="inlineStr">
        <is>
          <t>DGA-ODP</t>
        </is>
      </c>
      <c r="C242" s="122" t="inlineStr">
        <is>
          <t>Open Data Policy</t>
        </is>
      </c>
      <c r="D242" s="125" t="inlineStr">
        <is>
          <t>DGA</t>
        </is>
      </c>
      <c r="E242" s="121" t="inlineStr">
        <is>
          <t>4. ICT / Digital / Telecom</t>
        </is>
      </c>
      <c r="F242" s="121" t="inlineStr">
        <is>
          <t>2021</t>
        </is>
      </c>
      <c r="G242" s="123" t="inlineStr">
        <is>
          <t>23</t>
        </is>
      </c>
      <c r="H242" s="140" t="inlineStr">
        <is>
          <t>MODERATE</t>
        </is>
      </c>
      <c r="I242" s="22" t="inlineStr">
        <is>
          <t>Mandatory Enforcer</t>
        </is>
      </c>
      <c r="J242" s="125" t="inlineStr">
        <is>
          <t>https://dga.gov.sa/en</t>
        </is>
      </c>
    </row>
    <row r="243" ht="45" customHeight="1">
      <c r="A243" s="42" t="n">
        <v>242</v>
      </c>
      <c r="B243" s="120" t="inlineStr">
        <is>
          <t>DGA-GDS</t>
        </is>
      </c>
      <c r="C243" s="122" t="inlineStr">
        <is>
          <t>Government Digital Standards</t>
        </is>
      </c>
      <c r="D243" s="125" t="inlineStr">
        <is>
          <t>DGA</t>
        </is>
      </c>
      <c r="E243" s="121" t="inlineStr">
        <is>
          <t>4. ICT / Digital / Telecom</t>
        </is>
      </c>
      <c r="F243" s="121" t="inlineStr">
        <is>
          <t>Updated 2023</t>
        </is>
      </c>
      <c r="G243" s="123" t="inlineStr">
        <is>
          <t>35</t>
        </is>
      </c>
      <c r="H243" s="140" t="inlineStr">
        <is>
          <t>MODERATE</t>
        </is>
      </c>
      <c r="I243" s="22" t="inlineStr">
        <is>
          <t>Mandatory Enforcer</t>
        </is>
      </c>
      <c r="J243" s="125" t="inlineStr">
        <is>
          <t>https://dga.gov.sa/en</t>
        </is>
      </c>
    </row>
    <row r="244" ht="45" customHeight="1">
      <c r="A244" s="42" t="n">
        <v>243</v>
      </c>
      <c r="B244" s="120" t="inlineStr">
        <is>
          <t>DGA-GRFM</t>
        </is>
      </c>
      <c r="C244" s="122" t="inlineStr">
        <is>
          <t>Government Reference Framework for Enterprise Architecture</t>
        </is>
      </c>
      <c r="D244" s="125" t="inlineStr">
        <is>
          <t>DGA</t>
        </is>
      </c>
      <c r="E244" s="121" t="inlineStr">
        <is>
          <t>4. ICT / Digital / Telecom</t>
        </is>
      </c>
      <c r="F244" s="121" t="inlineStr">
        <is>
          <t>2022</t>
        </is>
      </c>
      <c r="G244" s="123" t="inlineStr">
        <is>
          <t>N/A</t>
        </is>
      </c>
      <c r="H244" s="140" t="inlineStr">
        <is>
          <t>MODERATE</t>
        </is>
      </c>
      <c r="I244" s="22" t="inlineStr">
        <is>
          <t>Mandatory Enforcer</t>
        </is>
      </c>
      <c r="J244" s="125" t="inlineStr">
        <is>
          <t>https://dga.gov.sa/en</t>
        </is>
      </c>
    </row>
    <row r="245" ht="45" customHeight="1">
      <c r="A245" s="42" t="n">
        <v>244</v>
      </c>
      <c r="B245" s="144" t="inlineStr">
        <is>
          <t>ZATCA-EINV-P1</t>
        </is>
      </c>
      <c r="C245" s="146" t="inlineStr">
        <is>
          <t>E-Invoicing Phase 1 (Generation)</t>
        </is>
      </c>
      <c r="D245" s="417" t="inlineStr">
        <is>
          <t>ZATCA</t>
        </is>
      </c>
      <c r="E245" s="145" t="inlineStr">
        <is>
          <t>6. Tax / Customs / Trade</t>
        </is>
      </c>
      <c r="F245" s="145" t="inlineStr">
        <is>
          <t>Dec 2021</t>
        </is>
      </c>
      <c r="G245" s="147" t="inlineStr">
        <is>
          <t>12</t>
        </is>
      </c>
      <c r="H245" s="148" t="inlineStr">
        <is>
          <t>MODERATE</t>
        </is>
      </c>
      <c r="I245" s="22" t="inlineStr">
        <is>
          <t>Mandatory Enforcer</t>
        </is>
      </c>
      <c r="J245" s="149" t="inlineStr">
        <is>
          <t>https://www.zatca.gov.sa/</t>
        </is>
      </c>
    </row>
    <row r="246" ht="45" customHeight="1">
      <c r="A246" s="42" t="n">
        <v>245</v>
      </c>
      <c r="B246" s="144" t="inlineStr">
        <is>
          <t>ZATCA-EINV-P2</t>
        </is>
      </c>
      <c r="C246" s="146" t="inlineStr">
        <is>
          <t>E-Invoicing Phase 2 (Integration)</t>
        </is>
      </c>
      <c r="D246" s="417" t="inlineStr">
        <is>
          <t>ZATCA</t>
        </is>
      </c>
      <c r="E246" s="145" t="inlineStr">
        <is>
          <t>6. Tax / Customs / Trade</t>
        </is>
      </c>
      <c r="F246" s="145" t="inlineStr">
        <is>
          <t>2022 phased</t>
        </is>
      </c>
      <c r="G246" s="147" t="inlineStr">
        <is>
          <t>23</t>
        </is>
      </c>
      <c r="H246" s="148" t="inlineStr">
        <is>
          <t>MODERATE</t>
        </is>
      </c>
      <c r="I246" s="22" t="inlineStr">
        <is>
          <t>Mandatory Enforcer</t>
        </is>
      </c>
      <c r="J246" s="149" t="inlineStr">
        <is>
          <t>https://www.zatca.gov.sa/</t>
        </is>
      </c>
    </row>
    <row r="247" ht="45" customHeight="1">
      <c r="A247" s="42" t="n">
        <v>246</v>
      </c>
      <c r="B247" s="144" t="inlineStr">
        <is>
          <t>ZATCA-CUST</t>
        </is>
      </c>
      <c r="C247" s="146" t="inlineStr">
        <is>
          <t>Customs Regulations</t>
        </is>
      </c>
      <c r="D247" s="417" t="inlineStr">
        <is>
          <t>ZATCA</t>
        </is>
      </c>
      <c r="E247" s="145" t="inlineStr">
        <is>
          <t>6. Tax / Customs / Trade</t>
        </is>
      </c>
      <c r="F247" s="145" t="inlineStr">
        <is>
          <t>Updated 2022</t>
        </is>
      </c>
      <c r="G247" s="147" t="inlineStr">
        <is>
          <t>N/A</t>
        </is>
      </c>
      <c r="H247" s="148" t="inlineStr">
        <is>
          <t>MODERATE</t>
        </is>
      </c>
      <c r="I247" s="22" t="inlineStr">
        <is>
          <t>Mandatory Enforcer</t>
        </is>
      </c>
      <c r="J247" s="149" t="inlineStr">
        <is>
          <t>https://www.zatca.gov.sa/</t>
        </is>
      </c>
    </row>
    <row r="248" ht="45" customHeight="1">
      <c r="A248" s="42" t="n">
        <v>247</v>
      </c>
      <c r="B248" s="144" t="inlineStr">
        <is>
          <t>NCA-ECC-2:2024</t>
        </is>
      </c>
      <c r="C248" s="146" t="inlineStr">
        <is>
          <t>Essential Cybersecurity Controls</t>
        </is>
      </c>
      <c r="D248" s="417" t="inlineStr">
        <is>
          <t>ZATCA</t>
        </is>
      </c>
      <c r="E248" s="145" t="inlineStr">
        <is>
          <t>6. Tax / Customs / Trade</t>
        </is>
      </c>
      <c r="F248" s="145" t="inlineStr">
        <is>
          <t>ECC-2:2024</t>
        </is>
      </c>
      <c r="G248" s="147" t="inlineStr">
        <is>
          <t>108</t>
        </is>
      </c>
      <c r="H248" s="148" t="inlineStr">
        <is>
          <t>MODERATE</t>
        </is>
      </c>
      <c r="I248" s="66" t="inlineStr">
        <is>
          <t>Mandatory Complier</t>
        </is>
      </c>
      <c r="J248" s="149" t="inlineStr">
        <is>
          <t>https://nca.gov.sa/</t>
        </is>
      </c>
    </row>
    <row r="249" ht="45" customHeight="1">
      <c r="A249" s="42" t="n">
        <v>248</v>
      </c>
      <c r="B249" s="167" t="inlineStr">
        <is>
          <t>SASO-METRO</t>
        </is>
      </c>
      <c r="C249" s="169" t="inlineStr">
        <is>
          <t>Metrology Regulations</t>
        </is>
      </c>
      <c r="D249" s="414" t="inlineStr">
        <is>
          <t>SASO</t>
        </is>
      </c>
      <c r="E249" s="168" t="inlineStr">
        <is>
          <t>7. Standards &amp; Quality</t>
        </is>
      </c>
      <c r="F249" s="168" t="inlineStr">
        <is>
          <t>Active</t>
        </is>
      </c>
      <c r="G249" s="170" t="inlineStr">
        <is>
          <t>N/A</t>
        </is>
      </c>
      <c r="H249" s="186" t="inlineStr">
        <is>
          <t>MODERATE</t>
        </is>
      </c>
      <c r="I249" s="22" t="inlineStr">
        <is>
          <t>Mandatory Enforcer</t>
        </is>
      </c>
      <c r="J249" s="172" t="inlineStr">
        <is>
          <t>https://www.saso.gov.sa/en</t>
        </is>
      </c>
    </row>
    <row r="250" ht="45" customHeight="1">
      <c r="A250" s="42" t="n">
        <v>249</v>
      </c>
      <c r="B250" s="205" t="inlineStr">
        <is>
          <t>MHRSD-LL</t>
        </is>
      </c>
      <c r="C250" s="192" t="inlineStr">
        <is>
          <t>Labour Law &amp; Implementing Regulations</t>
        </is>
      </c>
      <c r="D250" s="26" t="inlineStr">
        <is>
          <t>MHRSD</t>
        </is>
      </c>
      <c r="E250" s="190" t="inlineStr">
        <is>
          <t>1. Ministries</t>
        </is>
      </c>
      <c r="F250" s="190" t="inlineStr">
        <is>
          <t>Updated 2024</t>
        </is>
      </c>
      <c r="G250" s="191" t="inlineStr">
        <is>
          <t>245</t>
        </is>
      </c>
      <c r="H250" s="208" t="inlineStr">
        <is>
          <t>MODERATE</t>
        </is>
      </c>
      <c r="I250" s="22" t="inlineStr">
        <is>
          <t>Mandatory Enforcer</t>
        </is>
      </c>
      <c r="J250" s="207" t="inlineStr">
        <is>
          <t>https://www.hrsd.gov.sa/en</t>
        </is>
      </c>
    </row>
    <row r="251" ht="45" customHeight="1">
      <c r="A251" s="42" t="n">
        <v>250</v>
      </c>
      <c r="B251" s="205" t="inlineStr">
        <is>
          <t>MHRSD-WEL</t>
        </is>
      </c>
      <c r="C251" s="192" t="inlineStr">
        <is>
          <t>Welfare &amp; Social Protection Regulations</t>
        </is>
      </c>
      <c r="D251" s="26" t="inlineStr">
        <is>
          <t>MHRSD</t>
        </is>
      </c>
      <c r="E251" s="190" t="inlineStr">
        <is>
          <t>1. Ministries</t>
        </is>
      </c>
      <c r="F251" s="190" t="inlineStr">
        <is>
          <t>Updated</t>
        </is>
      </c>
      <c r="G251" s="191" t="inlineStr">
        <is>
          <t>N/A</t>
        </is>
      </c>
      <c r="H251" s="208" t="inlineStr">
        <is>
          <t>MODERATE</t>
        </is>
      </c>
      <c r="I251" s="22" t="inlineStr">
        <is>
          <t>Mandatory Enforcer</t>
        </is>
      </c>
      <c r="J251" s="207" t="inlineStr">
        <is>
          <t>https://www.hrsd.gov.sa/en</t>
        </is>
      </c>
    </row>
    <row r="252" ht="45" customHeight="1">
      <c r="A252" s="42" t="n">
        <v>251</v>
      </c>
      <c r="B252" s="205" t="inlineStr">
        <is>
          <t>MOI-ACTL</t>
        </is>
      </c>
      <c r="C252" s="192" t="inlineStr">
        <is>
          <t>Anti-Cybercrime Law</t>
        </is>
      </c>
      <c r="D252" s="26" t="inlineStr">
        <is>
          <t>MOI</t>
        </is>
      </c>
      <c r="E252" s="190" t="inlineStr">
        <is>
          <t>1. Ministries</t>
        </is>
      </c>
      <c r="F252" s="190" t="inlineStr">
        <is>
          <t>RD M/17 2007 (revised 2015)</t>
        </is>
      </c>
      <c r="G252" s="191" t="inlineStr">
        <is>
          <t>N/A</t>
        </is>
      </c>
      <c r="H252" s="208" t="inlineStr">
        <is>
          <t>MODERATE</t>
        </is>
      </c>
      <c r="I252" s="22" t="inlineStr">
        <is>
          <t>Mandatory Enforcer</t>
        </is>
      </c>
      <c r="J252" s="207" t="inlineStr">
        <is>
          <t>https://www.moi.gov.sa/</t>
        </is>
      </c>
    </row>
    <row r="253" ht="45" customHeight="1">
      <c r="A253" s="42" t="n">
        <v>252</v>
      </c>
      <c r="B253" s="205" t="inlineStr">
        <is>
          <t>MOI-NID</t>
        </is>
      </c>
      <c r="C253" s="192" t="inlineStr">
        <is>
          <t>National ID / Absher Platform Standards</t>
        </is>
      </c>
      <c r="D253" s="26" t="inlineStr">
        <is>
          <t>MOI</t>
        </is>
      </c>
      <c r="E253" s="190" t="inlineStr">
        <is>
          <t>1. Ministries</t>
        </is>
      </c>
      <c r="F253" s="190" t="inlineStr">
        <is>
          <t>Continuously updated</t>
        </is>
      </c>
      <c r="G253" s="191" t="inlineStr">
        <is>
          <t>N/A</t>
        </is>
      </c>
      <c r="H253" s="208" t="inlineStr">
        <is>
          <t>MODERATE</t>
        </is>
      </c>
      <c r="I253" s="22" t="inlineStr">
        <is>
          <t>Mandatory Enforcer</t>
        </is>
      </c>
      <c r="J253" s="207" t="inlineStr">
        <is>
          <t>https://www.moi.gov.sa/</t>
        </is>
      </c>
    </row>
    <row r="254" ht="45" customHeight="1">
      <c r="A254" s="42" t="n">
        <v>253</v>
      </c>
      <c r="B254" s="205" t="inlineStr">
        <is>
          <t>NCA-ECC-2:2024</t>
        </is>
      </c>
      <c r="C254" s="192" t="inlineStr">
        <is>
          <t>Essential Cybersecurity Controls</t>
        </is>
      </c>
      <c r="D254" s="26" t="inlineStr">
        <is>
          <t>MOI</t>
        </is>
      </c>
      <c r="E254" s="190" t="inlineStr">
        <is>
          <t>1. Ministries</t>
        </is>
      </c>
      <c r="F254" s="190" t="inlineStr">
        <is>
          <t>ECC-2:2024</t>
        </is>
      </c>
      <c r="G254" s="191" t="inlineStr">
        <is>
          <t>108</t>
        </is>
      </c>
      <c r="H254" s="208" t="inlineStr">
        <is>
          <t>MODERATE</t>
        </is>
      </c>
      <c r="I254" s="66" t="inlineStr">
        <is>
          <t>Mandatory Complier</t>
        </is>
      </c>
      <c r="J254" s="207" t="inlineStr">
        <is>
          <t>https://nca.gov.sa/</t>
        </is>
      </c>
    </row>
    <row r="255" ht="45" customHeight="1">
      <c r="A255" s="42" t="n">
        <v>254</v>
      </c>
      <c r="B255" s="205" t="inlineStr">
        <is>
          <t>MCIT-DEP</t>
        </is>
      </c>
      <c r="C255" s="192" t="inlineStr">
        <is>
          <t>Digital Economy Policy</t>
        </is>
      </c>
      <c r="D255" s="26" t="inlineStr">
        <is>
          <t>MCIT</t>
        </is>
      </c>
      <c r="E255" s="190" t="inlineStr">
        <is>
          <t>1. Ministries</t>
        </is>
      </c>
      <c r="F255" s="190" t="inlineStr">
        <is>
          <t>CoM Resolution 267/2021</t>
        </is>
      </c>
      <c r="G255" s="191" t="inlineStr">
        <is>
          <t>N/A</t>
        </is>
      </c>
      <c r="H255" s="208" t="inlineStr">
        <is>
          <t>MODERATE</t>
        </is>
      </c>
      <c r="I255" s="64" t="inlineStr">
        <is>
          <t>Policy Setter</t>
        </is>
      </c>
      <c r="J255" s="207" t="inlineStr">
        <is>
          <t>https://www.mcit.gov.sa/en/acts-and-regulations</t>
        </is>
      </c>
    </row>
    <row r="256" ht="45" customHeight="1">
      <c r="A256" s="42" t="n">
        <v>255</v>
      </c>
      <c r="B256" s="205" t="inlineStr">
        <is>
          <t>MCIT-ICT23</t>
        </is>
      </c>
      <c r="C256" s="192" t="inlineStr">
        <is>
          <t>ICT Strategy 2023</t>
        </is>
      </c>
      <c r="D256" s="26" t="inlineStr">
        <is>
          <t>MCIT</t>
        </is>
      </c>
      <c r="E256" s="190" t="inlineStr">
        <is>
          <t>1. Ministries</t>
        </is>
      </c>
      <c r="F256" s="190" t="inlineStr">
        <is>
          <t>2019-2023 updated</t>
        </is>
      </c>
      <c r="G256" s="191" t="inlineStr">
        <is>
          <t>N/A</t>
        </is>
      </c>
      <c r="H256" s="208" t="inlineStr">
        <is>
          <t>MODERATE</t>
        </is>
      </c>
      <c r="I256" s="64" t="inlineStr">
        <is>
          <t>Policy Setter</t>
        </is>
      </c>
      <c r="J256" s="207" t="inlineStr">
        <is>
          <t>https://www.mcit.gov.sa/en/strategy-ministry-communications-and-information-technology</t>
        </is>
      </c>
    </row>
    <row r="257" ht="45" customHeight="1">
      <c r="A257" s="42" t="n">
        <v>256</v>
      </c>
      <c r="B257" s="205" t="inlineStr">
        <is>
          <t>MCIT-ETL</t>
        </is>
      </c>
      <c r="C257" s="192" t="inlineStr">
        <is>
          <t>Electronic Transactions Law</t>
        </is>
      </c>
      <c r="D257" s="26" t="inlineStr">
        <is>
          <t>MCIT</t>
        </is>
      </c>
      <c r="E257" s="190" t="inlineStr">
        <is>
          <t>1. Ministries</t>
        </is>
      </c>
      <c r="F257" s="190" t="inlineStr">
        <is>
          <t>Updated 2021</t>
        </is>
      </c>
      <c r="G257" s="191" t="inlineStr">
        <is>
          <t>N/A</t>
        </is>
      </c>
      <c r="H257" s="208" t="inlineStr">
        <is>
          <t>MODERATE</t>
        </is>
      </c>
      <c r="I257" s="22" t="inlineStr">
        <is>
          <t>Mandatory Enforcer</t>
        </is>
      </c>
      <c r="J257" s="207" t="inlineStr">
        <is>
          <t>https://www.mcit.gov.sa/en/acts-and-regulations</t>
        </is>
      </c>
    </row>
    <row r="258" ht="45" customHeight="1">
      <c r="A258" s="42" t="n">
        <v>257</v>
      </c>
      <c r="B258" s="205" t="inlineStr">
        <is>
          <t>NCA-ECC-2:2024</t>
        </is>
      </c>
      <c r="C258" s="192" t="inlineStr">
        <is>
          <t>Essential Cybersecurity Controls</t>
        </is>
      </c>
      <c r="D258" s="26" t="inlineStr">
        <is>
          <t>MCIT</t>
        </is>
      </c>
      <c r="E258" s="190" t="inlineStr">
        <is>
          <t>1. Ministries</t>
        </is>
      </c>
      <c r="F258" s="190" t="inlineStr">
        <is>
          <t>ECC-2:2024</t>
        </is>
      </c>
      <c r="G258" s="191" t="inlineStr">
        <is>
          <t>108</t>
        </is>
      </c>
      <c r="H258" s="208" t="inlineStr">
        <is>
          <t>MODERATE</t>
        </is>
      </c>
      <c r="I258" s="66" t="inlineStr">
        <is>
          <t>Mandatory Complier</t>
        </is>
      </c>
      <c r="J258" s="207" t="inlineStr">
        <is>
          <t>https://nca.gov.sa/</t>
        </is>
      </c>
    </row>
    <row r="259" ht="45" customHeight="1">
      <c r="A259" s="42" t="n">
        <v>258</v>
      </c>
      <c r="B259" s="97" t="inlineStr">
        <is>
          <t>IAIC-COILAW</t>
        </is>
      </c>
      <c r="C259" s="99" t="inlineStr">
        <is>
          <t>Cooperative Insurance Companies Control Law</t>
        </is>
      </c>
      <c r="D259" s="415" t="inlineStr">
        <is>
          <t>IAIC</t>
        </is>
      </c>
      <c r="E259" s="98" t="inlineStr">
        <is>
          <t>5. Financial Regulators</t>
        </is>
      </c>
      <c r="F259" s="98" t="inlineStr">
        <is>
          <t>Updated 2021</t>
        </is>
      </c>
      <c r="G259" s="100" t="inlineStr">
        <is>
          <t>N/A</t>
        </is>
      </c>
      <c r="H259" s="101" t="inlineStr">
        <is>
          <t>MODERATE</t>
        </is>
      </c>
      <c r="I259" s="22" t="inlineStr">
        <is>
          <t>Mandatory Enforcer</t>
        </is>
      </c>
      <c r="J259" s="102" t="inlineStr">
        <is>
          <t>https://ia.gov.sa/</t>
        </is>
      </c>
    </row>
    <row r="260" ht="45" customHeight="1">
      <c r="A260" s="42" t="n">
        <v>259</v>
      </c>
      <c r="B260" s="97" t="inlineStr">
        <is>
          <t>IAIC-CSF</t>
        </is>
      </c>
      <c r="C260" s="99" t="inlineStr">
        <is>
          <t>Insurance Cybersecurity Framework</t>
        </is>
      </c>
      <c r="D260" s="415" t="inlineStr">
        <is>
          <t>IAIC</t>
        </is>
      </c>
      <c r="E260" s="98" t="inlineStr">
        <is>
          <t>5. Financial Regulators</t>
        </is>
      </c>
      <c r="F260" s="98" t="inlineStr">
        <is>
          <t>Active (aligned SAMA CSF)</t>
        </is>
      </c>
      <c r="G260" s="100" t="inlineStr">
        <is>
          <t>N/A</t>
        </is>
      </c>
      <c r="H260" s="101" t="inlineStr">
        <is>
          <t>MODERATE</t>
        </is>
      </c>
      <c r="I260" s="22" t="inlineStr">
        <is>
          <t>Mandatory Enforcer</t>
        </is>
      </c>
      <c r="J260" s="102" t="inlineStr">
        <is>
          <t>https://ia.gov.sa/</t>
        </is>
      </c>
    </row>
    <row r="261" ht="45" customHeight="1">
      <c r="A261" s="42" t="n">
        <v>260</v>
      </c>
      <c r="B261" s="97" t="inlineStr">
        <is>
          <t>SAMA-CSF</t>
        </is>
      </c>
      <c r="C261" s="99" t="inlineStr">
        <is>
          <t>SAMA Cybersecurity Framework</t>
        </is>
      </c>
      <c r="D261" s="415" t="inlineStr">
        <is>
          <t>IAIC</t>
        </is>
      </c>
      <c r="E261" s="98" t="inlineStr">
        <is>
          <t>5. Financial Regulators</t>
        </is>
      </c>
      <c r="F261" s="98" t="inlineStr">
        <is>
          <t>2017</t>
        </is>
      </c>
      <c r="G261" s="100" t="inlineStr">
        <is>
          <t>114</t>
        </is>
      </c>
      <c r="H261" s="101" t="inlineStr">
        <is>
          <t>MODERATE</t>
        </is>
      </c>
      <c r="I261" s="66" t="inlineStr">
        <is>
          <t>Mandatory Complier</t>
        </is>
      </c>
      <c r="J261" s="102" t="inlineStr">
        <is>
          <t>https://www.sama.gov.sa/</t>
        </is>
      </c>
    </row>
    <row r="262" ht="45" customHeight="1">
      <c r="A262" s="42" t="n">
        <v>261</v>
      </c>
      <c r="B262" s="97" t="inlineStr">
        <is>
          <t>NCA-ECC-2:2024</t>
        </is>
      </c>
      <c r="C262" s="99" t="inlineStr">
        <is>
          <t>Essential Cybersecurity Controls</t>
        </is>
      </c>
      <c r="D262" s="415" t="inlineStr">
        <is>
          <t>IAIC</t>
        </is>
      </c>
      <c r="E262" s="98" t="inlineStr">
        <is>
          <t>5. Financial Regulators</t>
        </is>
      </c>
      <c r="F262" s="98" t="inlineStr">
        <is>
          <t>ECC-2:2024</t>
        </is>
      </c>
      <c r="G262" s="100" t="inlineStr">
        <is>
          <t>108</t>
        </is>
      </c>
      <c r="H262" s="101" t="inlineStr">
        <is>
          <t>MODERATE</t>
        </is>
      </c>
      <c r="I262" s="66" t="inlineStr">
        <is>
          <t>Mandatory Complier</t>
        </is>
      </c>
      <c r="J262" s="102" t="inlineStr">
        <is>
          <t>https://nca.gov.sa/</t>
        </is>
      </c>
    </row>
    <row r="263" ht="45" customHeight="1">
      <c r="A263" s="42" t="n">
        <v>262</v>
      </c>
      <c r="B263" s="97" t="inlineStr">
        <is>
          <t>GOSI-OIL</t>
        </is>
      </c>
      <c r="C263" s="99" t="inlineStr">
        <is>
          <t>Occupational Injury Law &amp; Benefits</t>
        </is>
      </c>
      <c r="D263" s="415" t="inlineStr">
        <is>
          <t>GOSI</t>
        </is>
      </c>
      <c r="E263" s="98" t="inlineStr">
        <is>
          <t>5. Financial Regulators</t>
        </is>
      </c>
      <c r="F263" s="98" t="inlineStr">
        <is>
          <t>Updated 2021</t>
        </is>
      </c>
      <c r="G263" s="100" t="inlineStr">
        <is>
          <t>45</t>
        </is>
      </c>
      <c r="H263" s="101" t="inlineStr">
        <is>
          <t>MODERATE</t>
        </is>
      </c>
      <c r="I263" s="22" t="inlineStr">
        <is>
          <t>Mandatory Enforcer</t>
        </is>
      </c>
      <c r="J263" s="102" t="inlineStr">
        <is>
          <t>https://www.gosi.gov.sa/</t>
        </is>
      </c>
    </row>
    <row r="264" ht="45" customHeight="1">
      <c r="A264" s="42" t="n">
        <v>263</v>
      </c>
      <c r="B264" s="97" t="inlineStr">
        <is>
          <t>GOSI-SIN</t>
        </is>
      </c>
      <c r="C264" s="99" t="inlineStr">
        <is>
          <t>Social Insurance Regulations</t>
        </is>
      </c>
      <c r="D264" s="415" t="inlineStr">
        <is>
          <t>GOSI</t>
        </is>
      </c>
      <c r="E264" s="98" t="inlineStr">
        <is>
          <t>5. Financial Regulators</t>
        </is>
      </c>
      <c r="F264" s="98" t="inlineStr">
        <is>
          <t>Updated 2021</t>
        </is>
      </c>
      <c r="G264" s="100" t="inlineStr">
        <is>
          <t>N/A</t>
        </is>
      </c>
      <c r="H264" s="101" t="inlineStr">
        <is>
          <t>MODERATE</t>
        </is>
      </c>
      <c r="I264" s="22" t="inlineStr">
        <is>
          <t>Mandatory Enforcer</t>
        </is>
      </c>
      <c r="J264" s="102" t="inlineStr">
        <is>
          <t>https://www.gosi.gov.sa/</t>
        </is>
      </c>
    </row>
    <row r="265" ht="45" customHeight="1">
      <c r="A265" s="42" t="n">
        <v>264</v>
      </c>
      <c r="B265" s="97" t="inlineStr">
        <is>
          <t>NCA-ECC-2:2024</t>
        </is>
      </c>
      <c r="C265" s="99" t="inlineStr">
        <is>
          <t>Essential Cybersecurity Controls</t>
        </is>
      </c>
      <c r="D265" s="415" t="inlineStr">
        <is>
          <t>GOSI</t>
        </is>
      </c>
      <c r="E265" s="98" t="inlineStr">
        <is>
          <t>5. Financial Regulators</t>
        </is>
      </c>
      <c r="F265" s="98" t="inlineStr">
        <is>
          <t>ECC-2:2024</t>
        </is>
      </c>
      <c r="G265" s="100" t="inlineStr">
        <is>
          <t>108</t>
        </is>
      </c>
      <c r="H265" s="101" t="inlineStr">
        <is>
          <t>MODERATE</t>
        </is>
      </c>
      <c r="I265" s="66" t="inlineStr">
        <is>
          <t>Mandatory Complier</t>
        </is>
      </c>
      <c r="J265" s="102" t="inlineStr">
        <is>
          <t>https://nca.gov.sa/</t>
        </is>
      </c>
    </row>
    <row r="266" ht="45" customHeight="1">
      <c r="A266" s="42" t="n">
        <v>265</v>
      </c>
      <c r="B266" s="97" t="inlineStr">
        <is>
          <t>PDPL-2021</t>
        </is>
      </c>
      <c r="C266" s="99" t="inlineStr">
        <is>
          <t>Personal Data Protection Law</t>
        </is>
      </c>
      <c r="D266" s="415" t="inlineStr">
        <is>
          <t>GOSI</t>
        </is>
      </c>
      <c r="E266" s="98" t="inlineStr">
        <is>
          <t>5. Financial Regulators</t>
        </is>
      </c>
      <c r="F266" s="98" t="inlineStr">
        <is>
          <t>2021+IR 2023</t>
        </is>
      </c>
      <c r="G266" s="100" t="inlineStr">
        <is>
          <t>45</t>
        </is>
      </c>
      <c r="H266" s="101" t="inlineStr">
        <is>
          <t>MODERATE</t>
        </is>
      </c>
      <c r="I266" s="66" t="inlineStr">
        <is>
          <t>Mandatory Complier</t>
        </is>
      </c>
      <c r="J266" s="102" t="inlineStr">
        <is>
          <t>https://sdaia.gov.sa/</t>
        </is>
      </c>
    </row>
    <row r="267" ht="45" customHeight="1">
      <c r="A267" s="42" t="n">
        <v>266</v>
      </c>
      <c r="B267" s="205" t="inlineStr">
        <is>
          <t>MOFA-LAW</t>
        </is>
      </c>
      <c r="C267" s="192" t="inlineStr">
        <is>
          <t>Diplomatic Law &amp; International Agreements</t>
        </is>
      </c>
      <c r="D267" s="26" t="inlineStr">
        <is>
          <t>MOFA</t>
        </is>
      </c>
      <c r="E267" s="190" t="inlineStr">
        <is>
          <t>1. Ministries</t>
        </is>
      </c>
      <c r="F267" s="190" t="inlineStr">
        <is>
          <t>Active/Updated</t>
        </is>
      </c>
      <c r="G267" s="191" t="inlineStr">
        <is>
          <t>N/A</t>
        </is>
      </c>
      <c r="H267" s="208" t="inlineStr">
        <is>
          <t>MODERATE</t>
        </is>
      </c>
      <c r="I267" s="22" t="inlineStr">
        <is>
          <t>Mandatory Enforcer</t>
        </is>
      </c>
      <c r="J267" s="207" t="inlineStr">
        <is>
          <t>https://mofa.gov.sa or via www.moi.gov.sa</t>
        </is>
      </c>
    </row>
    <row r="268" ht="45" customHeight="1">
      <c r="A268" s="42" t="n">
        <v>267</v>
      </c>
      <c r="B268" s="205" t="inlineStr">
        <is>
          <t>MOF-LAW</t>
        </is>
      </c>
      <c r="C268" s="192" t="inlineStr">
        <is>
          <t>Public Finance Law</t>
        </is>
      </c>
      <c r="D268" s="26" t="inlineStr">
        <is>
          <t>MOF</t>
        </is>
      </c>
      <c r="E268" s="190" t="inlineStr">
        <is>
          <t>1. Ministries</t>
        </is>
      </c>
      <c r="F268" s="190" t="inlineStr">
        <is>
          <t>Active/Updated</t>
        </is>
      </c>
      <c r="G268" s="191" t="inlineStr">
        <is>
          <t>N/A</t>
        </is>
      </c>
      <c r="H268" s="208" t="inlineStr">
        <is>
          <t>MODERATE</t>
        </is>
      </c>
      <c r="I268" s="22" t="inlineStr">
        <is>
          <t>Mandatory Enforcer</t>
        </is>
      </c>
      <c r="J268" s="207" t="inlineStr">
        <is>
          <t>https://mof.gov.sa or via www.moi.gov.sa</t>
        </is>
      </c>
    </row>
    <row r="269" ht="45" customHeight="1">
      <c r="A269" s="42" t="n">
        <v>268</v>
      </c>
      <c r="B269" s="205" t="inlineStr">
        <is>
          <t>MOD-LAW</t>
        </is>
      </c>
      <c r="C269" s="192" t="inlineStr">
        <is>
          <t>Military Health Law &amp; Standards</t>
        </is>
      </c>
      <c r="D269" s="26" t="inlineStr">
        <is>
          <t>MOD</t>
        </is>
      </c>
      <c r="E269" s="190" t="inlineStr">
        <is>
          <t>1. Ministries</t>
        </is>
      </c>
      <c r="F269" s="190" t="inlineStr">
        <is>
          <t>Active/Updated</t>
        </is>
      </c>
      <c r="G269" s="191" t="inlineStr">
        <is>
          <t>N/A</t>
        </is>
      </c>
      <c r="H269" s="208" t="inlineStr">
        <is>
          <t>MODERATE</t>
        </is>
      </c>
      <c r="I269" s="22" t="inlineStr">
        <is>
          <t>Mandatory Enforcer</t>
        </is>
      </c>
      <c r="J269" s="207" t="inlineStr">
        <is>
          <t>https://mod.gov.sa or via www.moi.gov.sa</t>
        </is>
      </c>
    </row>
    <row r="270" ht="45" customHeight="1">
      <c r="A270" s="42" t="n">
        <v>269</v>
      </c>
      <c r="B270" s="205" t="inlineStr">
        <is>
          <t>MOHAJ-LAW</t>
        </is>
      </c>
      <c r="C270" s="192" t="inlineStr">
        <is>
          <t>Hajj &amp; Umrah Regulations</t>
        </is>
      </c>
      <c r="D270" s="26" t="inlineStr">
        <is>
          <t>MOHAJ</t>
        </is>
      </c>
      <c r="E270" s="190" t="inlineStr">
        <is>
          <t>1. Ministries</t>
        </is>
      </c>
      <c r="F270" s="190" t="inlineStr">
        <is>
          <t>Active/Updated</t>
        </is>
      </c>
      <c r="G270" s="191" t="inlineStr">
        <is>
          <t>N/A</t>
        </is>
      </c>
      <c r="H270" s="208" t="inlineStr">
        <is>
          <t>MODERATE</t>
        </is>
      </c>
      <c r="I270" s="22" t="inlineStr">
        <is>
          <t>Mandatory Enforcer</t>
        </is>
      </c>
      <c r="J270" s="207" t="inlineStr">
        <is>
          <t>https://mohaj.gov.sa or via www.moi.gov.sa</t>
        </is>
      </c>
    </row>
    <row r="271" ht="45" customHeight="1">
      <c r="A271" s="42" t="n">
        <v>270</v>
      </c>
      <c r="B271" s="205" t="inlineStr">
        <is>
          <t>MONG-LAW</t>
        </is>
      </c>
      <c r="C271" s="192" t="inlineStr">
        <is>
          <t>NGHA Hospital Network Standards</t>
        </is>
      </c>
      <c r="D271" s="26" t="inlineStr">
        <is>
          <t>MONG</t>
        </is>
      </c>
      <c r="E271" s="190" t="inlineStr">
        <is>
          <t>1. Ministries</t>
        </is>
      </c>
      <c r="F271" s="190" t="inlineStr">
        <is>
          <t>Active/Updated</t>
        </is>
      </c>
      <c r="G271" s="191" t="inlineStr">
        <is>
          <t>N/A</t>
        </is>
      </c>
      <c r="H271" s="208" t="inlineStr">
        <is>
          <t>MODERATE</t>
        </is>
      </c>
      <c r="I271" s="22" t="inlineStr">
        <is>
          <t>Mandatory Enforcer</t>
        </is>
      </c>
      <c r="J271" s="207" t="inlineStr">
        <is>
          <t>https://mong.gov.sa or via www.moi.gov.sa</t>
        </is>
      </c>
    </row>
    <row r="272" ht="45" customHeight="1">
      <c r="A272" s="42" t="n">
        <v>271</v>
      </c>
      <c r="B272" s="205" t="inlineStr">
        <is>
          <t>MEWA-LAW</t>
        </is>
      </c>
      <c r="C272" s="192" t="inlineStr">
        <is>
          <t>Environment &amp; Water Law</t>
        </is>
      </c>
      <c r="D272" s="26" t="inlineStr">
        <is>
          <t>MEWA</t>
        </is>
      </c>
      <c r="E272" s="190" t="inlineStr">
        <is>
          <t>1. Ministries</t>
        </is>
      </c>
      <c r="F272" s="190" t="inlineStr">
        <is>
          <t>Active/Updated</t>
        </is>
      </c>
      <c r="G272" s="191" t="inlineStr">
        <is>
          <t>N/A</t>
        </is>
      </c>
      <c r="H272" s="208" t="inlineStr">
        <is>
          <t>MODERATE</t>
        </is>
      </c>
      <c r="I272" s="22" t="inlineStr">
        <is>
          <t>Mandatory Enforcer</t>
        </is>
      </c>
      <c r="J272" s="207" t="inlineStr">
        <is>
          <t>https://mewa.gov.sa or via www.moi.gov.sa</t>
        </is>
      </c>
    </row>
    <row r="273" ht="45" customHeight="1">
      <c r="A273" s="42" t="n">
        <v>272</v>
      </c>
      <c r="B273" s="205" t="inlineStr">
        <is>
          <t>MOT-LAW</t>
        </is>
      </c>
      <c r="C273" s="192" t="inlineStr">
        <is>
          <t>Transport Law</t>
        </is>
      </c>
      <c r="D273" s="26" t="inlineStr">
        <is>
          <t>MOT</t>
        </is>
      </c>
      <c r="E273" s="190" t="inlineStr">
        <is>
          <t>1. Ministries</t>
        </is>
      </c>
      <c r="F273" s="190" t="inlineStr">
        <is>
          <t>Active/Updated</t>
        </is>
      </c>
      <c r="G273" s="191" t="inlineStr">
        <is>
          <t>N/A</t>
        </is>
      </c>
      <c r="H273" s="208" t="inlineStr">
        <is>
          <t>MODERATE</t>
        </is>
      </c>
      <c r="I273" s="22" t="inlineStr">
        <is>
          <t>Mandatory Enforcer</t>
        </is>
      </c>
      <c r="J273" s="207" t="inlineStr">
        <is>
          <t>https://mot.gov.sa or via www.moi.gov.sa</t>
        </is>
      </c>
    </row>
    <row r="274" ht="45" customHeight="1">
      <c r="A274" s="42" t="n">
        <v>273</v>
      </c>
      <c r="B274" s="205" t="inlineStr">
        <is>
          <t>MOE-LAW</t>
        </is>
      </c>
      <c r="C274" s="192" t="inlineStr">
        <is>
          <t>Education Law</t>
        </is>
      </c>
      <c r="D274" s="26" t="inlineStr">
        <is>
          <t>MOE</t>
        </is>
      </c>
      <c r="E274" s="190" t="inlineStr">
        <is>
          <t>1. Ministries</t>
        </is>
      </c>
      <c r="F274" s="190" t="inlineStr">
        <is>
          <t>Active/Updated</t>
        </is>
      </c>
      <c r="G274" s="191" t="inlineStr">
        <is>
          <t>N/A</t>
        </is>
      </c>
      <c r="H274" s="208" t="inlineStr">
        <is>
          <t>MODERATE</t>
        </is>
      </c>
      <c r="I274" s="22" t="inlineStr">
        <is>
          <t>Mandatory Enforcer</t>
        </is>
      </c>
      <c r="J274" s="207" t="inlineStr">
        <is>
          <t>https://moe.gov.sa or via www.moi.gov.sa</t>
        </is>
      </c>
    </row>
    <row r="275" ht="45" customHeight="1">
      <c r="A275" s="42" t="n">
        <v>274</v>
      </c>
      <c r="B275" s="205" t="inlineStr">
        <is>
          <t>MOCI-LAW</t>
        </is>
      </c>
      <c r="C275" s="192" t="inlineStr">
        <is>
          <t>Companies &amp; Consumer Protection Laws</t>
        </is>
      </c>
      <c r="D275" s="26" t="inlineStr">
        <is>
          <t>MOCI</t>
        </is>
      </c>
      <c r="E275" s="190" t="inlineStr">
        <is>
          <t>1. Ministries</t>
        </is>
      </c>
      <c r="F275" s="190" t="inlineStr">
        <is>
          <t>Active/Updated</t>
        </is>
      </c>
      <c r="G275" s="191" t="inlineStr">
        <is>
          <t>N/A</t>
        </is>
      </c>
      <c r="H275" s="208" t="inlineStr">
        <is>
          <t>MODERATE</t>
        </is>
      </c>
      <c r="I275" s="22" t="inlineStr">
        <is>
          <t>Mandatory Enforcer</t>
        </is>
      </c>
      <c r="J275" s="207" t="inlineStr">
        <is>
          <t>https://moci.gov.sa or via www.moi.gov.sa</t>
        </is>
      </c>
    </row>
    <row r="276" ht="45" customHeight="1">
      <c r="A276" s="42" t="n">
        <v>275</v>
      </c>
      <c r="B276" s="205" t="inlineStr">
        <is>
          <t>MOENER-LAW</t>
        </is>
      </c>
      <c r="C276" s="192" t="inlineStr">
        <is>
          <t>Energy &amp; Petroleum Regulations</t>
        </is>
      </c>
      <c r="D276" s="26" t="inlineStr">
        <is>
          <t>MOENER</t>
        </is>
      </c>
      <c r="E276" s="190" t="inlineStr">
        <is>
          <t>1. Ministries</t>
        </is>
      </c>
      <c r="F276" s="190" t="inlineStr">
        <is>
          <t>Active/Updated</t>
        </is>
      </c>
      <c r="G276" s="191" t="inlineStr">
        <is>
          <t>N/A</t>
        </is>
      </c>
      <c r="H276" s="208" t="inlineStr">
        <is>
          <t>MODERATE</t>
        </is>
      </c>
      <c r="I276" s="22" t="inlineStr">
        <is>
          <t>Mandatory Enforcer</t>
        </is>
      </c>
      <c r="J276" s="207" t="inlineStr">
        <is>
          <t>https://moener.gov.sa or via www.moi.gov.sa</t>
        </is>
      </c>
    </row>
    <row r="277" ht="45" customHeight="1">
      <c r="A277" s="42" t="n">
        <v>276</v>
      </c>
      <c r="B277" s="205" t="inlineStr">
        <is>
          <t>MEP-LAW</t>
        </is>
      </c>
      <c r="C277" s="192" t="inlineStr">
        <is>
          <t>Vision 2030 Framework</t>
        </is>
      </c>
      <c r="D277" s="26" t="inlineStr">
        <is>
          <t>MEP</t>
        </is>
      </c>
      <c r="E277" s="190" t="inlineStr">
        <is>
          <t>1. Ministries</t>
        </is>
      </c>
      <c r="F277" s="190" t="inlineStr">
        <is>
          <t>Active/Updated</t>
        </is>
      </c>
      <c r="G277" s="191" t="inlineStr">
        <is>
          <t>N/A</t>
        </is>
      </c>
      <c r="H277" s="208" t="inlineStr">
        <is>
          <t>MODERATE</t>
        </is>
      </c>
      <c r="I277" s="22" t="inlineStr">
        <is>
          <t>Mandatory Enforcer</t>
        </is>
      </c>
      <c r="J277" s="207" t="inlineStr">
        <is>
          <t>https://mep.gov.sa or via www.moi.gov.sa</t>
        </is>
      </c>
    </row>
    <row r="278" ht="45" customHeight="1">
      <c r="A278" s="42" t="n">
        <v>277</v>
      </c>
      <c r="B278" s="205" t="inlineStr">
        <is>
          <t>MOMAH-LAW</t>
        </is>
      </c>
      <c r="C278" s="192" t="inlineStr">
        <is>
          <t>Building Regulations</t>
        </is>
      </c>
      <c r="D278" s="26" t="inlineStr">
        <is>
          <t>MOMAH</t>
        </is>
      </c>
      <c r="E278" s="190" t="inlineStr">
        <is>
          <t>1. Ministries</t>
        </is>
      </c>
      <c r="F278" s="190" t="inlineStr">
        <is>
          <t>Active/Updated</t>
        </is>
      </c>
      <c r="G278" s="191" t="inlineStr">
        <is>
          <t>N/A</t>
        </is>
      </c>
      <c r="H278" s="208" t="inlineStr">
        <is>
          <t>MODERATE</t>
        </is>
      </c>
      <c r="I278" s="22" t="inlineStr">
        <is>
          <t>Mandatory Enforcer</t>
        </is>
      </c>
      <c r="J278" s="207" t="inlineStr">
        <is>
          <t>https://momah.gov.sa or via www.moi.gov.sa</t>
        </is>
      </c>
    </row>
    <row r="279" ht="45" customHeight="1">
      <c r="A279" s="42" t="n">
        <v>278</v>
      </c>
      <c r="B279" s="205" t="inlineStr">
        <is>
          <t>MOIA-LAW</t>
        </is>
      </c>
      <c r="C279" s="192" t="inlineStr">
        <is>
          <t>Halal Coordination Mandate</t>
        </is>
      </c>
      <c r="D279" s="26" t="inlineStr">
        <is>
          <t>MOIA</t>
        </is>
      </c>
      <c r="E279" s="190" t="inlineStr">
        <is>
          <t>1. Ministries</t>
        </is>
      </c>
      <c r="F279" s="190" t="inlineStr">
        <is>
          <t>Active/Updated</t>
        </is>
      </c>
      <c r="G279" s="191" t="inlineStr">
        <is>
          <t>N/A</t>
        </is>
      </c>
      <c r="H279" s="208" t="inlineStr">
        <is>
          <t>MODERATE</t>
        </is>
      </c>
      <c r="I279" s="22" t="inlineStr">
        <is>
          <t>Mandatory Enforcer</t>
        </is>
      </c>
      <c r="J279" s="207" t="inlineStr">
        <is>
          <t>https://moia.gov.sa or via www.moi.gov.sa</t>
        </is>
      </c>
    </row>
    <row r="280" ht="45" customHeight="1">
      <c r="A280" s="42" t="n">
        <v>279</v>
      </c>
      <c r="B280" s="205" t="inlineStr">
        <is>
          <t>MOCult-LAW</t>
        </is>
      </c>
      <c r="C280" s="192" t="inlineStr">
        <is>
          <t>Culture Law</t>
        </is>
      </c>
      <c r="D280" s="26" t="inlineStr">
        <is>
          <t>MOCult</t>
        </is>
      </c>
      <c r="E280" s="190" t="inlineStr">
        <is>
          <t>1. Ministries</t>
        </is>
      </c>
      <c r="F280" s="190" t="inlineStr">
        <is>
          <t>Active/Updated</t>
        </is>
      </c>
      <c r="G280" s="191" t="inlineStr">
        <is>
          <t>N/A</t>
        </is>
      </c>
      <c r="H280" s="208" t="inlineStr">
        <is>
          <t>MODERATE</t>
        </is>
      </c>
      <c r="I280" s="22" t="inlineStr">
        <is>
          <t>Mandatory Enforcer</t>
        </is>
      </c>
      <c r="J280" s="207" t="inlineStr">
        <is>
          <t>https://mocult.gov.sa or via www.moi.gov.sa</t>
        </is>
      </c>
    </row>
    <row r="281" ht="45" customHeight="1">
      <c r="A281" s="42" t="n">
        <v>280</v>
      </c>
      <c r="B281" s="205" t="inlineStr">
        <is>
          <t>MOMedia-LAW</t>
        </is>
      </c>
      <c r="C281" s="192" t="inlineStr">
        <is>
          <t>Audiovisual Media Law</t>
        </is>
      </c>
      <c r="D281" s="26" t="inlineStr">
        <is>
          <t>MOMedia</t>
        </is>
      </c>
      <c r="E281" s="190" t="inlineStr">
        <is>
          <t>1. Ministries</t>
        </is>
      </c>
      <c r="F281" s="190" t="inlineStr">
        <is>
          <t>Active/Updated</t>
        </is>
      </c>
      <c r="G281" s="191" t="inlineStr">
        <is>
          <t>N/A</t>
        </is>
      </c>
      <c r="H281" s="208" t="inlineStr">
        <is>
          <t>MODERATE</t>
        </is>
      </c>
      <c r="I281" s="22" t="inlineStr">
        <is>
          <t>Mandatory Enforcer</t>
        </is>
      </c>
      <c r="J281" s="207" t="inlineStr">
        <is>
          <t>https://momedia.gov.sa or via www.moi.gov.sa</t>
        </is>
      </c>
    </row>
    <row r="282" ht="45" customHeight="1">
      <c r="A282" s="42" t="n">
        <v>281</v>
      </c>
      <c r="B282" s="205" t="inlineStr">
        <is>
          <t>MIM-LAW</t>
        </is>
      </c>
      <c r="C282" s="192" t="inlineStr">
        <is>
          <t>Industry &amp; Mining Law</t>
        </is>
      </c>
      <c r="D282" s="26" t="inlineStr">
        <is>
          <t>MIM</t>
        </is>
      </c>
      <c r="E282" s="190" t="inlineStr">
        <is>
          <t>1. Ministries</t>
        </is>
      </c>
      <c r="F282" s="190" t="inlineStr">
        <is>
          <t>Active/Updated</t>
        </is>
      </c>
      <c r="G282" s="191" t="inlineStr">
        <is>
          <t>N/A</t>
        </is>
      </c>
      <c r="H282" s="208" t="inlineStr">
        <is>
          <t>MODERATE</t>
        </is>
      </c>
      <c r="I282" s="22" t="inlineStr">
        <is>
          <t>Mandatory Enforcer</t>
        </is>
      </c>
      <c r="J282" s="207" t="inlineStr">
        <is>
          <t>https://mim.gov.sa or via www.moi.gov.sa</t>
        </is>
      </c>
    </row>
    <row r="283" ht="45" customHeight="1">
      <c r="A283" s="42" t="n">
        <v>282</v>
      </c>
      <c r="B283" s="205" t="inlineStr">
        <is>
          <t>MISA-LAW</t>
        </is>
      </c>
      <c r="C283" s="192" t="inlineStr">
        <is>
          <t>Investment Law</t>
        </is>
      </c>
      <c r="D283" s="26" t="inlineStr">
        <is>
          <t>MISA</t>
        </is>
      </c>
      <c r="E283" s="190" t="inlineStr">
        <is>
          <t>1. Ministries</t>
        </is>
      </c>
      <c r="F283" s="190" t="inlineStr">
        <is>
          <t>Active/Updated</t>
        </is>
      </c>
      <c r="G283" s="191" t="inlineStr">
        <is>
          <t>N/A</t>
        </is>
      </c>
      <c r="H283" s="208" t="inlineStr">
        <is>
          <t>MODERATE</t>
        </is>
      </c>
      <c r="I283" s="22" t="inlineStr">
        <is>
          <t>Mandatory Enforcer</t>
        </is>
      </c>
      <c r="J283" s="207" t="inlineStr">
        <is>
          <t>https://misa.gov.sa or via www.moi.gov.sa</t>
        </is>
      </c>
    </row>
    <row r="284" ht="45" customHeight="1">
      <c r="A284" s="42" t="n">
        <v>283</v>
      </c>
      <c r="B284" s="205" t="inlineStr">
        <is>
          <t>MOSPORT-LAW</t>
        </is>
      </c>
      <c r="C284" s="192" t="inlineStr">
        <is>
          <t>Sport Law</t>
        </is>
      </c>
      <c r="D284" s="26" t="inlineStr">
        <is>
          <t>MOSPORT</t>
        </is>
      </c>
      <c r="E284" s="190" t="inlineStr">
        <is>
          <t>1. Ministries</t>
        </is>
      </c>
      <c r="F284" s="190" t="inlineStr">
        <is>
          <t>Active/Updated</t>
        </is>
      </c>
      <c r="G284" s="191" t="inlineStr">
        <is>
          <t>N/A</t>
        </is>
      </c>
      <c r="H284" s="208" t="inlineStr">
        <is>
          <t>MODERATE</t>
        </is>
      </c>
      <c r="I284" s="22" t="inlineStr">
        <is>
          <t>Mandatory Enforcer</t>
        </is>
      </c>
      <c r="J284" s="207" t="inlineStr">
        <is>
          <t>https://mosport.gov.sa or via www.moi.gov.sa</t>
        </is>
      </c>
    </row>
    <row r="285" ht="45" customHeight="1">
      <c r="A285" s="42" t="n">
        <v>284</v>
      </c>
      <c r="B285" s="205" t="inlineStr">
        <is>
          <t>MOTour-LAW</t>
        </is>
      </c>
      <c r="C285" s="192" t="inlineStr">
        <is>
          <t>Tourism Law</t>
        </is>
      </c>
      <c r="D285" s="26" t="inlineStr">
        <is>
          <t>MOTour</t>
        </is>
      </c>
      <c r="E285" s="190" t="inlineStr">
        <is>
          <t>1. Ministries</t>
        </is>
      </c>
      <c r="F285" s="190" t="inlineStr">
        <is>
          <t>Active/Updated</t>
        </is>
      </c>
      <c r="G285" s="191" t="inlineStr">
        <is>
          <t>N/A</t>
        </is>
      </c>
      <c r="H285" s="208" t="inlineStr">
        <is>
          <t>MODERATE</t>
        </is>
      </c>
      <c r="I285" s="22" t="inlineStr">
        <is>
          <t>Mandatory Enforcer</t>
        </is>
      </c>
      <c r="J285" s="207" t="inlineStr">
        <is>
          <t>https://motour.gov.sa or via www.moi.gov.sa</t>
        </is>
      </c>
    </row>
    <row r="286" ht="45" customHeight="1">
      <c r="A286" s="42" t="n">
        <v>285</v>
      </c>
      <c r="B286" s="205" t="inlineStr">
        <is>
          <t>MOJ-LAW</t>
        </is>
      </c>
      <c r="C286" s="192" t="inlineStr">
        <is>
          <t>Judicial Procedure Law</t>
        </is>
      </c>
      <c r="D286" s="26" t="inlineStr">
        <is>
          <t>MOJ</t>
        </is>
      </c>
      <c r="E286" s="190" t="inlineStr">
        <is>
          <t>1. Ministries</t>
        </is>
      </c>
      <c r="F286" s="190" t="inlineStr">
        <is>
          <t>Active/Updated</t>
        </is>
      </c>
      <c r="G286" s="191" t="inlineStr">
        <is>
          <t>N/A</t>
        </is>
      </c>
      <c r="H286" s="208" t="inlineStr">
        <is>
          <t>MODERATE</t>
        </is>
      </c>
      <c r="I286" s="22" t="inlineStr">
        <is>
          <t>Mandatory Enforcer</t>
        </is>
      </c>
      <c r="J286" s="207" t="inlineStr">
        <is>
          <t>https://moj.gov.sa or via www.moi.gov.sa</t>
        </is>
      </c>
    </row>
    <row r="287" ht="45" customHeight="1">
      <c r="A287" s="42" t="n">
        <v>286</v>
      </c>
      <c r="B287" s="97" t="inlineStr">
        <is>
          <t>PPA-FW</t>
        </is>
      </c>
      <c r="C287" s="99" t="inlineStr">
        <is>
          <t>Pension Regulations for Government Employees</t>
        </is>
      </c>
      <c r="D287" s="415" t="inlineStr">
        <is>
          <t>PPA</t>
        </is>
      </c>
      <c r="E287" s="98" t="inlineStr">
        <is>
          <t>5. Financial Regulators</t>
        </is>
      </c>
      <c r="F287" s="98" t="inlineStr">
        <is>
          <t>Active/Updated</t>
        </is>
      </c>
      <c r="G287" s="100" t="inlineStr">
        <is>
          <t>N/A</t>
        </is>
      </c>
      <c r="H287" s="101" t="inlineStr">
        <is>
          <t>MODERATE</t>
        </is>
      </c>
      <c r="I287" s="22" t="inlineStr">
        <is>
          <t>Mandatory Enforcer</t>
        </is>
      </c>
      <c r="J287" s="102" t="inlineStr">
        <is>
          <t>https://www.gov.sa/</t>
        </is>
      </c>
    </row>
    <row r="288" ht="45" customHeight="1">
      <c r="A288" s="42" t="n">
        <v>287</v>
      </c>
      <c r="B288" s="97" t="inlineStr">
        <is>
          <t>PIF-FW</t>
        </is>
      </c>
      <c r="C288" s="99" t="inlineStr">
        <is>
          <t>Investment Framework &amp; Portfolio Standards</t>
        </is>
      </c>
      <c r="D288" s="415" t="inlineStr">
        <is>
          <t>PIF</t>
        </is>
      </c>
      <c r="E288" s="98" t="inlineStr">
        <is>
          <t>5. Financial Regulators</t>
        </is>
      </c>
      <c r="F288" s="98" t="inlineStr">
        <is>
          <t>Active/Updated</t>
        </is>
      </c>
      <c r="G288" s="100" t="inlineStr">
        <is>
          <t>N/A</t>
        </is>
      </c>
      <c r="H288" s="101" t="inlineStr">
        <is>
          <t>MODERATE</t>
        </is>
      </c>
      <c r="I288" s="22" t="inlineStr">
        <is>
          <t>Mandatory Enforcer</t>
        </is>
      </c>
      <c r="J288" s="102" t="inlineStr">
        <is>
          <t>https://www.gov.sa/</t>
        </is>
      </c>
    </row>
    <row r="289" ht="45" customHeight="1">
      <c r="A289" s="42" t="n">
        <v>288</v>
      </c>
      <c r="B289" s="97" t="inlineStr">
        <is>
          <t>SIDF-FW</t>
        </is>
      </c>
      <c r="C289" s="99" t="inlineStr">
        <is>
          <t>Industrial Lending Regulations</t>
        </is>
      </c>
      <c r="D289" s="415" t="inlineStr">
        <is>
          <t>SIDF</t>
        </is>
      </c>
      <c r="E289" s="98" t="inlineStr">
        <is>
          <t>5. Financial Regulators</t>
        </is>
      </c>
      <c r="F289" s="98" t="inlineStr">
        <is>
          <t>Active/Updated</t>
        </is>
      </c>
      <c r="G289" s="100" t="inlineStr">
        <is>
          <t>N/A</t>
        </is>
      </c>
      <c r="H289" s="101" t="inlineStr">
        <is>
          <t>MODERATE</t>
        </is>
      </c>
      <c r="I289" s="22" t="inlineStr">
        <is>
          <t>Mandatory Enforcer</t>
        </is>
      </c>
      <c r="J289" s="102" t="inlineStr">
        <is>
          <t>https://www.gov.sa/</t>
        </is>
      </c>
    </row>
    <row r="290" ht="45" customHeight="1">
      <c r="A290" s="42" t="n">
        <v>289</v>
      </c>
      <c r="B290" s="97" t="inlineStr">
        <is>
          <t>SFD-FW</t>
        </is>
      </c>
      <c r="C290" s="99" t="inlineStr">
        <is>
          <t>Development Finance Regulations</t>
        </is>
      </c>
      <c r="D290" s="415" t="inlineStr">
        <is>
          <t>SFD</t>
        </is>
      </c>
      <c r="E290" s="98" t="inlineStr">
        <is>
          <t>5. Financial Regulators</t>
        </is>
      </c>
      <c r="F290" s="98" t="inlineStr">
        <is>
          <t>Active/Updated</t>
        </is>
      </c>
      <c r="G290" s="100" t="inlineStr">
        <is>
          <t>N/A</t>
        </is>
      </c>
      <c r="H290" s="101" t="inlineStr">
        <is>
          <t>MODERATE</t>
        </is>
      </c>
      <c r="I290" s="22" t="inlineStr">
        <is>
          <t>Mandatory Enforcer</t>
        </is>
      </c>
      <c r="J290" s="102" t="inlineStr">
        <is>
          <t>https://www.gov.sa/</t>
        </is>
      </c>
    </row>
    <row r="291" ht="45" customHeight="1">
      <c r="A291" s="42" t="n">
        <v>290</v>
      </c>
      <c r="B291" s="97" t="inlineStr">
        <is>
          <t>REDF-FW</t>
        </is>
      </c>
      <c r="C291" s="99" t="inlineStr">
        <is>
          <t>Real Estate Lending Regulations</t>
        </is>
      </c>
      <c r="D291" s="415" t="inlineStr">
        <is>
          <t>REDF</t>
        </is>
      </c>
      <c r="E291" s="98" t="inlineStr">
        <is>
          <t>5. Financial Regulators</t>
        </is>
      </c>
      <c r="F291" s="98" t="inlineStr">
        <is>
          <t>Active/Updated</t>
        </is>
      </c>
      <c r="G291" s="100" t="inlineStr">
        <is>
          <t>N/A</t>
        </is>
      </c>
      <c r="H291" s="101" t="inlineStr">
        <is>
          <t>MODERATE</t>
        </is>
      </c>
      <c r="I291" s="22" t="inlineStr">
        <is>
          <t>Mandatory Enforcer</t>
        </is>
      </c>
      <c r="J291" s="102" t="inlineStr">
        <is>
          <t>https://www.gov.sa/</t>
        </is>
      </c>
    </row>
    <row r="292" ht="45" customHeight="1">
      <c r="A292" s="42" t="n">
        <v>291</v>
      </c>
      <c r="B292" s="97" t="inlineStr">
        <is>
          <t>SME-FW</t>
        </is>
      </c>
      <c r="C292" s="99" t="inlineStr">
        <is>
          <t>SME Development Regulations</t>
        </is>
      </c>
      <c r="D292" s="415" t="inlineStr">
        <is>
          <t>SME</t>
        </is>
      </c>
      <c r="E292" s="98" t="inlineStr">
        <is>
          <t>5. Financial Regulators</t>
        </is>
      </c>
      <c r="F292" s="98" t="inlineStr">
        <is>
          <t>Active/Updated</t>
        </is>
      </c>
      <c r="G292" s="100" t="inlineStr">
        <is>
          <t>N/A</t>
        </is>
      </c>
      <c r="H292" s="101" t="inlineStr">
        <is>
          <t>MODERATE</t>
        </is>
      </c>
      <c r="I292" s="22" t="inlineStr">
        <is>
          <t>Mandatory Enforcer</t>
        </is>
      </c>
      <c r="J292" s="102" t="inlineStr">
        <is>
          <t>https://www.gov.sa/</t>
        </is>
      </c>
    </row>
    <row r="293" ht="45" customHeight="1">
      <c r="A293" s="42" t="n">
        <v>292</v>
      </c>
      <c r="B293" s="97" t="inlineStr">
        <is>
          <t>HRDF-FW</t>
        </is>
      </c>
      <c r="C293" s="99" t="inlineStr">
        <is>
          <t>Workforce Training Programme Standards</t>
        </is>
      </c>
      <c r="D293" s="415" t="inlineStr">
        <is>
          <t>HRDF</t>
        </is>
      </c>
      <c r="E293" s="98" t="inlineStr">
        <is>
          <t>5. Financial Regulators</t>
        </is>
      </c>
      <c r="F293" s="98" t="inlineStr">
        <is>
          <t>Active/Updated</t>
        </is>
      </c>
      <c r="G293" s="100" t="inlineStr">
        <is>
          <t>N/A</t>
        </is>
      </c>
      <c r="H293" s="101" t="inlineStr">
        <is>
          <t>MODERATE</t>
        </is>
      </c>
      <c r="I293" s="22" t="inlineStr">
        <is>
          <t>Mandatory Enforcer</t>
        </is>
      </c>
      <c r="J293" s="102" t="inlineStr">
        <is>
          <t>https://www.gov.sa/</t>
        </is>
      </c>
    </row>
    <row r="294" ht="45" customHeight="1">
      <c r="A294" s="42" t="n">
        <v>293</v>
      </c>
      <c r="B294" s="97" t="inlineStr">
        <is>
          <t>Tadawul-FW</t>
        </is>
      </c>
      <c r="C294" s="99" t="inlineStr">
        <is>
          <t>Market Disclosure &amp; Listing Rules</t>
        </is>
      </c>
      <c r="D294" s="415" t="inlineStr">
        <is>
          <t>Tadawul</t>
        </is>
      </c>
      <c r="E294" s="98" t="inlineStr">
        <is>
          <t>5. Financial Regulators</t>
        </is>
      </c>
      <c r="F294" s="98" t="inlineStr">
        <is>
          <t>Active/Updated</t>
        </is>
      </c>
      <c r="G294" s="100" t="inlineStr">
        <is>
          <t>N/A</t>
        </is>
      </c>
      <c r="H294" s="101" t="inlineStr">
        <is>
          <t>MODERATE</t>
        </is>
      </c>
      <c r="I294" s="22" t="inlineStr">
        <is>
          <t>Mandatory Enforcer</t>
        </is>
      </c>
      <c r="J294" s="102" t="inlineStr">
        <is>
          <t>https://www.gov.sa/</t>
        </is>
      </c>
    </row>
    <row r="295" ht="45" customHeight="1">
      <c r="A295" s="42" t="n">
        <v>294</v>
      </c>
      <c r="B295" s="144" t="inlineStr">
        <is>
          <t>GAFT-FW</t>
        </is>
      </c>
      <c r="C295" s="146" t="inlineStr">
        <is>
          <t>Foreign Trade Law</t>
        </is>
      </c>
      <c r="D295" s="417" t="inlineStr">
        <is>
          <t>GAFT</t>
        </is>
      </c>
      <c r="E295" s="145" t="inlineStr">
        <is>
          <t>6. Tax / Customs / Trade</t>
        </is>
      </c>
      <c r="F295" s="145" t="inlineStr">
        <is>
          <t>Active/Updated</t>
        </is>
      </c>
      <c r="G295" s="147" t="inlineStr">
        <is>
          <t>N/A</t>
        </is>
      </c>
      <c r="H295" s="148" t="inlineStr">
        <is>
          <t>MODERATE</t>
        </is>
      </c>
      <c r="I295" s="22" t="inlineStr">
        <is>
          <t>Mandatory Enforcer</t>
        </is>
      </c>
      <c r="J295" s="149" t="inlineStr">
        <is>
          <t>https://www.gov.sa/</t>
        </is>
      </c>
    </row>
    <row r="296" ht="45" customHeight="1">
      <c r="A296" s="42" t="n">
        <v>295</v>
      </c>
      <c r="B296" s="167" t="inlineStr">
        <is>
          <t>SAAC-FW</t>
        </is>
      </c>
      <c r="C296" s="169" t="inlineStr">
        <is>
          <t>Lab &amp; Inspection Body Accreditation (ISO 17025)</t>
        </is>
      </c>
      <c r="D296" s="414" t="inlineStr">
        <is>
          <t>SAAC</t>
        </is>
      </c>
      <c r="E296" s="168" t="inlineStr">
        <is>
          <t>7. Standards &amp; Quality</t>
        </is>
      </c>
      <c r="F296" s="168" t="inlineStr">
        <is>
          <t>Active/Updated</t>
        </is>
      </c>
      <c r="G296" s="170" t="inlineStr">
        <is>
          <t>N/A</t>
        </is>
      </c>
      <c r="H296" s="186" t="inlineStr">
        <is>
          <t>MODERATE</t>
        </is>
      </c>
      <c r="I296" s="22" t="inlineStr">
        <is>
          <t>Mandatory Enforcer</t>
        </is>
      </c>
      <c r="J296" s="172" t="inlineStr">
        <is>
          <t>https://www.gov.sa/</t>
        </is>
      </c>
    </row>
    <row r="297" ht="45" customHeight="1">
      <c r="A297" s="42" t="n">
        <v>296</v>
      </c>
      <c r="B297" s="167" t="inlineStr">
        <is>
          <t>GASTAT-FW</t>
        </is>
      </c>
      <c r="C297" s="169" t="inlineStr">
        <is>
          <t>National Statistics &amp; Health Reporting Standards</t>
        </is>
      </c>
      <c r="D297" s="414" t="inlineStr">
        <is>
          <t>GASTAT</t>
        </is>
      </c>
      <c r="E297" s="168" t="inlineStr">
        <is>
          <t>7. Standards &amp; Quality</t>
        </is>
      </c>
      <c r="F297" s="168" t="inlineStr">
        <is>
          <t>Active/Updated</t>
        </is>
      </c>
      <c r="G297" s="170" t="inlineStr">
        <is>
          <t>N/A</t>
        </is>
      </c>
      <c r="H297" s="186" t="inlineStr">
        <is>
          <t>MODERATE</t>
        </is>
      </c>
      <c r="I297" s="22" t="inlineStr">
        <is>
          <t>Mandatory Enforcer</t>
        </is>
      </c>
      <c r="J297" s="172" t="inlineStr">
        <is>
          <t>https://www.gov.sa/</t>
        </is>
      </c>
    </row>
    <row r="298" ht="45" customHeight="1">
      <c r="A298" s="42" t="n">
        <v>297</v>
      </c>
      <c r="B298" s="167" t="inlineStr">
        <is>
          <t>SAFCSP-FW</t>
        </is>
      </c>
      <c r="C298" s="169" t="inlineStr">
        <is>
          <t>IFRS &amp; Auditing Standards</t>
        </is>
      </c>
      <c r="D298" s="414" t="inlineStr">
        <is>
          <t>SAFCSP</t>
        </is>
      </c>
      <c r="E298" s="168" t="inlineStr">
        <is>
          <t>7. Standards &amp; Quality</t>
        </is>
      </c>
      <c r="F298" s="168" t="inlineStr">
        <is>
          <t>Active/Updated</t>
        </is>
      </c>
      <c r="G298" s="170" t="inlineStr">
        <is>
          <t>N/A</t>
        </is>
      </c>
      <c r="H298" s="186" t="inlineStr">
        <is>
          <t>MODERATE</t>
        </is>
      </c>
      <c r="I298" s="22" t="inlineStr">
        <is>
          <t>Mandatory Enforcer</t>
        </is>
      </c>
      <c r="J298" s="172" t="inlineStr">
        <is>
          <t>https://www.gov.sa/</t>
        </is>
      </c>
    </row>
    <row r="299" ht="45" customHeight="1">
      <c r="A299" s="42" t="n">
        <v>298</v>
      </c>
      <c r="B299" s="213" t="inlineStr">
        <is>
          <t>ECRA-FW</t>
        </is>
      </c>
      <c r="C299" s="215" t="inlineStr">
        <is>
          <t>Electricity Law</t>
        </is>
      </c>
      <c r="D299" s="418" t="inlineStr">
        <is>
          <t>ECRA</t>
        </is>
      </c>
      <c r="E299" s="214" t="inlineStr">
        <is>
          <t>8. Energy &amp; Utilities</t>
        </is>
      </c>
      <c r="F299" s="214" t="inlineStr">
        <is>
          <t>Active/Updated</t>
        </is>
      </c>
      <c r="G299" s="216" t="inlineStr">
        <is>
          <t>N/A</t>
        </is>
      </c>
      <c r="H299" s="217" t="inlineStr">
        <is>
          <t>MODERATE</t>
        </is>
      </c>
      <c r="I299" s="22" t="inlineStr">
        <is>
          <t>Mandatory Enforcer</t>
        </is>
      </c>
      <c r="J299" s="218" t="inlineStr">
        <is>
          <t>https://www.gov.sa/</t>
        </is>
      </c>
    </row>
    <row r="300" ht="45" customHeight="1">
      <c r="A300" s="42" t="n">
        <v>299</v>
      </c>
      <c r="B300" s="213" t="inlineStr">
        <is>
          <t>KACARE-FW</t>
        </is>
      </c>
      <c r="C300" s="215" t="inlineStr">
        <is>
          <t>Nuclear &amp; Radiation Regulations (IAEA-aligned)</t>
        </is>
      </c>
      <c r="D300" s="418" t="inlineStr">
        <is>
          <t>KACARE</t>
        </is>
      </c>
      <c r="E300" s="214" t="inlineStr">
        <is>
          <t>8. Energy &amp; Utilities</t>
        </is>
      </c>
      <c r="F300" s="214" t="inlineStr">
        <is>
          <t>Active/Updated</t>
        </is>
      </c>
      <c r="G300" s="216" t="inlineStr">
        <is>
          <t>N/A</t>
        </is>
      </c>
      <c r="H300" s="217" t="inlineStr">
        <is>
          <t>MODERATE</t>
        </is>
      </c>
      <c r="I300" s="22" t="inlineStr">
        <is>
          <t>Mandatory Enforcer</t>
        </is>
      </c>
      <c r="J300" s="218" t="inlineStr">
        <is>
          <t>https://www.gov.sa/</t>
        </is>
      </c>
    </row>
    <row r="301" ht="45" customHeight="1">
      <c r="A301" s="42" t="n">
        <v>300</v>
      </c>
      <c r="B301" s="213" t="inlineStr">
        <is>
          <t>SWCC-FW</t>
        </is>
      </c>
      <c r="C301" s="215" t="inlineStr">
        <is>
          <t>Water Supply Standards</t>
        </is>
      </c>
      <c r="D301" s="418" t="inlineStr">
        <is>
          <t>SWCC</t>
        </is>
      </c>
      <c r="E301" s="214" t="inlineStr">
        <is>
          <t>8. Energy &amp; Utilities</t>
        </is>
      </c>
      <c r="F301" s="214" t="inlineStr">
        <is>
          <t>Active/Updated</t>
        </is>
      </c>
      <c r="G301" s="216" t="inlineStr">
        <is>
          <t>N/A</t>
        </is>
      </c>
      <c r="H301" s="217" t="inlineStr">
        <is>
          <t>MODERATE</t>
        </is>
      </c>
      <c r="I301" s="22" t="inlineStr">
        <is>
          <t>Mandatory Enforcer</t>
        </is>
      </c>
      <c r="J301" s="218" t="inlineStr">
        <is>
          <t>https://www.gov.sa/</t>
        </is>
      </c>
    </row>
    <row r="302" ht="45" customHeight="1">
      <c r="A302" s="42" t="n">
        <v>301</v>
      </c>
      <c r="B302" s="213" t="inlineStr">
        <is>
          <t>NWC-FW</t>
        </is>
      </c>
      <c r="C302" s="215" t="inlineStr">
        <is>
          <t>Water Quality &amp; Distribution Standards</t>
        </is>
      </c>
      <c r="D302" s="418" t="inlineStr">
        <is>
          <t>NWC</t>
        </is>
      </c>
      <c r="E302" s="214" t="inlineStr">
        <is>
          <t>8. Energy &amp; Utilities</t>
        </is>
      </c>
      <c r="F302" s="214" t="inlineStr">
        <is>
          <t>Active/Updated</t>
        </is>
      </c>
      <c r="G302" s="216" t="inlineStr">
        <is>
          <t>N/A</t>
        </is>
      </c>
      <c r="H302" s="217" t="inlineStr">
        <is>
          <t>MODERATE</t>
        </is>
      </c>
      <c r="I302" s="22" t="inlineStr">
        <is>
          <t>Mandatory Enforcer</t>
        </is>
      </c>
      <c r="J302" s="218" t="inlineStr">
        <is>
          <t>https://www.gov.sa/</t>
        </is>
      </c>
    </row>
    <row r="303" ht="45" customHeight="1">
      <c r="A303" s="42" t="n">
        <v>302</v>
      </c>
      <c r="B303" s="235" t="inlineStr">
        <is>
          <t>NCEC-FW</t>
        </is>
      </c>
      <c r="C303" s="237" t="inlineStr">
        <is>
          <t>General Environmental Regulation</t>
        </is>
      </c>
      <c r="D303" s="419" t="inlineStr">
        <is>
          <t>NCEC</t>
        </is>
      </c>
      <c r="E303" s="236" t="inlineStr">
        <is>
          <t>9. Environment</t>
        </is>
      </c>
      <c r="F303" s="236" t="inlineStr">
        <is>
          <t>Active/Updated</t>
        </is>
      </c>
      <c r="G303" s="238" t="inlineStr">
        <is>
          <t>N/A</t>
        </is>
      </c>
      <c r="H303" s="239" t="inlineStr">
        <is>
          <t>MODERATE</t>
        </is>
      </c>
      <c r="I303" s="22" t="inlineStr">
        <is>
          <t>Mandatory Enforcer</t>
        </is>
      </c>
      <c r="J303" s="240" t="inlineStr">
        <is>
          <t>https://www.gov.sa/</t>
        </is>
      </c>
    </row>
    <row r="304" ht="45" customHeight="1">
      <c r="A304" s="42" t="n">
        <v>303</v>
      </c>
      <c r="B304" s="258" t="inlineStr">
        <is>
          <t>GACA-FW</t>
        </is>
      </c>
      <c r="C304" s="260" t="inlineStr">
        <is>
          <t>Civil Aviation Law</t>
        </is>
      </c>
      <c r="D304" s="420" t="inlineStr">
        <is>
          <t>GACA</t>
        </is>
      </c>
      <c r="E304" s="259" t="inlineStr">
        <is>
          <t>10. Transport &amp; Logistics</t>
        </is>
      </c>
      <c r="F304" s="259" t="inlineStr">
        <is>
          <t>Active/Updated</t>
        </is>
      </c>
      <c r="G304" s="261" t="inlineStr">
        <is>
          <t>N/A</t>
        </is>
      </c>
      <c r="H304" s="262" t="inlineStr">
        <is>
          <t>MODERATE</t>
        </is>
      </c>
      <c r="I304" s="22" t="inlineStr">
        <is>
          <t>Mandatory Enforcer</t>
        </is>
      </c>
      <c r="J304" s="263" t="inlineStr">
        <is>
          <t>https://www.gov.sa/</t>
        </is>
      </c>
    </row>
    <row r="305" ht="45" customHeight="1">
      <c r="A305" s="42" t="n">
        <v>304</v>
      </c>
      <c r="B305" s="258" t="inlineStr">
        <is>
          <t>MAWANI-FW</t>
        </is>
      </c>
      <c r="C305" s="260" t="inlineStr">
        <is>
          <t>Ports Regulations &amp; Cold Chain Standards</t>
        </is>
      </c>
      <c r="D305" s="420" t="inlineStr">
        <is>
          <t>MAWANI</t>
        </is>
      </c>
      <c r="E305" s="259" t="inlineStr">
        <is>
          <t>10. Transport &amp; Logistics</t>
        </is>
      </c>
      <c r="F305" s="259" t="inlineStr">
        <is>
          <t>Active/Updated</t>
        </is>
      </c>
      <c r="G305" s="261" t="inlineStr">
        <is>
          <t>N/A</t>
        </is>
      </c>
      <c r="H305" s="262" t="inlineStr">
        <is>
          <t>MODERATE</t>
        </is>
      </c>
      <c r="I305" s="22" t="inlineStr">
        <is>
          <t>Mandatory Enforcer</t>
        </is>
      </c>
      <c r="J305" s="263" t="inlineStr">
        <is>
          <t>https://www.gov.sa/</t>
        </is>
      </c>
    </row>
    <row r="306" ht="45" customHeight="1">
      <c r="A306" s="42" t="n">
        <v>305</v>
      </c>
      <c r="B306" s="280" t="inlineStr">
        <is>
          <t>MODON-FW</t>
        </is>
      </c>
      <c r="C306" s="282" t="inlineStr">
        <is>
          <t>Industrial Zones Licensing</t>
        </is>
      </c>
      <c r="D306" s="421" t="inlineStr">
        <is>
          <t>MODON</t>
        </is>
      </c>
      <c r="E306" s="281" t="inlineStr">
        <is>
          <t>11. Industry &amp; Trade</t>
        </is>
      </c>
      <c r="F306" s="281" t="inlineStr">
        <is>
          <t>Active/Updated</t>
        </is>
      </c>
      <c r="G306" s="283" t="inlineStr">
        <is>
          <t>N/A</t>
        </is>
      </c>
      <c r="H306" s="284" t="inlineStr">
        <is>
          <t>MODERATE</t>
        </is>
      </c>
      <c r="I306" s="22" t="inlineStr">
        <is>
          <t>Mandatory Enforcer</t>
        </is>
      </c>
      <c r="J306" s="285" t="inlineStr">
        <is>
          <t>https://www.gov.sa/</t>
        </is>
      </c>
    </row>
    <row r="307" ht="45" customHeight="1">
      <c r="A307" s="42" t="n">
        <v>306</v>
      </c>
      <c r="B307" s="280" t="inlineStr">
        <is>
          <t>RCJY-FW</t>
        </is>
      </c>
      <c r="C307" s="282" t="inlineStr">
        <is>
          <t>Industrial City Standards</t>
        </is>
      </c>
      <c r="D307" s="421" t="inlineStr">
        <is>
          <t>RCJY</t>
        </is>
      </c>
      <c r="E307" s="281" t="inlineStr">
        <is>
          <t>11. Industry &amp; Trade</t>
        </is>
      </c>
      <c r="F307" s="281" t="inlineStr">
        <is>
          <t>Active/Updated</t>
        </is>
      </c>
      <c r="G307" s="283" t="inlineStr">
        <is>
          <t>N/A</t>
        </is>
      </c>
      <c r="H307" s="284" t="inlineStr">
        <is>
          <t>MODERATE</t>
        </is>
      </c>
      <c r="I307" s="22" t="inlineStr">
        <is>
          <t>Mandatory Enforcer</t>
        </is>
      </c>
      <c r="J307" s="285" t="inlineStr">
        <is>
          <t>https://www.gov.sa/</t>
        </is>
      </c>
    </row>
    <row r="308" ht="45" customHeight="1">
      <c r="A308" s="42" t="n">
        <v>307</v>
      </c>
      <c r="B308" s="280" t="inlineStr">
        <is>
          <t>STA-FW</t>
        </is>
      </c>
      <c r="C308" s="282" t="inlineStr">
        <is>
          <t>Tourism Standards</t>
        </is>
      </c>
      <c r="D308" s="421" t="inlineStr">
        <is>
          <t>STA</t>
        </is>
      </c>
      <c r="E308" s="281" t="inlineStr">
        <is>
          <t>11. Industry &amp; Trade</t>
        </is>
      </c>
      <c r="F308" s="281" t="inlineStr">
        <is>
          <t>Active/Updated</t>
        </is>
      </c>
      <c r="G308" s="283" t="inlineStr">
        <is>
          <t>N/A</t>
        </is>
      </c>
      <c r="H308" s="284" t="inlineStr">
        <is>
          <t>MODERATE</t>
        </is>
      </c>
      <c r="I308" s="22" t="inlineStr">
        <is>
          <t>Mandatory Enforcer</t>
        </is>
      </c>
      <c r="J308" s="285" t="inlineStr">
        <is>
          <t>https://www.gov.sa/</t>
        </is>
      </c>
    </row>
    <row r="309" ht="45" customHeight="1">
      <c r="A309" s="42" t="n">
        <v>308</v>
      </c>
      <c r="B309" s="280" t="inlineStr">
        <is>
          <t>SAIP-FW</t>
        </is>
      </c>
      <c r="C309" s="282" t="inlineStr">
        <is>
          <t>IP &amp; Patent Law</t>
        </is>
      </c>
      <c r="D309" s="421" t="inlineStr">
        <is>
          <t>SAIP</t>
        </is>
      </c>
      <c r="E309" s="281" t="inlineStr">
        <is>
          <t>11. Industry &amp; Trade</t>
        </is>
      </c>
      <c r="F309" s="281" t="inlineStr">
        <is>
          <t>Active/Updated</t>
        </is>
      </c>
      <c r="G309" s="283" t="inlineStr">
        <is>
          <t>N/A</t>
        </is>
      </c>
      <c r="H309" s="284" t="inlineStr">
        <is>
          <t>MODERATE</t>
        </is>
      </c>
      <c r="I309" s="22" t="inlineStr">
        <is>
          <t>Mandatory Enforcer</t>
        </is>
      </c>
      <c r="J309" s="285" t="inlineStr">
        <is>
          <t>https://www.gov.sa/</t>
        </is>
      </c>
    </row>
    <row r="310" ht="45" customHeight="1">
      <c r="A310" s="42" t="n">
        <v>309</v>
      </c>
      <c r="B310" s="302" t="inlineStr">
        <is>
          <t>ETEC-FW</t>
        </is>
      </c>
      <c r="C310" s="304" t="inlineStr">
        <is>
          <t>Academic Accreditation Standards</t>
        </is>
      </c>
      <c r="D310" s="422" t="inlineStr">
        <is>
          <t>ETEC</t>
        </is>
      </c>
      <c r="E310" s="303" t="inlineStr">
        <is>
          <t>12. Education &amp; Research</t>
        </is>
      </c>
      <c r="F310" s="303" t="inlineStr">
        <is>
          <t>Active/Updated</t>
        </is>
      </c>
      <c r="G310" s="305" t="inlineStr">
        <is>
          <t>N/A</t>
        </is>
      </c>
      <c r="H310" s="306" t="inlineStr">
        <is>
          <t>MODERATE</t>
        </is>
      </c>
      <c r="I310" s="22" t="inlineStr">
        <is>
          <t>Mandatory Enforcer</t>
        </is>
      </c>
      <c r="J310" s="307" t="inlineStr">
        <is>
          <t>https://www.gov.sa/</t>
        </is>
      </c>
    </row>
    <row r="311" ht="45" customHeight="1">
      <c r="A311" s="42" t="n">
        <v>310</v>
      </c>
      <c r="B311" s="302" t="inlineStr">
        <is>
          <t>TVTC-FW</t>
        </is>
      </c>
      <c r="C311" s="304" t="inlineStr">
        <is>
          <t>Vocational Training Standards</t>
        </is>
      </c>
      <c r="D311" s="422" t="inlineStr">
        <is>
          <t>TVTC</t>
        </is>
      </c>
      <c r="E311" s="303" t="inlineStr">
        <is>
          <t>12. Education &amp; Research</t>
        </is>
      </c>
      <c r="F311" s="303" t="inlineStr">
        <is>
          <t>Active/Updated</t>
        </is>
      </c>
      <c r="G311" s="305" t="inlineStr">
        <is>
          <t>N/A</t>
        </is>
      </c>
      <c r="H311" s="306" t="inlineStr">
        <is>
          <t>MODERATE</t>
        </is>
      </c>
      <c r="I311" s="22" t="inlineStr">
        <is>
          <t>Mandatory Enforcer</t>
        </is>
      </c>
      <c r="J311" s="307" t="inlineStr">
        <is>
          <t>https://www.gov.sa/</t>
        </is>
      </c>
    </row>
    <row r="312" ht="45" customHeight="1">
      <c r="A312" s="42" t="n">
        <v>311</v>
      </c>
      <c r="B312" s="302" t="inlineStr">
        <is>
          <t>KAUST-FW</t>
        </is>
      </c>
      <c r="C312" s="304" t="inlineStr">
        <is>
          <t>Research Ethics &amp; Governance Policy</t>
        </is>
      </c>
      <c r="D312" s="422" t="inlineStr">
        <is>
          <t>KAUST</t>
        </is>
      </c>
      <c r="E312" s="303" t="inlineStr">
        <is>
          <t>12. Education &amp; Research</t>
        </is>
      </c>
      <c r="F312" s="303" t="inlineStr">
        <is>
          <t>Active/Updated</t>
        </is>
      </c>
      <c r="G312" s="305" t="inlineStr">
        <is>
          <t>N/A</t>
        </is>
      </c>
      <c r="H312" s="306" t="inlineStr">
        <is>
          <t>MODERATE</t>
        </is>
      </c>
      <c r="I312" s="22" t="inlineStr">
        <is>
          <t>Mandatory Enforcer</t>
        </is>
      </c>
      <c r="J312" s="307" t="inlineStr">
        <is>
          <t>https://www.gov.sa/</t>
        </is>
      </c>
    </row>
    <row r="313" ht="45" customHeight="1">
      <c r="A313" s="42" t="n">
        <v>312</v>
      </c>
      <c r="B313" s="302" t="inlineStr">
        <is>
          <t>KSU-FW</t>
        </is>
      </c>
      <c r="C313" s="304" t="inlineStr">
        <is>
          <t>Clinical Policy &amp; Hospital Governance</t>
        </is>
      </c>
      <c r="D313" s="422" t="inlineStr">
        <is>
          <t>KSU</t>
        </is>
      </c>
      <c r="E313" s="303" t="inlineStr">
        <is>
          <t>12. Education &amp; Research</t>
        </is>
      </c>
      <c r="F313" s="303" t="inlineStr">
        <is>
          <t>Active/Updated</t>
        </is>
      </c>
      <c r="G313" s="305" t="inlineStr">
        <is>
          <t>N/A</t>
        </is>
      </c>
      <c r="H313" s="306" t="inlineStr">
        <is>
          <t>MODERATE</t>
        </is>
      </c>
      <c r="I313" s="22" t="inlineStr">
        <is>
          <t>Mandatory Enforcer</t>
        </is>
      </c>
      <c r="J313" s="307" t="inlineStr">
        <is>
          <t>https://www.gov.sa/</t>
        </is>
      </c>
    </row>
    <row r="314" ht="45" customHeight="1">
      <c r="A314" s="42" t="n">
        <v>313</v>
      </c>
      <c r="B314" s="302" t="inlineStr">
        <is>
          <t>KAU-FW</t>
        </is>
      </c>
      <c r="C314" s="304" t="inlineStr">
        <is>
          <t>Clinical Policy &amp; Hospital Governance</t>
        </is>
      </c>
      <c r="D314" s="422" t="inlineStr">
        <is>
          <t>KAU</t>
        </is>
      </c>
      <c r="E314" s="303" t="inlineStr">
        <is>
          <t>12. Education &amp; Research</t>
        </is>
      </c>
      <c r="F314" s="303" t="inlineStr">
        <is>
          <t>Active/Updated</t>
        </is>
      </c>
      <c r="G314" s="305" t="inlineStr">
        <is>
          <t>N/A</t>
        </is>
      </c>
      <c r="H314" s="306" t="inlineStr">
        <is>
          <t>MODERATE</t>
        </is>
      </c>
      <c r="I314" s="22" t="inlineStr">
        <is>
          <t>Mandatory Enforcer</t>
        </is>
      </c>
      <c r="J314" s="307" t="inlineStr">
        <is>
          <t>https://www.gov.sa/</t>
        </is>
      </c>
    </row>
    <row r="315" ht="45" customHeight="1">
      <c r="A315" s="42" t="n">
        <v>314</v>
      </c>
      <c r="B315" s="302" t="inlineStr">
        <is>
          <t>KFUPM-FW</t>
        </is>
      </c>
      <c r="C315" s="304" t="inlineStr">
        <is>
          <t>Research Policy &amp; Engineering Standards</t>
        </is>
      </c>
      <c r="D315" s="422" t="inlineStr">
        <is>
          <t>KFUPM</t>
        </is>
      </c>
      <c r="E315" s="303" t="inlineStr">
        <is>
          <t>12. Education &amp; Research</t>
        </is>
      </c>
      <c r="F315" s="303" t="inlineStr">
        <is>
          <t>Active/Updated</t>
        </is>
      </c>
      <c r="G315" s="305" t="inlineStr">
        <is>
          <t>N/A</t>
        </is>
      </c>
      <c r="H315" s="306" t="inlineStr">
        <is>
          <t>MODERATE</t>
        </is>
      </c>
      <c r="I315" s="22" t="inlineStr">
        <is>
          <t>Mandatory Enforcer</t>
        </is>
      </c>
      <c r="J315" s="307" t="inlineStr">
        <is>
          <t>https://www.gov.sa/</t>
        </is>
      </c>
    </row>
    <row r="316" ht="45" customHeight="1">
      <c r="A316" s="42" t="n">
        <v>315</v>
      </c>
      <c r="B316" s="324" t="inlineStr">
        <is>
          <t>BOE-FW</t>
        </is>
      </c>
      <c r="C316" s="326" t="inlineStr">
        <is>
          <t>Legal Drafting Regulations</t>
        </is>
      </c>
      <c r="D316" s="423" t="inlineStr">
        <is>
          <t>BOE</t>
        </is>
      </c>
      <c r="E316" s="325" t="inlineStr">
        <is>
          <t>13. Legal &amp; Judicial</t>
        </is>
      </c>
      <c r="F316" s="325" t="inlineStr">
        <is>
          <t>Active/Updated</t>
        </is>
      </c>
      <c r="G316" s="327" t="inlineStr">
        <is>
          <t>N/A</t>
        </is>
      </c>
      <c r="H316" s="328" t="inlineStr">
        <is>
          <t>MODERATE</t>
        </is>
      </c>
      <c r="I316" s="22" t="inlineStr">
        <is>
          <t>Mandatory Enforcer</t>
        </is>
      </c>
      <c r="J316" s="329" t="inlineStr">
        <is>
          <t>https://www.gov.sa/</t>
        </is>
      </c>
    </row>
    <row r="317" ht="45" customHeight="1">
      <c r="A317" s="42" t="n">
        <v>316</v>
      </c>
      <c r="B317" s="324" t="inlineStr">
        <is>
          <t>NAZAHA-FW</t>
        </is>
      </c>
      <c r="C317" s="326" t="inlineStr">
        <is>
          <t>Anti-Corruption Law &amp; Asset Disclosure</t>
        </is>
      </c>
      <c r="D317" s="423" t="inlineStr">
        <is>
          <t>NAZAHA</t>
        </is>
      </c>
      <c r="E317" s="325" t="inlineStr">
        <is>
          <t>13. Legal &amp; Judicial</t>
        </is>
      </c>
      <c r="F317" s="325" t="inlineStr">
        <is>
          <t>Active/Updated</t>
        </is>
      </c>
      <c r="G317" s="327" t="inlineStr">
        <is>
          <t>N/A</t>
        </is>
      </c>
      <c r="H317" s="328" t="inlineStr">
        <is>
          <t>MODERATE</t>
        </is>
      </c>
      <c r="I317" s="22" t="inlineStr">
        <is>
          <t>Mandatory Enforcer</t>
        </is>
      </c>
      <c r="J317" s="329" t="inlineStr">
        <is>
          <t>https://www.gov.sa/</t>
        </is>
      </c>
    </row>
    <row r="318" ht="45" customHeight="1">
      <c r="A318" s="42" t="n">
        <v>317</v>
      </c>
      <c r="B318" s="346" t="inlineStr">
        <is>
          <t>OSH-FW</t>
        </is>
      </c>
      <c r="C318" s="348" t="inlineStr">
        <is>
          <t>Occupational Safety &amp; Health Regulations</t>
        </is>
      </c>
      <c r="D318" s="424" t="inlineStr">
        <is>
          <t>OSH</t>
        </is>
      </c>
      <c r="E318" s="347" t="inlineStr">
        <is>
          <t>14. Labour &amp; Occ. Health</t>
        </is>
      </c>
      <c r="F318" s="347" t="inlineStr">
        <is>
          <t>Active/Updated</t>
        </is>
      </c>
      <c r="G318" s="349" t="inlineStr">
        <is>
          <t>N/A</t>
        </is>
      </c>
      <c r="H318" s="350" t="inlineStr">
        <is>
          <t>MODERATE</t>
        </is>
      </c>
      <c r="I318" s="22" t="inlineStr">
        <is>
          <t>Mandatory Enforcer</t>
        </is>
      </c>
      <c r="J318" s="351" t="inlineStr">
        <is>
          <t>https://www.gov.sa/</t>
        </is>
      </c>
    </row>
    <row r="319" ht="45" customHeight="1">
      <c r="A319" s="42" t="n">
        <v>318</v>
      </c>
      <c r="B319" s="120" t="inlineStr">
        <is>
          <t>RDIA-FW</t>
        </is>
      </c>
      <c r="C319" s="122" t="inlineStr">
        <is>
          <t>R&amp;D Framework</t>
        </is>
      </c>
      <c r="D319" s="125" t="inlineStr">
        <is>
          <t>RDIA</t>
        </is>
      </c>
      <c r="E319" s="121" t="inlineStr">
        <is>
          <t>4. ICT / Digital / Telecom</t>
        </is>
      </c>
      <c r="F319" s="121" t="inlineStr">
        <is>
          <t>Active/Updated</t>
        </is>
      </c>
      <c r="G319" s="123" t="inlineStr">
        <is>
          <t>N/A</t>
        </is>
      </c>
      <c r="H319" s="140" t="inlineStr">
        <is>
          <t>MODERATE</t>
        </is>
      </c>
      <c r="I319" s="22" t="inlineStr">
        <is>
          <t>Mandatory Enforcer</t>
        </is>
      </c>
      <c r="J319" s="125" t="inlineStr">
        <is>
          <t>https://www.gov.sa/</t>
        </is>
      </c>
    </row>
    <row r="320" ht="45" customHeight="1">
      <c r="A320" s="42" t="n">
        <v>319</v>
      </c>
      <c r="B320" s="120" t="inlineStr">
        <is>
          <t>NCSA-FW</t>
        </is>
      </c>
      <c r="C320" s="122" t="inlineStr">
        <is>
          <t>Competitiveness Index Methodology</t>
        </is>
      </c>
      <c r="D320" s="125" t="inlineStr">
        <is>
          <t>NCSA</t>
        </is>
      </c>
      <c r="E320" s="121" t="inlineStr">
        <is>
          <t>4. ICT / Digital / Telecom</t>
        </is>
      </c>
      <c r="F320" s="121" t="inlineStr">
        <is>
          <t>Active/Updated</t>
        </is>
      </c>
      <c r="G320" s="123" t="inlineStr">
        <is>
          <t>N/A</t>
        </is>
      </c>
      <c r="H320" s="140" t="inlineStr">
        <is>
          <t>MODERATE</t>
        </is>
      </c>
      <c r="I320" s="22" t="inlineStr">
        <is>
          <t>Mandatory Enforcer</t>
        </is>
      </c>
      <c r="J320" s="125" t="inlineStr">
        <is>
          <t>https://www.gov.sa/</t>
        </is>
      </c>
    </row>
    <row r="321" ht="45" customHeight="1">
      <c r="A321" s="42" t="n">
        <v>320</v>
      </c>
      <c r="B321" s="120" t="inlineStr">
        <is>
          <t>SSA-FW</t>
        </is>
      </c>
      <c r="C321" s="122" t="inlineStr">
        <is>
          <t>Space Regulations &amp; Licensing</t>
        </is>
      </c>
      <c r="D321" s="125" t="inlineStr">
        <is>
          <t>SSA</t>
        </is>
      </c>
      <c r="E321" s="121" t="inlineStr">
        <is>
          <t>4. ICT / Digital / Telecom</t>
        </is>
      </c>
      <c r="F321" s="121" t="inlineStr">
        <is>
          <t>Active/Updated</t>
        </is>
      </c>
      <c r="G321" s="123" t="inlineStr">
        <is>
          <t>N/A</t>
        </is>
      </c>
      <c r="H321" s="140" t="inlineStr">
        <is>
          <t>MODERATE</t>
        </is>
      </c>
      <c r="I321" s="22" t="inlineStr">
        <is>
          <t>Mandatory Enforcer</t>
        </is>
      </c>
      <c r="J321" s="125" t="inlineStr">
        <is>
          <t>https://www.gov.sa/</t>
        </is>
      </c>
    </row>
    <row r="322" ht="45" customHeight="1">
      <c r="A322" s="42" t="n">
        <v>321</v>
      </c>
      <c r="B322" s="368" t="inlineStr">
        <is>
          <t>NEOM-FW</t>
        </is>
      </c>
      <c r="C322" s="370" t="inlineStr">
        <is>
          <t>NEOM Health &amp; IoT Governance Framework</t>
        </is>
      </c>
      <c r="D322" s="376" t="inlineStr">
        <is>
          <t>NEOM</t>
        </is>
      </c>
      <c r="E322" s="369" t="inlineStr">
        <is>
          <t>15. Special Zones &amp; Giga</t>
        </is>
      </c>
      <c r="F322" s="369" t="inlineStr">
        <is>
          <t>Active/Updated</t>
        </is>
      </c>
      <c r="G322" s="371" t="inlineStr">
        <is>
          <t>N/A</t>
        </is>
      </c>
      <c r="H322" s="372" t="inlineStr">
        <is>
          <t>MODERATE</t>
        </is>
      </c>
      <c r="I322" s="22" t="inlineStr">
        <is>
          <t>Mandatory Enforcer</t>
        </is>
      </c>
      <c r="J322" s="373" t="inlineStr">
        <is>
          <t>https://www.gov.sa/</t>
        </is>
      </c>
    </row>
    <row r="323" ht="45" customHeight="1">
      <c r="A323" s="42" t="n">
        <v>322</v>
      </c>
      <c r="B323" s="368" t="inlineStr">
        <is>
          <t>RDA-FW</t>
        </is>
      </c>
      <c r="C323" s="370" t="inlineStr">
        <is>
          <t>Urban Development Standards</t>
        </is>
      </c>
      <c r="D323" s="376" t="inlineStr">
        <is>
          <t>RDA</t>
        </is>
      </c>
      <c r="E323" s="369" t="inlineStr">
        <is>
          <t>15. Special Zones &amp; Giga</t>
        </is>
      </c>
      <c r="F323" s="369" t="inlineStr">
        <is>
          <t>Active/Updated</t>
        </is>
      </c>
      <c r="G323" s="371" t="inlineStr">
        <is>
          <t>N/A</t>
        </is>
      </c>
      <c r="H323" s="372" t="inlineStr">
        <is>
          <t>MODERATE</t>
        </is>
      </c>
      <c r="I323" s="22" t="inlineStr">
        <is>
          <t>Mandatory Enforcer</t>
        </is>
      </c>
      <c r="J323" s="373" t="inlineStr">
        <is>
          <t>https://www.gov.sa/</t>
        </is>
      </c>
    </row>
    <row r="324" ht="45" customHeight="1">
      <c r="A324" s="42" t="n">
        <v>323</v>
      </c>
      <c r="B324" s="368" t="inlineStr">
        <is>
          <t>DGDA-FW</t>
        </is>
      </c>
      <c r="C324" s="370" t="inlineStr">
        <is>
          <t>Diriyah Development Standards</t>
        </is>
      </c>
      <c r="D324" s="376" t="inlineStr">
        <is>
          <t>DGDA</t>
        </is>
      </c>
      <c r="E324" s="369" t="inlineStr">
        <is>
          <t>15. Special Zones &amp; Giga</t>
        </is>
      </c>
      <c r="F324" s="369" t="inlineStr">
        <is>
          <t>Active/Updated</t>
        </is>
      </c>
      <c r="G324" s="371" t="inlineStr">
        <is>
          <t>N/A</t>
        </is>
      </c>
      <c r="H324" s="372" t="inlineStr">
        <is>
          <t>MODERATE</t>
        </is>
      </c>
      <c r="I324" s="22" t="inlineStr">
        <is>
          <t>Mandatory Enforcer</t>
        </is>
      </c>
      <c r="J324" s="373" t="inlineStr">
        <is>
          <t>https://www.gov.sa/</t>
        </is>
      </c>
    </row>
    <row r="325" ht="45" customHeight="1">
      <c r="A325" s="42" t="n">
        <v>324</v>
      </c>
      <c r="B325" s="368" t="inlineStr">
        <is>
          <t>RCU-FW</t>
        </is>
      </c>
      <c r="C325" s="370" t="inlineStr">
        <is>
          <t>Tourism &amp; Heritage Standards</t>
        </is>
      </c>
      <c r="D325" s="376" t="inlineStr">
        <is>
          <t>RCU</t>
        </is>
      </c>
      <c r="E325" s="369" t="inlineStr">
        <is>
          <t>15. Special Zones &amp; Giga</t>
        </is>
      </c>
      <c r="F325" s="369" t="inlineStr">
        <is>
          <t>Active/Updated</t>
        </is>
      </c>
      <c r="G325" s="371" t="inlineStr">
        <is>
          <t>N/A</t>
        </is>
      </c>
      <c r="H325" s="372" t="inlineStr">
        <is>
          <t>MODERATE</t>
        </is>
      </c>
      <c r="I325" s="22" t="inlineStr">
        <is>
          <t>Mandatory Enforcer</t>
        </is>
      </c>
      <c r="J325" s="373" t="inlineStr">
        <is>
          <t>https://www.gov.sa/</t>
        </is>
      </c>
    </row>
    <row r="326" ht="45" customHeight="1">
      <c r="A326" s="42" t="n">
        <v>325</v>
      </c>
      <c r="B326" s="368" t="inlineStr">
        <is>
          <t>AMAALA-FW</t>
        </is>
      </c>
      <c r="C326" s="370" t="inlineStr">
        <is>
          <t>Wellness &amp; Health Tourism Standards</t>
        </is>
      </c>
      <c r="D326" s="376" t="inlineStr">
        <is>
          <t>AMAALA</t>
        </is>
      </c>
      <c r="E326" s="369" t="inlineStr">
        <is>
          <t>15. Special Zones &amp; Giga</t>
        </is>
      </c>
      <c r="F326" s="369" t="inlineStr">
        <is>
          <t>Active/Updated</t>
        </is>
      </c>
      <c r="G326" s="371" t="inlineStr">
        <is>
          <t>N/A</t>
        </is>
      </c>
      <c r="H326" s="372" t="inlineStr">
        <is>
          <t>MODERATE</t>
        </is>
      </c>
      <c r="I326" s="22" t="inlineStr">
        <is>
          <t>Mandatory Enforcer</t>
        </is>
      </c>
      <c r="J326" s="373" t="inlineStr">
        <is>
          <t>https://www.gov.sa/</t>
        </is>
      </c>
    </row>
    <row r="327" ht="45" customHeight="1">
      <c r="A327" s="42" t="n">
        <v>326</v>
      </c>
      <c r="B327" s="85" t="inlineStr">
        <is>
          <t>NUPCO-FW</t>
        </is>
      </c>
      <c r="C327" s="72" t="inlineStr">
        <is>
          <t>Procurement &amp; Quality Standards for Suppliers</t>
        </is>
      </c>
      <c r="D327" s="50" t="inlineStr">
        <is>
          <t>NUPCO</t>
        </is>
      </c>
      <c r="E327" s="70" t="inlineStr">
        <is>
          <t>2. Healthcare &amp; Life Sciences</t>
        </is>
      </c>
      <c r="F327" s="70" t="inlineStr">
        <is>
          <t>Active/Updated</t>
        </is>
      </c>
      <c r="G327" s="71" t="inlineStr">
        <is>
          <t>N/A</t>
        </is>
      </c>
      <c r="H327" s="93" t="inlineStr">
        <is>
          <t>MODERATE</t>
        </is>
      </c>
      <c r="I327" s="22" t="inlineStr">
        <is>
          <t>Mandatory Enforcer</t>
        </is>
      </c>
      <c r="J327" s="87" t="inlineStr">
        <is>
          <t>https://www.gov.sa/</t>
        </is>
      </c>
    </row>
    <row r="328" ht="45" customHeight="1">
      <c r="A328" s="42" t="n">
        <v>327</v>
      </c>
      <c r="B328" s="85" t="inlineStr">
        <is>
          <t>KAIMRC-FW</t>
        </is>
      </c>
      <c r="C328" s="72" t="inlineStr">
        <is>
          <t>Research Ethics &amp; GCP Standards (ICH E6)</t>
        </is>
      </c>
      <c r="D328" s="50" t="inlineStr">
        <is>
          <t>KAIMRC</t>
        </is>
      </c>
      <c r="E328" s="70" t="inlineStr">
        <is>
          <t>2. Healthcare &amp; Life Sciences</t>
        </is>
      </c>
      <c r="F328" s="70" t="inlineStr">
        <is>
          <t>Active/Updated</t>
        </is>
      </c>
      <c r="G328" s="71" t="inlineStr">
        <is>
          <t>N/A</t>
        </is>
      </c>
      <c r="H328" s="93" t="inlineStr">
        <is>
          <t>MODERATE</t>
        </is>
      </c>
      <c r="I328" s="22" t="inlineStr">
        <is>
          <t>Mandatory Enforcer</t>
        </is>
      </c>
      <c r="J328" s="87" t="inlineStr">
        <is>
          <t>https://www.gov.sa/</t>
        </is>
      </c>
    </row>
    <row r="329" ht="45" customHeight="1">
      <c r="A329" s="42" t="n">
        <v>328</v>
      </c>
      <c r="B329" s="85" t="inlineStr">
        <is>
          <t>NGHA-FW</t>
        </is>
      </c>
      <c r="C329" s="72" t="inlineStr">
        <is>
          <t>NGHA Hospital Network Operations Standards</t>
        </is>
      </c>
      <c r="D329" s="50" t="inlineStr">
        <is>
          <t>NGHA</t>
        </is>
      </c>
      <c r="E329" s="70" t="inlineStr">
        <is>
          <t>2. Healthcare &amp; Life Sciences</t>
        </is>
      </c>
      <c r="F329" s="70" t="inlineStr">
        <is>
          <t>Active/Updated</t>
        </is>
      </c>
      <c r="G329" s="71" t="inlineStr">
        <is>
          <t>N/A</t>
        </is>
      </c>
      <c r="H329" s="93" t="inlineStr">
        <is>
          <t>MODERATE</t>
        </is>
      </c>
      <c r="I329" s="22" t="inlineStr">
        <is>
          <t>Mandatory Enforcer</t>
        </is>
      </c>
      <c r="J329" s="87" t="inlineStr">
        <is>
          <t>https://www.gov.sa/</t>
        </is>
      </c>
    </row>
    <row r="330" ht="45" customHeight="1">
      <c r="A330" s="42" t="n">
        <v>329</v>
      </c>
      <c r="B330" s="85" t="inlineStr">
        <is>
          <t>KACST-H-FW</t>
        </is>
      </c>
      <c r="C330" s="72" t="inlineStr">
        <is>
          <t>Research Ethics &amp; Governance</t>
        </is>
      </c>
      <c r="D330" s="50" t="inlineStr">
        <is>
          <t>KACST-H</t>
        </is>
      </c>
      <c r="E330" s="70" t="inlineStr">
        <is>
          <t>2. Healthcare &amp; Life Sciences</t>
        </is>
      </c>
      <c r="F330" s="70" t="inlineStr">
        <is>
          <t>Active/Updated</t>
        </is>
      </c>
      <c r="G330" s="71" t="inlineStr">
        <is>
          <t>N/A</t>
        </is>
      </c>
      <c r="H330" s="93" t="inlineStr">
        <is>
          <t>MODERATE</t>
        </is>
      </c>
      <c r="I330" s="22" t="inlineStr">
        <is>
          <t>Mandatory Enforcer</t>
        </is>
      </c>
      <c r="J330" s="87" t="inlineStr">
        <is>
          <t>https://www.gov.sa/</t>
        </is>
      </c>
    </row>
    <row r="331" ht="45" customHeight="1">
      <c r="A331" s="42" t="n">
        <v>330</v>
      </c>
      <c r="B331" s="85" t="inlineStr">
        <is>
          <t>KFSHRC-FW</t>
        </is>
      </c>
      <c r="C331" s="72" t="inlineStr">
        <is>
          <t>Clinical Policy &amp; JCI/CBAHI Quality Management</t>
        </is>
      </c>
      <c r="D331" s="50" t="inlineStr">
        <is>
          <t>KFSHRC</t>
        </is>
      </c>
      <c r="E331" s="70" t="inlineStr">
        <is>
          <t>2. Healthcare &amp; Life Sciences</t>
        </is>
      </c>
      <c r="F331" s="70" t="inlineStr">
        <is>
          <t>Active/Updated</t>
        </is>
      </c>
      <c r="G331" s="71" t="inlineStr">
        <is>
          <t>N/A</t>
        </is>
      </c>
      <c r="H331" s="93" t="inlineStr">
        <is>
          <t>MODERATE</t>
        </is>
      </c>
      <c r="I331" s="22" t="inlineStr">
        <is>
          <t>Mandatory Enforcer</t>
        </is>
      </c>
      <c r="J331" s="87" t="inlineStr">
        <is>
          <t>https://www.gov.sa/</t>
        </is>
      </c>
    </row>
    <row r="332" ht="45" customHeight="1">
      <c r="A332" s="42" t="n">
        <v>331</v>
      </c>
      <c r="B332" s="85" t="inlineStr">
        <is>
          <t>SEHA-FW</t>
        </is>
      </c>
      <c r="C332" s="72" t="inlineStr">
        <is>
          <t>Seha Telemedicine &amp; Remote IoMT Standards</t>
        </is>
      </c>
      <c r="D332" s="50" t="inlineStr">
        <is>
          <t>SEHA</t>
        </is>
      </c>
      <c r="E332" s="70" t="inlineStr">
        <is>
          <t>2. Healthcare &amp; Life Sciences</t>
        </is>
      </c>
      <c r="F332" s="70" t="inlineStr">
        <is>
          <t>Active/Updated</t>
        </is>
      </c>
      <c r="G332" s="71" t="inlineStr">
        <is>
          <t>N/A</t>
        </is>
      </c>
      <c r="H332" s="93" t="inlineStr">
        <is>
          <t>MODERATE</t>
        </is>
      </c>
      <c r="I332" s="22" t="inlineStr">
        <is>
          <t>Mandatory Enforcer</t>
        </is>
      </c>
      <c r="J332" s="87" t="inlineStr">
        <is>
          <t>https://www.gov.sa/</t>
        </is>
      </c>
    </row>
    <row r="333" ht="45" customHeight="1">
      <c r="A333" s="42" t="n">
        <v>332</v>
      </c>
      <c r="B333" s="85" t="inlineStr">
        <is>
          <t>SCEBA-FW</t>
        </is>
      </c>
      <c r="C333" s="72" t="inlineStr">
        <is>
          <t>Clinical Practice Guidelines &amp; HTA Regulations</t>
        </is>
      </c>
      <c r="D333" s="50" t="inlineStr">
        <is>
          <t>SCEBA</t>
        </is>
      </c>
      <c r="E333" s="70" t="inlineStr">
        <is>
          <t>2. Healthcare &amp; Life Sciences</t>
        </is>
      </c>
      <c r="F333" s="70" t="inlineStr">
        <is>
          <t>Active/Updated</t>
        </is>
      </c>
      <c r="G333" s="71" t="inlineStr">
        <is>
          <t>N/A</t>
        </is>
      </c>
      <c r="H333" s="93" t="inlineStr">
        <is>
          <t>MODERATE</t>
        </is>
      </c>
      <c r="I333" s="22" t="inlineStr">
        <is>
          <t>Mandatory Enforcer</t>
        </is>
      </c>
      <c r="J333" s="87" t="inlineStr">
        <is>
          <t>https://www.gov.sa/</t>
        </is>
      </c>
    </row>
    <row r="334" ht="45" customHeight="1">
      <c r="A334" s="42" t="n">
        <v>333</v>
      </c>
      <c r="B334" s="85" t="inlineStr">
        <is>
          <t>KSMC-FW</t>
        </is>
      </c>
      <c r="C334" s="72" t="inlineStr">
        <is>
          <t>Clinical Operations Policy</t>
        </is>
      </c>
      <c r="D334" s="50" t="inlineStr">
        <is>
          <t>KSMC</t>
        </is>
      </c>
      <c r="E334" s="70" t="inlineStr">
        <is>
          <t>2. Healthcare &amp; Life Sciences</t>
        </is>
      </c>
      <c r="F334" s="70" t="inlineStr">
        <is>
          <t>Active/Updated</t>
        </is>
      </c>
      <c r="G334" s="71" t="inlineStr">
        <is>
          <t>N/A</t>
        </is>
      </c>
      <c r="H334" s="93" t="inlineStr">
        <is>
          <t>MODERATE</t>
        </is>
      </c>
      <c r="I334" s="22" t="inlineStr">
        <is>
          <t>Mandatory Enforcer</t>
        </is>
      </c>
      <c r="J334" s="87" t="inlineStr">
        <is>
          <t>https://www.gov.sa/</t>
        </is>
      </c>
    </row>
    <row r="335" ht="45" customHeight="1">
      <c r="A335" s="42" t="n">
        <v>334</v>
      </c>
      <c r="B335" s="85" t="inlineStr">
        <is>
          <t>MNGHA-FW</t>
        </is>
      </c>
      <c r="C335" s="72" t="inlineStr">
        <is>
          <t>NGHA Facilities Operations Standards</t>
        </is>
      </c>
      <c r="D335" s="50" t="inlineStr">
        <is>
          <t>MNGHA</t>
        </is>
      </c>
      <c r="E335" s="70" t="inlineStr">
        <is>
          <t>2. Healthcare &amp; Life Sciences</t>
        </is>
      </c>
      <c r="F335" s="70" t="inlineStr">
        <is>
          <t>Active/Updated</t>
        </is>
      </c>
      <c r="G335" s="71" t="inlineStr">
        <is>
          <t>N/A</t>
        </is>
      </c>
      <c r="H335" s="93" t="inlineStr">
        <is>
          <t>MODERATE</t>
        </is>
      </c>
      <c r="I335" s="22" t="inlineStr">
        <is>
          <t>Mandatory Enforcer</t>
        </is>
      </c>
      <c r="J335" s="87" t="inlineStr">
        <is>
          <t>https://www.gov.sa/</t>
        </is>
      </c>
    </row>
    <row r="336" ht="45" customHeight="1">
      <c r="A336" s="42" t="n">
        <v>335</v>
      </c>
      <c r="B336" s="390" t="inlineStr">
        <is>
          <t>COM-FW</t>
        </is>
      </c>
      <c r="C336" s="392" t="inlineStr">
        <is>
          <t>Royal Decrees &amp; CoM Resolutions</t>
        </is>
      </c>
      <c r="D336" s="425" t="inlineStr">
        <is>
          <t>COM</t>
        </is>
      </c>
      <c r="E336" s="391" t="inlineStr">
        <is>
          <t>16. Councils &amp; Supreme Committees</t>
        </is>
      </c>
      <c r="F336" s="391" t="inlineStr">
        <is>
          <t>Active/Updated</t>
        </is>
      </c>
      <c r="G336" s="393" t="inlineStr">
        <is>
          <t>N/A</t>
        </is>
      </c>
      <c r="H336" s="394" t="inlineStr">
        <is>
          <t>MODERATE</t>
        </is>
      </c>
      <c r="I336" s="22" t="inlineStr">
        <is>
          <t>Mandatory Enforcer</t>
        </is>
      </c>
      <c r="J336" s="395" t="inlineStr">
        <is>
          <t>https://www.gov.sa/</t>
        </is>
      </c>
    </row>
    <row r="337" ht="45" customHeight="1">
      <c r="A337" s="42" t="n">
        <v>336</v>
      </c>
      <c r="B337" s="390" t="inlineStr">
        <is>
          <t>SHURA-FW</t>
        </is>
      </c>
      <c r="C337" s="392" t="inlineStr">
        <is>
          <t>Legislative Review Process</t>
        </is>
      </c>
      <c r="D337" s="425" t="inlineStr">
        <is>
          <t>SHURA</t>
        </is>
      </c>
      <c r="E337" s="391" t="inlineStr">
        <is>
          <t>16. Councils &amp; Supreme Committees</t>
        </is>
      </c>
      <c r="F337" s="391" t="inlineStr">
        <is>
          <t>Active/Updated</t>
        </is>
      </c>
      <c r="G337" s="393" t="inlineStr">
        <is>
          <t>N/A</t>
        </is>
      </c>
      <c r="H337" s="394" t="inlineStr">
        <is>
          <t>MODERATE</t>
        </is>
      </c>
      <c r="I337" s="22" t="inlineStr">
        <is>
          <t>Mandatory Enforcer</t>
        </is>
      </c>
      <c r="J337" s="395" t="inlineStr">
        <is>
          <t>https://www.gov.sa/</t>
        </is>
      </c>
    </row>
    <row r="338" ht="45" customHeight="1">
      <c r="A338" s="42" t="n">
        <v>337</v>
      </c>
      <c r="B338" s="390" t="inlineStr">
        <is>
          <t>V2030-FW</t>
        </is>
      </c>
      <c r="C338" s="392" t="inlineStr">
        <is>
          <t>Vision 2030 Framework &amp; Programmes</t>
        </is>
      </c>
      <c r="D338" s="425" t="inlineStr">
        <is>
          <t>V2030</t>
        </is>
      </c>
      <c r="E338" s="391" t="inlineStr">
        <is>
          <t>16. Councils &amp; Supreme Committees</t>
        </is>
      </c>
      <c r="F338" s="391" t="inlineStr">
        <is>
          <t>Active/Updated</t>
        </is>
      </c>
      <c r="G338" s="393" t="inlineStr">
        <is>
          <t>N/A</t>
        </is>
      </c>
      <c r="H338" s="394" t="inlineStr">
        <is>
          <t>MODERATE</t>
        </is>
      </c>
      <c r="I338" s="22" t="inlineStr">
        <is>
          <t>Mandatory Enforcer</t>
        </is>
      </c>
      <c r="J338" s="395" t="inlineStr">
        <is>
          <t>https://www.gov.sa/</t>
        </is>
      </c>
    </row>
    <row r="339" ht="45" customHeight="1">
      <c r="A339" s="42" t="n">
        <v>338</v>
      </c>
      <c r="B339" s="390" t="inlineStr">
        <is>
          <t>SBC-FW</t>
        </is>
      </c>
      <c r="C339" s="392" t="inlineStr">
        <is>
          <t>Business Registration &amp; Licensing Standards</t>
        </is>
      </c>
      <c r="D339" s="425" t="inlineStr">
        <is>
          <t>SBC</t>
        </is>
      </c>
      <c r="E339" s="391" t="inlineStr">
        <is>
          <t>16. Councils &amp; Supreme Committees</t>
        </is>
      </c>
      <c r="F339" s="391" t="inlineStr">
        <is>
          <t>Active/Updated</t>
        </is>
      </c>
      <c r="G339" s="393" t="inlineStr">
        <is>
          <t>N/A</t>
        </is>
      </c>
      <c r="H339" s="394" t="inlineStr">
        <is>
          <t>MODERATE</t>
        </is>
      </c>
      <c r="I339" s="22" t="inlineStr">
        <is>
          <t>Mandatory Enforcer</t>
        </is>
      </c>
      <c r="J339" s="395" t="inlineStr">
        <is>
          <t>https://www.gov.sa/</t>
        </is>
      </c>
    </row>
  </sheetData>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G191"/>
  <sheetViews>
    <sheetView zoomScaleNormal="100" workbookViewId="0">
      <pane ySplit="1" topLeftCell="A2" activePane="bottomLeft" state="frozen"/>
      <selection pane="bottomLeft" activeCell="A1" sqref="A1"/>
    </sheetView>
  </sheetViews>
  <sheetFormatPr baseColWidth="8" defaultColWidth="8.6640625" defaultRowHeight="14.25"/>
  <cols>
    <col width="20" customWidth="1" min="1" max="1"/>
    <col width="42" customWidth="1" min="2" max="2"/>
    <col width="32" customWidth="1" min="3" max="3"/>
    <col width="65" customWidth="1" min="4" max="4"/>
    <col width="28" customWidth="1" min="5" max="5"/>
    <col width="26" customWidth="1" min="6" max="6"/>
    <col width="28" customWidth="1" min="7" max="7"/>
  </cols>
  <sheetData>
    <row r="1" ht="15" customHeight="1">
      <c r="A1" s="5" t="inlineStr">
        <is>
          <t>Framework Code</t>
        </is>
      </c>
      <c r="B1" s="5" t="inlineStr">
        <is>
          <t>Framework Name</t>
        </is>
      </c>
      <c r="C1" s="5" t="inlineStr">
        <is>
          <t>All Versions (Chronological)</t>
        </is>
      </c>
      <c r="D1" s="5" t="inlineStr">
        <is>
          <t>Key Changes Summary</t>
        </is>
      </c>
      <c r="E1" s="5" t="inlineStr">
        <is>
          <t>Enforcement / Effective Date</t>
        </is>
      </c>
      <c r="F1" s="5" t="inlineStr">
        <is>
          <t>Next Review</t>
        </is>
      </c>
      <c r="G1" s="5" t="inlineStr">
        <is>
          <t>Current Status</t>
        </is>
      </c>
    </row>
    <row r="2" ht="49.5" customHeight="1">
      <c r="A2" s="426" t="inlineStr">
        <is>
          <t>AMAALA-FW</t>
        </is>
      </c>
      <c r="B2" s="45" t="inlineStr">
        <is>
          <t>Wellness &amp; Health Tourism Standards</t>
        </is>
      </c>
      <c r="C2" s="44" t="inlineStr">
        <is>
          <t>See official source for version history</t>
        </is>
      </c>
      <c r="D2" s="44" t="inlineStr">
        <is>
          <t>Framework issued by the relevant authority. Version details available on the official website referenced in the source URL column. The framework has been updated periodically since first issuance.</t>
        </is>
      </c>
      <c r="E2" s="46" t="inlineStr">
        <is>
          <t>See official source</t>
        </is>
      </c>
      <c r="F2" s="44" t="inlineStr">
        <is>
          <t>Updated as needed by the issuing authority</t>
        </is>
      </c>
      <c r="G2" s="25" t="inlineStr">
        <is>
          <t>CURRENT — consult official source for latest version</t>
        </is>
      </c>
    </row>
    <row r="3" ht="49.5" customHeight="1">
      <c r="A3" s="427" t="inlineStr">
        <is>
          <t>BOE-FW</t>
        </is>
      </c>
      <c r="B3" s="428" t="inlineStr">
        <is>
          <t>Legal Drafting Regulations</t>
        </is>
      </c>
      <c r="C3" s="429" t="inlineStr">
        <is>
          <t>See official source for version history</t>
        </is>
      </c>
      <c r="D3" s="429" t="inlineStr">
        <is>
          <t>Framework issued by the relevant authority. Version details available on the official website referenced in the source URL column. The framework has been updated periodically since first issuance.</t>
        </is>
      </c>
      <c r="E3" s="430" t="inlineStr">
        <is>
          <t>See official source</t>
        </is>
      </c>
      <c r="F3" s="429" t="inlineStr">
        <is>
          <t>Updated as needed by the issuing authority</t>
        </is>
      </c>
      <c r="G3" s="25" t="inlineStr">
        <is>
          <t>CURRENT — consult official source for latest version</t>
        </is>
      </c>
    </row>
    <row r="4" ht="49.5" customHeight="1">
      <c r="A4" s="426" t="inlineStr">
        <is>
          <t>CBAHI-HAS-AMB</t>
        </is>
      </c>
      <c r="B4" s="45" t="inlineStr">
        <is>
          <t>Ambulatory Care Standards</t>
        </is>
      </c>
      <c r="C4" s="44" t="inlineStr">
        <is>
          <t>1st Ed 2015 → 2nd Ed 2019</t>
        </is>
      </c>
      <c r="D4" s="44" t="inlineStr">
        <is>
          <t>2nd Edition (2019): 75 standards for outpatient and ambulatory care centres. Covers same-day surgery, endoscopy, dialysis, chemotherapy, physiotherapy. IoMT: remote monitoring post-procedure; wearable sensor integration for dialysis patients</t>
        </is>
      </c>
      <c r="E4" s="46" t="inlineStr">
        <is>
          <t>1st: 2015. 2nd: 2019</t>
        </is>
      </c>
      <c r="F4" s="44" t="inlineStr">
        <is>
          <t>3rd Edition expected 2024</t>
        </is>
      </c>
      <c r="G4" s="25" t="inlineStr">
        <is>
          <t>CURRENT — 2nd Edition 2019</t>
        </is>
      </c>
    </row>
    <row r="5" ht="49.5" customHeight="1">
      <c r="A5" s="427" t="inlineStr">
        <is>
          <t>CBAHI-HAS-H</t>
        </is>
      </c>
      <c r="B5" s="428" t="inlineStr">
        <is>
          <t>Hospital Accreditation Standards (5th Ed.)</t>
        </is>
      </c>
      <c r="C5" s="429" t="inlineStr">
        <is>
          <t>1st Ed 2008 → 2nd Ed 2011 → 3rd Ed 2014 → 4th Ed 2017 → 5th Ed 2021</t>
        </is>
      </c>
      <c r="D5" s="429" t="inlineStr">
        <is>
          <t>5th Edition (2021, current): 298 standards across domains including Patient and Family Rights, Patient Assessment, Care of Patients, Patient Safety, Medication Management, Infection Prevention, Facility Management, Staff Qualifications, Quality Improvement, Governance, HIT (Health Information Technology). HIT standards require EMR, NABIDH connectivity, access control, audit trails, downtime procedures. IoMT requirements added in 5th Ed: medical device integration standards, alarm management policy. Benchmarked against JCI standards</t>
        </is>
      </c>
      <c r="E5" s="430" t="inlineStr">
        <is>
          <t>1st Ed: 2008. 2nd: 2011. 3rd: 2014. 4th: 2017. 5th: 2021</t>
        </is>
      </c>
      <c r="F5" s="429" t="inlineStr">
        <is>
          <t>6th Edition expected 2025-2026</t>
        </is>
      </c>
      <c r="G5" s="25" t="inlineStr">
        <is>
          <t>CURRENT — 5th Edition 2021</t>
        </is>
      </c>
    </row>
    <row r="6" ht="49.5" customHeight="1">
      <c r="A6" s="426" t="inlineStr">
        <is>
          <t>CBAHI-HAS-LAB</t>
        </is>
      </c>
      <c r="B6" s="45" t="inlineStr">
        <is>
          <t>Laboratory Accreditation Standards</t>
        </is>
      </c>
      <c r="C6" s="44" t="inlineStr">
        <is>
          <t>1st Ed 2012 → 2nd Ed 2019</t>
        </is>
      </c>
      <c r="D6" s="44" t="inlineStr">
        <is>
          <t>2nd Edition (2019): 80 standards for clinical laboratories. Aligned with ISO 15189 and ISO 17025. Covers pre-analytical, analytical, post-analytical phases; quality management; proficiency testing; biosafety; result reporting (including critical values); LIS integration requirements for NABIDH</t>
        </is>
      </c>
      <c r="E6" s="46" t="inlineStr">
        <is>
          <t>1st: 2012. 2nd: 2019</t>
        </is>
      </c>
      <c r="F6" s="44" t="inlineStr">
        <is>
          <t>3rd Edition expected 2024</t>
        </is>
      </c>
      <c r="G6" s="25" t="inlineStr">
        <is>
          <t>CURRENT — 2nd Edition 2019</t>
        </is>
      </c>
    </row>
    <row r="7" ht="49.5" customHeight="1">
      <c r="A7" s="427" t="inlineStr">
        <is>
          <t>CBAHI-HAS-LTC</t>
        </is>
      </c>
      <c r="B7" s="428" t="inlineStr">
        <is>
          <t>Long-Term Care Standards</t>
        </is>
      </c>
      <c r="C7" s="429" t="inlineStr">
        <is>
          <t>1st Ed 2018 (First issue)</t>
        </is>
      </c>
      <c r="D7" s="429" t="inlineStr">
        <is>
          <t>First dedicated long-term care accreditation standards in KSA. 90 standards covering care planning, activities of daily living, dementia care, palliative care, medication management, safety (falls, pressure injuries), infection control, staff competencies. IoMT: remote monitoring requirements for high-dependency residents; fall detection sensor standards</t>
        </is>
      </c>
      <c r="E7" s="430" t="inlineStr">
        <is>
          <t>1st Ed: 2018</t>
        </is>
      </c>
      <c r="F7" s="429" t="inlineStr">
        <is>
          <t>2nd Edition expected 2024-2025</t>
        </is>
      </c>
      <c r="G7" s="25" t="inlineStr">
        <is>
          <t>CURRENT — 1st Edition 2018</t>
        </is>
      </c>
    </row>
    <row r="8" ht="49.5" customHeight="1">
      <c r="A8" s="426" t="inlineStr">
        <is>
          <t>CBAHI-HAS-PHC</t>
        </is>
      </c>
      <c r="B8" s="45" t="inlineStr">
        <is>
          <t>Primary Health Care Accreditation Standards</t>
        </is>
      </c>
      <c r="C8" s="44" t="inlineStr">
        <is>
          <t>1st Ed 2010 → 2nd Ed 2015 → 3rd Ed 2020</t>
        </is>
      </c>
      <c r="D8" s="44" t="inlineStr">
        <is>
          <t>3rd Edition (2020): 145 standards for PHC centres. Covers chronic disease management (diabetes, hypertension), preventive services, family medicine, mental health services, pharmacy, infection control, records management. IoMT: remote patient monitoring for chronic disease management; telemedicine integration requirements aligned with MOH-TELE</t>
        </is>
      </c>
      <c r="E8" s="46" t="inlineStr">
        <is>
          <t>1st: 2010. 2nd: 2015. 3rd: 2020</t>
        </is>
      </c>
      <c r="F8" s="44" t="inlineStr">
        <is>
          <t>4th Edition expected 2024-2025</t>
        </is>
      </c>
      <c r="G8" s="25" t="inlineStr">
        <is>
          <t>CURRENT — 3rd Edition 2020</t>
        </is>
      </c>
    </row>
    <row r="9" ht="49.5" customHeight="1">
      <c r="A9" s="427" t="inlineStr">
        <is>
          <t>CCC-1:2020</t>
        </is>
      </c>
      <c r="B9" s="428" t="inlineStr">
        <is>
          <t>Cloud Cybersecurity Controls</t>
        </is>
      </c>
      <c r="C9" s="429" t="inlineStr">
        <is>
          <t>CCC-1:2020 (First issue); CCC-2 consultation noted 2024/2025</t>
        </is>
      </c>
      <c r="D9" s="429" t="inlineStr">
        <is>
          <t>v1 (2020): 67 controls, 4 domains, 24 sub-domains. Covers CSP and CST obligations. Extends ECC-1:2018 for cloud environments. CSTs must comply with both ECC and CCC. CCC-2 draft noted in 2024/2025 adding edge computing and data localisation controls</t>
        </is>
      </c>
      <c r="E9" s="430" t="inlineStr">
        <is>
          <t>CCC-1:2020 mandatory for cloud users/providers since 2020. CCC-2 under consultation 2024-2025</t>
        </is>
      </c>
      <c r="F9" s="429" t="inlineStr">
        <is>
          <t>CCC-2 expected to replace CCC-1 post-consultation</t>
        </is>
      </c>
      <c r="G9" s="25" t="inlineStr">
        <is>
          <t>CURRENT — CCC-1:2020. CCC-2 in consultation</t>
        </is>
      </c>
    </row>
    <row r="10" ht="49.5" customHeight="1">
      <c r="A10" s="426" t="inlineStr">
        <is>
          <t>CCHI-DCS</t>
        </is>
      </c>
      <c r="B10" s="45" t="inlineStr">
        <is>
          <t>Digital Claims Processing Standards</t>
        </is>
      </c>
      <c r="C10" s="44" t="inlineStr">
        <is>
          <t>Mandatory digital claims 2024-2025 (First issue)</t>
        </is>
      </c>
      <c r="D10" s="44" t="inlineStr">
        <is>
          <t>End-to-end digital claims processing requirement. Phase 1 (2024): e-submission mandatory for major insurers (&gt;50,000 covered lives). Phase 2 (2025): all insurers. Requirements: CCHI-standard JSON/XML claims format; 48-hour claims acknowledgement; 15-day clean claims payment; NABIDH integration for clinical data validation; real-time claims status visibility; audit trail for all claim decisions</t>
        </is>
      </c>
      <c r="E10" s="46" t="inlineStr">
        <is>
          <t>Phase 1: 2024. Phase 2: 2025</t>
        </is>
      </c>
      <c r="F10" s="44" t="inlineStr">
        <is>
          <t>Annual update</t>
        </is>
      </c>
      <c r="G10" s="25" t="inlineStr">
        <is>
          <t>CURRENT — phased rollout 2024-2025</t>
        </is>
      </c>
    </row>
    <row r="11" ht="49.5" customHeight="1">
      <c r="A11" s="427" t="inlineStr">
        <is>
          <t>CCHI-HIR</t>
        </is>
      </c>
      <c r="B11" s="428" t="inlineStr">
        <is>
          <t>Cooperative Health Insurance Law &amp; Regulations</t>
        </is>
      </c>
      <c r="C11" s="429" t="inlineStr">
        <is>
          <t>Royal Decree M/10 1999 → major updates 2006, 2012, 2020, 2024</t>
        </is>
      </c>
      <c r="D11" s="429" t="inlineStr">
        <is>
          <t>1999 (establishment): mandatory health insurance for expat workers. 2006: expanded to all private sector employees. 2012: new insurance products approved. 2020: mental health coverage mandated (first time). 2024: major update — chronic disease management coverage expanded; digital health services coverage (telemedicine, remote monitoring reimbursement); mandatory e-prior authorisation; employer penalties for non-compliance strengthened; universal health insurance roadmap integration</t>
        </is>
      </c>
      <c r="E11" s="430" t="inlineStr">
        <is>
          <t>Established: 1999. Major updates: 2006, 2012, 2020, 2024</t>
        </is>
      </c>
      <c r="F11" s="429" t="inlineStr">
        <is>
          <t>Biennial review; NHI integration updates annually</t>
        </is>
      </c>
      <c r="G11" s="25" t="inlineStr">
        <is>
          <t>CURRENT — 2024 version</t>
        </is>
      </c>
    </row>
    <row r="12" ht="49.5" customHeight="1">
      <c r="A12" s="426" t="inlineStr">
        <is>
          <t>CCHI-INSLIC</t>
        </is>
      </c>
      <c r="B12" s="45" t="inlineStr">
        <is>
          <t>Health Insurance Licensing Requirements</t>
        </is>
      </c>
      <c r="C12" s="44" t="inlineStr">
        <is>
          <t>See official source for version history</t>
        </is>
      </c>
      <c r="D12" s="44" t="inlineStr">
        <is>
          <t>Framework issued by the relevant authority. Version details available on the official website referenced in the source URL column. The framework has been updated periodically since first issuance.</t>
        </is>
      </c>
      <c r="E12" s="46" t="inlineStr">
        <is>
          <t>See official source</t>
        </is>
      </c>
      <c r="F12" s="44" t="inlineStr">
        <is>
          <t>Updated as needed by the issuing authority</t>
        </is>
      </c>
      <c r="G12" s="25" t="inlineStr">
        <is>
          <t>CURRENT — consult official source for latest version</t>
        </is>
      </c>
    </row>
    <row r="13" ht="49.5" customHeight="1">
      <c r="A13" s="427" t="inlineStr">
        <is>
          <t>CCHI-PROVNET</t>
        </is>
      </c>
      <c r="B13" s="428" t="inlineStr">
        <is>
          <t>Provider Network Standards</t>
        </is>
      </c>
      <c r="C13" s="429" t="inlineStr">
        <is>
          <t>See official source for version history</t>
        </is>
      </c>
      <c r="D13" s="429" t="inlineStr">
        <is>
          <t>Framework issued by the relevant authority. Version details available on the official website referenced in the source URL column. The framework has been updated periodically since first issuance.</t>
        </is>
      </c>
      <c r="E13" s="430" t="inlineStr">
        <is>
          <t>See official source</t>
        </is>
      </c>
      <c r="F13" s="429" t="inlineStr">
        <is>
          <t>Updated as needed by the issuing authority</t>
        </is>
      </c>
      <c r="G13" s="25" t="inlineStr">
        <is>
          <t>CURRENT — consult official source for latest version</t>
        </is>
      </c>
    </row>
    <row r="14" ht="49.5" customHeight="1">
      <c r="A14" s="426" t="inlineStr">
        <is>
          <t>CCHI-UBP</t>
        </is>
      </c>
      <c r="B14" s="45" t="inlineStr">
        <is>
          <t>Unified Health Benefits Package</t>
        </is>
      </c>
      <c r="C14" s="44" t="inlineStr">
        <is>
          <t>First UBP 2018 → expanded 2022 → major expansion 2024-2025</t>
        </is>
      </c>
      <c r="D14" s="44" t="inlineStr">
        <is>
          <t>2018 (first): basic coverage package for expat workers. 2022: expanded to include mental health (inpatient + 12 outpatient sessions); physiotherapy. 2024-2025: major expansion — fertility treatment; hearing aids; advanced cancer therapy; telemedicine reimbursement; remote patient monitoring for chronic disease; AI-assisted diagnosis coverage (first-in-region). Unified across all insurers — providers must deliver all UBP services</t>
        </is>
      </c>
      <c r="E14" s="46" t="inlineStr">
        <is>
          <t>First: 2018. Updated: 2022, 2024-2025</t>
        </is>
      </c>
      <c r="F14" s="44" t="inlineStr">
        <is>
          <t>Annual update aligned with actuarial review</t>
        </is>
      </c>
      <c r="G14" s="25" t="inlineStr">
        <is>
          <t>CURRENT — 2024-2025 expanded version</t>
        </is>
      </c>
    </row>
    <row r="15" ht="49.5" customHeight="1">
      <c r="A15" s="427" t="inlineStr">
        <is>
          <t>CMA-CGR</t>
        </is>
      </c>
      <c r="B15" s="428" t="inlineStr">
        <is>
          <t>Corporate Governance Regulations</t>
        </is>
      </c>
      <c r="C15" s="429" t="inlineStr">
        <is>
          <t>First 2006 → revised 2017 → updated 2023</t>
        </is>
      </c>
      <c r="D15" s="429" t="inlineStr">
        <is>
          <t>2006 (first). 2017 (revised): board independence requirements; audit committee mandatory; related party transaction rules. 2023 update: ESG reporting requirements; cybersecurity risk disclosure required in annual report; AI governance disclosure for listed tech companies; health sector: hospital holding companies must disclose cyber incidents material to operations; board-level cybersecurity oversight required</t>
        </is>
      </c>
      <c r="E15" s="430" t="inlineStr">
        <is>
          <t>First: 2006. Revised: 2017. Updated: 2023</t>
        </is>
      </c>
      <c r="F15" s="429" t="inlineStr">
        <is>
          <t>Review 2025</t>
        </is>
      </c>
      <c r="G15" s="25" t="inlineStr">
        <is>
          <t>CURRENT — 2023 version</t>
        </is>
      </c>
    </row>
    <row r="16" ht="49.5" customHeight="1">
      <c r="A16" s="426" t="inlineStr">
        <is>
          <t>CMA-CML</t>
        </is>
      </c>
      <c r="B16" s="45" t="inlineStr">
        <is>
          <t>Capital Market Law</t>
        </is>
      </c>
      <c r="C16" s="44" t="inlineStr">
        <is>
          <t>See official source for version history</t>
        </is>
      </c>
      <c r="D16" s="44" t="inlineStr">
        <is>
          <t>Framework issued by the relevant authority. Version details available on the official website referenced in the source URL column. The framework has been updated periodically since first issuance.</t>
        </is>
      </c>
      <c r="E16" s="46" t="inlineStr">
        <is>
          <t>See official source</t>
        </is>
      </c>
      <c r="F16" s="44" t="inlineStr">
        <is>
          <t>Updated as needed by the issuing authority</t>
        </is>
      </c>
      <c r="G16" s="25" t="inlineStr">
        <is>
          <t>CURRENT — consult official source for latest version</t>
        </is>
      </c>
    </row>
    <row r="17" ht="49.5" customHeight="1">
      <c r="A17" s="427" t="inlineStr">
        <is>
          <t>CMA-IFR</t>
        </is>
      </c>
      <c r="B17" s="428" t="inlineStr">
        <is>
          <t>Investment Fund Regulations</t>
        </is>
      </c>
      <c r="C17" s="429" t="inlineStr">
        <is>
          <t>See official source for version history</t>
        </is>
      </c>
      <c r="D17" s="429" t="inlineStr">
        <is>
          <t>Framework issued by the relevant authority. Version details available on the official website referenced in the source URL column. The framework has been updated periodically since first issuance.</t>
        </is>
      </c>
      <c r="E17" s="430" t="inlineStr">
        <is>
          <t>See official source</t>
        </is>
      </c>
      <c r="F17" s="429" t="inlineStr">
        <is>
          <t>Updated as needed by the issuing authority</t>
        </is>
      </c>
      <c r="G17" s="25" t="inlineStr">
        <is>
          <t>CURRENT — consult official source for latest version</t>
        </is>
      </c>
    </row>
    <row r="18" ht="49.5" customHeight="1">
      <c r="A18" s="426" t="inlineStr">
        <is>
          <t>CMA-LR</t>
        </is>
      </c>
      <c r="B18" s="45" t="inlineStr">
        <is>
          <t>Listing Rules</t>
        </is>
      </c>
      <c r="C18" s="44" t="inlineStr">
        <is>
          <t>See official source for version history</t>
        </is>
      </c>
      <c r="D18" s="44" t="inlineStr">
        <is>
          <t>Framework issued by the relevant authority. Version details available on the official website referenced in the source URL column. The framework has been updated periodically since first issuance.</t>
        </is>
      </c>
      <c r="E18" s="46" t="inlineStr">
        <is>
          <t>See official source</t>
        </is>
      </c>
      <c r="F18" s="44" t="inlineStr">
        <is>
          <t>Updated as needed by the issuing authority</t>
        </is>
      </c>
      <c r="G18" s="25" t="inlineStr">
        <is>
          <t>CURRENT — consult official source for latest version</t>
        </is>
      </c>
    </row>
    <row r="19" ht="49.5" customHeight="1">
      <c r="A19" s="427" t="inlineStr">
        <is>
          <t>COM-FW</t>
        </is>
      </c>
      <c r="B19" s="428" t="inlineStr">
        <is>
          <t>Royal Decrees &amp; CoM Resolutions</t>
        </is>
      </c>
      <c r="C19" s="429" t="inlineStr">
        <is>
          <t>See official source for version history</t>
        </is>
      </c>
      <c r="D19" s="429" t="inlineStr">
        <is>
          <t>Framework issued by the relevant authority. Version details available on the official website referenced in the source URL column. The framework has been updated periodically since first issuance.</t>
        </is>
      </c>
      <c r="E19" s="430" t="inlineStr">
        <is>
          <t>See official source</t>
        </is>
      </c>
      <c r="F19" s="429" t="inlineStr">
        <is>
          <t>Updated as needed by the issuing authority</t>
        </is>
      </c>
      <c r="G19" s="25" t="inlineStr">
        <is>
          <t>CURRENT — consult official source for latest version</t>
        </is>
      </c>
    </row>
    <row r="20" ht="49.5" customHeight="1">
      <c r="A20" s="426" t="inlineStr">
        <is>
          <t>CSCC-1:2019</t>
        </is>
      </c>
      <c r="B20" s="45" t="inlineStr">
        <is>
          <t>Critical Systems Cybersecurity Controls</t>
        </is>
      </c>
      <c r="C20" s="44" t="inlineStr">
        <is>
          <t>CSCC-1:2019 (First issue)</t>
        </is>
      </c>
      <c r="D20" s="44" t="inlineStr">
        <is>
          <t>32 main controls / 73 sub-controls extending ECC for critical systems. Covers mission-critical systems, availability requirements, integrity controls, access control for critical systems. Hospital core infrastructure (EMR servers, imaging systems, life support networks) qualifies</t>
        </is>
      </c>
      <c r="E20" s="46" t="inlineStr">
        <is>
          <t>Issued: 2019. Mandatory for entities with critical national systems</t>
        </is>
      </c>
      <c r="F20" s="44" t="inlineStr">
        <is>
          <t>Review expected 2025</t>
        </is>
      </c>
      <c r="G20" s="25" t="inlineStr">
        <is>
          <t>CURRENT — first and only version; update expected</t>
        </is>
      </c>
    </row>
    <row r="21" ht="49.5" customHeight="1">
      <c r="A21" s="427" t="inlineStr">
        <is>
          <t>CST-CCR</t>
        </is>
      </c>
      <c r="B21" s="428" t="inlineStr">
        <is>
          <t>Cloud Computing Regulatory Framework</t>
        </is>
      </c>
      <c r="C21" s="429" t="inlineStr">
        <is>
          <t>First ~2018 → major update 2023 with Cloud Special Economic Zone</t>
        </is>
      </c>
      <c r="D21" s="429" t="inlineStr">
        <is>
          <t>2018 (first): basic cloud computing licensing framework. 2020: security requirements aligned with NCA CCC. 2022: data localisation requirements (government data must remain in KSA). 2023 (major update): Cloud Computing Special Economic Zone established (May 2023 by Economic Cities and Special Zones Authority); cloud provider licensing tiers (Class A, B, C); specific requirements for health cloud providers (Class A = highest security); enhanced sovereignty requirements for sensitive data</t>
        </is>
      </c>
      <c r="E21" s="430" t="inlineStr">
        <is>
          <t>First: ~2018. Major update: 2023</t>
        </is>
      </c>
      <c r="F21" s="429" t="inlineStr">
        <is>
          <t>Cloud SEZ regulations still evolving; 2025 update expected</t>
        </is>
      </c>
      <c r="G21" s="25" t="inlineStr">
        <is>
          <t>CURRENT — 2023 version with SEZ provisions</t>
        </is>
      </c>
    </row>
    <row r="22" ht="49.5" customHeight="1">
      <c r="A22" s="426" t="inlineStr">
        <is>
          <t>CST-CSRF</t>
        </is>
      </c>
      <c r="B22" s="45" t="inlineStr">
        <is>
          <t>Cybersecurity Regulatory Framework for ICT</t>
        </is>
      </c>
      <c r="C22" s="44" t="inlineStr">
        <is>
          <t>See official source for version history</t>
        </is>
      </c>
      <c r="D22" s="44" t="inlineStr">
        <is>
          <t>Framework issued by the relevant authority. Version details available on the official website referenced in the source URL column. The framework has been updated periodically since first issuance.</t>
        </is>
      </c>
      <c r="E22" s="46" t="inlineStr">
        <is>
          <t>See official source</t>
        </is>
      </c>
      <c r="F22" s="44" t="inlineStr">
        <is>
          <t>Updated as needed by the issuing authority</t>
        </is>
      </c>
      <c r="G22" s="25" t="inlineStr">
        <is>
          <t>CURRENT — consult official source for latest version</t>
        </is>
      </c>
    </row>
    <row r="23" ht="49.5" customHeight="1">
      <c r="A23" s="427" t="inlineStr">
        <is>
          <t>CST-CYBER-OPS</t>
        </is>
      </c>
      <c r="B23" s="428" t="inlineStr">
        <is>
          <t>Cybersecurity Operations Regulations (ICT)</t>
        </is>
      </c>
      <c r="C23" s="429" t="inlineStr">
        <is>
          <t>See official source for version history</t>
        </is>
      </c>
      <c r="D23" s="429" t="inlineStr">
        <is>
          <t>Framework issued by the relevant authority. Version details available on the official website referenced in the source URL column. The framework has been updated periodically since first issuance.</t>
        </is>
      </c>
      <c r="E23" s="430" t="inlineStr">
        <is>
          <t>See official source</t>
        </is>
      </c>
      <c r="F23" s="429" t="inlineStr">
        <is>
          <t>Updated as needed by the issuing authority</t>
        </is>
      </c>
      <c r="G23" s="25" t="inlineStr">
        <is>
          <t>CURRENT — consult official source for latest version</t>
        </is>
      </c>
    </row>
    <row r="24" ht="49.5" customHeight="1">
      <c r="A24" s="426" t="inlineStr">
        <is>
          <t>CST-DCS</t>
        </is>
      </c>
      <c r="B24" s="45" t="inlineStr">
        <is>
          <t>Data Center Services Regulations</t>
        </is>
      </c>
      <c r="C24" s="44" t="inlineStr">
        <is>
          <t>Issued 2024 (First dedicated data center regulation)</t>
        </is>
      </c>
      <c r="D24" s="44" t="inlineStr">
        <is>
          <t>First dedicated data center services licensing regulation in KSA. Requirements: physical security (CCTV, access control, biometric); redundant power (N+2 minimum); connectivity (multiple ISPs); cooling standards; fire suppression; environmental monitoring; geographic distribution requirements; health data centers must meet highest tier requirements. Aligns with Uptime Institute Tier III/IV standards</t>
        </is>
      </c>
      <c r="E24" s="46" t="inlineStr">
        <is>
          <t>Issued: 2024</t>
        </is>
      </c>
      <c r="F24" s="44" t="inlineStr">
        <is>
          <t>Review 2026</t>
        </is>
      </c>
      <c r="G24" s="25" t="inlineStr">
        <is>
          <t>CURRENT — 2024</t>
        </is>
      </c>
    </row>
    <row r="25" ht="49.5" customHeight="1">
      <c r="A25" s="427" t="inlineStr">
        <is>
          <t>CST-DPS</t>
        </is>
      </c>
      <c r="B25" s="428" t="inlineStr">
        <is>
          <t>Digital Platform Services Regulations</t>
        </is>
      </c>
      <c r="C25" s="429" t="inlineStr">
        <is>
          <t>Issued Oct 2024 (First comprehensive version)</t>
        </is>
      </c>
      <c r="D25" s="429" t="inlineStr">
        <is>
          <t>Regulations for digital content platform services (streaming, social media, user-generated content). Covers: platform licensing; content moderation obligations; data localisation; user data protection (aligned with PDPL); transparency reporting; algorithmic accountability. Healthcare application: health information platforms, patient community apps, AI health chatbots as digital content services</t>
        </is>
      </c>
      <c r="E25" s="430" t="inlineStr">
        <is>
          <t>Issued: Oct 2024</t>
        </is>
      </c>
      <c r="F25" s="429" t="inlineStr">
        <is>
          <t>Review 2026</t>
        </is>
      </c>
      <c r="G25" s="25" t="inlineStr">
        <is>
          <t>CURRENT — Oct 2024 version</t>
        </is>
      </c>
    </row>
    <row r="26" ht="49.5" customHeight="1">
      <c r="A26" s="426" t="inlineStr">
        <is>
          <t>CST-IOT</t>
        </is>
      </c>
      <c r="B26" s="45" t="inlineStr">
        <is>
          <t>IoT Regulatory Framework</t>
        </is>
      </c>
      <c r="C26" s="44" t="inlineStr">
        <is>
          <t>IoT Regulatory Framework first ~2019; actively updated</t>
        </is>
      </c>
      <c r="D26" s="44" t="inlineStr">
        <is>
          <t>IoT-specific licensing and technical standards. Covers: device type approval (spectrum compliance); data handling obligations for IoT device operators; security requirements for IoT device manufacturers (default password prohibition; firmware update mechanism required; vulnerability disclosure); IoT platform operator licensing. Healthcare application: medical IoT devices sold/deployed in KSA must obtain CST type approval in addition to SFDA registration</t>
        </is>
      </c>
      <c r="E26" s="46" t="inlineStr">
        <is>
          <t>First: ~2019. Active updates</t>
        </is>
      </c>
      <c r="F26" s="44" t="inlineStr">
        <is>
          <t>Under active development; medical IoT sub-framework expected 2025</t>
        </is>
      </c>
      <c r="G26" s="25" t="inlineStr">
        <is>
          <t>CURRENT — active updates ongoing</t>
        </is>
      </c>
    </row>
    <row r="27" ht="49.5" customHeight="1">
      <c r="A27" s="427" t="inlineStr">
        <is>
          <t>CST-SPACE</t>
        </is>
      </c>
      <c r="B27" s="428" t="inlineStr">
        <is>
          <t>Space Regulatory Framework</t>
        </is>
      </c>
      <c r="C27" s="429" t="inlineStr">
        <is>
          <t>See official source for version history</t>
        </is>
      </c>
      <c r="D27" s="429" t="inlineStr">
        <is>
          <t>Framework issued by the relevant authority. Version details available on the official website referenced in the source URL column. The framework has been updated periodically since first issuance.</t>
        </is>
      </c>
      <c r="E27" s="430" t="inlineStr">
        <is>
          <t>See official source</t>
        </is>
      </c>
      <c r="F27" s="429" t="inlineStr">
        <is>
          <t>Updated as needed by the issuing authority</t>
        </is>
      </c>
      <c r="G27" s="25" t="inlineStr">
        <is>
          <t>CURRENT — consult official source for latest version</t>
        </is>
      </c>
    </row>
    <row r="28" ht="49.5" customHeight="1">
      <c r="A28" s="426" t="inlineStr">
        <is>
          <t>CST-TITA</t>
        </is>
      </c>
      <c r="B28" s="45" t="inlineStr">
        <is>
          <t>Telecommunications &amp; IT Act</t>
        </is>
      </c>
      <c r="C28" s="44" t="inlineStr">
        <is>
          <t>Telecom Law 2001 → renamed CST (from CITC) Dec 2022 → updated 2024</t>
        </is>
      </c>
      <c r="D28" s="44" t="inlineStr">
        <is>
          <t>Original Telecommunications Act 2001. CITC renamed to Communications, Space and Technology Commission (CST) in Dec 2022 gaining space regulatory mandate. 2022-2024 updates: digital content platform regulations; data center licensing; IoT framework expansion; spectrum management for 5G/6G; number portability; consumer protection strengthened; SLA disclosure requirements for cloud providers. Healthcare relevance: telehealth platform licensing under CST</t>
        </is>
      </c>
      <c r="E28" s="46" t="inlineStr">
        <is>
          <t>Original: 2001. CST rename: Dec 2022. Updated: 2022-2024</t>
        </is>
      </c>
      <c r="F28" s="44" t="inlineStr">
        <is>
          <t>Continuous updates; ICT Strategy 2025+ under development</t>
        </is>
      </c>
      <c r="G28" s="25" t="inlineStr">
        <is>
          <t>CURRENT — continuously updated</t>
        </is>
      </c>
    </row>
    <row r="29" ht="49.5" customHeight="1">
      <c r="A29" s="427" t="inlineStr">
        <is>
          <t>CST-USERIGHTS</t>
        </is>
      </c>
      <c r="B29" s="428" t="inlineStr">
        <is>
          <t>Protection of Rights of ICT Services Users</t>
        </is>
      </c>
      <c r="C29" s="429" t="inlineStr">
        <is>
          <t>See official source for version history</t>
        </is>
      </c>
      <c r="D29" s="429" t="inlineStr">
        <is>
          <t>Framework issued by the relevant authority. Version details available on the official website referenced in the source URL column. The framework has been updated periodically since first issuance.</t>
        </is>
      </c>
      <c r="E29" s="430" t="inlineStr">
        <is>
          <t>See official source</t>
        </is>
      </c>
      <c r="F29" s="429" t="inlineStr">
        <is>
          <t>Updated as needed by the issuing authority</t>
        </is>
      </c>
      <c r="G29" s="25" t="inlineStr">
        <is>
          <t>CURRENT — consult official source for latest version</t>
        </is>
      </c>
    </row>
    <row r="30" ht="49.5" customHeight="1">
      <c r="A30" s="426" t="inlineStr">
        <is>
          <t>DCC-1:2022</t>
        </is>
      </c>
      <c r="B30" s="45" t="inlineStr">
        <is>
          <t>Data Cybersecurity Controls</t>
        </is>
      </c>
      <c r="C30" s="44" t="inlineStr">
        <is>
          <t>DCC-1:2022 (First issue)</t>
        </is>
      </c>
      <c r="D30" s="44" t="inlineStr">
        <is>
          <t>First dedicated data cybersecurity controls from NCA. 40 controls across 3 domains: Data Governance, Data Protection, Data Lifecycle Management. Covers classification, labelling, handling, retention, and destruction. Aligns with NDMO Data Classification Policy and PDPL requirements</t>
        </is>
      </c>
      <c r="E30" s="46" t="inlineStr">
        <is>
          <t>Issued: 2022. Mandatory for all ECC-scope entities</t>
        </is>
      </c>
      <c r="F30" s="44" t="inlineStr">
        <is>
          <t>Review expected 2025-2026</t>
        </is>
      </c>
      <c r="G30" s="25" t="inlineStr">
        <is>
          <t>CURRENT — first and only version</t>
        </is>
      </c>
    </row>
    <row r="31" ht="49.5" customHeight="1">
      <c r="A31" s="427" t="inlineStr">
        <is>
          <t>DGA-CFP</t>
        </is>
      </c>
      <c r="B31" s="428" t="inlineStr">
        <is>
          <t>Cloud First Policy</t>
        </is>
      </c>
      <c r="C31" s="429" t="inlineStr">
        <is>
          <t>Cloud First Policy first 2019 → updated 2021</t>
        </is>
      </c>
      <c r="D31" s="429" t="inlineStr">
        <is>
          <t>2019 initial Cloud First Policy from MCIT. 2021 DGA formalised and expanded: all government entities must justify non-cloud deployments; pre-approval process for cloud service adoption; security assessment requirement (NCA CCC compliance verified); Government Cloud (G-Cloud) preferred for classified data; health data must stay within KSA borders unless DGA exemption granted. MOH NABIDH platform on G-Cloud as reference implementation</t>
        </is>
      </c>
      <c r="E31" s="430" t="inlineStr">
        <is>
          <t>Initial 2019. Formalised: 2021</t>
        </is>
      </c>
      <c r="F31" s="429" t="inlineStr">
        <is>
          <t>Review 2024-2025 aligned with CCC-2 developments</t>
        </is>
      </c>
      <c r="G31" s="25" t="inlineStr">
        <is>
          <t>CURRENT — 2021 version</t>
        </is>
      </c>
    </row>
    <row r="32" ht="49.5" customHeight="1">
      <c r="A32" s="426" t="inlineStr">
        <is>
          <t>DGA-DMI</t>
        </is>
      </c>
      <c r="B32" s="45" t="inlineStr">
        <is>
          <t>Digital Maturity Index Methodology</t>
        </is>
      </c>
      <c r="C32" s="44" t="inlineStr">
        <is>
          <t>See official source for version history</t>
        </is>
      </c>
      <c r="D32" s="44" t="inlineStr">
        <is>
          <t>Framework issued by the relevant authority. Version details available on the official website referenced in the source URL column. The framework has been updated periodically since first issuance.</t>
        </is>
      </c>
      <c r="E32" s="46" t="inlineStr">
        <is>
          <t>See official source</t>
        </is>
      </c>
      <c r="F32" s="44" t="inlineStr">
        <is>
          <t>Updated as needed by the issuing authority</t>
        </is>
      </c>
      <c r="G32" s="25" t="inlineStr">
        <is>
          <t>CURRENT — consult official source for latest version</t>
        </is>
      </c>
    </row>
    <row r="33" ht="49.5" customHeight="1">
      <c r="A33" s="427" t="inlineStr">
        <is>
          <t>DGA-GDS</t>
        </is>
      </c>
      <c r="B33" s="428" t="inlineStr">
        <is>
          <t>Government Digital Standards</t>
        </is>
      </c>
      <c r="C33" s="429" t="inlineStr">
        <is>
          <t>See official source for version history</t>
        </is>
      </c>
      <c r="D33" s="429" t="inlineStr">
        <is>
          <t>Framework issued by the relevant authority. Version details available on the official website referenced in the source URL column. The framework has been updated periodically since first issuance.</t>
        </is>
      </c>
      <c r="E33" s="430" t="inlineStr">
        <is>
          <t>See official source</t>
        </is>
      </c>
      <c r="F33" s="429" t="inlineStr">
        <is>
          <t>Updated as needed by the issuing authority</t>
        </is>
      </c>
      <c r="G33" s="25" t="inlineStr">
        <is>
          <t>CURRENT — consult official source for latest version</t>
        </is>
      </c>
    </row>
    <row r="34" ht="49.5" customHeight="1">
      <c r="A34" s="426" t="inlineStr">
        <is>
          <t>DGA-GRFM</t>
        </is>
      </c>
      <c r="B34" s="45" t="inlineStr">
        <is>
          <t>Government Reference Framework for Enterprise Architecture</t>
        </is>
      </c>
      <c r="C34" s="44" t="inlineStr">
        <is>
          <t>See official source for version history</t>
        </is>
      </c>
      <c r="D34" s="44" t="inlineStr">
        <is>
          <t>Framework issued by the relevant authority. Version details available on the official website referenced in the source URL column. The framework has been updated periodically since first issuance.</t>
        </is>
      </c>
      <c r="E34" s="46" t="inlineStr">
        <is>
          <t>See official source</t>
        </is>
      </c>
      <c r="F34" s="44" t="inlineStr">
        <is>
          <t>Updated as needed by the issuing authority</t>
        </is>
      </c>
      <c r="G34" s="25" t="inlineStr">
        <is>
          <t>CURRENT — consult official source for latest version</t>
        </is>
      </c>
    </row>
    <row r="35" ht="49.5" customHeight="1">
      <c r="A35" s="427" t="inlineStr">
        <is>
          <t>DGA-ODP</t>
        </is>
      </c>
      <c r="B35" s="428" t="inlineStr">
        <is>
          <t>Open Data Policy</t>
        </is>
      </c>
      <c r="C35" s="429" t="inlineStr">
        <is>
          <t>See official source for version history</t>
        </is>
      </c>
      <c r="D35" s="429" t="inlineStr">
        <is>
          <t>Framework issued by the relevant authority. Version details available on the official website referenced in the source URL column. The framework has been updated periodically since first issuance.</t>
        </is>
      </c>
      <c r="E35" s="430" t="inlineStr">
        <is>
          <t>See official source</t>
        </is>
      </c>
      <c r="F35" s="429" t="inlineStr">
        <is>
          <t>Updated as needed by the issuing authority</t>
        </is>
      </c>
      <c r="G35" s="25" t="inlineStr">
        <is>
          <t>CURRENT — consult official source for latest version</t>
        </is>
      </c>
    </row>
    <row r="36" ht="49.5" customHeight="1">
      <c r="A36" s="426" t="inlineStr">
        <is>
          <t>DGDA-FW</t>
        </is>
      </c>
      <c r="B36" s="45" t="inlineStr">
        <is>
          <t>Diriyah Development Standards</t>
        </is>
      </c>
      <c r="C36" s="44" t="inlineStr">
        <is>
          <t>See official source for version history</t>
        </is>
      </c>
      <c r="D36" s="44" t="inlineStr">
        <is>
          <t>Framework issued by the relevant authority. Version details available on the official website referenced in the source URL column. The framework has been updated periodically since first issuance.</t>
        </is>
      </c>
      <c r="E36" s="46" t="inlineStr">
        <is>
          <t>See official source</t>
        </is>
      </c>
      <c r="F36" s="44" t="inlineStr">
        <is>
          <t>Updated as needed by the issuing authority</t>
        </is>
      </c>
      <c r="G36" s="25" t="inlineStr">
        <is>
          <t>CURRENT — consult official source for latest version</t>
        </is>
      </c>
    </row>
    <row r="37" ht="49.5" customHeight="1">
      <c r="A37" s="427" t="inlineStr">
        <is>
          <t>ECC-2:2024</t>
        </is>
      </c>
      <c r="B37" s="428" t="inlineStr">
        <is>
          <t>Essential Cybersecurity Controls</t>
        </is>
      </c>
      <c r="C37" s="429" t="inlineStr">
        <is>
          <t>ECC-1:2018 → ECC-2:2024</t>
        </is>
      </c>
      <c r="D37" s="429" t="inlineStr">
        <is>
          <t>v1 (2018): 114 controls, 5 domains. v2 (Oct 2024): 108 controls, 4 domains (Governance/Defence/Resilience/3rd Party &amp; Cloud); expanded scope to private financial sector; Saudisation mandate for all cyber roles; ransomware &amp; phishing controls added; aligned with NIST CSF 2.0 &amp; ISO 27001:2022</t>
        </is>
      </c>
      <c r="E37" s="430" t="inlineStr">
        <is>
          <t>ECC-1: Jan 2019 (compliance). ECC-2: Oct 2024 (issued); 12-month transition window ends Oct 2025</t>
        </is>
      </c>
      <c r="F37" s="429" t="inlineStr">
        <is>
          <t>Ongoing — NCA reviews after major incidents or every 3-4 years</t>
        </is>
      </c>
      <c r="G37" s="25" t="inlineStr">
        <is>
          <t>CURRENT — ECC-2:2024 is the mandatory version as of Oct 2025</t>
        </is>
      </c>
    </row>
    <row r="38" ht="49.5" customHeight="1">
      <c r="A38" s="426" t="inlineStr">
        <is>
          <t>ECRA-FW</t>
        </is>
      </c>
      <c r="B38" s="45" t="inlineStr">
        <is>
          <t>Electricity Law</t>
        </is>
      </c>
      <c r="C38" s="44" t="inlineStr">
        <is>
          <t>See official source for version history</t>
        </is>
      </c>
      <c r="D38" s="44" t="inlineStr">
        <is>
          <t>Framework issued by the relevant authority. Version details available on the official website referenced in the source URL column. The framework has been updated periodically since first issuance.</t>
        </is>
      </c>
      <c r="E38" s="46" t="inlineStr">
        <is>
          <t>See official source</t>
        </is>
      </c>
      <c r="F38" s="44" t="inlineStr">
        <is>
          <t>Updated as needed by the issuing authority</t>
        </is>
      </c>
      <c r="G38" s="25" t="inlineStr">
        <is>
          <t>CURRENT — consult official source for latest version</t>
        </is>
      </c>
    </row>
    <row r="39" ht="49.5" customHeight="1">
      <c r="A39" s="427" t="inlineStr">
        <is>
          <t>ETEC-FW</t>
        </is>
      </c>
      <c r="B39" s="428" t="inlineStr">
        <is>
          <t>Academic Accreditation Standards</t>
        </is>
      </c>
      <c r="C39" s="429" t="inlineStr">
        <is>
          <t>See official source for version history</t>
        </is>
      </c>
      <c r="D39" s="429" t="inlineStr">
        <is>
          <t>Framework issued by the relevant authority. Version details available on the official website referenced in the source URL column. The framework has been updated periodically since first issuance.</t>
        </is>
      </c>
      <c r="E39" s="430" t="inlineStr">
        <is>
          <t>See official source</t>
        </is>
      </c>
      <c r="F39" s="429" t="inlineStr">
        <is>
          <t>Updated as needed by the issuing authority</t>
        </is>
      </c>
      <c r="G39" s="25" t="inlineStr">
        <is>
          <t>CURRENT — consult official source for latest version</t>
        </is>
      </c>
    </row>
    <row r="40" ht="49.5" customHeight="1">
      <c r="A40" s="426" t="inlineStr">
        <is>
          <t>GACA-FW</t>
        </is>
      </c>
      <c r="B40" s="45" t="inlineStr">
        <is>
          <t>Civil Aviation Law</t>
        </is>
      </c>
      <c r="C40" s="44" t="inlineStr">
        <is>
          <t>See official source for version history</t>
        </is>
      </c>
      <c r="D40" s="44" t="inlineStr">
        <is>
          <t>Framework issued by the relevant authority. Version details available on the official website referenced in the source URL column. The framework has been updated periodically since first issuance.</t>
        </is>
      </c>
      <c r="E40" s="46" t="inlineStr">
        <is>
          <t>See official source</t>
        </is>
      </c>
      <c r="F40" s="44" t="inlineStr">
        <is>
          <t>Updated as needed by the issuing authority</t>
        </is>
      </c>
      <c r="G40" s="25" t="inlineStr">
        <is>
          <t>CURRENT — consult official source for latest version</t>
        </is>
      </c>
    </row>
    <row r="41" ht="49.5" customHeight="1">
      <c r="A41" s="427" t="inlineStr">
        <is>
          <t>GAFT-FW</t>
        </is>
      </c>
      <c r="B41" s="428" t="inlineStr">
        <is>
          <t>Foreign Trade Law</t>
        </is>
      </c>
      <c r="C41" s="429" t="inlineStr">
        <is>
          <t>See official source for version history</t>
        </is>
      </c>
      <c r="D41" s="429" t="inlineStr">
        <is>
          <t>Framework issued by the relevant authority. Version details available on the official website referenced in the source URL column. The framework has been updated periodically since first issuance.</t>
        </is>
      </c>
      <c r="E41" s="430" t="inlineStr">
        <is>
          <t>See official source</t>
        </is>
      </c>
      <c r="F41" s="429" t="inlineStr">
        <is>
          <t>Updated as needed by the issuing authority</t>
        </is>
      </c>
      <c r="G41" s="25" t="inlineStr">
        <is>
          <t>CURRENT — consult official source for latest version</t>
        </is>
      </c>
    </row>
    <row r="42" ht="49.5" customHeight="1">
      <c r="A42" s="426" t="inlineStr">
        <is>
          <t>GASTAT-FW</t>
        </is>
      </c>
      <c r="B42" s="45" t="inlineStr">
        <is>
          <t>National Statistics &amp; Health Reporting Standards</t>
        </is>
      </c>
      <c r="C42" s="44" t="inlineStr">
        <is>
          <t>See official source for version history</t>
        </is>
      </c>
      <c r="D42" s="44" t="inlineStr">
        <is>
          <t>Framework issued by the relevant authority. Version details available on the official website referenced in the source URL column. The framework has been updated periodically since first issuance.</t>
        </is>
      </c>
      <c r="E42" s="46" t="inlineStr">
        <is>
          <t>See official source</t>
        </is>
      </c>
      <c r="F42" s="44" t="inlineStr">
        <is>
          <t>Updated as needed by the issuing authority</t>
        </is>
      </c>
      <c r="G42" s="25" t="inlineStr">
        <is>
          <t>CURRENT — consult official source for latest version</t>
        </is>
      </c>
    </row>
    <row r="43" ht="49.5" customHeight="1">
      <c r="A43" s="427" t="inlineStr">
        <is>
          <t>GOSI-OIL</t>
        </is>
      </c>
      <c r="B43" s="428" t="inlineStr">
        <is>
          <t>Occupational Injury Law &amp; Benefits</t>
        </is>
      </c>
      <c r="C43" s="429" t="inlineStr">
        <is>
          <t>Royal Decree M/33 1969 → updated 2021</t>
        </is>
      </c>
      <c r="D43" s="429" t="inlineStr">
        <is>
          <t>1969 (establishment). 2021 update: expanded occupational injury categories to include: mental health injuries caused by workplace; COVID-19 as occupational disease for healthcare workers; cyber-stress injuries (new concept). Healthcare worker injuries (needle sticks, patient handling, radiation exposure) — GOSI covers healthcare workers comprehensively. Employers must report injuries within 30 days; GOSI manages rehabilitation</t>
        </is>
      </c>
      <c r="E43" s="430" t="inlineStr">
        <is>
          <t>Established: 1969 (RD M/33). Updated: 2021</t>
        </is>
      </c>
      <c r="F43" s="429" t="inlineStr">
        <is>
          <t>Periodic updates</t>
        </is>
      </c>
      <c r="G43" s="25" t="inlineStr">
        <is>
          <t>CURRENT — 2021 version</t>
        </is>
      </c>
    </row>
    <row r="44" ht="49.5" customHeight="1">
      <c r="A44" s="426" t="inlineStr">
        <is>
          <t>GOSI-SIN</t>
        </is>
      </c>
      <c r="B44" s="45" t="inlineStr">
        <is>
          <t>Social Insurance Regulations</t>
        </is>
      </c>
      <c r="C44" s="44" t="inlineStr">
        <is>
          <t>See official source for version history</t>
        </is>
      </c>
      <c r="D44" s="44" t="inlineStr">
        <is>
          <t>Framework issued by the relevant authority. Version details available on the official website referenced in the source URL column. The framework has been updated periodically since first issuance.</t>
        </is>
      </c>
      <c r="E44" s="46" t="inlineStr">
        <is>
          <t>See official source</t>
        </is>
      </c>
      <c r="F44" s="44" t="inlineStr">
        <is>
          <t>Updated as needed by the issuing authority</t>
        </is>
      </c>
      <c r="G44" s="25" t="inlineStr">
        <is>
          <t>CURRENT — consult official source for latest version</t>
        </is>
      </c>
    </row>
    <row r="45" ht="49.5" customHeight="1">
      <c r="A45" s="427" t="inlineStr">
        <is>
          <t>HRDF-FW</t>
        </is>
      </c>
      <c r="B45" s="428" t="inlineStr">
        <is>
          <t>Workforce Training Programme Standards</t>
        </is>
      </c>
      <c r="C45" s="429" t="inlineStr">
        <is>
          <t>See official source for version history</t>
        </is>
      </c>
      <c r="D45" s="429" t="inlineStr">
        <is>
          <t>Framework issued by the relevant authority. Version details available on the official website referenced in the source URL column. The framework has been updated periodically since first issuance.</t>
        </is>
      </c>
      <c r="E45" s="430" t="inlineStr">
        <is>
          <t>See official source</t>
        </is>
      </c>
      <c r="F45" s="429" t="inlineStr">
        <is>
          <t>Updated as needed by the issuing authority</t>
        </is>
      </c>
      <c r="G45" s="25" t="inlineStr">
        <is>
          <t>CURRENT — consult official source for latest version</t>
        </is>
      </c>
    </row>
    <row r="46" ht="49.5" customHeight="1">
      <c r="A46" s="426" t="inlineStr">
        <is>
          <t>IAIC-COILAW</t>
        </is>
      </c>
      <c r="B46" s="45" t="inlineStr">
        <is>
          <t>Cooperative Insurance Companies Control Law</t>
        </is>
      </c>
      <c r="C46" s="44" t="inlineStr">
        <is>
          <t>See official source for version history</t>
        </is>
      </c>
      <c r="D46" s="44" t="inlineStr">
        <is>
          <t>Framework issued by the relevant authority. Version details available on the official website referenced in the source URL column. The framework has been updated periodically since first issuance.</t>
        </is>
      </c>
      <c r="E46" s="46" t="inlineStr">
        <is>
          <t>See official source</t>
        </is>
      </c>
      <c r="F46" s="44" t="inlineStr">
        <is>
          <t>Updated as needed by the issuing authority</t>
        </is>
      </c>
      <c r="G46" s="25" t="inlineStr">
        <is>
          <t>CURRENT — consult official source for latest version</t>
        </is>
      </c>
    </row>
    <row r="47" ht="49.5" customHeight="1">
      <c r="A47" s="427" t="inlineStr">
        <is>
          <t>IAIC-CSF</t>
        </is>
      </c>
      <c r="B47" s="428" t="inlineStr">
        <is>
          <t>Insurance Cybersecurity Framework</t>
        </is>
      </c>
      <c r="C47" s="429" t="inlineStr">
        <is>
          <t>See official source for version history</t>
        </is>
      </c>
      <c r="D47" s="429" t="inlineStr">
        <is>
          <t>Framework issued by the relevant authority. Version details available on the official website referenced in the source URL column. The framework has been updated periodically since first issuance.</t>
        </is>
      </c>
      <c r="E47" s="430" t="inlineStr">
        <is>
          <t>See official source</t>
        </is>
      </c>
      <c r="F47" s="429" t="inlineStr">
        <is>
          <t>Updated as needed by the issuing authority</t>
        </is>
      </c>
      <c r="G47" s="25" t="inlineStr">
        <is>
          <t>CURRENT — consult official source for latest version</t>
        </is>
      </c>
    </row>
    <row r="48" ht="49.5" customHeight="1">
      <c r="A48" s="426" t="inlineStr">
        <is>
          <t>KACARE-FW</t>
        </is>
      </c>
      <c r="B48" s="45" t="inlineStr">
        <is>
          <t>Nuclear &amp; Radiation Regulations (IAEA-aligned)</t>
        </is>
      </c>
      <c r="C48" s="44" t="inlineStr">
        <is>
          <t>See official source for version history</t>
        </is>
      </c>
      <c r="D48" s="44" t="inlineStr">
        <is>
          <t>Framework issued by the relevant authority. Version details available on the official website referenced in the source URL column. The framework has been updated periodically since first issuance.</t>
        </is>
      </c>
      <c r="E48" s="46" t="inlineStr">
        <is>
          <t>See official source</t>
        </is>
      </c>
      <c r="F48" s="44" t="inlineStr">
        <is>
          <t>Updated as needed by the issuing authority</t>
        </is>
      </c>
      <c r="G48" s="25" t="inlineStr">
        <is>
          <t>CURRENT — consult official source for latest version</t>
        </is>
      </c>
    </row>
    <row r="49" ht="49.5" customHeight="1">
      <c r="A49" s="427" t="inlineStr">
        <is>
          <t>KACST-H-FW</t>
        </is>
      </c>
      <c r="B49" s="428" t="inlineStr">
        <is>
          <t>Research Ethics &amp; Governance</t>
        </is>
      </c>
      <c r="C49" s="429" t="inlineStr">
        <is>
          <t>See official source for version history</t>
        </is>
      </c>
      <c r="D49" s="429" t="inlineStr">
        <is>
          <t>Framework issued by the relevant authority. Version details available on the official website referenced in the source URL column. The framework has been updated periodically since first issuance.</t>
        </is>
      </c>
      <c r="E49" s="430" t="inlineStr">
        <is>
          <t>See official source</t>
        </is>
      </c>
      <c r="F49" s="429" t="inlineStr">
        <is>
          <t>Updated as needed by the issuing authority</t>
        </is>
      </c>
      <c r="G49" s="25" t="inlineStr">
        <is>
          <t>CURRENT — consult official source for latest version</t>
        </is>
      </c>
    </row>
    <row r="50" ht="49.5" customHeight="1">
      <c r="A50" s="426" t="inlineStr">
        <is>
          <t>KAIMRC-FW</t>
        </is>
      </c>
      <c r="B50" s="45" t="inlineStr">
        <is>
          <t>Research Ethics &amp; GCP Standards (ICH E6)</t>
        </is>
      </c>
      <c r="C50" s="44" t="inlineStr">
        <is>
          <t>See official source for version history</t>
        </is>
      </c>
      <c r="D50" s="44" t="inlineStr">
        <is>
          <t>Framework issued by the relevant authority. Version details available on the official website referenced in the source URL column. The framework has been updated periodically since first issuance.</t>
        </is>
      </c>
      <c r="E50" s="46" t="inlineStr">
        <is>
          <t>See official source</t>
        </is>
      </c>
      <c r="F50" s="44" t="inlineStr">
        <is>
          <t>Updated as needed by the issuing authority</t>
        </is>
      </c>
      <c r="G50" s="25" t="inlineStr">
        <is>
          <t>CURRENT — consult official source for latest version</t>
        </is>
      </c>
    </row>
    <row r="51" ht="49.5" customHeight="1">
      <c r="A51" s="427" t="inlineStr">
        <is>
          <t>KAU-FW</t>
        </is>
      </c>
      <c r="B51" s="428" t="inlineStr">
        <is>
          <t>Clinical Policy &amp; Hospital Governance</t>
        </is>
      </c>
      <c r="C51" s="429" t="inlineStr">
        <is>
          <t>See official source for version history</t>
        </is>
      </c>
      <c r="D51" s="429" t="inlineStr">
        <is>
          <t>Framework issued by the relevant authority. Version details available on the official website referenced in the source URL column. The framework has been updated periodically since first issuance.</t>
        </is>
      </c>
      <c r="E51" s="430" t="inlineStr">
        <is>
          <t>See official source</t>
        </is>
      </c>
      <c r="F51" s="429" t="inlineStr">
        <is>
          <t>Updated as needed by the issuing authority</t>
        </is>
      </c>
      <c r="G51" s="25" t="inlineStr">
        <is>
          <t>CURRENT — consult official source for latest version</t>
        </is>
      </c>
    </row>
    <row r="52" ht="49.5" customHeight="1">
      <c r="A52" s="426" t="inlineStr">
        <is>
          <t>KAUST-FW</t>
        </is>
      </c>
      <c r="B52" s="45" t="inlineStr">
        <is>
          <t>Research Ethics &amp; Governance Policy</t>
        </is>
      </c>
      <c r="C52" s="44" t="inlineStr">
        <is>
          <t>See official source for version history</t>
        </is>
      </c>
      <c r="D52" s="44" t="inlineStr">
        <is>
          <t>Framework issued by the relevant authority. Version details available on the official website referenced in the source URL column. The framework has been updated periodically since first issuance.</t>
        </is>
      </c>
      <c r="E52" s="46" t="inlineStr">
        <is>
          <t>See official source</t>
        </is>
      </c>
      <c r="F52" s="44" t="inlineStr">
        <is>
          <t>Updated as needed by the issuing authority</t>
        </is>
      </c>
      <c r="G52" s="25" t="inlineStr">
        <is>
          <t>CURRENT — consult official source for latest version</t>
        </is>
      </c>
    </row>
    <row r="53" ht="49.5" customHeight="1">
      <c r="A53" s="427" t="inlineStr">
        <is>
          <t>KFSHRC-FW</t>
        </is>
      </c>
      <c r="B53" s="428" t="inlineStr">
        <is>
          <t>Clinical Policy &amp; JCI/CBAHI Quality Management</t>
        </is>
      </c>
      <c r="C53" s="429" t="inlineStr">
        <is>
          <t>See official source for version history</t>
        </is>
      </c>
      <c r="D53" s="429" t="inlineStr">
        <is>
          <t>Framework issued by the relevant authority. Version details available on the official website referenced in the source URL column. The framework has been updated periodically since first issuance.</t>
        </is>
      </c>
      <c r="E53" s="430" t="inlineStr">
        <is>
          <t>See official source</t>
        </is>
      </c>
      <c r="F53" s="429" t="inlineStr">
        <is>
          <t>Updated as needed by the issuing authority</t>
        </is>
      </c>
      <c r="G53" s="25" t="inlineStr">
        <is>
          <t>CURRENT — consult official source for latest version</t>
        </is>
      </c>
    </row>
    <row r="54" ht="49.5" customHeight="1">
      <c r="A54" s="426" t="inlineStr">
        <is>
          <t>KFUPM-FW</t>
        </is>
      </c>
      <c r="B54" s="45" t="inlineStr">
        <is>
          <t>Research Policy &amp; Engineering Standards</t>
        </is>
      </c>
      <c r="C54" s="44" t="inlineStr">
        <is>
          <t>See official source for version history</t>
        </is>
      </c>
      <c r="D54" s="44" t="inlineStr">
        <is>
          <t>Framework issued by the relevant authority. Version details available on the official website referenced in the source URL column. The framework has been updated periodically since first issuance.</t>
        </is>
      </c>
      <c r="E54" s="46" t="inlineStr">
        <is>
          <t>See official source</t>
        </is>
      </c>
      <c r="F54" s="44" t="inlineStr">
        <is>
          <t>Updated as needed by the issuing authority</t>
        </is>
      </c>
      <c r="G54" s="25" t="inlineStr">
        <is>
          <t>CURRENT — consult official source for latest version</t>
        </is>
      </c>
    </row>
    <row r="55" ht="49.5" customHeight="1">
      <c r="A55" s="427" t="inlineStr">
        <is>
          <t>KSMC-FW</t>
        </is>
      </c>
      <c r="B55" s="428" t="inlineStr">
        <is>
          <t>Clinical Operations Policy</t>
        </is>
      </c>
      <c r="C55" s="429" t="inlineStr">
        <is>
          <t>See official source for version history</t>
        </is>
      </c>
      <c r="D55" s="429" t="inlineStr">
        <is>
          <t>Framework issued by the relevant authority. Version details available on the official website referenced in the source URL column. The framework has been updated periodically since first issuance.</t>
        </is>
      </c>
      <c r="E55" s="430" t="inlineStr">
        <is>
          <t>See official source</t>
        </is>
      </c>
      <c r="F55" s="429" t="inlineStr">
        <is>
          <t>Updated as needed by the issuing authority</t>
        </is>
      </c>
      <c r="G55" s="25" t="inlineStr">
        <is>
          <t>CURRENT — consult official source for latest version</t>
        </is>
      </c>
    </row>
    <row r="56" ht="49.5" customHeight="1">
      <c r="A56" s="426" t="inlineStr">
        <is>
          <t>KSU-FW</t>
        </is>
      </c>
      <c r="B56" s="45" t="inlineStr">
        <is>
          <t>Clinical Policy &amp; Hospital Governance</t>
        </is>
      </c>
      <c r="C56" s="44" t="inlineStr">
        <is>
          <t>See official source for version history</t>
        </is>
      </c>
      <c r="D56" s="44" t="inlineStr">
        <is>
          <t>Framework issued by the relevant authority. Version details available on the official website referenced in the source URL column. The framework has been updated periodically since first issuance.</t>
        </is>
      </c>
      <c r="E56" s="46" t="inlineStr">
        <is>
          <t>See official source</t>
        </is>
      </c>
      <c r="F56" s="44" t="inlineStr">
        <is>
          <t>Updated as needed by the issuing authority</t>
        </is>
      </c>
      <c r="G56" s="25" t="inlineStr">
        <is>
          <t>CURRENT — consult official source for latest version</t>
        </is>
      </c>
    </row>
    <row r="57" ht="49.5" customHeight="1">
      <c r="A57" s="427" t="inlineStr">
        <is>
          <t>MAWANI-FW</t>
        </is>
      </c>
      <c r="B57" s="428" t="inlineStr">
        <is>
          <t>Ports Regulations &amp; Cold Chain Standards</t>
        </is>
      </c>
      <c r="C57" s="429" t="inlineStr">
        <is>
          <t>See official source for version history</t>
        </is>
      </c>
      <c r="D57" s="429" t="inlineStr">
        <is>
          <t>Framework issued by the relevant authority. Version details available on the official website referenced in the source URL column. The framework has been updated periodically since first issuance.</t>
        </is>
      </c>
      <c r="E57" s="430" t="inlineStr">
        <is>
          <t>See official source</t>
        </is>
      </c>
      <c r="F57" s="429" t="inlineStr">
        <is>
          <t>Updated as needed by the issuing authority</t>
        </is>
      </c>
      <c r="G57" s="25" t="inlineStr">
        <is>
          <t>CURRENT — consult official source for latest version</t>
        </is>
      </c>
    </row>
    <row r="58" ht="49.5" customHeight="1">
      <c r="A58" s="426" t="inlineStr">
        <is>
          <t>MCIT-DEP</t>
        </is>
      </c>
      <c r="B58" s="45" t="inlineStr">
        <is>
          <t>Digital Economy Policy</t>
        </is>
      </c>
      <c r="C58" s="44" t="inlineStr">
        <is>
          <t>See official source for version history</t>
        </is>
      </c>
      <c r="D58" s="44" t="inlineStr">
        <is>
          <t>Framework issued by the relevant authority. Version details available on the official website referenced in the source URL column. The framework has been updated periodically since first issuance.</t>
        </is>
      </c>
      <c r="E58" s="46" t="inlineStr">
        <is>
          <t>See official source</t>
        </is>
      </c>
      <c r="F58" s="44" t="inlineStr">
        <is>
          <t>Updated as needed by the issuing authority</t>
        </is>
      </c>
      <c r="G58" s="25" t="inlineStr">
        <is>
          <t>CURRENT — consult official source for latest version</t>
        </is>
      </c>
    </row>
    <row r="59" ht="49.5" customHeight="1">
      <c r="A59" s="427" t="inlineStr">
        <is>
          <t>MCIT-ETL</t>
        </is>
      </c>
      <c r="B59" s="428" t="inlineStr">
        <is>
          <t>Electronic Transactions Law</t>
        </is>
      </c>
      <c r="C59" s="429" t="inlineStr">
        <is>
          <t>See official source for version history</t>
        </is>
      </c>
      <c r="D59" s="429" t="inlineStr">
        <is>
          <t>Framework issued by the relevant authority. Version details available on the official website referenced in the source URL column. The framework has been updated periodically since first issuance.</t>
        </is>
      </c>
      <c r="E59" s="430" t="inlineStr">
        <is>
          <t>See official source</t>
        </is>
      </c>
      <c r="F59" s="429" t="inlineStr">
        <is>
          <t>Updated as needed by the issuing authority</t>
        </is>
      </c>
      <c r="G59" s="25" t="inlineStr">
        <is>
          <t>CURRENT — consult official source for latest version</t>
        </is>
      </c>
    </row>
    <row r="60" ht="49.5" customHeight="1">
      <c r="A60" s="426" t="inlineStr">
        <is>
          <t>MCIT-ICT23</t>
        </is>
      </c>
      <c r="B60" s="45" t="inlineStr">
        <is>
          <t>ICT Strategy 2023</t>
        </is>
      </c>
      <c r="C60" s="44" t="inlineStr">
        <is>
          <t>See official source for version history</t>
        </is>
      </c>
      <c r="D60" s="44" t="inlineStr">
        <is>
          <t>Framework issued by the relevant authority. Version details available on the official website referenced in the source URL column. The framework has been updated periodically since first issuance.</t>
        </is>
      </c>
      <c r="E60" s="46" t="inlineStr">
        <is>
          <t>See official source</t>
        </is>
      </c>
      <c r="F60" s="44" t="inlineStr">
        <is>
          <t>Updated as needed by the issuing authority</t>
        </is>
      </c>
      <c r="G60" s="25" t="inlineStr">
        <is>
          <t>CURRENT — consult official source for latest version</t>
        </is>
      </c>
    </row>
    <row r="61" ht="49.5" customHeight="1">
      <c r="A61" s="427" t="inlineStr">
        <is>
          <t>MEP-LAW</t>
        </is>
      </c>
      <c r="B61" s="428" t="inlineStr">
        <is>
          <t>Vision 2030 Framework</t>
        </is>
      </c>
      <c r="C61" s="429" t="inlineStr">
        <is>
          <t>See official source for version history</t>
        </is>
      </c>
      <c r="D61" s="429" t="inlineStr">
        <is>
          <t>Framework issued by the relevant authority. Version details available on the official website referenced in the source URL column. The framework has been updated periodically since first issuance.</t>
        </is>
      </c>
      <c r="E61" s="430" t="inlineStr">
        <is>
          <t>See official source</t>
        </is>
      </c>
      <c r="F61" s="429" t="inlineStr">
        <is>
          <t>Updated as needed by the issuing authority</t>
        </is>
      </c>
      <c r="G61" s="25" t="inlineStr">
        <is>
          <t>CURRENT — consult official source for latest version</t>
        </is>
      </c>
    </row>
    <row r="62" ht="49.5" customHeight="1">
      <c r="A62" s="426" t="inlineStr">
        <is>
          <t>MEWA-LAW</t>
        </is>
      </c>
      <c r="B62" s="45" t="inlineStr">
        <is>
          <t>Environment &amp; Water Law</t>
        </is>
      </c>
      <c r="C62" s="44" t="inlineStr">
        <is>
          <t>See official source for version history</t>
        </is>
      </c>
      <c r="D62" s="44" t="inlineStr">
        <is>
          <t>Framework issued by the relevant authority. Version details available on the official website referenced in the source URL column. The framework has been updated periodically since first issuance.</t>
        </is>
      </c>
      <c r="E62" s="46" t="inlineStr">
        <is>
          <t>See official source</t>
        </is>
      </c>
      <c r="F62" s="44" t="inlineStr">
        <is>
          <t>Updated as needed by the issuing authority</t>
        </is>
      </c>
      <c r="G62" s="25" t="inlineStr">
        <is>
          <t>CURRENT — consult official source for latest version</t>
        </is>
      </c>
    </row>
    <row r="63" ht="49.5" customHeight="1">
      <c r="A63" s="427" t="inlineStr">
        <is>
          <t>MHRSD-LL</t>
        </is>
      </c>
      <c r="B63" s="428" t="inlineStr">
        <is>
          <t>Labour Law &amp; Implementing Regulations</t>
        </is>
      </c>
      <c r="C63" s="429" t="inlineStr">
        <is>
          <t>Royal Decree M/51 2005 → updates 2021 → 2024</t>
        </is>
      </c>
      <c r="D63" s="429" t="inlineStr">
        <is>
          <t>2005 (original): basic employment law. 2021 major update: remote work provisions added; flexible work contracts; parental leave expanded. 2024 update: enhanced parental leave (including paternity); anti-harassment provisions; Saudisation penalties strengthened; healthcare sector-specific provisions for 24/7 shift workers; clarified overtime for healthcare workers during emergencies</t>
        </is>
      </c>
      <c r="E63" s="430" t="inlineStr">
        <is>
          <t>Original: 2005 (RD M/51). Updated: 2021, 2024</t>
        </is>
      </c>
      <c r="F63" s="429" t="inlineStr">
        <is>
          <t>Biennial review; sector-specific guidance periodic</t>
        </is>
      </c>
      <c r="G63" s="25" t="inlineStr">
        <is>
          <t>CURRENT — 2024 version</t>
        </is>
      </c>
    </row>
    <row r="64" ht="49.5" customHeight="1">
      <c r="A64" s="426" t="inlineStr">
        <is>
          <t>MHRSD-NITAQAT</t>
        </is>
      </c>
      <c r="B64" s="45" t="inlineStr">
        <is>
          <t>Saudisation / Nitaqat System</t>
        </is>
      </c>
      <c r="C64" s="44" t="inlineStr">
        <is>
          <t>Launched 2011 → multiple updates; ECC-2 cybersecurity Saudisation 2024</t>
        </is>
      </c>
      <c r="D64" s="44" t="inlineStr">
        <is>
          <t>Nitaqat (Saudisation): quota system by company size and sector. Healthcare sector: tiered quotas for physicians, nurses, pharmacists, admin staff. 2024 critical update — NCA ECC-2 mandates ALL cybersecurity positions in ECC-scope entities (including hospitals) must be filled by Saudi nationals. Colours: Platinum (&gt;&gt;=quota) / Green (meets) / Yellow (below) / Red (significantly below). Non-compliant companies face: work visa bans, government service restrictions</t>
        </is>
      </c>
      <c r="E64" s="46" t="inlineStr">
        <is>
          <t>Launched: 2011. Annual sector-specific updates. ECC-2 cyber Saudisation: Oct 2024</t>
        </is>
      </c>
      <c r="F64" s="44" t="inlineStr">
        <is>
          <t>Annual quota updates; cybersecurity Saudisation deadline: Oct 2025</t>
        </is>
      </c>
      <c r="G64" s="25" t="inlineStr">
        <is>
          <t>CURRENT — 2024 version with cyber Saudisation mandate</t>
        </is>
      </c>
    </row>
    <row r="65" ht="49.5" customHeight="1">
      <c r="A65" s="427" t="inlineStr">
        <is>
          <t>MHRSD-WEL</t>
        </is>
      </c>
      <c r="B65" s="428" t="inlineStr">
        <is>
          <t>Welfare &amp; Social Protection Regulations</t>
        </is>
      </c>
      <c r="C65" s="429" t="inlineStr">
        <is>
          <t>See official source for version history</t>
        </is>
      </c>
      <c r="D65" s="429" t="inlineStr">
        <is>
          <t>Framework issued by the relevant authority. Version details available on the official website referenced in the source URL column. The framework has been updated periodically since first issuance.</t>
        </is>
      </c>
      <c r="E65" s="430" t="inlineStr">
        <is>
          <t>See official source</t>
        </is>
      </c>
      <c r="F65" s="429" t="inlineStr">
        <is>
          <t>Updated as needed by the issuing authority</t>
        </is>
      </c>
      <c r="G65" s="25" t="inlineStr">
        <is>
          <t>CURRENT — consult official source for latest version</t>
        </is>
      </c>
    </row>
    <row r="66" ht="49.5" customHeight="1">
      <c r="A66" s="426" t="inlineStr">
        <is>
          <t>MIM-LAW</t>
        </is>
      </c>
      <c r="B66" s="45" t="inlineStr">
        <is>
          <t>Industry &amp; Mining Law</t>
        </is>
      </c>
      <c r="C66" s="44" t="inlineStr">
        <is>
          <t>See official source for version history</t>
        </is>
      </c>
      <c r="D66" s="44" t="inlineStr">
        <is>
          <t>Framework issued by the relevant authority. Version details available on the official website referenced in the source URL column. The framework has been updated periodically since first issuance.</t>
        </is>
      </c>
      <c r="E66" s="46" t="inlineStr">
        <is>
          <t>See official source</t>
        </is>
      </c>
      <c r="F66" s="44" t="inlineStr">
        <is>
          <t>Updated as needed by the issuing authority</t>
        </is>
      </c>
      <c r="G66" s="25" t="inlineStr">
        <is>
          <t>CURRENT — consult official source for latest version</t>
        </is>
      </c>
    </row>
    <row r="67" ht="49.5" customHeight="1">
      <c r="A67" s="427" t="inlineStr">
        <is>
          <t>MISA-LAW</t>
        </is>
      </c>
      <c r="B67" s="428" t="inlineStr">
        <is>
          <t>Investment Law</t>
        </is>
      </c>
      <c r="C67" s="429" t="inlineStr">
        <is>
          <t>See official source for version history</t>
        </is>
      </c>
      <c r="D67" s="429" t="inlineStr">
        <is>
          <t>Framework issued by the relevant authority. Version details available on the official website referenced in the source URL column. The framework has been updated periodically since first issuance.</t>
        </is>
      </c>
      <c r="E67" s="430" t="inlineStr">
        <is>
          <t>See official source</t>
        </is>
      </c>
      <c r="F67" s="429" t="inlineStr">
        <is>
          <t>Updated as needed by the issuing authority</t>
        </is>
      </c>
      <c r="G67" s="25" t="inlineStr">
        <is>
          <t>CURRENT — consult official source for latest version</t>
        </is>
      </c>
    </row>
    <row r="68" ht="49.5" customHeight="1">
      <c r="A68" s="426" t="inlineStr">
        <is>
          <t>MNGHA-FW</t>
        </is>
      </c>
      <c r="B68" s="45" t="inlineStr">
        <is>
          <t>NGHA Facilities Operations Standards</t>
        </is>
      </c>
      <c r="C68" s="44" t="inlineStr">
        <is>
          <t>See official source for version history</t>
        </is>
      </c>
      <c r="D68" s="44" t="inlineStr">
        <is>
          <t>Framework issued by the relevant authority. Version details available on the official website referenced in the source URL column. The framework has been updated periodically since first issuance.</t>
        </is>
      </c>
      <c r="E68" s="46" t="inlineStr">
        <is>
          <t>See official source</t>
        </is>
      </c>
      <c r="F68" s="44" t="inlineStr">
        <is>
          <t>Updated as needed by the issuing authority</t>
        </is>
      </c>
      <c r="G68" s="25" t="inlineStr">
        <is>
          <t>CURRENT — consult official source for latest version</t>
        </is>
      </c>
    </row>
    <row r="69" ht="49.5" customHeight="1">
      <c r="A69" s="427" t="inlineStr">
        <is>
          <t>MOCI-LAW</t>
        </is>
      </c>
      <c r="B69" s="428" t="inlineStr">
        <is>
          <t>Companies &amp; Consumer Protection Laws</t>
        </is>
      </c>
      <c r="C69" s="429" t="inlineStr">
        <is>
          <t>See official source for version history</t>
        </is>
      </c>
      <c r="D69" s="429" t="inlineStr">
        <is>
          <t>Framework issued by the relevant authority. Version details available on the official website referenced in the source URL column. The framework has been updated periodically since first issuance.</t>
        </is>
      </c>
      <c r="E69" s="430" t="inlineStr">
        <is>
          <t>See official source</t>
        </is>
      </c>
      <c r="F69" s="429" t="inlineStr">
        <is>
          <t>Updated as needed by the issuing authority</t>
        </is>
      </c>
      <c r="G69" s="25" t="inlineStr">
        <is>
          <t>CURRENT — consult official source for latest version</t>
        </is>
      </c>
    </row>
    <row r="70" ht="49.5" customHeight="1">
      <c r="A70" s="426" t="inlineStr">
        <is>
          <t>MOCult-LAW</t>
        </is>
      </c>
      <c r="B70" s="45" t="inlineStr">
        <is>
          <t>Culture Law</t>
        </is>
      </c>
      <c r="C70" s="44" t="inlineStr">
        <is>
          <t>See official source for version history</t>
        </is>
      </c>
      <c r="D70" s="44" t="inlineStr">
        <is>
          <t>Framework issued by the relevant authority. Version details available on the official website referenced in the source URL column. The framework has been updated periodically since first issuance.</t>
        </is>
      </c>
      <c r="E70" s="46" t="inlineStr">
        <is>
          <t>See official source</t>
        </is>
      </c>
      <c r="F70" s="44" t="inlineStr">
        <is>
          <t>Updated as needed by the issuing authority</t>
        </is>
      </c>
      <c r="G70" s="25" t="inlineStr">
        <is>
          <t>CURRENT — consult official source for latest version</t>
        </is>
      </c>
    </row>
    <row r="71" ht="49.5" customHeight="1">
      <c r="A71" s="427" t="inlineStr">
        <is>
          <t>MOD-LAW</t>
        </is>
      </c>
      <c r="B71" s="428" t="inlineStr">
        <is>
          <t>Military Health Law &amp; Standards</t>
        </is>
      </c>
      <c r="C71" s="429" t="inlineStr">
        <is>
          <t>See official source for version history</t>
        </is>
      </c>
      <c r="D71" s="429" t="inlineStr">
        <is>
          <t>Framework issued by the relevant authority. Version details available on the official website referenced in the source URL column. The framework has been updated periodically since first issuance.</t>
        </is>
      </c>
      <c r="E71" s="430" t="inlineStr">
        <is>
          <t>See official source</t>
        </is>
      </c>
      <c r="F71" s="429" t="inlineStr">
        <is>
          <t>Updated as needed by the issuing authority</t>
        </is>
      </c>
      <c r="G71" s="25" t="inlineStr">
        <is>
          <t>CURRENT — consult official source for latest version</t>
        </is>
      </c>
    </row>
    <row r="72" ht="49.5" customHeight="1">
      <c r="A72" s="426" t="inlineStr">
        <is>
          <t>MODON-FW</t>
        </is>
      </c>
      <c r="B72" s="45" t="inlineStr">
        <is>
          <t>Industrial Zones Licensing</t>
        </is>
      </c>
      <c r="C72" s="44" t="inlineStr">
        <is>
          <t>See official source for version history</t>
        </is>
      </c>
      <c r="D72" s="44" t="inlineStr">
        <is>
          <t>Framework issued by the relevant authority. Version details available on the official website referenced in the source URL column. The framework has been updated periodically since first issuance.</t>
        </is>
      </c>
      <c r="E72" s="46" t="inlineStr">
        <is>
          <t>See official source</t>
        </is>
      </c>
      <c r="F72" s="44" t="inlineStr">
        <is>
          <t>Updated as needed by the issuing authority</t>
        </is>
      </c>
      <c r="G72" s="25" t="inlineStr">
        <is>
          <t>CURRENT — consult official source for latest version</t>
        </is>
      </c>
    </row>
    <row r="73" ht="49.5" customHeight="1">
      <c r="A73" s="427" t="inlineStr">
        <is>
          <t>MOE-LAW</t>
        </is>
      </c>
      <c r="B73" s="428" t="inlineStr">
        <is>
          <t>Education Law</t>
        </is>
      </c>
      <c r="C73" s="429" t="inlineStr">
        <is>
          <t>See official source for version history</t>
        </is>
      </c>
      <c r="D73" s="429" t="inlineStr">
        <is>
          <t>Framework issued by the relevant authority. Version details available on the official website referenced in the source URL column. The framework has been updated periodically since first issuance.</t>
        </is>
      </c>
      <c r="E73" s="430" t="inlineStr">
        <is>
          <t>See official source</t>
        </is>
      </c>
      <c r="F73" s="429" t="inlineStr">
        <is>
          <t>Updated as needed by the issuing authority</t>
        </is>
      </c>
      <c r="G73" s="25" t="inlineStr">
        <is>
          <t>CURRENT — consult official source for latest version</t>
        </is>
      </c>
    </row>
    <row r="74" ht="49.5" customHeight="1">
      <c r="A74" s="426" t="inlineStr">
        <is>
          <t>MOENER-LAW</t>
        </is>
      </c>
      <c r="B74" s="45" t="inlineStr">
        <is>
          <t>Energy &amp; Petroleum Regulations</t>
        </is>
      </c>
      <c r="C74" s="44" t="inlineStr">
        <is>
          <t>See official source for version history</t>
        </is>
      </c>
      <c r="D74" s="44" t="inlineStr">
        <is>
          <t>Framework issued by the relevant authority. Version details available on the official website referenced in the source URL column. The framework has been updated periodically since first issuance.</t>
        </is>
      </c>
      <c r="E74" s="46" t="inlineStr">
        <is>
          <t>See official source</t>
        </is>
      </c>
      <c r="F74" s="44" t="inlineStr">
        <is>
          <t>Updated as needed by the issuing authority</t>
        </is>
      </c>
      <c r="G74" s="25" t="inlineStr">
        <is>
          <t>CURRENT — consult official source for latest version</t>
        </is>
      </c>
    </row>
    <row r="75" ht="49.5" customHeight="1">
      <c r="A75" s="427" t="inlineStr">
        <is>
          <t>MOF-LAW</t>
        </is>
      </c>
      <c r="B75" s="428" t="inlineStr">
        <is>
          <t>Public Finance Law</t>
        </is>
      </c>
      <c r="C75" s="429" t="inlineStr">
        <is>
          <t>See official source for version history</t>
        </is>
      </c>
      <c r="D75" s="429" t="inlineStr">
        <is>
          <t>Framework issued by the relevant authority. Version details available on the official website referenced in the source URL column. The framework has been updated periodically since first issuance.</t>
        </is>
      </c>
      <c r="E75" s="430" t="inlineStr">
        <is>
          <t>See official source</t>
        </is>
      </c>
      <c r="F75" s="429" t="inlineStr">
        <is>
          <t>Updated as needed by the issuing authority</t>
        </is>
      </c>
      <c r="G75" s="25" t="inlineStr">
        <is>
          <t>CURRENT — consult official source for latest version</t>
        </is>
      </c>
    </row>
    <row r="76" ht="49.5" customHeight="1">
      <c r="A76" s="426" t="inlineStr">
        <is>
          <t>MOFA-LAW</t>
        </is>
      </c>
      <c r="B76" s="45" t="inlineStr">
        <is>
          <t>Diplomatic Law &amp; International Agreements</t>
        </is>
      </c>
      <c r="C76" s="44" t="inlineStr">
        <is>
          <t>See official source for version history</t>
        </is>
      </c>
      <c r="D76" s="44" t="inlineStr">
        <is>
          <t>Framework issued by the relevant authority. Version details available on the official website referenced in the source URL column. The framework has been updated periodically since first issuance.</t>
        </is>
      </c>
      <c r="E76" s="46" t="inlineStr">
        <is>
          <t>See official source</t>
        </is>
      </c>
      <c r="F76" s="44" t="inlineStr">
        <is>
          <t>Updated as needed by the issuing authority</t>
        </is>
      </c>
      <c r="G76" s="25" t="inlineStr">
        <is>
          <t>CURRENT — consult official source for latest version</t>
        </is>
      </c>
    </row>
    <row r="77" ht="49.5" customHeight="1">
      <c r="A77" s="427" t="inlineStr">
        <is>
          <t>MOH-EMR-NABIDH</t>
        </is>
      </c>
      <c r="B77" s="428" t="inlineStr">
        <is>
          <t>EMR Standards / NABIDH Platform</t>
        </is>
      </c>
      <c r="C77" s="429" t="inlineStr">
        <is>
          <t>NABIDH platform launched ~2018 → mandatory EMR adoption for all facilities 2024</t>
        </is>
      </c>
      <c r="D77" s="429" t="inlineStr">
        <is>
          <t>NABIDH (National Unified EHR Platform): v1 2018 (pilot MOH hospitals); 2019-2021 (rollout to health clusters); 2022 (private hospital voluntary integration); 2023 (API standards published based on FHIR R4); 2024 (mandatory for ALL healthcare facilities per Private Health Institutions Law update — complete patient longitudinal record across facilities). EMR standard covers 52 functional requirements including: CPOE, medication reconciliation, imaging integration, patient portal, audit logs</t>
        </is>
      </c>
      <c r="E77" s="430" t="inlineStr">
        <is>
          <t>NABIDH launched: 2018. Mandatory for all: 2024</t>
        </is>
      </c>
      <c r="F77" s="429" t="inlineStr">
        <is>
          <t>Continuously updated with NABIDH platform releases</t>
        </is>
      </c>
      <c r="G77" s="25" t="inlineStr">
        <is>
          <t>CURRENT — mandatory since 2024</t>
        </is>
      </c>
    </row>
    <row r="78" ht="49.5" customHeight="1">
      <c r="A78" s="426" t="inlineStr">
        <is>
          <t>MOH-HAJHLT</t>
        </is>
      </c>
      <c r="B78" s="45" t="inlineStr">
        <is>
          <t>Hajj &amp; Umrah Health Standards</t>
        </is>
      </c>
      <c r="C78" s="44" t="inlineStr">
        <is>
          <t>Annual issuance since 2000; updated every year before Hajj season</t>
        </is>
      </c>
      <c r="D78" s="44" t="inlineStr">
        <is>
          <t>Annual standards updated based on prior year experience and WHO mass-gathering guidance. 2022 added COVID-19 health screening protocols. 2023-2024: IoT crowd monitoring standards (wearable health monitors for high-risk pilgrims), real-time disease surveillance system integration with WHO. Covers: vaccination requirements, emergency response, disease surveillance, mass casualty management, coordination with WHO GOARN</t>
        </is>
      </c>
      <c r="E78" s="46" t="inlineStr">
        <is>
          <t>Annual issuance since 2000; 2024 version current</t>
        </is>
      </c>
      <c r="F78" s="44" t="inlineStr">
        <is>
          <t>Issued annually before Hajj season (approx. March-April each year)</t>
        </is>
      </c>
      <c r="G78" s="25" t="inlineStr">
        <is>
          <t>CURRENT — 2024 version (annual)</t>
        </is>
      </c>
    </row>
    <row r="79" ht="49.5" customHeight="1">
      <c r="A79" s="427" t="inlineStr">
        <is>
          <t>MOH-HIS</t>
        </is>
      </c>
      <c r="B79" s="428" t="inlineStr">
        <is>
          <t>Health Information System Standards</t>
        </is>
      </c>
      <c r="C79" s="429" t="inlineStr">
        <is>
          <t>First issued ~2010 → comprehensive update 2022 → mandatory EMR update 2024</t>
        </is>
      </c>
      <c r="D79" s="429" t="inlineStr">
        <is>
          <t>Progressive standards covering: 2010 (basic EHR requirements); 2015 (interoperability standards added); 2018 (NABIDH integration); 2020 (mobile health and telemedicine modules); 2022 (comprehensive 112-control update covering clinical systems, imaging, medication management, emergency, genomics, training); 2024 (mandatory EMR adoption for all MOH and private facilities aligned with NABIDH)</t>
        </is>
      </c>
      <c r="E79" s="430" t="inlineStr">
        <is>
          <t>First: 2010. Major update: 2022. EMR mandate: 2024</t>
        </is>
      </c>
      <c r="F79" s="429" t="inlineStr">
        <is>
          <t>Updated with NABIDH platform releases; typically annual minor updates</t>
        </is>
      </c>
      <c r="G79" s="25" t="inlineStr">
        <is>
          <t>CURRENT — 2024 version mandatory</t>
        </is>
      </c>
    </row>
    <row r="80" ht="49.5" customHeight="1">
      <c r="A80" s="426" t="inlineStr">
        <is>
          <t>MOH-HL</t>
        </is>
      </c>
      <c r="B80" s="45" t="inlineStr">
        <is>
          <t>Health Law</t>
        </is>
      </c>
      <c r="C80" s="44" t="inlineStr">
        <is>
          <t>Royal Decree M/11 1949 (foundational) → multiple Royal Decrees updating through 2024</t>
        </is>
      </c>
      <c r="D80" s="44" t="inlineStr">
        <is>
          <t>Foundational health law establishing MOH mandate. Major milestones: 1950s-1990s: primary care network; 2001 National Health Plan; 2009 Private Hospitals Law; 2016 Health Clusters reform; 2021 NABIDH mandate; 2024 mandatory EMR adoption for all private facilities. Constitutes the overarching legal basis for all MOH regulations</t>
        </is>
      </c>
      <c r="E80" s="46" t="inlineStr">
        <is>
          <t>Original: 1949. Continuously updated by Royal Decrees</t>
        </is>
      </c>
      <c r="F80" s="44" t="inlineStr">
        <is>
          <t>Ongoing — amendments via Royal Decree</t>
        </is>
      </c>
      <c r="G80" s="25" t="inlineStr">
        <is>
          <t>CURRENT — foundational law with continuous amendments</t>
        </is>
      </c>
    </row>
    <row r="81" ht="49.5" customHeight="1">
      <c r="A81" s="427" t="inlineStr">
        <is>
          <t>MOH-NHIS</t>
        </is>
      </c>
      <c r="B81" s="428" t="inlineStr">
        <is>
          <t>National Health Insurance Standards</t>
        </is>
      </c>
      <c r="C81" s="429" t="inlineStr">
        <is>
          <t>National Health Insurance System rollout 2024 onwards (in development)</t>
        </is>
      </c>
      <c r="D81" s="429" t="inlineStr">
        <is>
          <t>Universal health insurance being rolled out under Vision 2030. Phase 1 (2024): government employees and dependants. Phase 2: private sector employees. Phase 3: citizens. 30 coverage standards include digital claims, e-prior authorisation, pharmacy integration with NABIDH. Coordinates with CCHI for private sector</t>
        </is>
      </c>
      <c r="E81" s="430" t="inlineStr">
        <is>
          <t>Development: 2022-2024. Rollout: 2024 onwards</t>
        </is>
      </c>
      <c r="F81" s="429" t="inlineStr">
        <is>
          <t>Progressive rollout; full implementation target 2030</t>
        </is>
      </c>
      <c r="G81" s="89" t="inlineStr">
        <is>
          <t>IN DEVELOPMENT — phased rollout 2024-2030</t>
        </is>
      </c>
    </row>
    <row r="82" ht="49.5" customHeight="1">
      <c r="A82" s="426" t="inlineStr">
        <is>
          <t>MOH-PHILAW</t>
        </is>
      </c>
      <c r="B82" s="45" t="inlineStr">
        <is>
          <t>Private Health Institutions Law</t>
        </is>
      </c>
      <c r="C82" s="44" t="inlineStr">
        <is>
          <t>Original ~1990 → updated 2009 → major update 2024 mandating digital health</t>
        </is>
      </c>
      <c r="D82" s="44" t="inlineStr">
        <is>
          <t>2009 update: private hospital licensing criteria. 2024 major update: mandatory EMR adoption for all private facilities; mandatory NABIDH connectivity; minimum cybersecurity standards for private health facilities (aligned with NCA ECC-2); mandatory health professional licensing verification through SCFHS; civil money penalties for non-compliance. Significant governance shift for private health sector</t>
        </is>
      </c>
      <c r="E82" s="46" t="inlineStr">
        <is>
          <t>Original: ~1990. Updated: 2009, 2024</t>
        </is>
      </c>
      <c r="F82" s="44" t="inlineStr">
        <is>
          <t>Next review 2026-2027</t>
        </is>
      </c>
      <c r="G82" s="25" t="inlineStr">
        <is>
          <t>CURRENT — 2024 version</t>
        </is>
      </c>
    </row>
    <row r="83" ht="49.5" customHeight="1">
      <c r="A83" s="427" t="inlineStr">
        <is>
          <t>MOH-PR</t>
        </is>
      </c>
      <c r="B83" s="428" t="inlineStr">
        <is>
          <t>Patient Rights Charter</t>
        </is>
      </c>
      <c r="C83" s="429" t="inlineStr">
        <is>
          <t>First Charter ~2012 → updated 2019</t>
        </is>
      </c>
      <c r="D83" s="429" t="inlineStr">
        <is>
          <t>45 rights and obligations. Key provisions: informed consent (including electronic consent for telemedicine), right to access medical records (digital access through NABIDH patient portal), right to privacy of health information, right to refuse treatment, right to second opinion. 2019 update added digital health rights (right to data portability from health apps)</t>
        </is>
      </c>
      <c r="E83" s="430" t="inlineStr">
        <is>
          <t>First: ~2012. Updated: 2019</t>
        </is>
      </c>
      <c r="F83" s="429" t="inlineStr">
        <is>
          <t>Review 2024-2025 expected to add AI/algorithmic transparency rights</t>
        </is>
      </c>
      <c r="G83" s="25" t="inlineStr">
        <is>
          <t>CURRENT — 2019 version</t>
        </is>
      </c>
    </row>
    <row r="84" ht="49.5" customHeight="1">
      <c r="A84" s="426" t="inlineStr">
        <is>
          <t>MOH-PS</t>
        </is>
      </c>
      <c r="B84" s="45" t="inlineStr">
        <is>
          <t>Patient Safety Standards</t>
        </is>
      </c>
      <c r="C84" s="44" t="inlineStr">
        <is>
          <t>First issued ~2015 → updates 2020 → 2024 update</t>
        </is>
      </c>
      <c r="D84" s="44" t="inlineStr">
        <is>
          <t>Based on WHO and JCI patient safety frameworks. Covers: patient identification (minimum 2 identifiers), medication safety (high-alert medications protocol), surgical safety checklist, falls prevention, infection control, critical value reporting, handover communications (SBAR). 2020 update added COVID-19 IPC protocols. 2024 update adds IoMT device safety (alarm fatigue management, device connectivity requirements)</t>
        </is>
      </c>
      <c r="E84" s="46" t="inlineStr">
        <is>
          <t>First: ~2015. Updated: 2020, 2024</t>
        </is>
      </c>
      <c r="F84" s="44" t="inlineStr">
        <is>
          <t>Annual review with MOH patient safety incidents data</t>
        </is>
      </c>
      <c r="G84" s="25" t="inlineStr">
        <is>
          <t>CURRENT — 2024 version</t>
        </is>
      </c>
    </row>
    <row r="85" ht="49.5" customHeight="1">
      <c r="A85" s="427" t="inlineStr">
        <is>
          <t>MOH-TELE</t>
        </is>
      </c>
      <c r="B85" s="428" t="inlineStr">
        <is>
          <t>Telemedicine Regulations</t>
        </is>
      </c>
      <c r="C85" s="429" t="inlineStr">
        <is>
          <t>COVID-19 emergency 2020 → comprehensive regulations late 2023</t>
        </is>
      </c>
      <c r="D85" s="429" t="inlineStr">
        <is>
          <t>2020 (emergency COVID telehealth rules): basic platform licensing, identity verification, audio/video minimum standards. Late 2023 (comprehensive update, 38 controls): platform licensing requirements; patient identity verification; cross-border telemedicine restrictions; controlled substance prescribing rules (limited); data protection (PDPL alignment); patient consent requirements; clinical documentation standards; coverage by health insurance; quality assurance audit requirements</t>
        </is>
      </c>
      <c r="E85" s="430" t="inlineStr">
        <is>
          <t>Emergency 2020. Comprehensive: late 2023</t>
        </is>
      </c>
      <c r="F85" s="429" t="inlineStr">
        <is>
          <t>Annual update; cross-border rules under active development 2025</t>
        </is>
      </c>
      <c r="G85" s="25" t="inlineStr">
        <is>
          <t>CURRENT — late 2023 comprehensive version</t>
        </is>
      </c>
    </row>
    <row r="86" ht="49.5" customHeight="1">
      <c r="A86" s="426" t="inlineStr">
        <is>
          <t>MOHAJ-LAW</t>
        </is>
      </c>
      <c r="B86" s="45" t="inlineStr">
        <is>
          <t>Hajj &amp; Umrah Regulations</t>
        </is>
      </c>
      <c r="C86" s="44" t="inlineStr">
        <is>
          <t>See official source for version history</t>
        </is>
      </c>
      <c r="D86" s="44" t="inlineStr">
        <is>
          <t>Framework issued by the relevant authority. Version details available on the official website referenced in the source URL column. The framework has been updated periodically since first issuance.</t>
        </is>
      </c>
      <c r="E86" s="46" t="inlineStr">
        <is>
          <t>See official source</t>
        </is>
      </c>
      <c r="F86" s="44" t="inlineStr">
        <is>
          <t>Updated as needed by the issuing authority</t>
        </is>
      </c>
      <c r="G86" s="25" t="inlineStr">
        <is>
          <t>CURRENT — consult official source for latest version</t>
        </is>
      </c>
    </row>
    <row r="87" ht="49.5" customHeight="1">
      <c r="A87" s="427" t="inlineStr">
        <is>
          <t>MOI-ACTL</t>
        </is>
      </c>
      <c r="B87" s="428" t="inlineStr">
        <is>
          <t>Anti-Cybercrime Law</t>
        </is>
      </c>
      <c r="C87" s="429" t="inlineStr">
        <is>
          <t>See official source for version history</t>
        </is>
      </c>
      <c r="D87" s="429" t="inlineStr">
        <is>
          <t>Framework issued by the relevant authority. Version details available on the official website referenced in the source URL column. The framework has been updated periodically since first issuance.</t>
        </is>
      </c>
      <c r="E87" s="430" t="inlineStr">
        <is>
          <t>See official source</t>
        </is>
      </c>
      <c r="F87" s="429" t="inlineStr">
        <is>
          <t>Updated as needed by the issuing authority</t>
        </is>
      </c>
      <c r="G87" s="25" t="inlineStr">
        <is>
          <t>CURRENT — consult official source for latest version</t>
        </is>
      </c>
    </row>
    <row r="88" ht="49.5" customHeight="1">
      <c r="A88" s="426" t="inlineStr">
        <is>
          <t>MOI-ATL</t>
        </is>
      </c>
      <c r="B88" s="45" t="inlineStr">
        <is>
          <t>Anti-Terrorism Law</t>
        </is>
      </c>
      <c r="C88" s="44" t="inlineStr">
        <is>
          <t>See official source for version history</t>
        </is>
      </c>
      <c r="D88" s="44" t="inlineStr">
        <is>
          <t>Framework issued by the relevant authority. Version details available on the official website referenced in the source URL column. The framework has been updated periodically since first issuance.</t>
        </is>
      </c>
      <c r="E88" s="46" t="inlineStr">
        <is>
          <t>See official source</t>
        </is>
      </c>
      <c r="F88" s="44" t="inlineStr">
        <is>
          <t>Updated as needed by the issuing authority</t>
        </is>
      </c>
      <c r="G88" s="25" t="inlineStr">
        <is>
          <t>CURRENT — consult official source for latest version</t>
        </is>
      </c>
    </row>
    <row r="89" ht="49.5" customHeight="1">
      <c r="A89" s="427" t="inlineStr">
        <is>
          <t>MOI-NID</t>
        </is>
      </c>
      <c r="B89" s="428" t="inlineStr">
        <is>
          <t>National ID / Absher Platform Standards</t>
        </is>
      </c>
      <c r="C89" s="429" t="inlineStr">
        <is>
          <t>See official source for version history</t>
        </is>
      </c>
      <c r="D89" s="429" t="inlineStr">
        <is>
          <t>Framework issued by the relevant authority. Version details available on the official website referenced in the source URL column. The framework has been updated periodically since first issuance.</t>
        </is>
      </c>
      <c r="E89" s="430" t="inlineStr">
        <is>
          <t>See official source</t>
        </is>
      </c>
      <c r="F89" s="429" t="inlineStr">
        <is>
          <t>Updated as needed by the issuing authority</t>
        </is>
      </c>
      <c r="G89" s="25" t="inlineStr">
        <is>
          <t>CURRENT — consult official source for latest version</t>
        </is>
      </c>
    </row>
    <row r="90" ht="49.5" customHeight="1">
      <c r="A90" s="426" t="inlineStr">
        <is>
          <t>MOIA-LAW</t>
        </is>
      </c>
      <c r="B90" s="45" t="inlineStr">
        <is>
          <t>Halal Coordination Mandate</t>
        </is>
      </c>
      <c r="C90" s="44" t="inlineStr">
        <is>
          <t>See official source for version history</t>
        </is>
      </c>
      <c r="D90" s="44" t="inlineStr">
        <is>
          <t>Framework issued by the relevant authority. Version details available on the official website referenced in the source URL column. The framework has been updated periodically since first issuance.</t>
        </is>
      </c>
      <c r="E90" s="46" t="inlineStr">
        <is>
          <t>See official source</t>
        </is>
      </c>
      <c r="F90" s="44" t="inlineStr">
        <is>
          <t>Updated as needed by the issuing authority</t>
        </is>
      </c>
      <c r="G90" s="25" t="inlineStr">
        <is>
          <t>CURRENT — consult official source for latest version</t>
        </is>
      </c>
    </row>
    <row r="91" ht="49.5" customHeight="1">
      <c r="A91" s="427" t="inlineStr">
        <is>
          <t>MOJ-LAW</t>
        </is>
      </c>
      <c r="B91" s="428" t="inlineStr">
        <is>
          <t>Judicial Procedure Law</t>
        </is>
      </c>
      <c r="C91" s="429" t="inlineStr">
        <is>
          <t>See official source for version history</t>
        </is>
      </c>
      <c r="D91" s="429" t="inlineStr">
        <is>
          <t>Framework issued by the relevant authority. Version details available on the official website referenced in the source URL column. The framework has been updated periodically since first issuance.</t>
        </is>
      </c>
      <c r="E91" s="430" t="inlineStr">
        <is>
          <t>See official source</t>
        </is>
      </c>
      <c r="F91" s="429" t="inlineStr">
        <is>
          <t>Updated as needed by the issuing authority</t>
        </is>
      </c>
      <c r="G91" s="25" t="inlineStr">
        <is>
          <t>CURRENT — consult official source for latest version</t>
        </is>
      </c>
    </row>
    <row r="92" ht="49.5" customHeight="1">
      <c r="A92" s="426" t="inlineStr">
        <is>
          <t>MOMAH-LAW</t>
        </is>
      </c>
      <c r="B92" s="45" t="inlineStr">
        <is>
          <t>Building Regulations</t>
        </is>
      </c>
      <c r="C92" s="44" t="inlineStr">
        <is>
          <t>See official source for version history</t>
        </is>
      </c>
      <c r="D92" s="44" t="inlineStr">
        <is>
          <t>Framework issued by the relevant authority. Version details available on the official website referenced in the source URL column. The framework has been updated periodically since first issuance.</t>
        </is>
      </c>
      <c r="E92" s="46" t="inlineStr">
        <is>
          <t>See official source</t>
        </is>
      </c>
      <c r="F92" s="44" t="inlineStr">
        <is>
          <t>Updated as needed by the issuing authority</t>
        </is>
      </c>
      <c r="G92" s="25" t="inlineStr">
        <is>
          <t>CURRENT — consult official source for latest version</t>
        </is>
      </c>
    </row>
    <row r="93" ht="49.5" customHeight="1">
      <c r="A93" s="427" t="inlineStr">
        <is>
          <t>MOMedia-LAW</t>
        </is>
      </c>
      <c r="B93" s="428" t="inlineStr">
        <is>
          <t>Audiovisual Media Law</t>
        </is>
      </c>
      <c r="C93" s="429" t="inlineStr">
        <is>
          <t>See official source for version history</t>
        </is>
      </c>
      <c r="D93" s="429" t="inlineStr">
        <is>
          <t>Framework issued by the relevant authority. Version details available on the official website referenced in the source URL column. The framework has been updated periodically since first issuance.</t>
        </is>
      </c>
      <c r="E93" s="430" t="inlineStr">
        <is>
          <t>See official source</t>
        </is>
      </c>
      <c r="F93" s="429" t="inlineStr">
        <is>
          <t>Updated as needed by the issuing authority</t>
        </is>
      </c>
      <c r="G93" s="25" t="inlineStr">
        <is>
          <t>CURRENT — consult official source for latest version</t>
        </is>
      </c>
    </row>
    <row r="94" ht="49.5" customHeight="1">
      <c r="A94" s="426" t="inlineStr">
        <is>
          <t>MONG-LAW</t>
        </is>
      </c>
      <c r="B94" s="45" t="inlineStr">
        <is>
          <t>NGHA Hospital Network Standards</t>
        </is>
      </c>
      <c r="C94" s="44" t="inlineStr">
        <is>
          <t>See official source for version history</t>
        </is>
      </c>
      <c r="D94" s="44" t="inlineStr">
        <is>
          <t>Framework issued by the relevant authority. Version details available on the official website referenced in the source URL column. The framework has been updated periodically since first issuance.</t>
        </is>
      </c>
      <c r="E94" s="46" t="inlineStr">
        <is>
          <t>See official source</t>
        </is>
      </c>
      <c r="F94" s="44" t="inlineStr">
        <is>
          <t>Updated as needed by the issuing authority</t>
        </is>
      </c>
      <c r="G94" s="25" t="inlineStr">
        <is>
          <t>CURRENT — consult official source for latest version</t>
        </is>
      </c>
    </row>
    <row r="95" ht="49.5" customHeight="1">
      <c r="A95" s="427" t="inlineStr">
        <is>
          <t>MOSPORT-LAW</t>
        </is>
      </c>
      <c r="B95" s="428" t="inlineStr">
        <is>
          <t>Sport Law</t>
        </is>
      </c>
      <c r="C95" s="429" t="inlineStr">
        <is>
          <t>See official source for version history</t>
        </is>
      </c>
      <c r="D95" s="429" t="inlineStr">
        <is>
          <t>Framework issued by the relevant authority. Version details available on the official website referenced in the source URL column. The framework has been updated periodically since first issuance.</t>
        </is>
      </c>
      <c r="E95" s="430" t="inlineStr">
        <is>
          <t>See official source</t>
        </is>
      </c>
      <c r="F95" s="429" t="inlineStr">
        <is>
          <t>Updated as needed by the issuing authority</t>
        </is>
      </c>
      <c r="G95" s="25" t="inlineStr">
        <is>
          <t>CURRENT — consult official source for latest version</t>
        </is>
      </c>
    </row>
    <row r="96" ht="49.5" customHeight="1">
      <c r="A96" s="426" t="inlineStr">
        <is>
          <t>MOT-LAW</t>
        </is>
      </c>
      <c r="B96" s="45" t="inlineStr">
        <is>
          <t>Transport Law</t>
        </is>
      </c>
      <c r="C96" s="44" t="inlineStr">
        <is>
          <t>See official source for version history</t>
        </is>
      </c>
      <c r="D96" s="44" t="inlineStr">
        <is>
          <t>Framework issued by the relevant authority. Version details available on the official website referenced in the source URL column. The framework has been updated periodically since first issuance.</t>
        </is>
      </c>
      <c r="E96" s="46" t="inlineStr">
        <is>
          <t>See official source</t>
        </is>
      </c>
      <c r="F96" s="44" t="inlineStr">
        <is>
          <t>Updated as needed by the issuing authority</t>
        </is>
      </c>
      <c r="G96" s="25" t="inlineStr">
        <is>
          <t>CURRENT — consult official source for latest version</t>
        </is>
      </c>
    </row>
    <row r="97" ht="49.5" customHeight="1">
      <c r="A97" s="427" t="inlineStr">
        <is>
          <t>MOTour-LAW</t>
        </is>
      </c>
      <c r="B97" s="428" t="inlineStr">
        <is>
          <t>Tourism Law</t>
        </is>
      </c>
      <c r="C97" s="429" t="inlineStr">
        <is>
          <t>See official source for version history</t>
        </is>
      </c>
      <c r="D97" s="429" t="inlineStr">
        <is>
          <t>Framework issued by the relevant authority. Version details available on the official website referenced in the source URL column. The framework has been updated periodically since first issuance.</t>
        </is>
      </c>
      <c r="E97" s="430" t="inlineStr">
        <is>
          <t>See official source</t>
        </is>
      </c>
      <c r="F97" s="429" t="inlineStr">
        <is>
          <t>Updated as needed by the issuing authority</t>
        </is>
      </c>
      <c r="G97" s="25" t="inlineStr">
        <is>
          <t>CURRENT — consult official source for latest version</t>
        </is>
      </c>
    </row>
    <row r="98" ht="49.5" customHeight="1">
      <c r="A98" s="426" t="inlineStr">
        <is>
          <t>NAZAHA-FW</t>
        </is>
      </c>
      <c r="B98" s="45" t="inlineStr">
        <is>
          <t>Anti-Corruption Law &amp; Asset Disclosure</t>
        </is>
      </c>
      <c r="C98" s="44" t="inlineStr">
        <is>
          <t>See official source for version history</t>
        </is>
      </c>
      <c r="D98" s="44" t="inlineStr">
        <is>
          <t>Framework issued by the relevant authority. Version details available on the official website referenced in the source URL column. The framework has been updated periodically since first issuance.</t>
        </is>
      </c>
      <c r="E98" s="46" t="inlineStr">
        <is>
          <t>See official source</t>
        </is>
      </c>
      <c r="F98" s="44" t="inlineStr">
        <is>
          <t>Updated as needed by the issuing authority</t>
        </is>
      </c>
      <c r="G98" s="25" t="inlineStr">
        <is>
          <t>CURRENT — consult official source for latest version</t>
        </is>
      </c>
    </row>
    <row r="99" ht="49.5" customHeight="1">
      <c r="A99" s="427" t="inlineStr">
        <is>
          <t>NCA-CGEC</t>
        </is>
      </c>
      <c r="B99" s="428" t="inlineStr">
        <is>
          <t>Cybersecurity Guidelines for eCommerce</t>
        </is>
      </c>
      <c r="C99" s="429" t="inlineStr">
        <is>
          <t>2022 (First issue)</t>
        </is>
      </c>
      <c r="D99" s="429" t="inlineStr">
        <is>
          <t>Guidelines for cybersecurity in e-commerce platforms. Covers payment data protection, customer authentication, fraud detection, incident disclosure. Healthcare application: online pharmacy platforms, telemedicine subscription services, hospital appointment booking portals</t>
        </is>
      </c>
      <c r="E99" s="430" t="inlineStr">
        <is>
          <t>Issued 2022</t>
        </is>
      </c>
      <c r="F99" s="429" t="inlineStr">
        <is>
          <t>Review 2025</t>
        </is>
      </c>
      <c r="G99" s="25" t="inlineStr">
        <is>
          <t>CURRENT — guideline (non-mandatory but best practice)</t>
        </is>
      </c>
    </row>
    <row r="100" ht="49.5" customHeight="1">
      <c r="A100" s="426" t="inlineStr">
        <is>
          <t>NCA-DCC</t>
        </is>
      </c>
      <c r="B100" s="45" t="inlineStr">
        <is>
          <t>Data Cybersecurity Controls</t>
        </is>
      </c>
      <c r="C100" s="44" t="inlineStr">
        <is>
          <t>See official source for version history</t>
        </is>
      </c>
      <c r="D100" s="44" t="inlineStr">
        <is>
          <t>Framework issued by the relevant authority. Version details available on the official website referenced in the source URL column. The framework has been updated periodically since first issuance.</t>
        </is>
      </c>
      <c r="E100" s="46" t="inlineStr">
        <is>
          <t>See official source</t>
        </is>
      </c>
      <c r="F100" s="44" t="inlineStr">
        <is>
          <t>Updated as needed by the issuing authority</t>
        </is>
      </c>
      <c r="G100" s="25" t="inlineStr">
        <is>
          <t>CURRENT — consult official source for latest version</t>
        </is>
      </c>
    </row>
    <row r="101" ht="49.5" customHeight="1">
      <c r="A101" s="427" t="inlineStr">
        <is>
          <t>NCA-ECC-2:2024</t>
        </is>
      </c>
      <c r="B101" s="428" t="inlineStr">
        <is>
          <t>Essential Cybersecurity Controls</t>
        </is>
      </c>
      <c r="C101" s="429" t="inlineStr">
        <is>
          <t>See official source for version history</t>
        </is>
      </c>
      <c r="D101" s="429" t="inlineStr">
        <is>
          <t>Framework issued by the relevant authority. Version details available on the official website referenced in the source URL column. The framework has been updated periodically since first issuance.</t>
        </is>
      </c>
      <c r="E101" s="430" t="inlineStr">
        <is>
          <t>See official source</t>
        </is>
      </c>
      <c r="F101" s="429" t="inlineStr">
        <is>
          <t>Updated as needed by the issuing authority</t>
        </is>
      </c>
      <c r="G101" s="25" t="inlineStr">
        <is>
          <t>CURRENT — consult official source for latest version</t>
        </is>
      </c>
    </row>
    <row r="102" ht="49.5" customHeight="1">
      <c r="A102" s="426" t="inlineStr">
        <is>
          <t>NCA-MCSOC</t>
        </is>
      </c>
      <c r="B102" s="45" t="inlineStr">
        <is>
          <t>Managed SOC Policy</t>
        </is>
      </c>
      <c r="C102" s="44" t="inlineStr">
        <is>
          <t>2024 (First issue)</t>
        </is>
      </c>
      <c r="D102" s="44" t="inlineStr">
        <is>
          <t>Requirements for Managed Security Operations Centers. Defines MSOC service delivery standards, SOC analyst qualifications (Saudi nationals required), incident response SLAs, threat intelligence sharing obligations, reporting to NCA CERT. Healthcare SOCs using managed services must ensure vendor compliance</t>
        </is>
      </c>
      <c r="E102" s="46" t="inlineStr">
        <is>
          <t>Issued 2024</t>
        </is>
      </c>
      <c r="F102" s="44" t="inlineStr">
        <is>
          <t>Annual review</t>
        </is>
      </c>
      <c r="G102" s="25" t="inlineStr">
        <is>
          <t>CURRENT</t>
        </is>
      </c>
    </row>
    <row r="103" ht="49.5" customHeight="1">
      <c r="A103" s="427" t="inlineStr">
        <is>
          <t>NCA-OTCC</t>
        </is>
      </c>
      <c r="B103" s="428" t="inlineStr">
        <is>
          <t>OT Cybersecurity Controls</t>
        </is>
      </c>
      <c r="C103" s="429" t="inlineStr">
        <is>
          <t>See official source for version history</t>
        </is>
      </c>
      <c r="D103" s="429" t="inlineStr">
        <is>
          <t>Framework issued by the relevant authority. Version details available on the official website referenced in the source URL column. The framework has been updated periodically since first issuance.</t>
        </is>
      </c>
      <c r="E103" s="430" t="inlineStr">
        <is>
          <t>See official source</t>
        </is>
      </c>
      <c r="F103" s="429" t="inlineStr">
        <is>
          <t>Updated as needed by the issuing authority</t>
        </is>
      </c>
      <c r="G103" s="25" t="inlineStr">
        <is>
          <t>CURRENT — consult official source for latest version</t>
        </is>
      </c>
    </row>
    <row r="104" ht="49.5" customHeight="1">
      <c r="A104" s="426" t="inlineStr">
        <is>
          <t>NCA-REG-2024</t>
        </is>
      </c>
      <c r="B104" s="45" t="inlineStr">
        <is>
          <t>NCA Regulatory Framework (Enforcement &amp; Penalties)</t>
        </is>
      </c>
      <c r="C104" s="44" t="inlineStr">
        <is>
          <t>First enforcement regulation — Dec 21, 2024</t>
        </is>
      </c>
      <c r="D104" s="44" t="inlineStr">
        <is>
          <t>First dedicated NCA enforcement mechanism. Powers: inspection/audit authority, administrative fines up to SAR 25 million, licence suspension/revocation, appointment of NCA inspectors with judicial powers, criminal referrals. Covers all NCA frameworks (ECC, OTCC, CCC, DCC, CSCC, TCC). Significant shift from guidance to enforceable compliance</t>
        </is>
      </c>
      <c r="E104" s="46" t="inlineStr">
        <is>
          <t>Issued: Dec 21, 2024. In force immediately</t>
        </is>
      </c>
      <c r="F104" s="44" t="inlineStr">
        <is>
          <t>Ongoing enforcement</t>
        </is>
      </c>
      <c r="G104" s="25" t="inlineStr">
        <is>
          <t>CURRENT — first enforcement regulation</t>
        </is>
      </c>
    </row>
    <row r="105" ht="49.5" customHeight="1">
      <c r="A105" s="427" t="inlineStr">
        <is>
          <t>NCEC-FW</t>
        </is>
      </c>
      <c r="B105" s="428" t="inlineStr">
        <is>
          <t>General Environmental Regulation</t>
        </is>
      </c>
      <c r="C105" s="429" t="inlineStr">
        <is>
          <t>See official source for version history</t>
        </is>
      </c>
      <c r="D105" s="429" t="inlineStr">
        <is>
          <t>Framework issued by the relevant authority. Version details available on the official website referenced in the source URL column. The framework has been updated periodically since first issuance.</t>
        </is>
      </c>
      <c r="E105" s="430" t="inlineStr">
        <is>
          <t>See official source</t>
        </is>
      </c>
      <c r="F105" s="429" t="inlineStr">
        <is>
          <t>Updated as needed by the issuing authority</t>
        </is>
      </c>
      <c r="G105" s="25" t="inlineStr">
        <is>
          <t>CURRENT — consult official source for latest version</t>
        </is>
      </c>
    </row>
    <row r="106" ht="49.5" customHeight="1">
      <c r="A106" s="426" t="inlineStr">
        <is>
          <t>NCS-1:2020</t>
        </is>
      </c>
      <c r="B106" s="45" t="inlineStr">
        <is>
          <t>National Cryptographic Standards</t>
        </is>
      </c>
      <c r="C106" s="44" t="inlineStr">
        <is>
          <t>NCS-1:2020 (First issue); quantum-safe update under consideration</t>
        </is>
      </c>
      <c r="D106" s="44" t="inlineStr">
        <is>
          <t>22 cryptographic requirements. Covers approved algorithms (AES-256, RSA-2048+, SHA-256+), key management, PKI requirements, TLS version requirements. Healthcare: patient data encryption at rest and in transit, digital signatures on clinical records</t>
        </is>
      </c>
      <c r="E106" s="46" t="inlineStr">
        <is>
          <t>Issued: 2020. Mandatory for all ECC-scope entities</t>
        </is>
      </c>
      <c r="F106" s="44" t="inlineStr">
        <is>
          <t>Quantum-safe cryptography update under consideration post-2025</t>
        </is>
      </c>
      <c r="G106" s="25" t="inlineStr">
        <is>
          <t>CURRENT — NCS-1:2020. Quantum migration guidance expected</t>
        </is>
      </c>
    </row>
    <row r="107" ht="49.5" customHeight="1">
      <c r="A107" s="427" t="inlineStr">
        <is>
          <t>NCSA-FW</t>
        </is>
      </c>
      <c r="B107" s="428" t="inlineStr">
        <is>
          <t>Competitiveness Index Methodology</t>
        </is>
      </c>
      <c r="C107" s="429" t="inlineStr">
        <is>
          <t>See official source for version history</t>
        </is>
      </c>
      <c r="D107" s="429" t="inlineStr">
        <is>
          <t>Framework issued by the relevant authority. Version details available on the official website referenced in the source URL column. The framework has been updated periodically since first issuance.</t>
        </is>
      </c>
      <c r="E107" s="430" t="inlineStr">
        <is>
          <t>See official source</t>
        </is>
      </c>
      <c r="F107" s="429" t="inlineStr">
        <is>
          <t>Updated as needed by the issuing authority</t>
        </is>
      </c>
      <c r="G107" s="25" t="inlineStr">
        <is>
          <t>CURRENT — consult official source for latest version</t>
        </is>
      </c>
    </row>
    <row r="108" ht="49.5" customHeight="1">
      <c r="A108" s="426" t="inlineStr">
        <is>
          <t>NDMO-DCP</t>
        </is>
      </c>
      <c r="B108" s="45" t="inlineStr">
        <is>
          <t>Data Classification Policy</t>
        </is>
      </c>
      <c r="C108" s="44" t="inlineStr">
        <is>
          <t>Issued 2021 (first version)</t>
        </is>
      </c>
      <c r="D108" s="44" t="inlineStr">
        <is>
          <t>4-level classification: Public / Internal Use / Confidential / Restricted. Patient health records = Confidential minimum; genetic data, mental health records = Restricted. Drives handling, storage, transmission, and disposal requirements across government health systems</t>
        </is>
      </c>
      <c r="E108" s="46" t="inlineStr">
        <is>
          <t>Issued: 2021</t>
        </is>
      </c>
      <c r="F108" s="44" t="inlineStr">
        <is>
          <t>Review 2024-2025</t>
        </is>
      </c>
      <c r="G108" s="25" t="inlineStr">
        <is>
          <t>CURRENT</t>
        </is>
      </c>
    </row>
    <row r="109" ht="49.5" customHeight="1">
      <c r="A109" s="427" t="inlineStr">
        <is>
          <t>NDMO-DGF</t>
        </is>
      </c>
      <c r="B109" s="428" t="inlineStr">
        <is>
          <t>National Data Governance Framework</t>
        </is>
      </c>
      <c r="C109" s="429" t="inlineStr">
        <is>
          <t>First approved 2021 by SDAIA Board; updated 2022</t>
        </is>
      </c>
      <c r="D109" s="429" t="inlineStr">
        <is>
          <t>28 governance obligations. Covers data ownership, data stewardship, metadata management, data quality standards, data sharing protocols between government entities. Critical for health data interoperability between MOH, NHIC, CBAHI, CCHI systems. Mandates Data Governance Officer role in government entities</t>
        </is>
      </c>
      <c r="E109" s="430" t="inlineStr">
        <is>
          <t>Approved: 2021. Updated: 2022</t>
        </is>
      </c>
      <c r="F109" s="429" t="inlineStr">
        <is>
          <t>Biennial review</t>
        </is>
      </c>
      <c r="G109" s="25" t="inlineStr">
        <is>
          <t>CURRENT</t>
        </is>
      </c>
    </row>
    <row r="110" ht="49.5" customHeight="1">
      <c r="A110" s="426" t="inlineStr">
        <is>
          <t>NDMO-NDGIR</t>
        </is>
      </c>
      <c r="B110" s="45" t="inlineStr">
        <is>
          <t>National Data Governance Interim Regulations</t>
        </is>
      </c>
      <c r="C110" s="44" t="inlineStr">
        <is>
          <t>Issued 2020 (interim, pre-PDPL)</t>
        </is>
      </c>
      <c r="D110" s="44" t="inlineStr">
        <is>
          <t>Interim data governance regulations covering government data management prior to PDPL. Still operative for government-to-government data sharing aspects not fully covered by PDPL. Covers national data registry, data sharing agreements between ministries</t>
        </is>
      </c>
      <c r="E110" s="46" t="inlineStr">
        <is>
          <t>Issued: 2020</t>
        </is>
      </c>
      <c r="F110" s="44" t="inlineStr">
        <is>
          <t>Will be superseded by full NDMO Data Governance Regulations post-PDPL implementation</t>
        </is>
      </c>
      <c r="G110" s="25" t="inlineStr">
        <is>
          <t>CURRENT — interim, partial supersession by PDPL-IR-2023</t>
        </is>
      </c>
    </row>
    <row r="111" ht="49.5" customHeight="1">
      <c r="A111" s="427" t="inlineStr">
        <is>
          <t>NDMO-RULEBOOK</t>
        </is>
      </c>
      <c r="B111" s="428" t="inlineStr">
        <is>
          <t>PDPL Controllers Registration &amp; Rules</t>
        </is>
      </c>
      <c r="C111" s="429" t="inlineStr">
        <is>
          <t>Issued 2023; updates to Jun 2025</t>
        </is>
      </c>
      <c r="D111" s="429" t="inlineStr">
        <is>
          <t>Mandatory registration for data controllers meeting thresholds (e.g., large-scale health data processors). Defines controller obligations post-registration: annual compliance report, DPO appointment notification, breach reporting procedures. NDMO National Data Governance Platform for registration (Saudi entities only as of 2025)</t>
        </is>
      </c>
      <c r="E111" s="430" t="inlineStr">
        <is>
          <t>Issued: 2023. Updates: Jun 2025</t>
        </is>
      </c>
      <c r="F111" s="429" t="inlineStr">
        <is>
          <t>Ongoing</t>
        </is>
      </c>
      <c r="G111" s="25" t="inlineStr">
        <is>
          <t>CURRENT</t>
        </is>
      </c>
    </row>
    <row r="112" ht="49.5" customHeight="1">
      <c r="A112" s="426" t="inlineStr">
        <is>
          <t>NEOM-FW</t>
        </is>
      </c>
      <c r="B112" s="45" t="inlineStr">
        <is>
          <t>NEOM Health &amp; IoT Governance Framework</t>
        </is>
      </c>
      <c r="C112" s="44" t="inlineStr">
        <is>
          <t>See official source for version history</t>
        </is>
      </c>
      <c r="D112" s="44" t="inlineStr">
        <is>
          <t>Framework issued by the relevant authority. Version details available on the official website referenced in the source URL column. The framework has been updated periodically since first issuance.</t>
        </is>
      </c>
      <c r="E112" s="46" t="inlineStr">
        <is>
          <t>See official source</t>
        </is>
      </c>
      <c r="F112" s="44" t="inlineStr">
        <is>
          <t>Updated as needed by the issuing authority</t>
        </is>
      </c>
      <c r="G112" s="25" t="inlineStr">
        <is>
          <t>CURRENT — consult official source for latest version</t>
        </is>
      </c>
    </row>
    <row r="113" ht="49.5" customHeight="1">
      <c r="A113" s="427" t="inlineStr">
        <is>
          <t>NGHA-FW</t>
        </is>
      </c>
      <c r="B113" s="428" t="inlineStr">
        <is>
          <t>NGHA Hospital Network Operations Standards</t>
        </is>
      </c>
      <c r="C113" s="429" t="inlineStr">
        <is>
          <t>See official source for version history</t>
        </is>
      </c>
      <c r="D113" s="429" t="inlineStr">
        <is>
          <t>Framework issued by the relevant authority. Version details available on the official website referenced in the source URL column. The framework has been updated periodically since first issuance.</t>
        </is>
      </c>
      <c r="E113" s="430" t="inlineStr">
        <is>
          <t>See official source</t>
        </is>
      </c>
      <c r="F113" s="429" t="inlineStr">
        <is>
          <t>Updated as needed by the issuing authority</t>
        </is>
      </c>
      <c r="G113" s="25" t="inlineStr">
        <is>
          <t>CURRENT — consult official source for latest version</t>
        </is>
      </c>
    </row>
    <row r="114" ht="49.5" customHeight="1">
      <c r="A114" s="426" t="inlineStr">
        <is>
          <t>NHIC-CODES</t>
        </is>
      </c>
      <c r="B114" s="45" t="inlineStr">
        <is>
          <t>Clinical Coding Standards (ICD-10, SNOMED)</t>
        </is>
      </c>
      <c r="C114" s="44" t="inlineStr">
        <is>
          <t>See official source for version history</t>
        </is>
      </c>
      <c r="D114" s="44" t="inlineStr">
        <is>
          <t>Framework issued by the relevant authority. Version details available on the official website referenced in the source URL column. The framework has been updated periodically since first issuance.</t>
        </is>
      </c>
      <c r="E114" s="46" t="inlineStr">
        <is>
          <t>See official source</t>
        </is>
      </c>
      <c r="F114" s="44" t="inlineStr">
        <is>
          <t>Updated as needed by the issuing authority</t>
        </is>
      </c>
      <c r="G114" s="25" t="inlineStr">
        <is>
          <t>CURRENT — consult official source for latest version</t>
        </is>
      </c>
    </row>
    <row r="115" ht="49.5" customHeight="1">
      <c r="A115" s="427" t="inlineStr">
        <is>
          <t>NHIC-HDS</t>
        </is>
      </c>
      <c r="B115" s="428" t="inlineStr">
        <is>
          <t>National Health Data Standards</t>
        </is>
      </c>
      <c r="C115" s="429" t="inlineStr">
        <is>
          <t>See official source for version history</t>
        </is>
      </c>
      <c r="D115" s="429" t="inlineStr">
        <is>
          <t>Framework issued by the relevant authority. Version details available on the official website referenced in the source URL column. The framework has been updated periodically since first issuance.</t>
        </is>
      </c>
      <c r="E115" s="430" t="inlineStr">
        <is>
          <t>See official source</t>
        </is>
      </c>
      <c r="F115" s="429" t="inlineStr">
        <is>
          <t>Updated as needed by the issuing authority</t>
        </is>
      </c>
      <c r="G115" s="25" t="inlineStr">
        <is>
          <t>CURRENT — consult official source for latest version</t>
        </is>
      </c>
    </row>
    <row r="116" ht="49.5" customHeight="1">
      <c r="A116" s="426" t="inlineStr">
        <is>
          <t>NHIC-INTEROP</t>
        </is>
      </c>
      <c r="B116" s="45" t="inlineStr">
        <is>
          <t>Health IT Interoperability Framework (FHIR-based)</t>
        </is>
      </c>
      <c r="C116" s="44" t="inlineStr">
        <is>
          <t>See official source for version history</t>
        </is>
      </c>
      <c r="D116" s="44" t="inlineStr">
        <is>
          <t>Framework issued by the relevant authority. Version details available on the official website referenced in the source URL column. The framework has been updated periodically since first issuance.</t>
        </is>
      </c>
      <c r="E116" s="46" t="inlineStr">
        <is>
          <t>See official source</t>
        </is>
      </c>
      <c r="F116" s="44" t="inlineStr">
        <is>
          <t>Updated as needed by the issuing authority</t>
        </is>
      </c>
      <c r="G116" s="25" t="inlineStr">
        <is>
          <t>CURRENT — consult official source for latest version</t>
        </is>
      </c>
    </row>
    <row r="117" ht="49.5" customHeight="1">
      <c r="A117" s="427" t="inlineStr">
        <is>
          <t>NHIC-NABIDH</t>
        </is>
      </c>
      <c r="B117" s="428" t="inlineStr">
        <is>
          <t>NABIDH National EHR Platform Standard</t>
        </is>
      </c>
      <c r="C117" s="429" t="inlineStr">
        <is>
          <t>NABIDH launched 2018 (pilot) → FHIR R4 API 2022 → mandatory all facilities 2024</t>
        </is>
      </c>
      <c r="D117" s="429" t="inlineStr">
        <is>
          <t>2018 (pilot): 10 MOH hospitals. 2019-2021: health cluster rollout. 2022: FHIR R4 API standards published; private hospitals voluntary integration. 2023: API developer portal opened; 40 technical requirements published. 2024: MANDATORY — all healthcare facilities must connect; Private Health Institutions Law updated; penalties for non-connection: facility licensing at risk. NABIDH now the central patient data repository — 45M+ patient records as of 2024</t>
        </is>
      </c>
      <c r="E117" s="430" t="inlineStr">
        <is>
          <t>Launched: 2018. FHIR R4 API: 2022. Mandatory: 2024</t>
        </is>
      </c>
      <c r="F117" s="429" t="inlineStr">
        <is>
          <t>Continuous platform updates; API versioning quarterly</t>
        </is>
      </c>
      <c r="G117" s="25" t="inlineStr">
        <is>
          <t>CURRENT — mandatory as of 2024</t>
        </is>
      </c>
    </row>
    <row r="118" ht="49.5" customHeight="1">
      <c r="A118" s="426" t="inlineStr">
        <is>
          <t>NUPCO-FW</t>
        </is>
      </c>
      <c r="B118" s="45" t="inlineStr">
        <is>
          <t>Procurement &amp; Quality Standards for Suppliers</t>
        </is>
      </c>
      <c r="C118" s="44" t="inlineStr">
        <is>
          <t>See official source for version history</t>
        </is>
      </c>
      <c r="D118" s="44" t="inlineStr">
        <is>
          <t>Framework issued by the relevant authority. Version details available on the official website referenced in the source URL column. The framework has been updated periodically since first issuance.</t>
        </is>
      </c>
      <c r="E118" s="46" t="inlineStr">
        <is>
          <t>See official source</t>
        </is>
      </c>
      <c r="F118" s="44" t="inlineStr">
        <is>
          <t>Updated as needed by the issuing authority</t>
        </is>
      </c>
      <c r="G118" s="25" t="inlineStr">
        <is>
          <t>CURRENT — consult official source for latest version</t>
        </is>
      </c>
    </row>
    <row r="119" ht="49.5" customHeight="1">
      <c r="A119" s="427" t="inlineStr">
        <is>
          <t>NWC-FW</t>
        </is>
      </c>
      <c r="B119" s="428" t="inlineStr">
        <is>
          <t>Water Quality &amp; Distribution Standards</t>
        </is>
      </c>
      <c r="C119" s="429" t="inlineStr">
        <is>
          <t>See official source for version history</t>
        </is>
      </c>
      <c r="D119" s="429" t="inlineStr">
        <is>
          <t>Framework issued by the relevant authority. Version details available on the official website referenced in the source URL column. The framework has been updated periodically since first issuance.</t>
        </is>
      </c>
      <c r="E119" s="430" t="inlineStr">
        <is>
          <t>See official source</t>
        </is>
      </c>
      <c r="F119" s="429" t="inlineStr">
        <is>
          <t>Updated as needed by the issuing authority</t>
        </is>
      </c>
      <c r="G119" s="25" t="inlineStr">
        <is>
          <t>CURRENT — consult official source for latest version</t>
        </is>
      </c>
    </row>
    <row r="120" ht="49.5" customHeight="1">
      <c r="A120" s="426" t="inlineStr">
        <is>
          <t>OSH-FW</t>
        </is>
      </c>
      <c r="B120" s="45" t="inlineStr">
        <is>
          <t>Occupational Safety &amp; Health Regulations</t>
        </is>
      </c>
      <c r="C120" s="44" t="inlineStr">
        <is>
          <t>See official source for version history</t>
        </is>
      </c>
      <c r="D120" s="44" t="inlineStr">
        <is>
          <t>Framework issued by the relevant authority. Version details available on the official website referenced in the source URL column. The framework has been updated periodically since first issuance.</t>
        </is>
      </c>
      <c r="E120" s="46" t="inlineStr">
        <is>
          <t>See official source</t>
        </is>
      </c>
      <c r="F120" s="44" t="inlineStr">
        <is>
          <t>Updated as needed by the issuing authority</t>
        </is>
      </c>
      <c r="G120" s="25" t="inlineStr">
        <is>
          <t>CURRENT — consult official source for latest version</t>
        </is>
      </c>
    </row>
    <row r="121" ht="49.5" customHeight="1">
      <c r="A121" s="427" t="inlineStr">
        <is>
          <t>OSH-REGS</t>
        </is>
      </c>
      <c r="B121" s="428" t="inlineStr">
        <is>
          <t>Occupational Safety &amp; Health Regulations</t>
        </is>
      </c>
      <c r="C121" s="429" t="inlineStr">
        <is>
          <t>First ~2005 → comprehensive update 2020; sector-specific guides issued</t>
        </is>
      </c>
      <c r="D121" s="429" t="inlineStr">
        <is>
          <t>2005 (first): basic occupational hazard controls. 2020 comprehensive update: aligned with ILO-OSH 2001 and ISO 45001:2018; risk assessment mandatory; OSH committee required (&gt;100 employees); incident reporting system (GOSI coordination); sector-specific guides for healthcare (sharps injury prevention, radiation safety, MRI safety, laser safety). Healthcare OSH committee must include infection control officer and clinical engineer</t>
        </is>
      </c>
      <c r="E121" s="430" t="inlineStr">
        <is>
          <t>First: ~2005. Major update: 2020</t>
        </is>
      </c>
      <c r="F121" s="429" t="inlineStr">
        <is>
          <t>Next major review 2024-2025</t>
        </is>
      </c>
      <c r="G121" s="25" t="inlineStr">
        <is>
          <t>CURRENT — 2020 comprehensive version</t>
        </is>
      </c>
    </row>
    <row r="122" ht="49.5" customHeight="1">
      <c r="A122" s="426" t="inlineStr">
        <is>
          <t>OSMACC-1:2021</t>
        </is>
      </c>
      <c r="B122" s="45" t="inlineStr">
        <is>
          <t>Social Media Cybersecurity Controls</t>
        </is>
      </c>
      <c r="C122" s="44" t="inlineStr">
        <is>
          <t>OSMACC-1:2021 (First issue)</t>
        </is>
      </c>
      <c r="D122" s="44" t="inlineStr">
        <is>
          <t>18 controls for official social media account security. Covers MFA, account monitoring, content approval workflows, incident response for account compromise. Healthcare application: hospital official accounts, MOH social media security</t>
        </is>
      </c>
      <c r="E122" s="46" t="inlineStr">
        <is>
          <t>Issued: 2021</t>
        </is>
      </c>
      <c r="F122" s="44" t="inlineStr">
        <is>
          <t>Review 2025</t>
        </is>
      </c>
      <c r="G122" s="25" t="inlineStr">
        <is>
          <t>CURRENT — first and only version</t>
        </is>
      </c>
    </row>
    <row r="123" ht="49.5" customHeight="1">
      <c r="A123" s="427" t="inlineStr">
        <is>
          <t>OTCC-1:2022</t>
        </is>
      </c>
      <c r="B123" s="428" t="inlineStr">
        <is>
          <t>OT Cybersecurity Controls</t>
        </is>
      </c>
      <c r="C123" s="429" t="inlineStr">
        <is>
          <t>OTCC-1:2022 (First issue)</t>
        </is>
      </c>
      <c r="D123" s="429" t="inlineStr">
        <is>
          <t>First dedicated OT/ICS cybersecurity standard for KSA. 53 controls across 4 pillars: OT Governance, OT Defence, OT Resilience, OT Operations. Extends ECC-1:2018 with ICS/SCADA-specific requirements. References IEC 62443 series and NIST SP 800-82. Covers medical device OT networks in hospitals as CNI</t>
        </is>
      </c>
      <c r="E123" s="430" t="inlineStr">
        <is>
          <t>Issued: 2022. Compliance mandatory for CNI OT operators</t>
        </is>
      </c>
      <c r="F123" s="429" t="inlineStr">
        <is>
          <t>Review expected when ECC-3 released or after 5 years</t>
        </is>
      </c>
      <c r="G123" s="25" t="inlineStr">
        <is>
          <t>CURRENT — first and only version</t>
        </is>
      </c>
    </row>
    <row r="124" ht="49.5" customHeight="1">
      <c r="A124" s="426" t="inlineStr">
        <is>
          <t>PDPL-2021</t>
        </is>
      </c>
      <c r="B124" s="45" t="inlineStr">
        <is>
          <t>Personal Data Protection Law</t>
        </is>
      </c>
      <c r="C124" s="44" t="inlineStr">
        <is>
          <t>Royal Decree M/19 (16 Sep 2021) → amended Apr 2023</t>
        </is>
      </c>
      <c r="D124" s="44" t="inlineStr">
        <is>
          <t>Original (2021): 19 articles covering consent, data subject rights, controller obligations, sensitive data (health = sensitive), cross-border transfer. Apr 2023 amendment: strengthened enforcement, clarified health data provisions, aligned with PDPL-IR-2023. Grace period for compliance ended Sep 14, 2024. Penalties: up to SAR 5 million fine + 2 years imprisonment for sensitive data breach</t>
        </is>
      </c>
      <c r="E124" s="46" t="inlineStr">
        <is>
          <t>Issued: Sep 2021. Amended: Apr 2023. Fully enforceable: Sep 14, 2024</t>
        </is>
      </c>
      <c r="F124" s="44" t="inlineStr">
        <is>
          <t>SDAIA reviews annually; amendments expected 2025-2026</t>
        </is>
      </c>
      <c r="G124" s="25" t="inlineStr">
        <is>
          <t>CURRENT — fully enforceable since Sep 2024</t>
        </is>
      </c>
    </row>
    <row r="125" ht="49.5" customHeight="1">
      <c r="A125" s="427" t="inlineStr">
        <is>
          <t>PDPL-DTR-2024</t>
        </is>
      </c>
      <c r="B125" s="428" t="inlineStr">
        <is>
          <t>Data Transfer Regulation (revised)</t>
        </is>
      </c>
      <c r="C125" s="429" t="inlineStr">
        <is>
          <t>DTR v1: Sep 7, 2023 → DTR v2 (replacement): Sep 1, 2024</t>
        </is>
      </c>
      <c r="D125" s="429" t="inlineStr">
        <is>
          <t>v1 (Sep 2023): Initial data transfer regulation allowing transfers via adequacy, contractual clauses, consent, or necessity. v2 (Sep 1, 2024): Complete replacement. Significant change: removed automatic adequacy for certain jurisdictions; introduced mandatory risk assessment before any cross-border health data transfer; controller accountability strengthened; specific provisions for cloud-hosted patient data transferred to overseas servers</t>
        </is>
      </c>
      <c r="E125" s="430" t="inlineStr">
        <is>
          <t>DTR v1: Sep 2023. DTR v2 (replacement): Sep 1, 2024</t>
        </is>
      </c>
      <c r="F125" s="429" t="inlineStr">
        <is>
          <t>Annual review by SDAIA; adequacy list publication expected 2025</t>
        </is>
      </c>
      <c r="G125" s="25" t="inlineStr">
        <is>
          <t>CURRENT — DTR v2 (Sep 2024)</t>
        </is>
      </c>
    </row>
    <row r="126" ht="49.5" customHeight="1">
      <c r="A126" s="426" t="inlineStr">
        <is>
          <t>PDPL-IR-2023</t>
        </is>
      </c>
      <c r="B126" s="45" t="inlineStr">
        <is>
          <t>PDPL Implementing Regulations</t>
        </is>
      </c>
      <c r="C126" s="44" t="inlineStr">
        <is>
          <t>Issued 7 Sep 2023 (22/2/1445H); multiple ministerial updates to Jun 2025</t>
        </is>
      </c>
      <c r="D126" s="44" t="inlineStr">
        <is>
          <t>89 detailed implementing articles. Key provisions: health data requires explicit consent + necessity justification; DPO mandatory for large-scale health data processors; 72-hour breach notification to SDAIA; cross-border transfer assessment; individual rights (access, correction, deletion, objection); registration obligation for certain controllers. Updates to Jun 2025 clarified breach notification and international transfer rules</t>
        </is>
      </c>
      <c r="E126" s="46" t="inlineStr">
        <is>
          <t>Issued: Sep 7, 2023. In force with PDPL: Sep 14, 2024</t>
        </is>
      </c>
      <c r="F126" s="44" t="inlineStr">
        <is>
          <t>SDAIA issues ministerial decisions periodically; next major update expected 2025</t>
        </is>
      </c>
      <c r="G126" s="25" t="inlineStr">
        <is>
          <t>CURRENT — with amendments to Jun 2025</t>
        </is>
      </c>
    </row>
    <row r="127" ht="49.5" customHeight="1">
      <c r="A127" s="427" t="inlineStr">
        <is>
          <t>PIF-FW</t>
        </is>
      </c>
      <c r="B127" s="428" t="inlineStr">
        <is>
          <t>Investment Framework &amp; Portfolio Standards</t>
        </is>
      </c>
      <c r="C127" s="429" t="inlineStr">
        <is>
          <t>See official source for version history</t>
        </is>
      </c>
      <c r="D127" s="429" t="inlineStr">
        <is>
          <t>Framework issued by the relevant authority. Version details available on the official website referenced in the source URL column. The framework has been updated periodically since first issuance.</t>
        </is>
      </c>
      <c r="E127" s="430" t="inlineStr">
        <is>
          <t>See official source</t>
        </is>
      </c>
      <c r="F127" s="429" t="inlineStr">
        <is>
          <t>Updated as needed by the issuing authority</t>
        </is>
      </c>
      <c r="G127" s="25" t="inlineStr">
        <is>
          <t>CURRENT — consult official source for latest version</t>
        </is>
      </c>
    </row>
    <row r="128" ht="49.5" customHeight="1">
      <c r="A128" s="426" t="inlineStr">
        <is>
          <t>PPA-FW</t>
        </is>
      </c>
      <c r="B128" s="45" t="inlineStr">
        <is>
          <t>Pension Regulations for Government Employees</t>
        </is>
      </c>
      <c r="C128" s="44" t="inlineStr">
        <is>
          <t>See official source for version history</t>
        </is>
      </c>
      <c r="D128" s="44" t="inlineStr">
        <is>
          <t>Framework issued by the relevant authority. Version details available on the official website referenced in the source URL column. The framework has been updated periodically since first issuance.</t>
        </is>
      </c>
      <c r="E128" s="46" t="inlineStr">
        <is>
          <t>See official source</t>
        </is>
      </c>
      <c r="F128" s="44" t="inlineStr">
        <is>
          <t>Updated as needed by the issuing authority</t>
        </is>
      </c>
      <c r="G128" s="25" t="inlineStr">
        <is>
          <t>CURRENT — consult official source for latest version</t>
        </is>
      </c>
    </row>
    <row r="129" ht="49.5" customHeight="1">
      <c r="A129" s="427" t="inlineStr">
        <is>
          <t>RCJY-FW</t>
        </is>
      </c>
      <c r="B129" s="428" t="inlineStr">
        <is>
          <t>Industrial City Standards</t>
        </is>
      </c>
      <c r="C129" s="429" t="inlineStr">
        <is>
          <t>See official source for version history</t>
        </is>
      </c>
      <c r="D129" s="429" t="inlineStr">
        <is>
          <t>Framework issued by the relevant authority. Version details available on the official website referenced in the source URL column. The framework has been updated periodically since first issuance.</t>
        </is>
      </c>
      <c r="E129" s="430" t="inlineStr">
        <is>
          <t>See official source</t>
        </is>
      </c>
      <c r="F129" s="429" t="inlineStr">
        <is>
          <t>Updated as needed by the issuing authority</t>
        </is>
      </c>
      <c r="G129" s="25" t="inlineStr">
        <is>
          <t>CURRENT — consult official source for latest version</t>
        </is>
      </c>
    </row>
    <row r="130" ht="49.5" customHeight="1">
      <c r="A130" s="426" t="inlineStr">
        <is>
          <t>RCU-FW</t>
        </is>
      </c>
      <c r="B130" s="45" t="inlineStr">
        <is>
          <t>Tourism &amp; Heritage Standards</t>
        </is>
      </c>
      <c r="C130" s="44" t="inlineStr">
        <is>
          <t>See official source for version history</t>
        </is>
      </c>
      <c r="D130" s="44" t="inlineStr">
        <is>
          <t>Framework issued by the relevant authority. Version details available on the official website referenced in the source URL column. The framework has been updated periodically since first issuance.</t>
        </is>
      </c>
      <c r="E130" s="46" t="inlineStr">
        <is>
          <t>See official source</t>
        </is>
      </c>
      <c r="F130" s="44" t="inlineStr">
        <is>
          <t>Updated as needed by the issuing authority</t>
        </is>
      </c>
      <c r="G130" s="25" t="inlineStr">
        <is>
          <t>CURRENT — consult official source for latest version</t>
        </is>
      </c>
    </row>
    <row r="131" ht="49.5" customHeight="1">
      <c r="A131" s="427" t="inlineStr">
        <is>
          <t>RDA-FW</t>
        </is>
      </c>
      <c r="B131" s="428" t="inlineStr">
        <is>
          <t>Urban Development Standards</t>
        </is>
      </c>
      <c r="C131" s="429" t="inlineStr">
        <is>
          <t>See official source for version history</t>
        </is>
      </c>
      <c r="D131" s="429" t="inlineStr">
        <is>
          <t>Framework issued by the relevant authority. Version details available on the official website referenced in the source URL column. The framework has been updated periodically since first issuance.</t>
        </is>
      </c>
      <c r="E131" s="430" t="inlineStr">
        <is>
          <t>See official source</t>
        </is>
      </c>
      <c r="F131" s="429" t="inlineStr">
        <is>
          <t>Updated as needed by the issuing authority</t>
        </is>
      </c>
      <c r="G131" s="25" t="inlineStr">
        <is>
          <t>CURRENT — consult official source for latest version</t>
        </is>
      </c>
    </row>
    <row r="132" ht="49.5" customHeight="1">
      <c r="A132" s="426" t="inlineStr">
        <is>
          <t>RDIA-FW</t>
        </is>
      </c>
      <c r="B132" s="45" t="inlineStr">
        <is>
          <t>R&amp;D Framework</t>
        </is>
      </c>
      <c r="C132" s="44" t="inlineStr">
        <is>
          <t>See official source for version history</t>
        </is>
      </c>
      <c r="D132" s="44" t="inlineStr">
        <is>
          <t>Framework issued by the relevant authority. Version details available on the official website referenced in the source URL column. The framework has been updated periodically since first issuance.</t>
        </is>
      </c>
      <c r="E132" s="46" t="inlineStr">
        <is>
          <t>See official source</t>
        </is>
      </c>
      <c r="F132" s="44" t="inlineStr">
        <is>
          <t>Updated as needed by the issuing authority</t>
        </is>
      </c>
      <c r="G132" s="25" t="inlineStr">
        <is>
          <t>CURRENT — consult official source for latest version</t>
        </is>
      </c>
    </row>
    <row r="133" ht="49.5" customHeight="1">
      <c r="A133" s="427" t="inlineStr">
        <is>
          <t>REDF-FW</t>
        </is>
      </c>
      <c r="B133" s="428" t="inlineStr">
        <is>
          <t>Real Estate Lending Regulations</t>
        </is>
      </c>
      <c r="C133" s="429" t="inlineStr">
        <is>
          <t>See official source for version history</t>
        </is>
      </c>
      <c r="D133" s="429" t="inlineStr">
        <is>
          <t>Framework issued by the relevant authority. Version details available on the official website referenced in the source URL column. The framework has been updated periodically since first issuance.</t>
        </is>
      </c>
      <c r="E133" s="430" t="inlineStr">
        <is>
          <t>See official source</t>
        </is>
      </c>
      <c r="F133" s="429" t="inlineStr">
        <is>
          <t>Updated as needed by the issuing authority</t>
        </is>
      </c>
      <c r="G133" s="25" t="inlineStr">
        <is>
          <t>CURRENT — consult official source for latest version</t>
        </is>
      </c>
    </row>
    <row r="134" ht="49.5" customHeight="1">
      <c r="A134" s="426" t="inlineStr">
        <is>
          <t>SAAC-FW</t>
        </is>
      </c>
      <c r="B134" s="45" t="inlineStr">
        <is>
          <t>Lab &amp; Inspection Body Accreditation (ISO 17025)</t>
        </is>
      </c>
      <c r="C134" s="44" t="inlineStr">
        <is>
          <t>See official source for version history</t>
        </is>
      </c>
      <c r="D134" s="44" t="inlineStr">
        <is>
          <t>Framework issued by the relevant authority. Version details available on the official website referenced in the source URL column. The framework has been updated periodically since first issuance.</t>
        </is>
      </c>
      <c r="E134" s="46" t="inlineStr">
        <is>
          <t>See official source</t>
        </is>
      </c>
      <c r="F134" s="44" t="inlineStr">
        <is>
          <t>Updated as needed by the issuing authority</t>
        </is>
      </c>
      <c r="G134" s="25" t="inlineStr">
        <is>
          <t>CURRENT — consult official source for latest version</t>
        </is>
      </c>
    </row>
    <row r="135" ht="49.5" customHeight="1">
      <c r="A135" s="427" t="inlineStr">
        <is>
          <t>SAFCSP-FW</t>
        </is>
      </c>
      <c r="B135" s="428" t="inlineStr">
        <is>
          <t>IFRS &amp; Auditing Standards</t>
        </is>
      </c>
      <c r="C135" s="429" t="inlineStr">
        <is>
          <t>See official source for version history</t>
        </is>
      </c>
      <c r="D135" s="429" t="inlineStr">
        <is>
          <t>Framework issued by the relevant authority. Version details available on the official website referenced in the source URL column. The framework has been updated periodically since first issuance.</t>
        </is>
      </c>
      <c r="E135" s="430" t="inlineStr">
        <is>
          <t>See official source</t>
        </is>
      </c>
      <c r="F135" s="429" t="inlineStr">
        <is>
          <t>Updated as needed by the issuing authority</t>
        </is>
      </c>
      <c r="G135" s="25" t="inlineStr">
        <is>
          <t>CURRENT — consult official source for latest version</t>
        </is>
      </c>
    </row>
    <row r="136" ht="49.5" customHeight="1">
      <c r="A136" s="426" t="inlineStr">
        <is>
          <t>SAIP-FW</t>
        </is>
      </c>
      <c r="B136" s="45" t="inlineStr">
        <is>
          <t>IP &amp; Patent Law</t>
        </is>
      </c>
      <c r="C136" s="44" t="inlineStr">
        <is>
          <t>See official source for version history</t>
        </is>
      </c>
      <c r="D136" s="44" t="inlineStr">
        <is>
          <t>Framework issued by the relevant authority. Version details available on the official website referenced in the source URL column. The framework has been updated periodically since first issuance.</t>
        </is>
      </c>
      <c r="E136" s="46" t="inlineStr">
        <is>
          <t>See official source</t>
        </is>
      </c>
      <c r="F136" s="44" t="inlineStr">
        <is>
          <t>Updated as needed by the issuing authority</t>
        </is>
      </c>
      <c r="G136" s="25" t="inlineStr">
        <is>
          <t>CURRENT — consult official source for latest version</t>
        </is>
      </c>
    </row>
    <row r="137" ht="49.5" customHeight="1">
      <c r="A137" s="427" t="inlineStr">
        <is>
          <t>SAMA-AML</t>
        </is>
      </c>
      <c r="B137" s="428" t="inlineStr">
        <is>
          <t>Anti-Money Laundering Regulations</t>
        </is>
      </c>
      <c r="C137" s="429" t="inlineStr">
        <is>
          <t>First 2012 → major update 2024; aligned with FATF recommendations</t>
        </is>
      </c>
      <c r="D137" s="429" t="inlineStr">
        <is>
          <t>FATF-aligned AML/CTF framework. 167 controls covering: customer due diligence, enhanced due diligence for high-risk customers, transaction monitoring, STR/SAR reporting to SAFIU, correspondent banking, PEP screening. 2024 update: virtual asset coverage; beneficial ownership enhanced; digital onboarding AML requirements. Healthcare relevance: health insurance premium fraud, medical billing fraud</t>
        </is>
      </c>
      <c r="E137" s="430" t="inlineStr">
        <is>
          <t>First: 2012. Major update: 2024</t>
        </is>
      </c>
      <c r="F137" s="429" t="inlineStr">
        <is>
          <t>Updated with FATF mutual evaluation recommendations</t>
        </is>
      </c>
      <c r="G137" s="25" t="inlineStr">
        <is>
          <t>CURRENT — 2024 version</t>
        </is>
      </c>
    </row>
    <row r="138" ht="49.5" customHeight="1">
      <c r="A138" s="426" t="inlineStr">
        <is>
          <t>SAMA-BCM</t>
        </is>
      </c>
      <c r="B138" s="45" t="inlineStr">
        <is>
          <t>Business Continuity Management Framework</t>
        </is>
      </c>
      <c r="C138" s="44" t="inlineStr">
        <is>
          <t>First ~2018 → updated 2023</t>
        </is>
      </c>
      <c r="D138" s="44" t="inlineStr">
        <is>
          <t>BCM for SAMA-regulated entities. Key provisions: Business Impact Analysis (BIA) mandatory; Recovery Time Objectives (RTO) / Recovery Point Objectives (RPO) defined by criticality; annual BCM tests required; health insurance BCM covers claims payment continuity; cyber incident recovery planning; regulatory reporting within 4 hours of major disruption; coordination with NCA for cyber incidents</t>
        </is>
      </c>
      <c r="E138" s="46" t="inlineStr">
        <is>
          <t>First: ~2018. Updated: 2023</t>
        </is>
      </c>
      <c r="F138" s="44" t="inlineStr">
        <is>
          <t>Annual cycle; review 2025</t>
        </is>
      </c>
      <c r="G138" s="25" t="inlineStr">
        <is>
          <t>CURRENT — 2023 version</t>
        </is>
      </c>
    </row>
    <row r="139" ht="49.5" customHeight="1">
      <c r="A139" s="427" t="inlineStr">
        <is>
          <t>SAMA-CCP</t>
        </is>
      </c>
      <c r="B139" s="428" t="inlineStr">
        <is>
          <t>Consumer/Customer Protection Principles</t>
        </is>
      </c>
      <c r="C139" s="429" t="inlineStr">
        <is>
          <t>See official source for version history</t>
        </is>
      </c>
      <c r="D139" s="429" t="inlineStr">
        <is>
          <t>Framework issued by the relevant authority. Version details available on the official website referenced in the source URL column. The framework has been updated periodically since first issuance.</t>
        </is>
      </c>
      <c r="E139" s="430" t="inlineStr">
        <is>
          <t>See official source</t>
        </is>
      </c>
      <c r="F139" s="429" t="inlineStr">
        <is>
          <t>Updated as needed by the issuing authority</t>
        </is>
      </c>
      <c r="G139" s="25" t="inlineStr">
        <is>
          <t>CURRENT — consult official source for latest version</t>
        </is>
      </c>
    </row>
    <row r="140" ht="49.5" customHeight="1">
      <c r="A140" s="426" t="inlineStr">
        <is>
          <t>SAMA-CLOUD</t>
        </is>
      </c>
      <c r="B140" s="45" t="inlineStr">
        <is>
          <t>Cloud Computing Policy</t>
        </is>
      </c>
      <c r="C140" s="44" t="inlineStr">
        <is>
          <t>See official source for version history</t>
        </is>
      </c>
      <c r="D140" s="44" t="inlineStr">
        <is>
          <t>Framework issued by the relevant authority. Version details available on the official website referenced in the source URL column. The framework has been updated periodically since first issuance.</t>
        </is>
      </c>
      <c r="E140" s="46" t="inlineStr">
        <is>
          <t>See official source</t>
        </is>
      </c>
      <c r="F140" s="44" t="inlineStr">
        <is>
          <t>Updated as needed by the issuing authority</t>
        </is>
      </c>
      <c r="G140" s="25" t="inlineStr">
        <is>
          <t>CURRENT — consult official source for latest version</t>
        </is>
      </c>
    </row>
    <row r="141" ht="49.5" customHeight="1">
      <c r="A141" s="427" t="inlineStr">
        <is>
          <t>SAMA-CSF</t>
        </is>
      </c>
      <c r="B141" s="428" t="inlineStr">
        <is>
          <t>SAMA Cybersecurity Framework</t>
        </is>
      </c>
      <c r="C141" s="429" t="inlineStr">
        <is>
          <t>Issued May 2017 (one version; periodic guidance updates)</t>
        </is>
      </c>
      <c r="D141" s="429" t="inlineStr">
        <is>
          <t>5 cybersecurity domains: Leadership &amp; Governance, Risk Management &amp; Compliance, Operations &amp; Technology, Third Party, Customer Awareness. 29 objectives, 114 sub-controls. 6 maturity levels (Initial → Optimised). Annual self-assessment required. External assessment every 3 years. SAMA inspectors conduct surprise audits. Health insurance companies are SAMA/IAIC-regulated and must comply. Aligned with NIST CSF, ISO 27001, PCI DSS</t>
        </is>
      </c>
      <c r="E141" s="430" t="inlineStr">
        <is>
          <t>Issued: May 2017. Annual self-assessment cycle</t>
        </is>
      </c>
      <c r="F141" s="429" t="inlineStr">
        <is>
          <t>Update expected to align with NCA ECC-2:2024 and NIST CSF 2.0</t>
        </is>
      </c>
      <c r="G141" s="25" t="inlineStr">
        <is>
          <t>CURRENT — 2017 version; update anticipated 2025</t>
        </is>
      </c>
    </row>
    <row r="142" ht="49.5" customHeight="1">
      <c r="A142" s="426" t="inlineStr">
        <is>
          <t>SAMA-ITGF</t>
        </is>
      </c>
      <c r="B142" s="45" t="inlineStr">
        <is>
          <t>IT Governance Framework</t>
        </is>
      </c>
      <c r="C142" s="44" t="inlineStr">
        <is>
          <t>See official source for version history</t>
        </is>
      </c>
      <c r="D142" s="44" t="inlineStr">
        <is>
          <t>Framework issued by the relevant authority. Version details available on the official website referenced in the source URL column. The framework has been updated periodically since first issuance.</t>
        </is>
      </c>
      <c r="E142" s="46" t="inlineStr">
        <is>
          <t>See official source</t>
        </is>
      </c>
      <c r="F142" s="44" t="inlineStr">
        <is>
          <t>Updated as needed by the issuing authority</t>
        </is>
      </c>
      <c r="G142" s="25" t="inlineStr">
        <is>
          <t>CURRENT — consult official source for latest version</t>
        </is>
      </c>
    </row>
    <row r="143" ht="49.5" customHeight="1">
      <c r="A143" s="427" t="inlineStr">
        <is>
          <t>SAMA-OBF</t>
        </is>
      </c>
      <c r="B143" s="428" t="inlineStr">
        <is>
          <t>Open Banking Framework</t>
        </is>
      </c>
      <c r="C143" s="429" t="inlineStr">
        <is>
          <t>See official source for version history</t>
        </is>
      </c>
      <c r="D143" s="429" t="inlineStr">
        <is>
          <t>Framework issued by the relevant authority. Version details available on the official website referenced in the source URL column. The framework has been updated periodically since first issuance.</t>
        </is>
      </c>
      <c r="E143" s="430" t="inlineStr">
        <is>
          <t>See official source</t>
        </is>
      </c>
      <c r="F143" s="429" t="inlineStr">
        <is>
          <t>Updated as needed by the issuing authority</t>
        </is>
      </c>
      <c r="G143" s="25" t="inlineStr">
        <is>
          <t>CURRENT — consult official source for latest version</t>
        </is>
      </c>
    </row>
    <row r="144" ht="49.5" customHeight="1">
      <c r="A144" s="426" t="inlineStr">
        <is>
          <t>SAMA-PSR</t>
        </is>
      </c>
      <c r="B144" s="45" t="inlineStr">
        <is>
          <t>Payment Services Regulations</t>
        </is>
      </c>
      <c r="C144" s="44" t="inlineStr">
        <is>
          <t>See official source for version history</t>
        </is>
      </c>
      <c r="D144" s="44" t="inlineStr">
        <is>
          <t>Framework issued by the relevant authority. Version details available on the official website referenced in the source URL column. The framework has been updated periodically since first issuance.</t>
        </is>
      </c>
      <c r="E144" s="46" t="inlineStr">
        <is>
          <t>See official source</t>
        </is>
      </c>
      <c r="F144" s="44" t="inlineStr">
        <is>
          <t>Updated as needed by the issuing authority</t>
        </is>
      </c>
      <c r="G144" s="25" t="inlineStr">
        <is>
          <t>CURRENT — consult official source for latest version</t>
        </is>
      </c>
    </row>
    <row r="145" ht="49.5" customHeight="1">
      <c r="A145" s="427" t="inlineStr">
        <is>
          <t>SASO-HALAL</t>
        </is>
      </c>
      <c r="B145" s="428" t="inlineStr">
        <is>
          <t>Halal Standards (in coordination with SFDA)</t>
        </is>
      </c>
      <c r="C145" s="429" t="inlineStr">
        <is>
          <t>See official source for version history</t>
        </is>
      </c>
      <c r="D145" s="429" t="inlineStr">
        <is>
          <t>Framework issued by the relevant authority. Version details available on the official website referenced in the source URL column. The framework has been updated periodically since first issuance.</t>
        </is>
      </c>
      <c r="E145" s="430" t="inlineStr">
        <is>
          <t>See official source</t>
        </is>
      </c>
      <c r="F145" s="429" t="inlineStr">
        <is>
          <t>Updated as needed by the issuing authority</t>
        </is>
      </c>
      <c r="G145" s="25" t="inlineStr">
        <is>
          <t>CURRENT — consult official source for latest version</t>
        </is>
      </c>
    </row>
    <row r="146" ht="49.5" customHeight="1">
      <c r="A146" s="426" t="inlineStr">
        <is>
          <t>SASO-METRO</t>
        </is>
      </c>
      <c r="B146" s="45" t="inlineStr">
        <is>
          <t>Metrology Regulations</t>
        </is>
      </c>
      <c r="C146" s="44" t="inlineStr">
        <is>
          <t>See official source for version history</t>
        </is>
      </c>
      <c r="D146" s="44" t="inlineStr">
        <is>
          <t>Framework issued by the relevant authority. Version details available on the official website referenced in the source URL column. The framework has been updated periodically since first issuance.</t>
        </is>
      </c>
      <c r="E146" s="46" t="inlineStr">
        <is>
          <t>See official source</t>
        </is>
      </c>
      <c r="F146" s="44" t="inlineStr">
        <is>
          <t>Updated as needed by the issuing authority</t>
        </is>
      </c>
      <c r="G146" s="25" t="inlineStr">
        <is>
          <t>CURRENT — consult official source for latest version</t>
        </is>
      </c>
    </row>
    <row r="147" ht="49.5" customHeight="1">
      <c r="A147" s="427" t="inlineStr">
        <is>
          <t>SASO-PS</t>
        </is>
      </c>
      <c r="B147" s="428" t="inlineStr">
        <is>
          <t>Product Safety &amp; Technical Regulations</t>
        </is>
      </c>
      <c r="C147" s="429" t="inlineStr">
        <is>
          <t>SASO established 1972 → SABER platform 2019 → ongoing Technical Regulation updates</t>
        </is>
      </c>
      <c r="D147" s="429" t="inlineStr">
        <is>
          <t>Technical regulations cover 467+ product categories. Medical devices: must comply with SFDA-MDR AND SASO safety standards for electrical safety (IEC 60601 series). IoT devices for healthcare: SASO requires safety and EMC testing. SABER platform (2019): mandatory pre-clearance for regulated product imports. Ongoing updates align with GCC Standardization Organization (GSO) and international standards (IEC, ISO)</t>
        </is>
      </c>
      <c r="E147" s="430" t="inlineStr">
        <is>
          <t>Established: 1972. SABER: 2019. Ongoing technical regulation updates</t>
        </is>
      </c>
      <c r="F147" s="429" t="inlineStr">
        <is>
          <t>Continuous; aligned with GCC GSO updates</t>
        </is>
      </c>
      <c r="G147" s="25" t="inlineStr">
        <is>
          <t>CURRENT — ongoing updates</t>
        </is>
      </c>
    </row>
    <row r="148" ht="49.5" customHeight="1">
      <c r="A148" s="426" t="inlineStr">
        <is>
          <t>SASO-SABER</t>
        </is>
      </c>
      <c r="B148" s="45" t="inlineStr">
        <is>
          <t>SABER Product Conformity Platform</t>
        </is>
      </c>
      <c r="C148" s="44" t="inlineStr">
        <is>
          <t>See official source for version history</t>
        </is>
      </c>
      <c r="D148" s="44" t="inlineStr">
        <is>
          <t>Framework issued by the relevant authority. Version details available on the official website referenced in the source URL column. The framework has been updated periodically since first issuance.</t>
        </is>
      </c>
      <c r="E148" s="46" t="inlineStr">
        <is>
          <t>See official source</t>
        </is>
      </c>
      <c r="F148" s="44" t="inlineStr">
        <is>
          <t>Updated as needed by the issuing authority</t>
        </is>
      </c>
      <c r="G148" s="25" t="inlineStr">
        <is>
          <t>CURRENT — consult official source for latest version</t>
        </is>
      </c>
    </row>
    <row r="149" ht="49.5" customHeight="1">
      <c r="A149" s="427" t="inlineStr">
        <is>
          <t>SBC-FW</t>
        </is>
      </c>
      <c r="B149" s="428" t="inlineStr">
        <is>
          <t>Business Registration &amp; Licensing Standards</t>
        </is>
      </c>
      <c r="C149" s="429" t="inlineStr">
        <is>
          <t>See official source for version history</t>
        </is>
      </c>
      <c r="D149" s="429" t="inlineStr">
        <is>
          <t>Framework issued by the relevant authority. Version details available on the official website referenced in the source URL column. The framework has been updated periodically since first issuance.</t>
        </is>
      </c>
      <c r="E149" s="430" t="inlineStr">
        <is>
          <t>See official source</t>
        </is>
      </c>
      <c r="F149" s="429" t="inlineStr">
        <is>
          <t>Updated as needed by the issuing authority</t>
        </is>
      </c>
      <c r="G149" s="25" t="inlineStr">
        <is>
          <t>CURRENT — consult official source for latest version</t>
        </is>
      </c>
    </row>
    <row r="150" ht="49.5" customHeight="1">
      <c r="A150" s="426" t="inlineStr">
        <is>
          <t>SCEBA-FW</t>
        </is>
      </c>
      <c r="B150" s="45" t="inlineStr">
        <is>
          <t>Clinical Practice Guidelines &amp; HTA Regulations</t>
        </is>
      </c>
      <c r="C150" s="44" t="inlineStr">
        <is>
          <t>See official source for version history</t>
        </is>
      </c>
      <c r="D150" s="44" t="inlineStr">
        <is>
          <t>Framework issued by the relevant authority. Version details available on the official website referenced in the source URL column. The framework has been updated periodically since first issuance.</t>
        </is>
      </c>
      <c r="E150" s="46" t="inlineStr">
        <is>
          <t>See official source</t>
        </is>
      </c>
      <c r="F150" s="44" t="inlineStr">
        <is>
          <t>Updated as needed by the issuing authority</t>
        </is>
      </c>
      <c r="G150" s="25" t="inlineStr">
        <is>
          <t>CURRENT — consult official source for latest version</t>
        </is>
      </c>
    </row>
    <row r="151" ht="49.5" customHeight="1">
      <c r="A151" s="427" t="inlineStr">
        <is>
          <t>SCFHS-CPD</t>
        </is>
      </c>
      <c r="B151" s="428" t="inlineStr">
        <is>
          <t>CPD Framework</t>
        </is>
      </c>
      <c r="C151" s="429" t="inlineStr">
        <is>
          <t>Mandatory CPD since ~2010 → digital health competency added 2022 → revalidation 2024</t>
        </is>
      </c>
      <c r="D151" s="429" t="inlineStr">
        <is>
          <t>CPD credit system: minimum credits per licensing period by profession (e.g., physicians: 50 credits/year). 2022: digital health competency track added — healthcare AI literacy, telemedicine clinical skills, cybersecurity awareness for clinical staff, IoMT device safety. 2024: links to revalidation; poor CPD compliance = licence suspension</t>
        </is>
      </c>
      <c r="E151" s="430" t="inlineStr">
        <is>
          <t>Mandatory: ~2010. Digital health track: 2022. Revalidation link: 2024</t>
        </is>
      </c>
      <c r="F151" s="429" t="inlineStr">
        <is>
          <t>Annual CPD credit cycle; framework reviewed every 3 years</t>
        </is>
      </c>
      <c r="G151" s="25" t="inlineStr">
        <is>
          <t>CURRENT — 2024 version with revalidation integration</t>
        </is>
      </c>
    </row>
    <row r="152" ht="49.5" customHeight="1">
      <c r="A152" s="426" t="inlineStr">
        <is>
          <t>SCFHS-INTL</t>
        </is>
      </c>
      <c r="B152" s="45" t="inlineStr">
        <is>
          <t>International Credential Verification</t>
        </is>
      </c>
      <c r="C152" s="44" t="inlineStr">
        <is>
          <t>See official source for version history</t>
        </is>
      </c>
      <c r="D152" s="44" t="inlineStr">
        <is>
          <t>Framework issued by the relevant authority. Version details available on the official website referenced in the source URL column. The framework has been updated periodically since first issuance.</t>
        </is>
      </c>
      <c r="E152" s="46" t="inlineStr">
        <is>
          <t>See official source</t>
        </is>
      </c>
      <c r="F152" s="44" t="inlineStr">
        <is>
          <t>Updated as needed by the issuing authority</t>
        </is>
      </c>
      <c r="G152" s="25" t="inlineStr">
        <is>
          <t>CURRENT — consult official source for latest version</t>
        </is>
      </c>
    </row>
    <row r="153" ht="49.5" customHeight="1">
      <c r="A153" s="427" t="inlineStr">
        <is>
          <t>SCFHS-PLF</t>
        </is>
      </c>
      <c r="B153" s="428" t="inlineStr">
        <is>
          <t>Professional Licensing Framework</t>
        </is>
      </c>
      <c r="C153" s="429" t="inlineStr">
        <is>
          <t>Established 1992 → national revalidation framework launched 2024</t>
        </is>
      </c>
      <c r="D153" s="429" t="inlineStr">
        <is>
          <t>1992 (establishment): basic licensing for physicians. Progressive expansion to all health professions. 2015: online licensing portal. 2018: expanded to allied health. 2024: National Healthcare Practitioners Revalidation Framework (regular revalidation every 3-5 years); digital licensing wallet launched; cybersecurity awareness included in CPD requirements; international credential recognition agreements expanded to 45 countries</t>
        </is>
      </c>
      <c r="E153" s="430" t="inlineStr">
        <is>
          <t>Established: 1992. Revalidation framework: 2024</t>
        </is>
      </c>
      <c r="F153" s="429" t="inlineStr">
        <is>
          <t>Annual updates; revalidation cycle ongoing</t>
        </is>
      </c>
      <c r="G153" s="25" t="inlineStr">
        <is>
          <t>CURRENT — 2024 enhanced version</t>
        </is>
      </c>
    </row>
    <row r="154" ht="49.5" customHeight="1">
      <c r="A154" s="426" t="inlineStr">
        <is>
          <t>SCFHS-SBOARD</t>
        </is>
      </c>
      <c r="B154" s="45" t="inlineStr">
        <is>
          <t>Saudi Board Postgraduate Education Standards</t>
        </is>
      </c>
      <c r="C154" s="44" t="inlineStr">
        <is>
          <t>See official source for version history</t>
        </is>
      </c>
      <c r="D154" s="44" t="inlineStr">
        <is>
          <t>Framework issued by the relevant authority. Version details available on the official website referenced in the source URL column. The framework has been updated periodically since first issuance.</t>
        </is>
      </c>
      <c r="E154" s="46" t="inlineStr">
        <is>
          <t>See official source</t>
        </is>
      </c>
      <c r="F154" s="44" t="inlineStr">
        <is>
          <t>Updated as needed by the issuing authority</t>
        </is>
      </c>
      <c r="G154" s="25" t="inlineStr">
        <is>
          <t>CURRENT — consult official source for latest version</t>
        </is>
      </c>
    </row>
    <row r="155" ht="49.5" customHeight="1">
      <c r="A155" s="427" t="inlineStr">
        <is>
          <t>SCFHS-SCRUT</t>
        </is>
      </c>
      <c r="B155" s="428" t="inlineStr">
        <is>
          <t>Scrutiny &amp; Malpractice Procedures</t>
        </is>
      </c>
      <c r="C155" s="429" t="inlineStr">
        <is>
          <t>See official source for version history</t>
        </is>
      </c>
      <c r="D155" s="429" t="inlineStr">
        <is>
          <t>Framework issued by the relevant authority. Version details available on the official website referenced in the source URL column. The framework has been updated periodically since first issuance.</t>
        </is>
      </c>
      <c r="E155" s="430" t="inlineStr">
        <is>
          <t>See official source</t>
        </is>
      </c>
      <c r="F155" s="429" t="inlineStr">
        <is>
          <t>Updated as needed by the issuing authority</t>
        </is>
      </c>
      <c r="G155" s="25" t="inlineStr">
        <is>
          <t>CURRENT — consult official source for latest version</t>
        </is>
      </c>
    </row>
    <row r="156" ht="49.5" customHeight="1">
      <c r="A156" s="426" t="inlineStr">
        <is>
          <t>SCyWF</t>
        </is>
      </c>
      <c r="B156" s="45" t="inlineStr">
        <is>
          <t>Saudi Cybersecurity Workforce Framework</t>
        </is>
      </c>
      <c r="C156" s="44" t="inlineStr">
        <is>
          <t>SCyWF v1 2022 → updated 2024 with ECC-2 Saudisation mandate</t>
        </is>
      </c>
      <c r="D156" s="44" t="inlineStr">
        <is>
          <t>National taxonomy of cybersecurity roles and competency levels. Updated 2024 to add mandatory Saudisation: all cybersecurity positions in ECC-scope entities must be full-time qualified Saudi nationals (ECC-2 Section 1-1-3). Healthcare CISO and SOC analyst roles affected directly</t>
        </is>
      </c>
      <c r="E156" s="46" t="inlineStr">
        <is>
          <t>v1 issued 2022. Saudisation mandate: Oct 2024 (ECC-2). Compliance window: Oct 2025</t>
        </is>
      </c>
      <c r="F156" s="44" t="inlineStr">
        <is>
          <t>Annual review with job market changes</t>
        </is>
      </c>
      <c r="G156" s="25" t="inlineStr">
        <is>
          <t>CURRENT — updated 2024</t>
        </is>
      </c>
    </row>
    <row r="157" ht="49.5" customHeight="1">
      <c r="A157" s="427" t="inlineStr">
        <is>
          <t>SCyber-Edu</t>
        </is>
      </c>
      <c r="B157" s="428" t="inlineStr">
        <is>
          <t>Saudi Cybersecurity Higher Education Framework</t>
        </is>
      </c>
      <c r="C157" s="429" t="inlineStr">
        <is>
          <t>SCyber-Edu v1 2022 (First issue)</t>
        </is>
      </c>
      <c r="D157" s="429" t="inlineStr">
        <is>
          <t>Curriculum framework for university-level cybersecurity programmes. Defines core competencies, elective tracks, lab requirements. Aligned with SCyWF role taxonomy. Supports national pipeline for Saudi cybersecurity professionals required by NCA frameworks</t>
        </is>
      </c>
      <c r="E157" s="430" t="inlineStr">
        <is>
          <t>Issued: 2022</t>
        </is>
      </c>
      <c r="F157" s="429" t="inlineStr">
        <is>
          <t>Review every 3 years</t>
        </is>
      </c>
      <c r="G157" s="25" t="inlineStr">
        <is>
          <t>CURRENT — first version</t>
        </is>
      </c>
    </row>
    <row r="158" ht="49.5" customHeight="1">
      <c r="A158" s="426" t="inlineStr">
        <is>
          <t>SDAIA-AI-ADO</t>
        </is>
      </c>
      <c r="B158" s="45" t="inlineStr">
        <is>
          <t>AI Adoption Framework</t>
        </is>
      </c>
      <c r="C158" s="44" t="inlineStr">
        <is>
          <t>First issue Sep 2024</t>
        </is>
      </c>
      <c r="D158" s="44" t="inlineStr">
        <is>
          <t>AI adoption readiness framework with 5 dimensions: Strategy, Data, Technology, People, Governance. Health entities deploying clinical AI must complete readiness assessment. AI risk tiers defined (medical diagnosis = high risk requiring pre-deployment review). Aligns with Saudi AI Strategy and SFDA AI/ML medical device guidance</t>
        </is>
      </c>
      <c r="E158" s="46" t="inlineStr">
        <is>
          <t>Issued: Sep 2024</t>
        </is>
      </c>
      <c r="F158" s="44" t="inlineStr">
        <is>
          <t>Annual review</t>
        </is>
      </c>
      <c r="G158" s="25" t="inlineStr">
        <is>
          <t>CURRENT — first version</t>
        </is>
      </c>
    </row>
    <row r="159" ht="49.5" customHeight="1">
      <c r="A159" s="427" t="inlineStr">
        <is>
          <t>SDAIA-AI-ETH</t>
        </is>
      </c>
      <c r="B159" s="428" t="inlineStr">
        <is>
          <t>AI Ethics Principles (2nd Ed.)</t>
        </is>
      </c>
      <c r="C159" s="429" t="inlineStr">
        <is>
          <t>1st Edition 2019 → 2nd Edition late 2023</t>
        </is>
      </c>
      <c r="D159" s="429" t="inlineStr">
        <is>
          <t>1st Ed (2019): 5 principles (Human-centred, Fairness, Privacy, Reliability, Transparency). 2nd Ed (late 2023): Expanded to address generative AI, hallucination risks, AI in high-stakes decisions (medical diagnosis), human oversight requirements, liability for AI-caused harm. Healthcare AI systems must document ethical review process</t>
        </is>
      </c>
      <c r="E159" s="430" t="inlineStr">
        <is>
          <t>1st Ed: 2019. 2nd Ed: late 2023</t>
        </is>
      </c>
      <c r="F159" s="429" t="inlineStr">
        <is>
          <t>3rd edition expected 2025-2026 post-GenAI regulatory landscape maturation</t>
        </is>
      </c>
      <c r="G159" s="25" t="inlineStr">
        <is>
          <t>CURRENT — 2nd Edition 2023</t>
        </is>
      </c>
    </row>
    <row r="160" ht="49.5" customHeight="1">
      <c r="A160" s="426" t="inlineStr">
        <is>
          <t>SDAIA-GENAI</t>
        </is>
      </c>
      <c r="B160" s="45" t="inlineStr">
        <is>
          <t>Generative AI Guidelines</t>
        </is>
      </c>
      <c r="C160" s="44" t="inlineStr">
        <is>
          <t>Two versions published early 2024: Government employees version + General public version</t>
        </is>
      </c>
      <c r="D160" s="44" t="inlineStr">
        <is>
          <t>Government version: prohibits sharing classified/sensitive data with GenAI tools; requires approved GenAI platforms; human review of AI outputs in official documents. General version: awareness-based, recommends caution with personal health information in GenAI prompts. Healthcare application: clinical staff using AI scribing tools, AI diagnostic aids</t>
        </is>
      </c>
      <c r="E160" s="46" t="inlineStr">
        <is>
          <t>Issued: early 2024</t>
        </is>
      </c>
      <c r="F160" s="44" t="inlineStr">
        <is>
          <t>Rapid evolution expected; formal regulation anticipated 2025</t>
        </is>
      </c>
      <c r="G160" s="25" t="inlineStr">
        <is>
          <t>CURRENT — early 2024 versions</t>
        </is>
      </c>
    </row>
    <row r="161" ht="49.5" customHeight="1">
      <c r="A161" s="427" t="inlineStr">
        <is>
          <t>SDAIA-NSDAI</t>
        </is>
      </c>
      <c r="B161" s="428" t="inlineStr">
        <is>
          <t>National Strategy for Data &amp; AI</t>
        </is>
      </c>
      <c r="C161" s="429" t="inlineStr">
        <is>
          <t>National Strategy for Data &amp; AI 2020-2030 (updated periodically)</t>
        </is>
      </c>
      <c r="D161" s="429" t="inlineStr">
        <is>
          <t>6-dimension strategy: Regulation &amp; Policy, Ecosystem &amp; Infrastructure, Data, Talent, Innovation, International. Health data as strategic national asset. Targets: KSA in top 15 globally for AI readiness; national health data platform (NABIDH); AI-enabled diagnosis deployment across MOH facilities by 2030</t>
        </is>
      </c>
      <c r="E161" s="430" t="inlineStr">
        <is>
          <t>Launched: 2020. Annual progress reports</t>
        </is>
      </c>
      <c r="F161" s="429" t="inlineStr">
        <is>
          <t>Ongoing — 2030 horizon with annual targets</t>
        </is>
      </c>
      <c r="G161" s="65" t="inlineStr">
        <is>
          <t>ACTIVE — 2020-2030 strategy</t>
        </is>
      </c>
    </row>
    <row r="162" ht="49.5" customHeight="1">
      <c r="A162" s="426" t="inlineStr">
        <is>
          <t>SEHA-FW</t>
        </is>
      </c>
      <c r="B162" s="45" t="inlineStr">
        <is>
          <t>Seha Telemedicine &amp; Remote IoMT Standards</t>
        </is>
      </c>
      <c r="C162" s="44" t="inlineStr">
        <is>
          <t>See official source for version history</t>
        </is>
      </c>
      <c r="D162" s="44" t="inlineStr">
        <is>
          <t>Framework issued by the relevant authority. Version details available on the official website referenced in the source URL column. The framework has been updated periodically since first issuance.</t>
        </is>
      </c>
      <c r="E162" s="46" t="inlineStr">
        <is>
          <t>See official source</t>
        </is>
      </c>
      <c r="F162" s="44" t="inlineStr">
        <is>
          <t>Updated as needed by the issuing authority</t>
        </is>
      </c>
      <c r="G162" s="25" t="inlineStr">
        <is>
          <t>CURRENT — consult official source for latest version</t>
        </is>
      </c>
    </row>
    <row r="163" ht="49.5" customHeight="1">
      <c r="A163" s="427" t="inlineStr">
        <is>
          <t>SFD-FW</t>
        </is>
      </c>
      <c r="B163" s="428" t="inlineStr">
        <is>
          <t>Development Finance Regulations</t>
        </is>
      </c>
      <c r="C163" s="429" t="inlineStr">
        <is>
          <t>See official source for version history</t>
        </is>
      </c>
      <c r="D163" s="429" t="inlineStr">
        <is>
          <t>Framework issued by the relevant authority. Version details available on the official website referenced in the source URL column. The framework has been updated periodically since first issuance.</t>
        </is>
      </c>
      <c r="E163" s="430" t="inlineStr">
        <is>
          <t>See official source</t>
        </is>
      </c>
      <c r="F163" s="429" t="inlineStr">
        <is>
          <t>Updated as needed by the issuing authority</t>
        </is>
      </c>
      <c r="G163" s="25" t="inlineStr">
        <is>
          <t>CURRENT — consult official source for latest version</t>
        </is>
      </c>
    </row>
    <row r="164" ht="49.5" customHeight="1">
      <c r="A164" s="426" t="inlineStr">
        <is>
          <t>SFDA-AI-MDS-G010</t>
        </is>
      </c>
      <c r="B164" s="45" t="inlineStr">
        <is>
          <t>AI/ML in Medical Devices (MDS-G010)</t>
        </is>
      </c>
      <c r="C164" s="44" t="inlineStr">
        <is>
          <t>First KSA AI medical device guidance 2024 (no predecessor)</t>
        </is>
      </c>
      <c r="D164" s="44" t="inlineStr">
        <is>
          <t>KSA's first AI/ML medical device regulatory guidance. Key provisions: predetermined change control plan for adaptive algorithms; transparency requirements for AI decision-making in diagnosis; risk-based approach (high-risk: AI for cancer screening, sepsis detection, ICU monitoring); post-market performance monitoring for AI models; labelling requirements for AI-enabled devices; clinical validation requirements specific to Saudi patient populations. Aligns with FDA AI/ML Action Plan and EU AI Act healthcare provisions</t>
        </is>
      </c>
      <c r="E164" s="46" t="inlineStr">
        <is>
          <t>Issued: 2024</t>
        </is>
      </c>
      <c r="F164" s="44" t="inlineStr">
        <is>
          <t>Expected updates 2025-2026 as regulatory science matures</t>
        </is>
      </c>
      <c r="G164" s="25" t="inlineStr">
        <is>
          <t>CURRENT — 2024, first version</t>
        </is>
      </c>
    </row>
    <row r="165" ht="49.5" customHeight="1">
      <c r="A165" s="427" t="inlineStr">
        <is>
          <t>SFDA-COSM</t>
        </is>
      </c>
      <c r="B165" s="428" t="inlineStr">
        <is>
          <t>Cosmetics Regulations</t>
        </is>
      </c>
      <c r="C165" s="429" t="inlineStr">
        <is>
          <t>See official source for version history</t>
        </is>
      </c>
      <c r="D165" s="429" t="inlineStr">
        <is>
          <t>Framework issued by the relevant authority. Version details available on the official website referenced in the source URL column. The framework has been updated periodically since first issuance.</t>
        </is>
      </c>
      <c r="E165" s="430" t="inlineStr">
        <is>
          <t>See official source</t>
        </is>
      </c>
      <c r="F165" s="429" t="inlineStr">
        <is>
          <t>Updated as needed by the issuing authority</t>
        </is>
      </c>
      <c r="G165" s="25" t="inlineStr">
        <is>
          <t>CURRENT — consult official source for latest version</t>
        </is>
      </c>
    </row>
    <row r="166" ht="49.5" customHeight="1">
      <c r="A166" s="426" t="inlineStr">
        <is>
          <t>SFDA-CT</t>
        </is>
      </c>
      <c r="B166" s="45" t="inlineStr">
        <is>
          <t>Clinical Trial Regulations</t>
        </is>
      </c>
      <c r="C166" s="44" t="inlineStr">
        <is>
          <t>See official source for version history</t>
        </is>
      </c>
      <c r="D166" s="44" t="inlineStr">
        <is>
          <t>Framework issued by the relevant authority. Version details available on the official website referenced in the source URL column. The framework has been updated periodically since first issuance.</t>
        </is>
      </c>
      <c r="E166" s="46" t="inlineStr">
        <is>
          <t>See official source</t>
        </is>
      </c>
      <c r="F166" s="44" t="inlineStr">
        <is>
          <t>Updated as needed by the issuing authority</t>
        </is>
      </c>
      <c r="G166" s="25" t="inlineStr">
        <is>
          <t>CURRENT — consult official source for latest version</t>
        </is>
      </c>
    </row>
    <row r="167" ht="49.5" customHeight="1">
      <c r="A167" s="427" t="inlineStr">
        <is>
          <t>SFDA-FOOD</t>
        </is>
      </c>
      <c r="B167" s="428" t="inlineStr">
        <is>
          <t>Food Safety Law</t>
        </is>
      </c>
      <c r="C167" s="429" t="inlineStr">
        <is>
          <t>See official source for version history</t>
        </is>
      </c>
      <c r="D167" s="429" t="inlineStr">
        <is>
          <t>Framework issued by the relevant authority. Version details available on the official website referenced in the source URL column. The framework has been updated periodically since first issuance.</t>
        </is>
      </c>
      <c r="E167" s="430" t="inlineStr">
        <is>
          <t>See official source</t>
        </is>
      </c>
      <c r="F167" s="429" t="inlineStr">
        <is>
          <t>Updated as needed by the issuing authority</t>
        </is>
      </c>
      <c r="G167" s="25" t="inlineStr">
        <is>
          <t>CURRENT — consult official source for latest version</t>
        </is>
      </c>
    </row>
    <row r="168" ht="49.5" customHeight="1">
      <c r="A168" s="426" t="inlineStr">
        <is>
          <t>SFDA-GMP</t>
        </is>
      </c>
      <c r="B168" s="45" t="inlineStr">
        <is>
          <t>Good Manufacturing Practice</t>
        </is>
      </c>
      <c r="C168" s="44" t="inlineStr">
        <is>
          <t>Based on PIC/S GMP guide; KSA-specific updates 2021; ISO 13485 cross-reference</t>
        </is>
      </c>
      <c r="D168" s="44" t="inlineStr">
        <is>
          <t>Aligned with PIC/S PE 009 Guide to GMP. Major elements: Quality Management System, personnel qualification, premises/equipment, documentation, production, quality control, contract manufacturing, complaints/recall. 2021 KSA update: Arabic GMP inspection forms; Saudi-specific requirements for halal APIs and excipients; enhanced requirements for biologics and ATMPs</t>
        </is>
      </c>
      <c r="E168" s="46" t="inlineStr">
        <is>
          <t>Based on PIC/S GMP (continuously updated). KSA update: 2021</t>
        </is>
      </c>
      <c r="F168" s="44" t="inlineStr">
        <is>
          <t>Updated with PIC/S revisions; next expected 2024-2025</t>
        </is>
      </c>
      <c r="G168" s="25" t="inlineStr">
        <is>
          <t>CURRENT — 2021 KSA version</t>
        </is>
      </c>
    </row>
    <row r="169" ht="49.5" customHeight="1">
      <c r="A169" s="427" t="inlineStr">
        <is>
          <t>SFDA-MDR</t>
        </is>
      </c>
      <c r="B169" s="428" t="inlineStr">
        <is>
          <t>Medical Device Regulations</t>
        </is>
      </c>
      <c r="C169" s="429" t="inlineStr">
        <is>
          <t>Royal Decree M/42 2013 → comprehensive revision 2022</t>
        </is>
      </c>
      <c r="D169" s="429" t="inlineStr">
        <is>
          <t>2013: Basic medical device registration system. 2018: Mandatory registration on SFDA e-portal (Estshary). 2020: Class III device pathway accelerated. 2022 comprehensive revision: aligned with IMDRF Global Model; 87 controls covering pre-market/post-market; mandatory UDID (Unique Device Identification) for implantable devices; AI/ML device pathway (leads to MDS-G010 guidance); IVD separate classification. Aligns with EU MDR 2017/745 and FDA 21 CFR Part 820</t>
        </is>
      </c>
      <c r="E169" s="430" t="inlineStr">
        <is>
          <t>Issued: 2013. Comprehensive revision: 2022</t>
        </is>
      </c>
      <c r="F169" s="429" t="inlineStr">
        <is>
          <t>Next major revision expected 2025-2026 addressing AI medical devices more broadly</t>
        </is>
      </c>
      <c r="G169" s="25" t="inlineStr">
        <is>
          <t>CURRENT — 2022 version</t>
        </is>
      </c>
    </row>
    <row r="170" ht="49.5" customHeight="1">
      <c r="A170" s="426" t="inlineStr">
        <is>
          <t>SFDA-PEST</t>
        </is>
      </c>
      <c r="B170" s="45" t="inlineStr">
        <is>
          <t>Pesticide &amp; Biocide Regulations</t>
        </is>
      </c>
      <c r="C170" s="44" t="inlineStr">
        <is>
          <t>See official source for version history</t>
        </is>
      </c>
      <c r="D170" s="44" t="inlineStr">
        <is>
          <t>Framework issued by the relevant authority. Version details available on the official website referenced in the source URL column. The framework has been updated periodically since first issuance.</t>
        </is>
      </c>
      <c r="E170" s="46" t="inlineStr">
        <is>
          <t>See official source</t>
        </is>
      </c>
      <c r="F170" s="44" t="inlineStr">
        <is>
          <t>Updated as needed by the issuing authority</t>
        </is>
      </c>
      <c r="G170" s="25" t="inlineStr">
        <is>
          <t>CURRENT — consult official source for latest version</t>
        </is>
      </c>
    </row>
    <row r="171" ht="49.5" customHeight="1">
      <c r="A171" s="427" t="inlineStr">
        <is>
          <t>SFDA-PHARMA</t>
        </is>
      </c>
      <c r="B171" s="428" t="inlineStr">
        <is>
          <t>Drug &amp; Pharmacy Law</t>
        </is>
      </c>
      <c r="C171" s="429" t="inlineStr">
        <is>
          <t>Royal Decree 1978 → major update 2020; accelerated pathways 2023-2025</t>
        </is>
      </c>
      <c r="D171" s="429" t="inlineStr">
        <is>
          <t>1978: Basic drug and pharmacy law. Multiple updates to 2020 (comprehensive revision). 2020 update: GMP alignment with PIC/S; pharmacovigilance system (SFDA NPC); smart dispensing pharmacy requirements; electronic prescribing integration. 2023-2025: accelerated approval pathways for oncology and rare disease; conditional approval pathway; real-world evidence acceptance; digital pharmacy licensing</t>
        </is>
      </c>
      <c r="E171" s="430" t="inlineStr">
        <is>
          <t>Original: 1978. Major update: 2020. Accelerated pathways: 2023-2025</t>
        </is>
      </c>
      <c r="F171" s="429" t="inlineStr">
        <is>
          <t>Annual updates; accelerated pathway regulations ongoing</t>
        </is>
      </c>
      <c r="G171" s="25" t="inlineStr">
        <is>
          <t>CURRENT — 2020 base with 2023-2025 pathway additions</t>
        </is>
      </c>
    </row>
    <row r="172" ht="49.5" customHeight="1">
      <c r="A172" s="426" t="inlineStr">
        <is>
          <t>SFDA-PMS</t>
        </is>
      </c>
      <c r="B172" s="45" t="inlineStr">
        <is>
          <t>Post-Market Surveillance Requirements</t>
        </is>
      </c>
      <c r="C172" s="44" t="inlineStr">
        <is>
          <t>First comprehensive PMS regulation 2022</t>
        </is>
      </c>
      <c r="D172" s="44" t="inlineStr">
        <is>
          <t>38 control obligations covering: Vigilance reporting timelines (serious incidents: 48 hours; non-serious: 10 days to SFDA); Field Safety Corrective Actions (FSCA) notification; periodic safety update reports; post-market clinical follow-up requirements; trend analysis obligations. IoMT application: connected medical device cyber incidents classified as device safety incidents requiring PMS reporting if patient harm potential exists</t>
        </is>
      </c>
      <c r="E172" s="46" t="inlineStr">
        <is>
          <t>Issued: 2022</t>
        </is>
      </c>
      <c r="F172" s="44" t="inlineStr">
        <is>
          <t>Review 2025</t>
        </is>
      </c>
      <c r="G172" s="25" t="inlineStr">
        <is>
          <t>CURRENT — 2022</t>
        </is>
      </c>
    </row>
    <row r="173" ht="49.5" customHeight="1">
      <c r="A173" s="427" t="inlineStr">
        <is>
          <t>SHC-HSTP</t>
        </is>
      </c>
      <c r="B173" s="428" t="inlineStr">
        <is>
          <t>Health Sector Transformation Programme</t>
        </is>
      </c>
      <c r="C173" s="429" t="inlineStr">
        <is>
          <t>Launched 2016 → annual targets updated → 2025-2030 phase planning</t>
        </is>
      </c>
      <c r="D173" s="429" t="inlineStr">
        <is>
          <t>Health Sector Transformation Programme: the Vision 2030 delivery vehicle for healthcare. Key milestones: 2016 launch; 2020 COVID-19 adaptation; 2022 health cluster governance reform; 2024 (current targets): 80% NABIDH connectivity, 50% privatisation of certain services, 30% telehealth uptake, AI diagnostics in all MOH hospitals. Annual KPI reports published by MOH/SHC</t>
        </is>
      </c>
      <c r="E173" s="430" t="inlineStr">
        <is>
          <t>Launched: 2016. Annual KPIs</t>
        </is>
      </c>
      <c r="F173" s="429" t="inlineStr">
        <is>
          <t>2025-2030 next phase planning underway</t>
        </is>
      </c>
      <c r="G173" s="65" t="inlineStr">
        <is>
          <t>ACTIVE — Vision 2030 programme</t>
        </is>
      </c>
    </row>
    <row r="174" ht="49.5" customHeight="1">
      <c r="A174" s="426" t="inlineStr">
        <is>
          <t>SHC-NHAP</t>
        </is>
      </c>
      <c r="B174" s="45" t="inlineStr">
        <is>
          <t>National Health Accounts Programme</t>
        </is>
      </c>
      <c r="C174" s="44" t="inlineStr">
        <is>
          <t>See official source for version history</t>
        </is>
      </c>
      <c r="D174" s="44" t="inlineStr">
        <is>
          <t>Framework issued by the relevant authority. Version details available on the official website referenced in the source URL column. The framework has been updated periodically since first issuance.</t>
        </is>
      </c>
      <c r="E174" s="46" t="inlineStr">
        <is>
          <t>See official source</t>
        </is>
      </c>
      <c r="F174" s="44" t="inlineStr">
        <is>
          <t>Updated as needed by the issuing authority</t>
        </is>
      </c>
      <c r="G174" s="25" t="inlineStr">
        <is>
          <t>CURRENT — consult official source for latest version</t>
        </is>
      </c>
    </row>
    <row r="175" ht="49.5" customHeight="1">
      <c r="A175" s="427" t="inlineStr">
        <is>
          <t>SHC-PRIV</t>
        </is>
      </c>
      <c r="B175" s="428" t="inlineStr">
        <is>
          <t>Health Sector Privatisation Framework</t>
        </is>
      </c>
      <c r="C175" s="429" t="inlineStr">
        <is>
          <t>See official source for version history</t>
        </is>
      </c>
      <c r="D175" s="429" t="inlineStr">
        <is>
          <t>Framework issued by the relevant authority. Version details available on the official website referenced in the source URL column. The framework has been updated periodically since first issuance.</t>
        </is>
      </c>
      <c r="E175" s="430" t="inlineStr">
        <is>
          <t>See official source</t>
        </is>
      </c>
      <c r="F175" s="429" t="inlineStr">
        <is>
          <t>Updated as needed by the issuing authority</t>
        </is>
      </c>
      <c r="G175" s="25" t="inlineStr">
        <is>
          <t>CURRENT — consult official source for latest version</t>
        </is>
      </c>
    </row>
    <row r="176" ht="49.5" customHeight="1">
      <c r="A176" s="426" t="inlineStr">
        <is>
          <t>SHC-QF</t>
        </is>
      </c>
      <c r="B176" s="45" t="inlineStr">
        <is>
          <t>Saudi Health Quality Framework</t>
        </is>
      </c>
      <c r="C176" s="44" t="inlineStr">
        <is>
          <t>See official source for version history</t>
        </is>
      </c>
      <c r="D176" s="44" t="inlineStr">
        <is>
          <t>Framework issued by the relevant authority. Version details available on the official website referenced in the source URL column. The framework has been updated periodically since first issuance.</t>
        </is>
      </c>
      <c r="E176" s="46" t="inlineStr">
        <is>
          <t>See official source</t>
        </is>
      </c>
      <c r="F176" s="44" t="inlineStr">
        <is>
          <t>Updated as needed by the issuing authority</t>
        </is>
      </c>
      <c r="G176" s="25" t="inlineStr">
        <is>
          <t>CURRENT — consult official source for latest version</t>
        </is>
      </c>
    </row>
    <row r="177" ht="49.5" customHeight="1">
      <c r="A177" s="427" t="inlineStr">
        <is>
          <t>SHURA-FW</t>
        </is>
      </c>
      <c r="B177" s="428" t="inlineStr">
        <is>
          <t>Legislative Review Process</t>
        </is>
      </c>
      <c r="C177" s="429" t="inlineStr">
        <is>
          <t>See official source for version history</t>
        </is>
      </c>
      <c r="D177" s="429" t="inlineStr">
        <is>
          <t>Framework issued by the relevant authority. Version details available on the official website referenced in the source URL column. The framework has been updated periodically since first issuance.</t>
        </is>
      </c>
      <c r="E177" s="430" t="inlineStr">
        <is>
          <t>See official source</t>
        </is>
      </c>
      <c r="F177" s="429" t="inlineStr">
        <is>
          <t>Updated as needed by the issuing authority</t>
        </is>
      </c>
      <c r="G177" s="25" t="inlineStr">
        <is>
          <t>CURRENT — consult official source for latest version</t>
        </is>
      </c>
    </row>
    <row r="178" ht="49.5" customHeight="1">
      <c r="A178" s="426" t="inlineStr">
        <is>
          <t>SIDF-FW</t>
        </is>
      </c>
      <c r="B178" s="45" t="inlineStr">
        <is>
          <t>Industrial Lending Regulations</t>
        </is>
      </c>
      <c r="C178" s="44" t="inlineStr">
        <is>
          <t>See official source for version history</t>
        </is>
      </c>
      <c r="D178" s="44" t="inlineStr">
        <is>
          <t>Framework issued by the relevant authority. Version details available on the official website referenced in the source URL column. The framework has been updated periodically since first issuance.</t>
        </is>
      </c>
      <c r="E178" s="46" t="inlineStr">
        <is>
          <t>See official source</t>
        </is>
      </c>
      <c r="F178" s="44" t="inlineStr">
        <is>
          <t>Updated as needed by the issuing authority</t>
        </is>
      </c>
      <c r="G178" s="25" t="inlineStr">
        <is>
          <t>CURRENT — consult official source for latest version</t>
        </is>
      </c>
    </row>
    <row r="179" ht="49.5" customHeight="1">
      <c r="A179" s="427" t="inlineStr">
        <is>
          <t>SME-FW</t>
        </is>
      </c>
      <c r="B179" s="428" t="inlineStr">
        <is>
          <t>SME Development Regulations</t>
        </is>
      </c>
      <c r="C179" s="429" t="inlineStr">
        <is>
          <t>See official source for version history</t>
        </is>
      </c>
      <c r="D179" s="429" t="inlineStr">
        <is>
          <t>Framework issued by the relevant authority. Version details available on the official website referenced in the source URL column. The framework has been updated periodically since first issuance.</t>
        </is>
      </c>
      <c r="E179" s="430" t="inlineStr">
        <is>
          <t>See official source</t>
        </is>
      </c>
      <c r="F179" s="429" t="inlineStr">
        <is>
          <t>Updated as needed by the issuing authority</t>
        </is>
      </c>
      <c r="G179" s="25" t="inlineStr">
        <is>
          <t>CURRENT — consult official source for latest version</t>
        </is>
      </c>
    </row>
    <row r="180" ht="49.5" customHeight="1">
      <c r="A180" s="426" t="inlineStr">
        <is>
          <t>SSA-FW</t>
        </is>
      </c>
      <c r="B180" s="45" t="inlineStr">
        <is>
          <t>Space Regulations &amp; Licensing</t>
        </is>
      </c>
      <c r="C180" s="44" t="inlineStr">
        <is>
          <t>See official source for version history</t>
        </is>
      </c>
      <c r="D180" s="44" t="inlineStr">
        <is>
          <t>Framework issued by the relevant authority. Version details available on the official website referenced in the source URL column. The framework has been updated periodically since first issuance.</t>
        </is>
      </c>
      <c r="E180" s="46" t="inlineStr">
        <is>
          <t>See official source</t>
        </is>
      </c>
      <c r="F180" s="44" t="inlineStr">
        <is>
          <t>Updated as needed by the issuing authority</t>
        </is>
      </c>
      <c r="G180" s="25" t="inlineStr">
        <is>
          <t>CURRENT — consult official source for latest version</t>
        </is>
      </c>
    </row>
    <row r="181" ht="49.5" customHeight="1">
      <c r="A181" s="427" t="inlineStr">
        <is>
          <t>STA-FW</t>
        </is>
      </c>
      <c r="B181" s="428" t="inlineStr">
        <is>
          <t>Tourism Standards</t>
        </is>
      </c>
      <c r="C181" s="429" t="inlineStr">
        <is>
          <t>See official source for version history</t>
        </is>
      </c>
      <c r="D181" s="429" t="inlineStr">
        <is>
          <t>Framework issued by the relevant authority. Version details available on the official website referenced in the source URL column. The framework has been updated periodically since first issuance.</t>
        </is>
      </c>
      <c r="E181" s="430" t="inlineStr">
        <is>
          <t>See official source</t>
        </is>
      </c>
      <c r="F181" s="429" t="inlineStr">
        <is>
          <t>Updated as needed by the issuing authority</t>
        </is>
      </c>
      <c r="G181" s="25" t="inlineStr">
        <is>
          <t>CURRENT — consult official source for latest version</t>
        </is>
      </c>
    </row>
    <row r="182" ht="49.5" customHeight="1">
      <c r="A182" s="426" t="inlineStr">
        <is>
          <t>SWCC-FW</t>
        </is>
      </c>
      <c r="B182" s="45" t="inlineStr">
        <is>
          <t>Water Supply Standards</t>
        </is>
      </c>
      <c r="C182" s="44" t="inlineStr">
        <is>
          <t>See official source for version history</t>
        </is>
      </c>
      <c r="D182" s="44" t="inlineStr">
        <is>
          <t>Framework issued by the relevant authority. Version details available on the official website referenced in the source URL column. The framework has been updated periodically since first issuance.</t>
        </is>
      </c>
      <c r="E182" s="46" t="inlineStr">
        <is>
          <t>See official source</t>
        </is>
      </c>
      <c r="F182" s="44" t="inlineStr">
        <is>
          <t>Updated as needed by the issuing authority</t>
        </is>
      </c>
      <c r="G182" s="25" t="inlineStr">
        <is>
          <t>CURRENT — consult official source for latest version</t>
        </is>
      </c>
    </row>
    <row r="183" ht="49.5" customHeight="1">
      <c r="A183" s="427" t="inlineStr">
        <is>
          <t>TCC-1:2021</t>
        </is>
      </c>
      <c r="B183" s="428" t="inlineStr">
        <is>
          <t>Telework Cybersecurity Controls</t>
        </is>
      </c>
      <c r="C183" s="429" t="inlineStr">
        <is>
          <t>TCC-1:2021 (First issue)</t>
        </is>
      </c>
      <c r="D183" s="429" t="inlineStr">
        <is>
          <t>21 main controls / 42 sub-controls across 3 domains: Telework Governance, Telework Security, Telework Monitoring. Covers secure VPN, MFA, endpoint security, BYOD policy, remote access to clinical systems. Healthcare application: telehealth clinicians accessing patient records remotely</t>
        </is>
      </c>
      <c r="E183" s="430" t="inlineStr">
        <is>
          <t>Issued: 2021. Mandatory for ECC-scope entities with remote workers</t>
        </is>
      </c>
      <c r="F183" s="429" t="inlineStr">
        <is>
          <t>Review expected 2025-2026</t>
        </is>
      </c>
      <c r="G183" s="25" t="inlineStr">
        <is>
          <t>CURRENT — first and only version</t>
        </is>
      </c>
    </row>
    <row r="184" ht="49.5" customHeight="1">
      <c r="A184" s="426" t="inlineStr">
        <is>
          <t>TVTC-FW</t>
        </is>
      </c>
      <c r="B184" s="45" t="inlineStr">
        <is>
          <t>Vocational Training Standards</t>
        </is>
      </c>
      <c r="C184" s="44" t="inlineStr">
        <is>
          <t>See official source for version history</t>
        </is>
      </c>
      <c r="D184" s="44" t="inlineStr">
        <is>
          <t>Framework issued by the relevant authority. Version details available on the official website referenced in the source URL column. The framework has been updated periodically since first issuance.</t>
        </is>
      </c>
      <c r="E184" s="46" t="inlineStr">
        <is>
          <t>See official source</t>
        </is>
      </c>
      <c r="F184" s="44" t="inlineStr">
        <is>
          <t>Updated as needed by the issuing authority</t>
        </is>
      </c>
      <c r="G184" s="25" t="inlineStr">
        <is>
          <t>CURRENT — consult official source for latest version</t>
        </is>
      </c>
    </row>
    <row r="185" ht="49.5" customHeight="1">
      <c r="A185" s="427" t="inlineStr">
        <is>
          <t>Tadawul-FW</t>
        </is>
      </c>
      <c r="B185" s="428" t="inlineStr">
        <is>
          <t>Market Disclosure &amp; Listing Rules</t>
        </is>
      </c>
      <c r="C185" s="429" t="inlineStr">
        <is>
          <t>See official source for version history</t>
        </is>
      </c>
      <c r="D185" s="429" t="inlineStr">
        <is>
          <t>Framework issued by the relevant authority. Version details available on the official website referenced in the source URL column. The framework has been updated periodically since first issuance.</t>
        </is>
      </c>
      <c r="E185" s="430" t="inlineStr">
        <is>
          <t>See official source</t>
        </is>
      </c>
      <c r="F185" s="429" t="inlineStr">
        <is>
          <t>Updated as needed by the issuing authority</t>
        </is>
      </c>
      <c r="G185" s="25" t="inlineStr">
        <is>
          <t>CURRENT — consult official source for latest version</t>
        </is>
      </c>
    </row>
    <row r="186" ht="49.5" customHeight="1">
      <c r="A186" s="426" t="inlineStr">
        <is>
          <t>V2030-FW</t>
        </is>
      </c>
      <c r="B186" s="45" t="inlineStr">
        <is>
          <t>Vision 2030 Framework &amp; Programmes</t>
        </is>
      </c>
      <c r="C186" s="44" t="inlineStr">
        <is>
          <t>See official source for version history</t>
        </is>
      </c>
      <c r="D186" s="44" t="inlineStr">
        <is>
          <t>Framework issued by the relevant authority. Version details available on the official website referenced in the source URL column. The framework has been updated periodically since first issuance.</t>
        </is>
      </c>
      <c r="E186" s="46" t="inlineStr">
        <is>
          <t>See official source</t>
        </is>
      </c>
      <c r="F186" s="44" t="inlineStr">
        <is>
          <t>Updated as needed by the issuing authority</t>
        </is>
      </c>
      <c r="G186" s="25" t="inlineStr">
        <is>
          <t>CURRENT — consult official source for latest version</t>
        </is>
      </c>
    </row>
    <row r="187" ht="49.5" customHeight="1">
      <c r="A187" s="427" t="inlineStr">
        <is>
          <t>ZATCA-CUST</t>
        </is>
      </c>
      <c r="B187" s="428" t="inlineStr">
        <is>
          <t>Customs Regulations</t>
        </is>
      </c>
      <c r="C187" s="429" t="inlineStr">
        <is>
          <t>See official source for version history</t>
        </is>
      </c>
      <c r="D187" s="429" t="inlineStr">
        <is>
          <t>Framework issued by the relevant authority. Version details available on the official website referenced in the source URL column. The framework has been updated periodically since first issuance.</t>
        </is>
      </c>
      <c r="E187" s="430" t="inlineStr">
        <is>
          <t>See official source</t>
        </is>
      </c>
      <c r="F187" s="429" t="inlineStr">
        <is>
          <t>Updated as needed by the issuing authority</t>
        </is>
      </c>
      <c r="G187" s="25" t="inlineStr">
        <is>
          <t>CURRENT — consult official source for latest version</t>
        </is>
      </c>
    </row>
    <row r="188" ht="49.5" customHeight="1">
      <c r="A188" s="426" t="inlineStr">
        <is>
          <t>ZATCA-EINV-P1</t>
        </is>
      </c>
      <c r="B188" s="45" t="inlineStr">
        <is>
          <t>E-Invoicing Phase 1 (Generation)</t>
        </is>
      </c>
      <c r="C188" s="44" t="inlineStr">
        <is>
          <t>Phase 1 Dec 1, 2021</t>
        </is>
      </c>
      <c r="D188" s="44" t="inlineStr">
        <is>
          <t>Generation phase: all VAT-registered taxpayers must generate electronic invoices (standard and simplified) in a structured format (XML/PDF/A-3). Invoices must have UUID, QR code, date, supplier/buyer details, VAT amount. Hospital billing systems, pharmacy POS, medical device invoices all require e-invoice generation. Hardware and software certified by ZATCA required</t>
        </is>
      </c>
      <c r="E188" s="46" t="inlineStr">
        <is>
          <t>Mandatory from: Dec 1, 2021</t>
        </is>
      </c>
      <c r="F188" s="44" t="inlineStr">
        <is>
          <t>Ongoing; businesses must maintain compliant systems</t>
        </is>
      </c>
      <c r="G188" s="25" t="inlineStr">
        <is>
          <t>MANDATORY — Dec 2021</t>
        </is>
      </c>
    </row>
    <row r="189" ht="49.5" customHeight="1">
      <c r="A189" s="427" t="inlineStr">
        <is>
          <t>ZATCA-EINV-P2</t>
        </is>
      </c>
      <c r="B189" s="428" t="inlineStr">
        <is>
          <t>E-Invoicing Phase 2 (Integration)</t>
        </is>
      </c>
      <c r="C189" s="429" t="inlineStr">
        <is>
          <t>Phase 2 rolled out in waves from Jan 1, 2023 onwards (by taxpayer size)</t>
        </is>
      </c>
      <c r="D189" s="429" t="inlineStr">
        <is>
          <t>Integration phase: real-time integration of e-invoicing system with ZATCA Fatoora portal. Requirements: ZATCA API connection; cryptographic stamp (ZATCA-issued certificate); UUID generated by ZATCA; clearance model for standard invoices (real-time); reporting model for simplified invoices (24-hour batch). Phased rollout by revenue: largest taxpayers from Jan 2023, rolling to all by 2025. Hospital systems and pharmacy chains in early waves</t>
        </is>
      </c>
      <c r="E189" s="430" t="inlineStr">
        <is>
          <t>Phase 2 start: Jan 1, 2023 (wave 1). All taxpayers: 2025</t>
        </is>
      </c>
      <c r="F189" s="429" t="inlineStr">
        <is>
          <t>Ongoing rollout</t>
        </is>
      </c>
      <c r="G189" s="25" t="inlineStr">
        <is>
          <t>CURRENT — phased rollout Jan 2023-2025</t>
        </is>
      </c>
    </row>
    <row r="190" ht="49.5" customHeight="1">
      <c r="A190" s="426" t="inlineStr">
        <is>
          <t>ZATCA-VAT</t>
        </is>
      </c>
      <c r="B190" s="45" t="inlineStr">
        <is>
          <t>VAT Implementing Regulations</t>
        </is>
      </c>
      <c r="C190" s="44" t="inlineStr">
        <is>
          <t>See official source for version history</t>
        </is>
      </c>
      <c r="D190" s="44" t="inlineStr">
        <is>
          <t>Framework issued by the relevant authority. Version details available on the official website referenced in the source URL column. The framework has been updated periodically since first issuance.</t>
        </is>
      </c>
      <c r="E190" s="46" t="inlineStr">
        <is>
          <t>See official source</t>
        </is>
      </c>
      <c r="F190" s="44" t="inlineStr">
        <is>
          <t>Updated as needed by the issuing authority</t>
        </is>
      </c>
      <c r="G190" s="25" t="inlineStr">
        <is>
          <t>CURRENT — consult official source for latest version</t>
        </is>
      </c>
    </row>
    <row r="191" ht="49.5" customHeight="1">
      <c r="A191" s="427" t="inlineStr">
        <is>
          <t>ZATCA-ZAK</t>
        </is>
      </c>
      <c r="B191" s="428" t="inlineStr">
        <is>
          <t>Zakat Assessment Regulations</t>
        </is>
      </c>
      <c r="C191" s="429" t="inlineStr">
        <is>
          <t>See official source for version history</t>
        </is>
      </c>
      <c r="D191" s="429" t="inlineStr">
        <is>
          <t>Framework issued by the relevant authority. Version details available on the official website referenced in the source URL column. The framework has been updated periodically since first issuance.</t>
        </is>
      </c>
      <c r="E191" s="430" t="inlineStr">
        <is>
          <t>See official source</t>
        </is>
      </c>
      <c r="F191" s="429" t="inlineStr">
        <is>
          <t>Updated as needed by the issuing authority</t>
        </is>
      </c>
      <c r="G191" s="25" t="inlineStr">
        <is>
          <t>CURRENT — consult official source for latest version</t>
        </is>
      </c>
    </row>
  </sheetData>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M64"/>
  <sheetViews>
    <sheetView zoomScaleNormal="100" workbookViewId="0">
      <pane ySplit="1" topLeftCell="A2" activePane="bottomLeft" state="frozen"/>
      <selection pane="bottomLeft" activeCell="A1" sqref="A1"/>
    </sheetView>
  </sheetViews>
  <sheetFormatPr baseColWidth="8" defaultColWidth="8.6640625" defaultRowHeight="14.25"/>
  <cols>
    <col width="6" customWidth="1" min="1" max="1"/>
    <col width="18" customWidth="1" min="2" max="2"/>
    <col width="38" customWidth="1" min="3" max="3"/>
    <col width="12" customWidth="1" min="4" max="6"/>
    <col width="30" customWidth="1" min="7" max="7"/>
    <col width="26" customWidth="1" min="8" max="8"/>
    <col width="8" customWidth="1" min="9" max="9"/>
    <col width="22" customWidth="1" min="10" max="10"/>
    <col width="32" customWidth="1" min="11" max="11"/>
    <col width="28" customWidth="1" min="12" max="12"/>
    <col width="42" customWidth="1" min="13" max="13"/>
  </cols>
  <sheetData>
    <row r="1" ht="21.75" customHeight="1">
      <c r="A1" s="5" t="inlineStr">
        <is>
          <t>Priority</t>
        </is>
      </c>
      <c r="B1" s="5" t="inlineStr">
        <is>
          <t>Framework Code</t>
        </is>
      </c>
      <c r="C1" s="5" t="inlineStr">
        <is>
          <t>Framework Name (EN)</t>
        </is>
      </c>
      <c r="D1" s="5" t="inlineStr">
        <is>
          <t>Regulator</t>
        </is>
      </c>
      <c r="E1" s="5" t="inlineStr">
        <is>
          <t>HC Relevance</t>
        </is>
      </c>
      <c r="F1" s="5" t="inlineStr">
        <is>
          <t>Mandatory?</t>
        </is>
      </c>
      <c r="G1" s="5" t="inlineStr">
        <is>
          <t>Penalty (Max)</t>
        </is>
      </c>
      <c r="H1" s="5" t="inlineStr">
        <is>
          <t>Audit Type</t>
        </is>
      </c>
      <c r="I1" s="5" t="inlineStr">
        <is>
          <t>IoMT Controls</t>
        </is>
      </c>
      <c r="J1" s="5" t="inlineStr">
        <is>
          <t>Maturity Model</t>
        </is>
      </c>
      <c r="K1" s="5" t="inlineStr">
        <is>
          <t>GH-ICGA Layer</t>
        </is>
      </c>
      <c r="L1" s="5" t="inlineStr">
        <is>
          <t>V2030 Programme</t>
        </is>
      </c>
      <c r="M1" s="5" t="inlineStr">
        <is>
          <t>Evidence Required</t>
        </is>
      </c>
    </row>
    <row r="2" ht="51.75" customHeight="1">
      <c r="A2" s="42" t="inlineStr">
        <is>
          <t>1</t>
        </is>
      </c>
      <c r="B2" s="426" t="inlineStr">
        <is>
          <t>ECC-2:2024</t>
        </is>
      </c>
      <c r="C2" s="45" t="inlineStr">
        <is>
          <t>Essential Cybersecurity Controls</t>
        </is>
      </c>
      <c r="D2" s="431" t="inlineStr">
        <is>
          <t>NCA</t>
        </is>
      </c>
      <c r="E2" s="432" t="inlineStr">
        <is>
          <t>HIGHEST</t>
        </is>
      </c>
      <c r="F2" s="433" t="inlineStr">
        <is>
          <t>MANDATORY</t>
        </is>
      </c>
      <c r="G2" s="434" t="inlineStr">
        <is>
          <t>SAR 25M max fine (NCA-REG-2024); licence revocation; criminal referral; business suspension; public naming in NCA disclo...</t>
        </is>
      </c>
      <c r="H2" s="44" t="inlineStr">
        <is>
          <t>Annual self-assessment + NCA external audit (surprise or scheduled); third-party assessment for critical entities</t>
        </is>
      </c>
      <c r="I2" s="46" t="inlineStr">
        <is>
          <t>18 (de</t>
        </is>
      </c>
      <c r="J2" s="27" t="inlineStr">
        <is>
          <t>Yes — 5 maturity levels (Initial / Developing / Defined / Managed / Optimising);...</t>
        </is>
      </c>
      <c r="K2" s="44" t="inlineStr">
        <is>
          <t>Layer 1: Governance; Layer 2: Risk Management; Layer 3: Technical Controls; Layer 4: Compliance; Layer 5: Assurance</t>
        </is>
      </c>
      <c r="L2" s="44" t="inlineStr">
        <is>
          <t>Vision 2030 Digital Transformation; National Cybersecurity Strategy 2020-2030; HSTP digital health targets</t>
        </is>
      </c>
      <c r="M2" s="44" t="inlineStr">
        <is>
          <t>Asset inventory; risk register; policy documentation; access control logs; patch records; incident response plan; annual self-assessment report; staff awareness training records</t>
        </is>
      </c>
    </row>
    <row r="3" ht="51.75" customHeight="1">
      <c r="A3" s="435" t="inlineStr">
        <is>
          <t>2</t>
        </is>
      </c>
      <c r="B3" s="427" t="inlineStr">
        <is>
          <t>OTCC-1:2022</t>
        </is>
      </c>
      <c r="C3" s="428" t="inlineStr">
        <is>
          <t>OT Cybersecurity Controls</t>
        </is>
      </c>
      <c r="D3" s="436" t="inlineStr">
        <is>
          <t>NCA</t>
        </is>
      </c>
      <c r="E3" s="432" t="inlineStr">
        <is>
          <t>HIGHEST</t>
        </is>
      </c>
      <c r="F3" s="433" t="inlineStr">
        <is>
          <t>MANDATORY</t>
        </is>
      </c>
      <c r="G3" s="437" t="inlineStr">
        <is>
          <t>SAR 25M max (NCA-REG-2024 applies); operational shutdown of non-compliant OT systems; CNI operator licence at risk</t>
        </is>
      </c>
      <c r="H3" s="429" t="inlineStr">
        <is>
          <t>NCA OT assessment; sector-specific OT audit; ICS security assessment by accredited third party</t>
        </is>
      </c>
      <c r="I3" s="430" t="inlineStr">
        <is>
          <t xml:space="preserve">53 of </t>
        </is>
      </c>
      <c r="J3" s="27" t="inlineStr">
        <is>
          <t>Yes — aligned with IEC 62443 Security Levels (SL1-SL4); OTCC maps to SL2 minimum...</t>
        </is>
      </c>
      <c r="K3" s="429" t="inlineStr">
        <is>
          <t>Layer 3: Technical Controls (primary); Layer 2: Risk Management; Layer 4: Compliance</t>
        </is>
      </c>
      <c r="L3" s="429" t="inlineStr">
        <is>
          <t>National Cybersecurity Strategy; Vision 2030 Healthcare Digital Transformation; HSTP connected medical device targets</t>
        </is>
      </c>
      <c r="M3" s="429" t="inlineStr">
        <is>
          <t>OT asset inventory; network segmentation diagrams; OT patch logs; remote access logs; OT incident response plan; ICS risk assessment report; vendor access audit logs</t>
        </is>
      </c>
    </row>
    <row r="4" ht="51.75" customHeight="1">
      <c r="A4" s="42" t="inlineStr">
        <is>
          <t>3</t>
        </is>
      </c>
      <c r="B4" s="426" t="inlineStr">
        <is>
          <t>NCA-REG-2024</t>
        </is>
      </c>
      <c r="C4" s="45" t="inlineStr">
        <is>
          <t>NCA Regulatory Framework (Enforcement &amp; Penalties)</t>
        </is>
      </c>
      <c r="D4" s="431" t="inlineStr">
        <is>
          <t>NCA</t>
        </is>
      </c>
      <c r="E4" s="432" t="inlineStr">
        <is>
          <t>HIGHEST</t>
        </is>
      </c>
      <c r="F4" s="433" t="inlineStr">
        <is>
          <t>MANDATORY</t>
        </is>
      </c>
      <c r="G4" s="434" t="inlineStr">
        <is>
          <t>This IS the penalty framework — SAR 25M max; imprisonment via criminal referral; business suspension; public naming; app...</t>
        </is>
      </c>
      <c r="H4" s="44" t="inlineStr">
        <is>
          <t>NCA-initiated inspections; complaint-triggered; incident-triggered; scheduled sector reviews</t>
        </is>
      </c>
      <c r="I4" s="46" t="inlineStr">
        <is>
          <t>See DB</t>
        </is>
      </c>
      <c r="J4" s="60" t="inlineStr">
        <is>
          <t>No maturity model — binary compliance/non-compliance</t>
        </is>
      </c>
      <c r="K4" s="44" t="inlineStr">
        <is>
          <t>Layer 4: Compliance; Layer 5: Assurance</t>
        </is>
      </c>
      <c r="L4" s="44" t="inlineStr">
        <is>
          <t>National Cybersecurity Strategy (enforcement pillar)</t>
        </is>
      </c>
      <c r="M4" s="44" t="inlineStr">
        <is>
          <t>N/A — this is the enforcement regulation; entities must produce evidence of compliance with underlying NCA frameworks</t>
        </is>
      </c>
    </row>
    <row r="5" ht="51.75" customHeight="1">
      <c r="A5" s="435" t="inlineStr">
        <is>
          <t>4</t>
        </is>
      </c>
      <c r="B5" s="427" t="inlineStr">
        <is>
          <t>PDPL-2021</t>
        </is>
      </c>
      <c r="C5" s="428" t="inlineStr">
        <is>
          <t>Personal Data Protection Law</t>
        </is>
      </c>
      <c r="D5" s="436" t="inlineStr">
        <is>
          <t>SDAIA</t>
        </is>
      </c>
      <c r="E5" s="432" t="inlineStr">
        <is>
          <t>HIGHEST</t>
        </is>
      </c>
      <c r="F5" s="433" t="inlineStr">
        <is>
          <t>MANDATORY</t>
        </is>
      </c>
      <c r="G5" s="437" t="inlineStr">
        <is>
          <t>Criminal offence: up to 2 years imprisonment + SAR 3M fine for disclosing sensitive data (health data = sensitive); admi...</t>
        </is>
      </c>
      <c r="H5" s="429" t="inlineStr">
        <is>
          <t>SDAIA audit; controller self-assessment; DPO oversight; data subject complaints trigger investigation</t>
        </is>
      </c>
      <c r="I5" s="430" t="inlineStr">
        <is>
          <t>12 (Io</t>
        </is>
      </c>
      <c r="J5" s="60" t="inlineStr">
        <is>
          <t>No formal maturity model; SDAIA publishes compliance guidance</t>
        </is>
      </c>
      <c r="K5" s="429" t="inlineStr">
        <is>
          <t>Layer 4: Compliance; Layer 2: Risk Management</t>
        </is>
      </c>
      <c r="L5" s="429" t="inlineStr">
        <is>
          <t>National Data Strategy; Vision 2030 Digital Economy; Digital Government transformation</t>
        </is>
      </c>
      <c r="M5" s="429" t="inlineStr">
        <is>
          <t>Privacy notices; consent records; DPO appointment letter; data mapping/flow diagrams; breach notification records; DPIA for health data processing; controller registration</t>
        </is>
      </c>
    </row>
    <row r="6" ht="51.75" customHeight="1">
      <c r="A6" s="42" t="inlineStr">
        <is>
          <t>5</t>
        </is>
      </c>
      <c r="B6" s="426" t="inlineStr">
        <is>
          <t>PDPL-IR-2023</t>
        </is>
      </c>
      <c r="C6" s="45" t="inlineStr">
        <is>
          <t>PDPL Implementing Regulations</t>
        </is>
      </c>
      <c r="D6" s="431" t="inlineStr">
        <is>
          <t>SDAIA</t>
        </is>
      </c>
      <c r="E6" s="432" t="inlineStr">
        <is>
          <t>HIGHEST</t>
        </is>
      </c>
      <c r="F6" s="433" t="inlineStr">
        <is>
          <t>MANDATORY</t>
        </is>
      </c>
      <c r="G6" s="434" t="inlineStr">
        <is>
          <t>Same as PDPL-2021 — implementing regulation adds specificity to penalties; breach notification failure = separate penalt...</t>
        </is>
      </c>
      <c r="H6" s="44" t="inlineStr">
        <is>
          <t>SDAIA compliance audit; DPO internal audit; third-party DPIA</t>
        </is>
      </c>
      <c r="I6" s="46" t="inlineStr">
        <is>
          <t>14 (he</t>
        </is>
      </c>
      <c r="J6" s="60" t="inlineStr">
        <is>
          <t>No formal maturity model</t>
        </is>
      </c>
      <c r="K6" s="44" t="inlineStr">
        <is>
          <t>Layer 4: Compliance</t>
        </is>
      </c>
      <c r="L6" s="44" t="inlineStr">
        <is>
          <t>National Data Strategy; Privacy framework for digital health</t>
        </is>
      </c>
      <c r="M6" s="44" t="inlineStr">
        <is>
          <t>DPIA reports; consent records with timestamps; health data processing register; DPO appointment; breach notification log</t>
        </is>
      </c>
    </row>
    <row r="7" ht="51.75" customHeight="1">
      <c r="A7" s="435" t="inlineStr">
        <is>
          <t>6</t>
        </is>
      </c>
      <c r="B7" s="427" t="inlineStr">
        <is>
          <t>PDPL-DTR-2024</t>
        </is>
      </c>
      <c r="C7" s="428" t="inlineStr">
        <is>
          <t>Data Transfer Regulation (revised)</t>
        </is>
      </c>
      <c r="D7" s="436" t="inlineStr">
        <is>
          <t>SDAIA</t>
        </is>
      </c>
      <c r="E7" s="432" t="inlineStr">
        <is>
          <t>HIGHEST</t>
        </is>
      </c>
      <c r="F7" s="433" t="inlineStr">
        <is>
          <t>MANDATORY</t>
        </is>
      </c>
      <c r="G7" s="437" t="inlineStr">
        <is>
          <t>Penalties defined by issuing authority; consult official source. NCA ECC-2 penalties apply if relevant</t>
        </is>
      </c>
      <c r="H7" s="429" t="inlineStr">
        <is>
          <t>As defined by issuing authority</t>
        </is>
      </c>
      <c r="I7" s="430" t="inlineStr">
        <is>
          <t>See DB</t>
        </is>
      </c>
      <c r="J7" s="56" t="inlineStr">
        <is>
          <t>See official framework for maturity model details</t>
        </is>
      </c>
      <c r="K7" s="429" t="inlineStr">
        <is>
          <t>Mapped to relevant GH-ICGA layer — requires manual assessment</t>
        </is>
      </c>
      <c r="L7" s="429" t="inlineStr">
        <is>
          <t>Aligned with relevant Vision 2030 programme — see framework context</t>
        </is>
      </c>
      <c r="M7" s="429" t="inlineStr">
        <is>
          <t>As specified in framework compliance requirements</t>
        </is>
      </c>
    </row>
    <row r="8" ht="51.75" customHeight="1">
      <c r="A8" s="42" t="inlineStr">
        <is>
          <t>7</t>
        </is>
      </c>
      <c r="B8" s="426" t="inlineStr">
        <is>
          <t>NDMO-RULEBOOK</t>
        </is>
      </c>
      <c r="C8" s="45" t="inlineStr">
        <is>
          <t>PDPL Controllers Registration &amp; Rules</t>
        </is>
      </c>
      <c r="D8" s="431" t="inlineStr">
        <is>
          <t>SDAIA</t>
        </is>
      </c>
      <c r="E8" s="432" t="inlineStr">
        <is>
          <t>HIGHEST</t>
        </is>
      </c>
      <c r="F8" s="433" t="inlineStr">
        <is>
          <t>MANDATORY</t>
        </is>
      </c>
      <c r="G8" s="434" t="inlineStr">
        <is>
          <t>Penalties defined by issuing authority; consult official source. NCA ECC-2 penalties apply if relevant</t>
        </is>
      </c>
      <c r="H8" s="44" t="inlineStr">
        <is>
          <t>As defined by issuing authority</t>
        </is>
      </c>
      <c r="I8" s="46" t="inlineStr">
        <is>
          <t>See DB</t>
        </is>
      </c>
      <c r="J8" s="56" t="inlineStr">
        <is>
          <t>See official framework for maturity model details</t>
        </is>
      </c>
      <c r="K8" s="44" t="inlineStr">
        <is>
          <t>Mapped to relevant GH-ICGA layer — requires manual assessment</t>
        </is>
      </c>
      <c r="L8" s="44" t="inlineStr">
        <is>
          <t>Aligned with relevant Vision 2030 programme — see framework context</t>
        </is>
      </c>
      <c r="M8" s="44" t="inlineStr">
        <is>
          <t>As specified in framework compliance requirements</t>
        </is>
      </c>
    </row>
    <row r="9" ht="51.75" customHeight="1">
      <c r="A9" s="435" t="inlineStr">
        <is>
          <t>8</t>
        </is>
      </c>
      <c r="B9" s="427" t="inlineStr">
        <is>
          <t>NCA-ECC-2:2024</t>
        </is>
      </c>
      <c r="C9" s="428" t="inlineStr">
        <is>
          <t>Essential Cybersecurity Controls</t>
        </is>
      </c>
      <c r="D9" s="436" t="inlineStr">
        <is>
          <t>SDAIA</t>
        </is>
      </c>
      <c r="E9" s="432" t="inlineStr">
        <is>
          <t>HIGHEST</t>
        </is>
      </c>
      <c r="F9" s="433" t="inlineStr">
        <is>
          <t>MANDATORY</t>
        </is>
      </c>
      <c r="G9" s="437" t="inlineStr">
        <is>
          <t>Penalties defined by issuing authority; consult official source. NCA ECC-2 penalties apply if relevant</t>
        </is>
      </c>
      <c r="H9" s="429" t="inlineStr">
        <is>
          <t>As defined by issuing authority</t>
        </is>
      </c>
      <c r="I9" s="430" t="inlineStr">
        <is>
          <t>See DB</t>
        </is>
      </c>
      <c r="J9" s="56" t="inlineStr">
        <is>
          <t>See official framework for maturity model details</t>
        </is>
      </c>
      <c r="K9" s="429" t="inlineStr">
        <is>
          <t>Mapped to relevant GH-ICGA layer — requires manual assessment</t>
        </is>
      </c>
      <c r="L9" s="429" t="inlineStr">
        <is>
          <t>Aligned with relevant Vision 2030 programme — see framework context</t>
        </is>
      </c>
      <c r="M9" s="429" t="inlineStr">
        <is>
          <t>As specified in framework compliance requirements</t>
        </is>
      </c>
    </row>
    <row r="10" ht="51.75" customHeight="1">
      <c r="A10" s="42" t="inlineStr">
        <is>
          <t>9</t>
        </is>
      </c>
      <c r="B10" s="426" t="inlineStr">
        <is>
          <t>MOH-HL</t>
        </is>
      </c>
      <c r="C10" s="45" t="inlineStr">
        <is>
          <t>Health Law</t>
        </is>
      </c>
      <c r="D10" s="431" t="inlineStr">
        <is>
          <t>MOH</t>
        </is>
      </c>
      <c r="E10" s="432" t="inlineStr">
        <is>
          <t>HIGHEST</t>
        </is>
      </c>
      <c r="F10" s="433" t="inlineStr">
        <is>
          <t>MANDATORY</t>
        </is>
      </c>
      <c r="G10" s="434" t="inlineStr">
        <is>
          <t>Penalties defined by issuing authority; consult official source. NCA ECC-2 penalties apply if relevant</t>
        </is>
      </c>
      <c r="H10" s="44" t="inlineStr">
        <is>
          <t>As defined by issuing authority</t>
        </is>
      </c>
      <c r="I10" s="46" t="inlineStr">
        <is>
          <t>See DB</t>
        </is>
      </c>
      <c r="J10" s="56" t="inlineStr">
        <is>
          <t>See official framework for maturity model details</t>
        </is>
      </c>
      <c r="K10" s="44" t="inlineStr">
        <is>
          <t>Mapped to relevant GH-ICGA layer — requires manual assessment</t>
        </is>
      </c>
      <c r="L10" s="44" t="inlineStr">
        <is>
          <t>Aligned with relevant Vision 2030 programme — see framework context</t>
        </is>
      </c>
      <c r="M10" s="44" t="inlineStr">
        <is>
          <t>As specified in framework compliance requirements</t>
        </is>
      </c>
    </row>
    <row r="11" ht="51.75" customHeight="1">
      <c r="A11" s="435" t="inlineStr">
        <is>
          <t>10</t>
        </is>
      </c>
      <c r="B11" s="427" t="inlineStr">
        <is>
          <t>MOH-HIS</t>
        </is>
      </c>
      <c r="C11" s="428" t="inlineStr">
        <is>
          <t>Health Information System Standards</t>
        </is>
      </c>
      <c r="D11" s="436" t="inlineStr">
        <is>
          <t>MOH</t>
        </is>
      </c>
      <c r="E11" s="432" t="inlineStr">
        <is>
          <t>HIGHEST</t>
        </is>
      </c>
      <c r="F11" s="433" t="inlineStr">
        <is>
          <t>MANDATORY</t>
        </is>
      </c>
      <c r="G11" s="437" t="inlineStr">
        <is>
          <t>MOH facility licensing at risk; mandatory corrective action plan; financial penalties under Private Health Institutions ...</t>
        </is>
      </c>
      <c r="H11" s="429" t="inlineStr">
        <is>
          <t>MOH annual IT audit; NHIC interoperability assessment; CBAHI HIT standards review during accreditation</t>
        </is>
      </c>
      <c r="I11" s="430" t="inlineStr">
        <is>
          <t>28 (me</t>
        </is>
      </c>
      <c r="J11" s="27" t="inlineStr">
        <is>
          <t>Yes — 4 implementation levels (Basic / Intermediate / Advanced / Optimised); MOH...</t>
        </is>
      </c>
      <c r="K11" s="429" t="inlineStr">
        <is>
          <t>Layer 1: Governance; Layer 3: Technical Controls; Layer 4: Compliance</t>
        </is>
      </c>
      <c r="L11" s="429" t="inlineStr">
        <is>
          <t>HSTP digital health; NABIDH national EHR; Vision 2030 healthcare quality targets</t>
        </is>
      </c>
      <c r="M11" s="429" t="inlineStr">
        <is>
          <t>HIS system documentation; NABIDH connectivity certificate; interoperability test results; staff training records; system access audit logs; downtime contingency procedure</t>
        </is>
      </c>
    </row>
    <row r="12" ht="51.75" customHeight="1">
      <c r="A12" s="42" t="inlineStr">
        <is>
          <t>11</t>
        </is>
      </c>
      <c r="B12" s="426" t="inlineStr">
        <is>
          <t>MOH-EMR-NABIDH</t>
        </is>
      </c>
      <c r="C12" s="45" t="inlineStr">
        <is>
          <t>EMR Standards / NABIDH Platform</t>
        </is>
      </c>
      <c r="D12" s="431" t="inlineStr">
        <is>
          <t>MOH</t>
        </is>
      </c>
      <c r="E12" s="432" t="inlineStr">
        <is>
          <t>HIGHEST</t>
        </is>
      </c>
      <c r="F12" s="433" t="inlineStr">
        <is>
          <t>MANDATORY</t>
        </is>
      </c>
      <c r="G12" s="434" t="inlineStr">
        <is>
          <t>Facility licensing revocation; MOH enforcement action; barred from government referrals; penalties under PHILAW 2024</t>
        </is>
      </c>
      <c r="H12" s="44" t="inlineStr">
        <is>
          <t>NHIC connectivity assessment; NABIDH API conformance testing; MOH annual audit</t>
        </is>
      </c>
      <c r="I12" s="46" t="inlineStr">
        <is>
          <t>22 (Io</t>
        </is>
      </c>
      <c r="J12" s="27" t="inlineStr">
        <is>
          <t>Yes — NABIDH connectivity levels (1: Basic data exchange; 2: Full longitudinal r...</t>
        </is>
      </c>
      <c r="K12" s="44" t="inlineStr">
        <is>
          <t>Layer 1: Governance; Layer 3: Technical Controls; Layer 4: Compliance; Layer 5: Assurance</t>
        </is>
      </c>
      <c r="L12" s="44" t="inlineStr">
        <is>
          <t>HSTP digital health transformation; NABIDH national EHR; NHIS claims integration</t>
        </is>
      </c>
      <c r="M12" s="44" t="inlineStr">
        <is>
          <t>NABIDH connectivity certificate; API integration test reports; patient consent records for data sharing; EHR system validation; data quality reports</t>
        </is>
      </c>
    </row>
    <row r="13" ht="51.75" customHeight="1">
      <c r="A13" s="435" t="inlineStr">
        <is>
          <t>12</t>
        </is>
      </c>
      <c r="B13" s="427" t="inlineStr">
        <is>
          <t>MOH-PS</t>
        </is>
      </c>
      <c r="C13" s="428" t="inlineStr">
        <is>
          <t>Patient Safety Standards</t>
        </is>
      </c>
      <c r="D13" s="436" t="inlineStr">
        <is>
          <t>MOH</t>
        </is>
      </c>
      <c r="E13" s="432" t="inlineStr">
        <is>
          <t>HIGHEST</t>
        </is>
      </c>
      <c r="F13" s="433" t="inlineStr">
        <is>
          <t>MANDATORY</t>
        </is>
      </c>
      <c r="G13" s="437" t="inlineStr">
        <is>
          <t>MOH corrective action order; facility licence conditions; public safety alert; criminal liability for gross negligence</t>
        </is>
      </c>
      <c r="H13" s="429" t="inlineStr">
        <is>
          <t>Annual MOH patient safety inspection; CBAHI survey (integrated); incident investigation</t>
        </is>
      </c>
      <c r="I13" s="430" t="inlineStr">
        <is>
          <t>14 (al</t>
        </is>
      </c>
      <c r="J13" s="27" t="inlineStr">
        <is>
          <t>Yes — patient safety maturity levels (Safety-I to Safety-III); MOH tracks facili...</t>
        </is>
      </c>
      <c r="K13" s="429" t="inlineStr">
        <is>
          <t>Layer 1: Governance; Layer 4: Compliance</t>
        </is>
      </c>
      <c r="L13" s="429" t="inlineStr">
        <is>
          <t>HSTP patient safety; Vision 2030 quality targets; National Patient Safety Centre</t>
        </is>
      </c>
      <c r="M13" s="429" t="inlineStr">
        <is>
          <t>Incident reporting system data; patient safety walkround records; fall prevention audit; medication safety audit; CBAHI patient safety standards compliance</t>
        </is>
      </c>
    </row>
    <row r="14" ht="51.75" customHeight="1">
      <c r="A14" s="42" t="inlineStr">
        <is>
          <t>13</t>
        </is>
      </c>
      <c r="B14" s="426" t="inlineStr">
        <is>
          <t>MOH-TELE</t>
        </is>
      </c>
      <c r="C14" s="45" t="inlineStr">
        <is>
          <t>Telemedicine Regulations</t>
        </is>
      </c>
      <c r="D14" s="431" t="inlineStr">
        <is>
          <t>MOH</t>
        </is>
      </c>
      <c r="E14" s="432" t="inlineStr">
        <is>
          <t>HIGHEST</t>
        </is>
      </c>
      <c r="F14" s="433" t="inlineStr">
        <is>
          <t>MANDATORY</t>
        </is>
      </c>
      <c r="G14" s="434" t="inlineStr">
        <is>
          <t>Platform licence revocation; SAR 1M–5M fine (scale by offence); clinical professional disciplinary action by SCFHS</t>
        </is>
      </c>
      <c r="H14" s="44" t="inlineStr">
        <is>
          <t>MOH platform licence audit (annual); CCHI insurance compliance check; SCFHS clinical quality audit</t>
        </is>
      </c>
      <c r="I14" s="46" t="inlineStr">
        <is>
          <t>15 (re</t>
        </is>
      </c>
      <c r="J14" s="60" t="inlineStr">
        <is>
          <t>No formal maturity model; licence tiers (basic/advanced platform)</t>
        </is>
      </c>
      <c r="K14" s="44" t="inlineStr">
        <is>
          <t>Layer 1: Governance; Layer 4: Compliance</t>
        </is>
      </c>
      <c r="L14" s="44" t="inlineStr">
        <is>
          <t>HSTP telemedicine targets (30% uptake); SEHA Virtual Hospital; Vision 2030 healthcare access targets</t>
        </is>
      </c>
      <c r="M14" s="44" t="inlineStr">
        <is>
          <t>Platform licence certificate; patient consent records; clinical documentation standards compliance; identity verification log; prescription records; NABIDH integration evidence</t>
        </is>
      </c>
    </row>
    <row r="15" ht="51.75" customHeight="1">
      <c r="A15" s="435" t="inlineStr">
        <is>
          <t>14</t>
        </is>
      </c>
      <c r="B15" s="427" t="inlineStr">
        <is>
          <t>NCA-OTCC</t>
        </is>
      </c>
      <c r="C15" s="428" t="inlineStr">
        <is>
          <t>OT Cybersecurity Controls</t>
        </is>
      </c>
      <c r="D15" s="436" t="inlineStr">
        <is>
          <t>MOH</t>
        </is>
      </c>
      <c r="E15" s="432" t="inlineStr">
        <is>
          <t>HIGHEST</t>
        </is>
      </c>
      <c r="F15" s="433" t="inlineStr">
        <is>
          <t>MANDATORY</t>
        </is>
      </c>
      <c r="G15" s="437" t="inlineStr">
        <is>
          <t>Penalties defined by issuing authority; consult official source. NCA ECC-2 penalties apply if relevant</t>
        </is>
      </c>
      <c r="H15" s="429" t="inlineStr">
        <is>
          <t>As defined by issuing authority</t>
        </is>
      </c>
      <c r="I15" s="430" t="inlineStr">
        <is>
          <t>See DB</t>
        </is>
      </c>
      <c r="J15" s="56" t="inlineStr">
        <is>
          <t>See official framework for maturity model details</t>
        </is>
      </c>
      <c r="K15" s="429" t="inlineStr">
        <is>
          <t>Mapped to relevant GH-ICGA layer — requires manual assessment</t>
        </is>
      </c>
      <c r="L15" s="429" t="inlineStr">
        <is>
          <t>Aligned with relevant Vision 2030 programme — see framework context</t>
        </is>
      </c>
      <c r="M15" s="429" t="inlineStr">
        <is>
          <t>As specified in framework compliance requirements</t>
        </is>
      </c>
    </row>
    <row r="16" ht="51.75" customHeight="1">
      <c r="A16" s="42" t="inlineStr">
        <is>
          <t>15</t>
        </is>
      </c>
      <c r="B16" s="426" t="inlineStr">
        <is>
          <t>SFDA-MDR</t>
        </is>
      </c>
      <c r="C16" s="45" t="inlineStr">
        <is>
          <t>Medical Device Regulations</t>
        </is>
      </c>
      <c r="D16" s="431" t="inlineStr">
        <is>
          <t>SFDA</t>
        </is>
      </c>
      <c r="E16" s="432" t="inlineStr">
        <is>
          <t>HIGHEST</t>
        </is>
      </c>
      <c r="F16" s="433" t="inlineStr">
        <is>
          <t>MANDATORY</t>
        </is>
      </c>
      <c r="G16" s="434" t="inlineStr">
        <is>
          <t>Product recall; import ban; market withdrawal; facility closure; SAR 1M–5M fine; criminal prosecution for adulterated de...</t>
        </is>
      </c>
      <c r="H16" s="44" t="inlineStr">
        <is>
          <t>SFDA pre-market conformity assessment; GMP audit; post-market surveillance review; adverse event investigation</t>
        </is>
      </c>
      <c r="I16" s="46" t="inlineStr">
        <is>
          <t>34 (co</t>
        </is>
      </c>
      <c r="J16" s="56" t="inlineStr">
        <is>
          <t>Risk-based classification (Class I/II/III) + conformity assessment levels, not a...</t>
        </is>
      </c>
      <c r="K16" s="44" t="inlineStr">
        <is>
          <t>Layer 1: Governance; Layer 2: Risk Management; Layer 3: Technical Controls; Layer 4: Compliance</t>
        </is>
      </c>
      <c r="L16" s="44" t="inlineStr">
        <is>
          <t>HSTP medical technology; Vision 2030 healthcare quality; Saudi MedTech sector development (SFDA's 2030 regulatory roadmap)</t>
        </is>
      </c>
      <c r="M16" s="44" t="inlineStr">
        <is>
          <t>SFDA registration certificate; technical file / design dossier; conformity assessment certificate; UDID; PMS plan; adverse event reports; GMP certificate</t>
        </is>
      </c>
    </row>
    <row r="17" ht="51.75" customHeight="1">
      <c r="A17" s="435" t="inlineStr">
        <is>
          <t>16</t>
        </is>
      </c>
      <c r="B17" s="427" t="inlineStr">
        <is>
          <t>SFDA-PHARMA</t>
        </is>
      </c>
      <c r="C17" s="428" t="inlineStr">
        <is>
          <t>Drug &amp; Pharmacy Law</t>
        </is>
      </c>
      <c r="D17" s="436" t="inlineStr">
        <is>
          <t>SFDA</t>
        </is>
      </c>
      <c r="E17" s="432" t="inlineStr">
        <is>
          <t>HIGHEST</t>
        </is>
      </c>
      <c r="F17" s="433" t="inlineStr">
        <is>
          <t>MANDATORY</t>
        </is>
      </c>
      <c r="G17" s="437" t="inlineStr">
        <is>
          <t>Penalties defined by issuing authority; consult official source. NCA ECC-2 penalties apply if relevant</t>
        </is>
      </c>
      <c r="H17" s="429" t="inlineStr">
        <is>
          <t>As defined by issuing authority</t>
        </is>
      </c>
      <c r="I17" s="430" t="inlineStr">
        <is>
          <t>See DB</t>
        </is>
      </c>
      <c r="J17" s="56" t="inlineStr">
        <is>
          <t>See official framework for maturity model details</t>
        </is>
      </c>
      <c r="K17" s="429" t="inlineStr">
        <is>
          <t>Mapped to relevant GH-ICGA layer — requires manual assessment</t>
        </is>
      </c>
      <c r="L17" s="429" t="inlineStr">
        <is>
          <t>Aligned with relevant Vision 2030 programme — see framework context</t>
        </is>
      </c>
      <c r="M17" s="429" t="inlineStr">
        <is>
          <t>As specified in framework compliance requirements</t>
        </is>
      </c>
    </row>
    <row r="18" ht="51.75" customHeight="1">
      <c r="A18" s="42" t="inlineStr">
        <is>
          <t>17</t>
        </is>
      </c>
      <c r="B18" s="426" t="inlineStr">
        <is>
          <t>SFDA-AI-MDS-G010</t>
        </is>
      </c>
      <c r="C18" s="45" t="inlineStr">
        <is>
          <t>AI/ML in Medical Devices (MDS-G010)</t>
        </is>
      </c>
      <c r="D18" s="431" t="inlineStr">
        <is>
          <t>SFDA</t>
        </is>
      </c>
      <c r="E18" s="432" t="inlineStr">
        <is>
          <t>HIGHEST</t>
        </is>
      </c>
      <c r="F18" s="433" t="inlineStr">
        <is>
          <t>MANDATORY</t>
        </is>
      </c>
      <c r="G18" s="434" t="inlineStr">
        <is>
          <t>Device registration refusal; market withdrawal of non-compliant AI devices; criminal liability if patient harm results</t>
        </is>
      </c>
      <c r="H18" s="44" t="inlineStr">
        <is>
          <t>Pre-market AI/ML review (integrated with MDR); post-market AI performance monitoring</t>
        </is>
      </c>
      <c r="I18" s="46" t="inlineStr">
        <is>
          <t>18 (AI</t>
        </is>
      </c>
      <c r="J18" s="56" t="inlineStr">
        <is>
          <t>Risk tier classification (not maturity levels): Tier I/II/III by clinical risk</t>
        </is>
      </c>
      <c r="K18" s="44" t="inlineStr">
        <is>
          <t>Layer 2: Risk Management; Layer 3: Technical Controls; Layer 4: Compliance</t>
        </is>
      </c>
      <c r="L18" s="44" t="inlineStr">
        <is>
          <t>SDAIA AI Strategy; HSTP AI-enabled diagnostics; SFDA 2030 Digital Health Regulatory Roadmap</t>
        </is>
      </c>
      <c r="M18" s="44" t="inlineStr">
        <is>
          <t>Algorithm validation report; clinical evidence study; Predetermined Change Control Plan; real-world performance monitoring data; labelling compliance; cybersecurity assessment</t>
        </is>
      </c>
    </row>
    <row r="19" ht="51.75" customHeight="1">
      <c r="A19" s="435" t="inlineStr">
        <is>
          <t>18</t>
        </is>
      </c>
      <c r="B19" s="427" t="inlineStr">
        <is>
          <t>SFDA-PMS</t>
        </is>
      </c>
      <c r="C19" s="428" t="inlineStr">
        <is>
          <t>Post-Market Surveillance Requirements</t>
        </is>
      </c>
      <c r="D19" s="436" t="inlineStr">
        <is>
          <t>SFDA</t>
        </is>
      </c>
      <c r="E19" s="432" t="inlineStr">
        <is>
          <t>HIGHEST</t>
        </is>
      </c>
      <c r="F19" s="433" t="inlineStr">
        <is>
          <t>MANDATORY</t>
        </is>
      </c>
      <c r="G19" s="437" t="inlineStr">
        <is>
          <t>Penalties defined by issuing authority; consult official source. NCA ECC-2 penalties apply if relevant</t>
        </is>
      </c>
      <c r="H19" s="429" t="inlineStr">
        <is>
          <t>As defined by issuing authority</t>
        </is>
      </c>
      <c r="I19" s="430" t="inlineStr">
        <is>
          <t>See DB</t>
        </is>
      </c>
      <c r="J19" s="56" t="inlineStr">
        <is>
          <t>See official framework for maturity model details</t>
        </is>
      </c>
      <c r="K19" s="429" t="inlineStr">
        <is>
          <t>Mapped to relevant GH-ICGA layer — requires manual assessment</t>
        </is>
      </c>
      <c r="L19" s="429" t="inlineStr">
        <is>
          <t>Aligned with relevant Vision 2030 programme — see framework context</t>
        </is>
      </c>
      <c r="M19" s="429" t="inlineStr">
        <is>
          <t>As specified in framework compliance requirements</t>
        </is>
      </c>
    </row>
    <row r="20" ht="51.75" customHeight="1">
      <c r="A20" s="42" t="inlineStr">
        <is>
          <t>19</t>
        </is>
      </c>
      <c r="B20" s="426" t="inlineStr">
        <is>
          <t>CBAHI-HAS-H</t>
        </is>
      </c>
      <c r="C20" s="45" t="inlineStr">
        <is>
          <t>Hospital Accreditation Standards (5th Ed.)</t>
        </is>
      </c>
      <c r="D20" s="431" t="inlineStr">
        <is>
          <t>CBAHI</t>
        </is>
      </c>
      <c r="E20" s="432" t="inlineStr">
        <is>
          <t>HIGHEST</t>
        </is>
      </c>
      <c r="F20" s="438" t="inlineStr">
        <is>
          <t>VOLUNTARY</t>
        </is>
      </c>
      <c r="G20" s="434" t="inlineStr">
        <is>
          <t>Accreditation denial; accreditation suspension; accreditation withdrawal; MOH facility licensing risk (accreditation lin...</t>
        </is>
      </c>
      <c r="H20" s="44" t="inlineStr">
        <is>
          <t>Full survey every 3 years; midterm (focused) survey at 18 months; unannounced visits; corrective action follow-up</t>
        </is>
      </c>
      <c r="I20" s="46" t="inlineStr">
        <is>
          <t>22 (HI</t>
        </is>
      </c>
      <c r="J20" s="27" t="inlineStr">
        <is>
          <t>Yes — Met / Partially Met / Not Met / Not Applicable per standard; overall accre...</t>
        </is>
      </c>
      <c r="K20" s="44" t="inlineStr">
        <is>
          <t>Layer 1: Governance; Layer 4: Compliance; Layer 5: Assurance</t>
        </is>
      </c>
      <c r="L20" s="44" t="inlineStr">
        <is>
          <t>HSTP quality transformation; Vision 2030 healthcare quality targets (JCI/CBAHI accreditation for all tertiary hospitals)</t>
        </is>
      </c>
      <c r="M20" s="44" t="inlineStr">
        <is>
          <t>Survey self-assessment; policy documentation; staff credential files; patient safety incident log; HIT system audit; quality improvement data; patient satisfaction scores</t>
        </is>
      </c>
    </row>
    <row r="21" ht="51.75" customHeight="1">
      <c r="A21" s="435" t="inlineStr">
        <is>
          <t>20</t>
        </is>
      </c>
      <c r="B21" s="427" t="inlineStr">
        <is>
          <t>SHC-HSTP</t>
        </is>
      </c>
      <c r="C21" s="428" t="inlineStr">
        <is>
          <t>Health Sector Transformation Programme</t>
        </is>
      </c>
      <c r="D21" s="436" t="inlineStr">
        <is>
          <t>SHC</t>
        </is>
      </c>
      <c r="E21" s="432" t="inlineStr">
        <is>
          <t>HIGHEST</t>
        </is>
      </c>
      <c r="F21" s="433" t="inlineStr">
        <is>
          <t>MANDATORY</t>
        </is>
      </c>
      <c r="G21" s="437" t="inlineStr">
        <is>
          <t>Penalties defined by issuing authority; consult official source. NCA ECC-2 penalties apply if relevant</t>
        </is>
      </c>
      <c r="H21" s="429" t="inlineStr">
        <is>
          <t>As defined by issuing authority</t>
        </is>
      </c>
      <c r="I21" s="430" t="inlineStr">
        <is>
          <t>See DB</t>
        </is>
      </c>
      <c r="J21" s="56" t="inlineStr">
        <is>
          <t>See official framework for maturity model details</t>
        </is>
      </c>
      <c r="K21" s="429" t="inlineStr">
        <is>
          <t>Mapped to relevant GH-ICGA layer — requires manual assessment</t>
        </is>
      </c>
      <c r="L21" s="429" t="inlineStr">
        <is>
          <t>Aligned with relevant Vision 2030 programme — see framework context</t>
        </is>
      </c>
      <c r="M21" s="429" t="inlineStr">
        <is>
          <t>As specified in framework compliance requirements</t>
        </is>
      </c>
    </row>
    <row r="22" ht="51.75" customHeight="1">
      <c r="A22" s="42" t="inlineStr">
        <is>
          <t>21</t>
        </is>
      </c>
      <c r="B22" s="426" t="inlineStr">
        <is>
          <t>NHIC-NABIDH</t>
        </is>
      </c>
      <c r="C22" s="45" t="inlineStr">
        <is>
          <t>NABIDH National EHR Platform Standard</t>
        </is>
      </c>
      <c r="D22" s="431" t="inlineStr">
        <is>
          <t>NHIC</t>
        </is>
      </c>
      <c r="E22" s="432" t="inlineStr">
        <is>
          <t>HIGHEST</t>
        </is>
      </c>
      <c r="F22" s="433" t="inlineStr">
        <is>
          <t>MANDATORY</t>
        </is>
      </c>
      <c r="G22" s="434" t="inlineStr">
        <is>
          <t>Facility unable to receive electronic referrals; excluded from national patient record; MOH licensing risk; procurement ...</t>
        </is>
      </c>
      <c r="H22" s="44" t="inlineStr">
        <is>
          <t>NHIC API conformance test; connectivity monitoring (automated); annual technical review</t>
        </is>
      </c>
      <c r="I22" s="46" t="inlineStr">
        <is>
          <t>16 (NA</t>
        </is>
      </c>
      <c r="J22" s="27" t="inlineStr">
        <is>
          <t>Yes — 3 connectivity levels (Basic data exchange / Full longitudinal record / Ad...</t>
        </is>
      </c>
      <c r="K22" s="44" t="inlineStr">
        <is>
          <t>Layer 3: Technical Controls; Layer 4: Compliance; Layer 5: Assurance</t>
        </is>
      </c>
      <c r="L22" s="44" t="inlineStr">
        <is>
          <t>HSTP digital health; National EHR programme; NHIS integration; Vision 2030 connected healthcare</t>
        </is>
      </c>
      <c r="M22" s="44" t="inlineStr">
        <is>
          <t>NABIDH connectivity certificate; API test results; FHIR conformance statement; patient consent records; data quality dashboard reports</t>
        </is>
      </c>
    </row>
    <row r="23" ht="51.75" customHeight="1">
      <c r="A23" s="435" t="inlineStr">
        <is>
          <t>22</t>
        </is>
      </c>
      <c r="B23" s="427" t="inlineStr">
        <is>
          <t>NHIC-INTEROP</t>
        </is>
      </c>
      <c r="C23" s="428" t="inlineStr">
        <is>
          <t>Health IT Interoperability Framework (FHIR-based)</t>
        </is>
      </c>
      <c r="D23" s="436" t="inlineStr">
        <is>
          <t>NHIC</t>
        </is>
      </c>
      <c r="E23" s="432" t="inlineStr">
        <is>
          <t>HIGHEST</t>
        </is>
      </c>
      <c r="F23" s="433" t="inlineStr">
        <is>
          <t>MANDATORY</t>
        </is>
      </c>
      <c r="G23" s="437" t="inlineStr">
        <is>
          <t>Penalties defined by issuing authority; consult official source. NCA ECC-2 penalties apply if relevant</t>
        </is>
      </c>
      <c r="H23" s="429" t="inlineStr">
        <is>
          <t>As defined by issuing authority</t>
        </is>
      </c>
      <c r="I23" s="430" t="inlineStr">
        <is>
          <t>See DB</t>
        </is>
      </c>
      <c r="J23" s="56" t="inlineStr">
        <is>
          <t>See official framework for maturity model details</t>
        </is>
      </c>
      <c r="K23" s="429" t="inlineStr">
        <is>
          <t>Mapped to relevant GH-ICGA layer — requires manual assessment</t>
        </is>
      </c>
      <c r="L23" s="429" t="inlineStr">
        <is>
          <t>Aligned with relevant Vision 2030 programme — see framework context</t>
        </is>
      </c>
      <c r="M23" s="429" t="inlineStr">
        <is>
          <t>As specified in framework compliance requirements</t>
        </is>
      </c>
    </row>
    <row r="24" ht="51.75" customHeight="1">
      <c r="A24" s="42" t="inlineStr">
        <is>
          <t>23</t>
        </is>
      </c>
      <c r="B24" s="426" t="inlineStr">
        <is>
          <t>CST-IOT</t>
        </is>
      </c>
      <c r="C24" s="45" t="inlineStr">
        <is>
          <t>IoT Regulatory Framework</t>
        </is>
      </c>
      <c r="D24" s="431" t="inlineStr">
        <is>
          <t>CST</t>
        </is>
      </c>
      <c r="E24" s="432" t="inlineStr">
        <is>
          <t>HIGHEST</t>
        </is>
      </c>
      <c r="F24" s="433" t="inlineStr">
        <is>
          <t>MANDATORY</t>
        </is>
      </c>
      <c r="G24" s="434" t="inlineStr">
        <is>
          <t>Device market withdrawal; import ban; SAR fine under Telecom Law (up to SAR 50M for major violations); CST type approval...</t>
        </is>
      </c>
      <c r="H24" s="44" t="inlineStr">
        <is>
          <t>Pre-market type approval testing (mandatory before sale); operator compliance audit; market surveillance</t>
        </is>
      </c>
      <c r="I24" s="46" t="inlineStr">
        <is>
          <t>See DB</t>
        </is>
      </c>
      <c r="J24" s="60" t="inlineStr">
        <is>
          <t>No formal maturity model; pass/fail type approval</t>
        </is>
      </c>
      <c r="K24" s="44" t="inlineStr">
        <is>
          <t>Layer 3: Technical Controls; Layer 4: Compliance</t>
        </is>
      </c>
      <c r="L24" s="44" t="inlineStr">
        <is>
          <t>Vision 2030 IoT Strategy; Digital Economy Policy; Smart City initiatives (NEOM, Riyadh smart city)</t>
        </is>
      </c>
      <c r="M24" s="44" t="inlineStr">
        <is>
          <t>CST type approval certificate; EMC test report; cybersecurity test report (ETSI EN 303 645); device technical file; operator licence</t>
        </is>
      </c>
    </row>
    <row r="25" ht="51.75" customHeight="1">
      <c r="A25" s="435" t="inlineStr">
        <is>
          <t>24</t>
        </is>
      </c>
      <c r="B25" s="427" t="inlineStr">
        <is>
          <t>CCC-1:2020</t>
        </is>
      </c>
      <c r="C25" s="428" t="inlineStr">
        <is>
          <t>Cloud Cybersecurity Controls</t>
        </is>
      </c>
      <c r="D25" s="436" t="inlineStr">
        <is>
          <t>NCA</t>
        </is>
      </c>
      <c r="E25" s="439" t="inlineStr">
        <is>
          <t>HIGH</t>
        </is>
      </c>
      <c r="F25" s="433" t="inlineStr">
        <is>
          <t>MANDATORY</t>
        </is>
      </c>
      <c r="G25" s="437" t="inlineStr">
        <is>
          <t>SAR 25M max (NCA-REG-2024); cloud service suspension; loss of CSP licence; CST cloud provider licence revoked</t>
        </is>
      </c>
      <c r="H25" s="429" t="inlineStr">
        <is>
          <t>Annual CSP self-assessment; NCA cloud audit; CST licensing audit; DGA cloud first policy compliance check</t>
        </is>
      </c>
      <c r="I25" s="430" t="inlineStr">
        <is>
          <t>12 (cl</t>
        </is>
      </c>
      <c r="J25" s="27" t="inlineStr">
        <is>
          <t>Yes — 4 maturity levels for CSPs and CSTs separately</t>
        </is>
      </c>
      <c r="K25" s="429" t="inlineStr">
        <is>
          <t>Layer 3: Technical Controls; Layer 4: Compliance; Layer 2: Risk Management</t>
        </is>
      </c>
      <c r="L25" s="429" t="inlineStr">
        <is>
          <t>Cloud First Policy; Vision 2030 Digital Economy; Government Cloud (G-Cloud) initiative</t>
        </is>
      </c>
      <c r="M25" s="429" t="inlineStr">
        <is>
          <t>Cloud architecture diagrams; data classification records; access logs; encryption certificates; CSP audit reports; incident response plan; data residency evidence</t>
        </is>
      </c>
    </row>
    <row r="26" ht="51.75" customHeight="1">
      <c r="A26" s="42" t="inlineStr">
        <is>
          <t>25</t>
        </is>
      </c>
      <c r="B26" s="426" t="inlineStr">
        <is>
          <t>DCC-1:2022</t>
        </is>
      </c>
      <c r="C26" s="45" t="inlineStr">
        <is>
          <t>Data Cybersecurity Controls</t>
        </is>
      </c>
      <c r="D26" s="431" t="inlineStr">
        <is>
          <t>NCA</t>
        </is>
      </c>
      <c r="E26" s="439" t="inlineStr">
        <is>
          <t>HIGH</t>
        </is>
      </c>
      <c r="F26" s="433" t="inlineStr">
        <is>
          <t>MANDATORY</t>
        </is>
      </c>
      <c r="G26" s="434" t="inlineStr">
        <is>
          <t>SAR 25M max (NCA-REG-2024); PDPL penalties also applicable for personal data; data processing suspension</t>
        </is>
      </c>
      <c r="H26" s="44" t="inlineStr">
        <is>
          <t>NCA annual self-assessment; may be assessed jointly with ECC audit</t>
        </is>
      </c>
      <c r="I26" s="46" t="inlineStr">
        <is>
          <t>15 (Io</t>
        </is>
      </c>
      <c r="J26" s="27" t="inlineStr">
        <is>
          <t>Yes — 4 maturity levels aligned with ECC maturity model</t>
        </is>
      </c>
      <c r="K26" s="44" t="inlineStr">
        <is>
          <t>Layer 3: Technical Controls; Layer 4: Compliance</t>
        </is>
      </c>
      <c r="L26" s="44" t="inlineStr">
        <is>
          <t>National Data Strategy; PDPL implementation support; Vision 2030 digital trust</t>
        </is>
      </c>
      <c r="M26" s="44" t="inlineStr">
        <is>
          <t>Data classification register; encryption implementation evidence; data retention policy; secure disposal records; data flow maps</t>
        </is>
      </c>
    </row>
    <row r="27" ht="51.75" customHeight="1">
      <c r="A27" s="435" t="inlineStr">
        <is>
          <t>26</t>
        </is>
      </c>
      <c r="B27" s="427" t="inlineStr">
        <is>
          <t>CSCC-1:2019</t>
        </is>
      </c>
      <c r="C27" s="428" t="inlineStr">
        <is>
          <t>Critical Systems Cybersecurity Controls</t>
        </is>
      </c>
      <c r="D27" s="436" t="inlineStr">
        <is>
          <t>NCA</t>
        </is>
      </c>
      <c r="E27" s="439" t="inlineStr">
        <is>
          <t>HIGH</t>
        </is>
      </c>
      <c r="F27" s="433" t="inlineStr">
        <is>
          <t>MANDATORY</t>
        </is>
      </c>
      <c r="G27" s="437" t="inlineStr">
        <is>
          <t>SAR 25M max (NCA-REG-2024); critical system shutdown authority; escalated penalties for CNI operators</t>
        </is>
      </c>
      <c r="H27" s="429" t="inlineStr">
        <is>
          <t>NCA critical systems audit; specialised third-party assessment</t>
        </is>
      </c>
      <c r="I27" s="430" t="inlineStr">
        <is>
          <t>10 (cr</t>
        </is>
      </c>
      <c r="J27" s="27" t="inlineStr">
        <is>
          <t>Yes — complements ECC 5-level maturity model</t>
        </is>
      </c>
      <c r="K27" s="429" t="inlineStr">
        <is>
          <t>Layer 3: Technical Controls; Layer 2: Risk Management</t>
        </is>
      </c>
      <c r="L27" s="429" t="inlineStr">
        <is>
          <t>National Critical Infrastructure Protection Programme (CNIP); National Cybersecurity Strategy</t>
        </is>
      </c>
      <c r="M27" s="429" t="inlineStr">
        <is>
          <t>Critical system register; BIA (Business Impact Analysis); availability test records; privileged access audit; change management logs</t>
        </is>
      </c>
    </row>
    <row r="28" ht="51.75" customHeight="1">
      <c r="A28" s="42" t="inlineStr">
        <is>
          <t>27</t>
        </is>
      </c>
      <c r="B28" s="426" t="inlineStr">
        <is>
          <t>NCS-1:2020</t>
        </is>
      </c>
      <c r="C28" s="45" t="inlineStr">
        <is>
          <t>National Cryptographic Standards</t>
        </is>
      </c>
      <c r="D28" s="431" t="inlineStr">
        <is>
          <t>NCA</t>
        </is>
      </c>
      <c r="E28" s="439" t="inlineStr">
        <is>
          <t>HIGH</t>
        </is>
      </c>
      <c r="F28" s="433" t="inlineStr">
        <is>
          <t>MANDATORY</t>
        </is>
      </c>
      <c r="G28" s="434" t="inlineStr">
        <is>
          <t>Penalties defined by issuing authority; consult official source. NCA ECC-2 penalties apply if relevant</t>
        </is>
      </c>
      <c r="H28" s="44" t="inlineStr">
        <is>
          <t>As defined by issuing authority</t>
        </is>
      </c>
      <c r="I28" s="46" t="inlineStr">
        <is>
          <t>See DB</t>
        </is>
      </c>
      <c r="J28" s="56" t="inlineStr">
        <is>
          <t>See official framework for maturity model details</t>
        </is>
      </c>
      <c r="K28" s="44" t="inlineStr">
        <is>
          <t>Mapped to relevant GH-ICGA layer — requires manual assessment</t>
        </is>
      </c>
      <c r="L28" s="44" t="inlineStr">
        <is>
          <t>Aligned with relevant Vision 2030 programme — see framework context</t>
        </is>
      </c>
      <c r="M28" s="44" t="inlineStr">
        <is>
          <t>As specified in framework compliance requirements</t>
        </is>
      </c>
    </row>
    <row r="29" ht="51.75" customHeight="1">
      <c r="A29" s="435" t="inlineStr">
        <is>
          <t>28</t>
        </is>
      </c>
      <c r="B29" s="427" t="inlineStr">
        <is>
          <t>SCyWF</t>
        </is>
      </c>
      <c r="C29" s="428" t="inlineStr">
        <is>
          <t>Saudi Cybersecurity Workforce Framework</t>
        </is>
      </c>
      <c r="D29" s="436" t="inlineStr">
        <is>
          <t>NCA</t>
        </is>
      </c>
      <c r="E29" s="439" t="inlineStr">
        <is>
          <t>HIGH</t>
        </is>
      </c>
      <c r="F29" s="433" t="inlineStr">
        <is>
          <t>MANDATORY</t>
        </is>
      </c>
      <c r="G29" s="437" t="inlineStr">
        <is>
          <t>Penalties defined by issuing authority; consult official source. NCA ECC-2 penalties apply if relevant</t>
        </is>
      </c>
      <c r="H29" s="429" t="inlineStr">
        <is>
          <t>As defined by issuing authority</t>
        </is>
      </c>
      <c r="I29" s="430" t="inlineStr">
        <is>
          <t>See DB</t>
        </is>
      </c>
      <c r="J29" s="56" t="inlineStr">
        <is>
          <t>See official framework for maturity model details</t>
        </is>
      </c>
      <c r="K29" s="429" t="inlineStr">
        <is>
          <t>Mapped to relevant GH-ICGA layer — requires manual assessment</t>
        </is>
      </c>
      <c r="L29" s="429" t="inlineStr">
        <is>
          <t>Aligned with relevant Vision 2030 programme — see framework context</t>
        </is>
      </c>
      <c r="M29" s="429" t="inlineStr">
        <is>
          <t>As specified in framework compliance requirements</t>
        </is>
      </c>
    </row>
    <row r="30" ht="51.75" customHeight="1">
      <c r="A30" s="42" t="inlineStr">
        <is>
          <t>29</t>
        </is>
      </c>
      <c r="B30" s="426" t="inlineStr">
        <is>
          <t>NDMO-DGF</t>
        </is>
      </c>
      <c r="C30" s="45" t="inlineStr">
        <is>
          <t>National Data Governance Framework</t>
        </is>
      </c>
      <c r="D30" s="431" t="inlineStr">
        <is>
          <t>SDAIA</t>
        </is>
      </c>
      <c r="E30" s="439" t="inlineStr">
        <is>
          <t>HIGH</t>
        </is>
      </c>
      <c r="F30" s="433" t="inlineStr">
        <is>
          <t>MANDATORY</t>
        </is>
      </c>
      <c r="G30" s="434" t="inlineStr">
        <is>
          <t>Penalties defined by issuing authority; consult official source. NCA ECC-2 penalties apply if relevant</t>
        </is>
      </c>
      <c r="H30" s="44" t="inlineStr">
        <is>
          <t>As defined by issuing authority</t>
        </is>
      </c>
      <c r="I30" s="46" t="inlineStr">
        <is>
          <t>See DB</t>
        </is>
      </c>
      <c r="J30" s="56" t="inlineStr">
        <is>
          <t>See official framework for maturity model details</t>
        </is>
      </c>
      <c r="K30" s="44" t="inlineStr">
        <is>
          <t>Mapped to relevant GH-ICGA layer — requires manual assessment</t>
        </is>
      </c>
      <c r="L30" s="44" t="inlineStr">
        <is>
          <t>Aligned with relevant Vision 2030 programme — see framework context</t>
        </is>
      </c>
      <c r="M30" s="44" t="inlineStr">
        <is>
          <t>As specified in framework compliance requirements</t>
        </is>
      </c>
    </row>
    <row r="31" ht="51.75" customHeight="1">
      <c r="A31" s="435" t="inlineStr">
        <is>
          <t>30</t>
        </is>
      </c>
      <c r="B31" s="427" t="inlineStr">
        <is>
          <t>NDMO-DCP</t>
        </is>
      </c>
      <c r="C31" s="428" t="inlineStr">
        <is>
          <t>Data Classification Policy</t>
        </is>
      </c>
      <c r="D31" s="436" t="inlineStr">
        <is>
          <t>SDAIA</t>
        </is>
      </c>
      <c r="E31" s="439" t="inlineStr">
        <is>
          <t>HIGH</t>
        </is>
      </c>
      <c r="F31" s="433" t="inlineStr">
        <is>
          <t>MANDATORY</t>
        </is>
      </c>
      <c r="G31" s="437" t="inlineStr">
        <is>
          <t>Penalties defined by issuing authority; consult official source. NCA ECC-2 penalties apply if relevant</t>
        </is>
      </c>
      <c r="H31" s="429" t="inlineStr">
        <is>
          <t>As defined by issuing authority</t>
        </is>
      </c>
      <c r="I31" s="430" t="inlineStr">
        <is>
          <t>See DB</t>
        </is>
      </c>
      <c r="J31" s="56" t="inlineStr">
        <is>
          <t>See official framework for maturity model details</t>
        </is>
      </c>
      <c r="K31" s="429" t="inlineStr">
        <is>
          <t>Mapped to relevant GH-ICGA layer — requires manual assessment</t>
        </is>
      </c>
      <c r="L31" s="429" t="inlineStr">
        <is>
          <t>Aligned with relevant Vision 2030 programme — see framework context</t>
        </is>
      </c>
      <c r="M31" s="429" t="inlineStr">
        <is>
          <t>As specified in framework compliance requirements</t>
        </is>
      </c>
    </row>
    <row r="32" ht="51.75" customHeight="1">
      <c r="A32" s="42" t="inlineStr">
        <is>
          <t>31</t>
        </is>
      </c>
      <c r="B32" s="426" t="inlineStr">
        <is>
          <t>NDMO-NDGIR</t>
        </is>
      </c>
      <c r="C32" s="45" t="inlineStr">
        <is>
          <t>National Data Governance Interim Regulations</t>
        </is>
      </c>
      <c r="D32" s="431" t="inlineStr">
        <is>
          <t>SDAIA</t>
        </is>
      </c>
      <c r="E32" s="439" t="inlineStr">
        <is>
          <t>HIGH</t>
        </is>
      </c>
      <c r="F32" s="433" t="inlineStr">
        <is>
          <t>MANDATORY</t>
        </is>
      </c>
      <c r="G32" s="434" t="inlineStr">
        <is>
          <t>Penalties defined by issuing authority; consult official source. NCA ECC-2 penalties apply if relevant</t>
        </is>
      </c>
      <c r="H32" s="44" t="inlineStr">
        <is>
          <t>As defined by issuing authority</t>
        </is>
      </c>
      <c r="I32" s="46" t="inlineStr">
        <is>
          <t>See DB</t>
        </is>
      </c>
      <c r="J32" s="56" t="inlineStr">
        <is>
          <t>See official framework for maturity model details</t>
        </is>
      </c>
      <c r="K32" s="44" t="inlineStr">
        <is>
          <t>Mapped to relevant GH-ICGA layer — requires manual assessment</t>
        </is>
      </c>
      <c r="L32" s="44" t="inlineStr">
        <is>
          <t>Aligned with relevant Vision 2030 programme — see framework context</t>
        </is>
      </c>
      <c r="M32" s="44" t="inlineStr">
        <is>
          <t>As specified in framework compliance requirements</t>
        </is>
      </c>
    </row>
    <row r="33" ht="51.75" customHeight="1">
      <c r="A33" s="435" t="inlineStr">
        <is>
          <t>32</t>
        </is>
      </c>
      <c r="B33" s="427" t="inlineStr">
        <is>
          <t>SDAIA-NSDAI</t>
        </is>
      </c>
      <c r="C33" s="428" t="inlineStr">
        <is>
          <t>National Strategy for Data &amp; AI</t>
        </is>
      </c>
      <c r="D33" s="436" t="inlineStr">
        <is>
          <t>SDAIA</t>
        </is>
      </c>
      <c r="E33" s="439" t="inlineStr">
        <is>
          <t>HIGH</t>
        </is>
      </c>
      <c r="F33" s="438" t="inlineStr">
        <is>
          <t>VOLUNTARY</t>
        </is>
      </c>
      <c r="G33" s="437" t="inlineStr">
        <is>
          <t>Penalties defined by issuing authority; consult official source. NCA ECC-2 penalties apply if relevant</t>
        </is>
      </c>
      <c r="H33" s="429" t="inlineStr">
        <is>
          <t>As defined by issuing authority</t>
        </is>
      </c>
      <c r="I33" s="430" t="inlineStr">
        <is>
          <t>See DB</t>
        </is>
      </c>
      <c r="J33" s="56" t="inlineStr">
        <is>
          <t>See official framework for maturity model details</t>
        </is>
      </c>
      <c r="K33" s="429" t="inlineStr">
        <is>
          <t>Mapped to relevant GH-ICGA layer — requires manual assessment</t>
        </is>
      </c>
      <c r="L33" s="429" t="inlineStr">
        <is>
          <t>Aligned with relevant Vision 2030 programme — see framework context</t>
        </is>
      </c>
      <c r="M33" s="429" t="inlineStr">
        <is>
          <t>As specified in framework compliance requirements</t>
        </is>
      </c>
    </row>
    <row r="34" ht="51.75" customHeight="1">
      <c r="A34" s="42" t="inlineStr">
        <is>
          <t>33</t>
        </is>
      </c>
      <c r="B34" s="426" t="inlineStr">
        <is>
          <t>MOH-PR</t>
        </is>
      </c>
      <c r="C34" s="45" t="inlineStr">
        <is>
          <t>Patient Rights Charter</t>
        </is>
      </c>
      <c r="D34" s="431" t="inlineStr">
        <is>
          <t>MOH</t>
        </is>
      </c>
      <c r="E34" s="439" t="inlineStr">
        <is>
          <t>HIGH</t>
        </is>
      </c>
      <c r="F34" s="433" t="inlineStr">
        <is>
          <t>MANDATORY</t>
        </is>
      </c>
      <c r="G34" s="434" t="inlineStr">
        <is>
          <t>Penalties defined by issuing authority; consult official source. NCA ECC-2 penalties apply if relevant</t>
        </is>
      </c>
      <c r="H34" s="44" t="inlineStr">
        <is>
          <t>As defined by issuing authority</t>
        </is>
      </c>
      <c r="I34" s="46" t="inlineStr">
        <is>
          <t>See DB</t>
        </is>
      </c>
      <c r="J34" s="56" t="inlineStr">
        <is>
          <t>See official framework for maturity model details</t>
        </is>
      </c>
      <c r="K34" s="44" t="inlineStr">
        <is>
          <t>Mapped to relevant GH-ICGA layer — requires manual assessment</t>
        </is>
      </c>
      <c r="L34" s="44" t="inlineStr">
        <is>
          <t>Aligned with relevant Vision 2030 programme — see framework context</t>
        </is>
      </c>
      <c r="M34" s="44" t="inlineStr">
        <is>
          <t>As specified in framework compliance requirements</t>
        </is>
      </c>
    </row>
    <row r="35" ht="51.75" customHeight="1">
      <c r="A35" s="435" t="inlineStr">
        <is>
          <t>34</t>
        </is>
      </c>
      <c r="B35" s="427" t="inlineStr">
        <is>
          <t>MOH-PHILAW</t>
        </is>
      </c>
      <c r="C35" s="428" t="inlineStr">
        <is>
          <t>Private Health Institutions Law</t>
        </is>
      </c>
      <c r="D35" s="436" t="inlineStr">
        <is>
          <t>MOH</t>
        </is>
      </c>
      <c r="E35" s="439" t="inlineStr">
        <is>
          <t>HIGH</t>
        </is>
      </c>
      <c r="F35" s="433" t="inlineStr">
        <is>
          <t>MANDATORY</t>
        </is>
      </c>
      <c r="G35" s="437" t="inlineStr">
        <is>
          <t>Penalties defined by issuing authority; consult official source. NCA ECC-2 penalties apply if relevant</t>
        </is>
      </c>
      <c r="H35" s="429" t="inlineStr">
        <is>
          <t>As defined by issuing authority</t>
        </is>
      </c>
      <c r="I35" s="430" t="inlineStr">
        <is>
          <t>See DB</t>
        </is>
      </c>
      <c r="J35" s="56" t="inlineStr">
        <is>
          <t>See official framework for maturity model details</t>
        </is>
      </c>
      <c r="K35" s="429" t="inlineStr">
        <is>
          <t>Mapped to relevant GH-ICGA layer — requires manual assessment</t>
        </is>
      </c>
      <c r="L35" s="429" t="inlineStr">
        <is>
          <t>Aligned with relevant Vision 2030 programme — see framework context</t>
        </is>
      </c>
      <c r="M35" s="429" t="inlineStr">
        <is>
          <t>As specified in framework compliance requirements</t>
        </is>
      </c>
    </row>
    <row r="36" ht="51.75" customHeight="1">
      <c r="A36" s="42" t="inlineStr">
        <is>
          <t>35</t>
        </is>
      </c>
      <c r="B36" s="426" t="inlineStr">
        <is>
          <t>MOH-NHIS</t>
        </is>
      </c>
      <c r="C36" s="45" t="inlineStr">
        <is>
          <t>National Health Insurance Standards</t>
        </is>
      </c>
      <c r="D36" s="431" t="inlineStr">
        <is>
          <t>MOH</t>
        </is>
      </c>
      <c r="E36" s="439" t="inlineStr">
        <is>
          <t>HIGH</t>
        </is>
      </c>
      <c r="F36" s="433" t="inlineStr">
        <is>
          <t>MANDATORY</t>
        </is>
      </c>
      <c r="G36" s="434" t="inlineStr">
        <is>
          <t>Penalties defined by issuing authority; consult official source. NCA ECC-2 penalties apply if relevant</t>
        </is>
      </c>
      <c r="H36" s="44" t="inlineStr">
        <is>
          <t>As defined by issuing authority</t>
        </is>
      </c>
      <c r="I36" s="46" t="inlineStr">
        <is>
          <t>See DB</t>
        </is>
      </c>
      <c r="J36" s="56" t="inlineStr">
        <is>
          <t>See official framework for maturity model details</t>
        </is>
      </c>
      <c r="K36" s="44" t="inlineStr">
        <is>
          <t>Mapped to relevant GH-ICGA layer — requires manual assessment</t>
        </is>
      </c>
      <c r="L36" s="44" t="inlineStr">
        <is>
          <t>Aligned with relevant Vision 2030 programme — see framework context</t>
        </is>
      </c>
      <c r="M36" s="44" t="inlineStr">
        <is>
          <t>As specified in framework compliance requirements</t>
        </is>
      </c>
    </row>
    <row r="37" ht="51.75" customHeight="1">
      <c r="A37" s="435" t="inlineStr">
        <is>
          <t>36</t>
        </is>
      </c>
      <c r="B37" s="427" t="inlineStr">
        <is>
          <t>MOH-HAJHLT</t>
        </is>
      </c>
      <c r="C37" s="428" t="inlineStr">
        <is>
          <t>Hajj &amp; Umrah Health Standards</t>
        </is>
      </c>
      <c r="D37" s="436" t="inlineStr">
        <is>
          <t>MOH</t>
        </is>
      </c>
      <c r="E37" s="439" t="inlineStr">
        <is>
          <t>HIGH</t>
        </is>
      </c>
      <c r="F37" s="433" t="inlineStr">
        <is>
          <t>MANDATORY</t>
        </is>
      </c>
      <c r="G37" s="437" t="inlineStr">
        <is>
          <t>Penalties defined by issuing authority; consult official source. NCA ECC-2 penalties apply if relevant</t>
        </is>
      </c>
      <c r="H37" s="429" t="inlineStr">
        <is>
          <t>As defined by issuing authority</t>
        </is>
      </c>
      <c r="I37" s="430" t="inlineStr">
        <is>
          <t>See DB</t>
        </is>
      </c>
      <c r="J37" s="56" t="inlineStr">
        <is>
          <t>See official framework for maturity model details</t>
        </is>
      </c>
      <c r="K37" s="429" t="inlineStr">
        <is>
          <t>Mapped to relevant GH-ICGA layer — requires manual assessment</t>
        </is>
      </c>
      <c r="L37" s="429" t="inlineStr">
        <is>
          <t>Aligned with relevant Vision 2030 programme — see framework context</t>
        </is>
      </c>
      <c r="M37" s="429" t="inlineStr">
        <is>
          <t>As specified in framework compliance requirements</t>
        </is>
      </c>
    </row>
    <row r="38" ht="51.75" customHeight="1">
      <c r="A38" s="42" t="inlineStr">
        <is>
          <t>37</t>
        </is>
      </c>
      <c r="B38" s="426" t="inlineStr">
        <is>
          <t>NCA-DCC</t>
        </is>
      </c>
      <c r="C38" s="45" t="inlineStr">
        <is>
          <t>Data Cybersecurity Controls</t>
        </is>
      </c>
      <c r="D38" s="431" t="inlineStr">
        <is>
          <t>MOH</t>
        </is>
      </c>
      <c r="E38" s="439" t="inlineStr">
        <is>
          <t>HIGH</t>
        </is>
      </c>
      <c r="F38" s="433" t="inlineStr">
        <is>
          <t>MANDATORY</t>
        </is>
      </c>
      <c r="G38" s="434" t="inlineStr">
        <is>
          <t>Penalties defined by issuing authority; consult official source. NCA ECC-2 penalties apply if relevant</t>
        </is>
      </c>
      <c r="H38" s="44" t="inlineStr">
        <is>
          <t>As defined by issuing authority</t>
        </is>
      </c>
      <c r="I38" s="46" t="inlineStr">
        <is>
          <t>See DB</t>
        </is>
      </c>
      <c r="J38" s="56" t="inlineStr">
        <is>
          <t>See official framework for maturity model details</t>
        </is>
      </c>
      <c r="K38" s="44" t="inlineStr">
        <is>
          <t>Mapped to relevant GH-ICGA layer — requires manual assessment</t>
        </is>
      </c>
      <c r="L38" s="44" t="inlineStr">
        <is>
          <t>Aligned with relevant Vision 2030 programme — see framework context</t>
        </is>
      </c>
      <c r="M38" s="44" t="inlineStr">
        <is>
          <t>As specified in framework compliance requirements</t>
        </is>
      </c>
    </row>
    <row r="39" ht="51.75" customHeight="1">
      <c r="A39" s="435" t="inlineStr">
        <is>
          <t>38</t>
        </is>
      </c>
      <c r="B39" s="427" t="inlineStr">
        <is>
          <t>SFDA-GMP</t>
        </is>
      </c>
      <c r="C39" s="428" t="inlineStr">
        <is>
          <t>Good Manufacturing Practice</t>
        </is>
      </c>
      <c r="D39" s="436" t="inlineStr">
        <is>
          <t>SFDA</t>
        </is>
      </c>
      <c r="E39" s="439" t="inlineStr">
        <is>
          <t>HIGH</t>
        </is>
      </c>
      <c r="F39" s="433" t="inlineStr">
        <is>
          <t>MANDATORY</t>
        </is>
      </c>
      <c r="G39" s="437" t="inlineStr">
        <is>
          <t>Penalties defined by issuing authority; consult official source. NCA ECC-2 penalties apply if relevant</t>
        </is>
      </c>
      <c r="H39" s="429" t="inlineStr">
        <is>
          <t>As defined by issuing authority</t>
        </is>
      </c>
      <c r="I39" s="430" t="inlineStr">
        <is>
          <t>See DB</t>
        </is>
      </c>
      <c r="J39" s="56" t="inlineStr">
        <is>
          <t>See official framework for maturity model details</t>
        </is>
      </c>
      <c r="K39" s="429" t="inlineStr">
        <is>
          <t>Mapped to relevant GH-ICGA layer — requires manual assessment</t>
        </is>
      </c>
      <c r="L39" s="429" t="inlineStr">
        <is>
          <t>Aligned with relevant Vision 2030 programme — see framework context</t>
        </is>
      </c>
      <c r="M39" s="429" t="inlineStr">
        <is>
          <t>As specified in framework compliance requirements</t>
        </is>
      </c>
    </row>
    <row r="40" ht="51.75" customHeight="1">
      <c r="A40" s="42" t="inlineStr">
        <is>
          <t>39</t>
        </is>
      </c>
      <c r="B40" s="426" t="inlineStr">
        <is>
          <t>SFDA-CT</t>
        </is>
      </c>
      <c r="C40" s="45" t="inlineStr">
        <is>
          <t>Clinical Trial Regulations</t>
        </is>
      </c>
      <c r="D40" s="431" t="inlineStr">
        <is>
          <t>SFDA</t>
        </is>
      </c>
      <c r="E40" s="439" t="inlineStr">
        <is>
          <t>HIGH</t>
        </is>
      </c>
      <c r="F40" s="433" t="inlineStr">
        <is>
          <t>MANDATORY</t>
        </is>
      </c>
      <c r="G40" s="434" t="inlineStr">
        <is>
          <t>Penalties defined by issuing authority; consult official source. NCA ECC-2 penalties apply if relevant</t>
        </is>
      </c>
      <c r="H40" s="44" t="inlineStr">
        <is>
          <t>As defined by issuing authority</t>
        </is>
      </c>
      <c r="I40" s="46" t="inlineStr">
        <is>
          <t>See DB</t>
        </is>
      </c>
      <c r="J40" s="56" t="inlineStr">
        <is>
          <t>See official framework for maturity model details</t>
        </is>
      </c>
      <c r="K40" s="44" t="inlineStr">
        <is>
          <t>Mapped to relevant GH-ICGA layer — requires manual assessment</t>
        </is>
      </c>
      <c r="L40" s="44" t="inlineStr">
        <is>
          <t>Aligned with relevant Vision 2030 programme — see framework context</t>
        </is>
      </c>
      <c r="M40" s="44" t="inlineStr">
        <is>
          <t>As specified in framework compliance requirements</t>
        </is>
      </c>
    </row>
    <row r="41" ht="51.75" customHeight="1">
      <c r="A41" s="435" t="inlineStr">
        <is>
          <t>40</t>
        </is>
      </c>
      <c r="B41" s="427" t="inlineStr">
        <is>
          <t>CBAHI-HAS-PHC</t>
        </is>
      </c>
      <c r="C41" s="428" t="inlineStr">
        <is>
          <t>Primary Health Care Accreditation Standards</t>
        </is>
      </c>
      <c r="D41" s="436" t="inlineStr">
        <is>
          <t>CBAHI</t>
        </is>
      </c>
      <c r="E41" s="439" t="inlineStr">
        <is>
          <t>HIGH</t>
        </is>
      </c>
      <c r="F41" s="438" t="inlineStr">
        <is>
          <t>VOLUNTARY</t>
        </is>
      </c>
      <c r="G41" s="437" t="inlineStr">
        <is>
          <t>Penalties defined by issuing authority; consult official source. NCA ECC-2 penalties apply if relevant</t>
        </is>
      </c>
      <c r="H41" s="429" t="inlineStr">
        <is>
          <t>As defined by issuing authority</t>
        </is>
      </c>
      <c r="I41" s="430" t="inlineStr">
        <is>
          <t>See DB</t>
        </is>
      </c>
      <c r="J41" s="56" t="inlineStr">
        <is>
          <t>See official framework for maturity model details</t>
        </is>
      </c>
      <c r="K41" s="429" t="inlineStr">
        <is>
          <t>Mapped to relevant GH-ICGA layer — requires manual assessment</t>
        </is>
      </c>
      <c r="L41" s="429" t="inlineStr">
        <is>
          <t>Aligned with relevant Vision 2030 programme — see framework context</t>
        </is>
      </c>
      <c r="M41" s="429" t="inlineStr">
        <is>
          <t>As specified in framework compliance requirements</t>
        </is>
      </c>
    </row>
    <row r="42" ht="51.75" customHeight="1">
      <c r="A42" s="42" t="inlineStr">
        <is>
          <t>41</t>
        </is>
      </c>
      <c r="B42" s="426" t="inlineStr">
        <is>
          <t>CBAHI-HAS-LAB</t>
        </is>
      </c>
      <c r="C42" s="45" t="inlineStr">
        <is>
          <t>Laboratory Accreditation Standards</t>
        </is>
      </c>
      <c r="D42" s="431" t="inlineStr">
        <is>
          <t>CBAHI</t>
        </is>
      </c>
      <c r="E42" s="439" t="inlineStr">
        <is>
          <t>HIGH</t>
        </is>
      </c>
      <c r="F42" s="438" t="inlineStr">
        <is>
          <t>VOLUNTARY</t>
        </is>
      </c>
      <c r="G42" s="434" t="inlineStr">
        <is>
          <t>Penalties defined by issuing authority; consult official source. NCA ECC-2 penalties apply if relevant</t>
        </is>
      </c>
      <c r="H42" s="44" t="inlineStr">
        <is>
          <t>As defined by issuing authority</t>
        </is>
      </c>
      <c r="I42" s="46" t="inlineStr">
        <is>
          <t>See DB</t>
        </is>
      </c>
      <c r="J42" s="56" t="inlineStr">
        <is>
          <t>See official framework for maturity model details</t>
        </is>
      </c>
      <c r="K42" s="44" t="inlineStr">
        <is>
          <t>Mapped to relevant GH-ICGA layer — requires manual assessment</t>
        </is>
      </c>
      <c r="L42" s="44" t="inlineStr">
        <is>
          <t>Aligned with relevant Vision 2030 programme — see framework context</t>
        </is>
      </c>
      <c r="M42" s="44" t="inlineStr">
        <is>
          <t>As specified in framework compliance requirements</t>
        </is>
      </c>
    </row>
    <row r="43" ht="51.75" customHeight="1">
      <c r="A43" s="435" t="inlineStr">
        <is>
          <t>42</t>
        </is>
      </c>
      <c r="B43" s="427" t="inlineStr">
        <is>
          <t>CBAHI-HAS-LTC</t>
        </is>
      </c>
      <c r="C43" s="428" t="inlineStr">
        <is>
          <t>Long-Term Care Standards</t>
        </is>
      </c>
      <c r="D43" s="436" t="inlineStr">
        <is>
          <t>CBAHI</t>
        </is>
      </c>
      <c r="E43" s="439" t="inlineStr">
        <is>
          <t>HIGH</t>
        </is>
      </c>
      <c r="F43" s="438" t="inlineStr">
        <is>
          <t>VOLUNTARY</t>
        </is>
      </c>
      <c r="G43" s="437" t="inlineStr">
        <is>
          <t>Penalties defined by issuing authority; consult official source. NCA ECC-2 penalties apply if relevant</t>
        </is>
      </c>
      <c r="H43" s="429" t="inlineStr">
        <is>
          <t>As defined by issuing authority</t>
        </is>
      </c>
      <c r="I43" s="430" t="inlineStr">
        <is>
          <t>See DB</t>
        </is>
      </c>
      <c r="J43" s="56" t="inlineStr">
        <is>
          <t>See official framework for maturity model details</t>
        </is>
      </c>
      <c r="K43" s="429" t="inlineStr">
        <is>
          <t>Mapped to relevant GH-ICGA layer — requires manual assessment</t>
        </is>
      </c>
      <c r="L43" s="429" t="inlineStr">
        <is>
          <t>Aligned with relevant Vision 2030 programme — see framework context</t>
        </is>
      </c>
      <c r="M43" s="429" t="inlineStr">
        <is>
          <t>As specified in framework compliance requirements</t>
        </is>
      </c>
    </row>
    <row r="44" ht="51.75" customHeight="1">
      <c r="A44" s="42" t="inlineStr">
        <is>
          <t>43</t>
        </is>
      </c>
      <c r="B44" s="426" t="inlineStr">
        <is>
          <t>CBAHI-HAS-AMB</t>
        </is>
      </c>
      <c r="C44" s="45" t="inlineStr">
        <is>
          <t>Ambulatory Care Standards</t>
        </is>
      </c>
      <c r="D44" s="431" t="inlineStr">
        <is>
          <t>CBAHI</t>
        </is>
      </c>
      <c r="E44" s="439" t="inlineStr">
        <is>
          <t>HIGH</t>
        </is>
      </c>
      <c r="F44" s="438" t="inlineStr">
        <is>
          <t>VOLUNTARY</t>
        </is>
      </c>
      <c r="G44" s="434" t="inlineStr">
        <is>
          <t>Penalties defined by issuing authority; consult official source. NCA ECC-2 penalties apply if relevant</t>
        </is>
      </c>
      <c r="H44" s="44" t="inlineStr">
        <is>
          <t>As defined by issuing authority</t>
        </is>
      </c>
      <c r="I44" s="46" t="inlineStr">
        <is>
          <t>See DB</t>
        </is>
      </c>
      <c r="J44" s="56" t="inlineStr">
        <is>
          <t>See official framework for maturity model details</t>
        </is>
      </c>
      <c r="K44" s="44" t="inlineStr">
        <is>
          <t>Mapped to relevant GH-ICGA layer — requires manual assessment</t>
        </is>
      </c>
      <c r="L44" s="44" t="inlineStr">
        <is>
          <t>Aligned with relevant Vision 2030 programme — see framework context</t>
        </is>
      </c>
      <c r="M44" s="44" t="inlineStr">
        <is>
          <t>As specified in framework compliance requirements</t>
        </is>
      </c>
    </row>
    <row r="45" ht="51.75" customHeight="1">
      <c r="A45" s="435" t="inlineStr">
        <is>
          <t>44</t>
        </is>
      </c>
      <c r="B45" s="427" t="inlineStr">
        <is>
          <t>SCFHS-PLF</t>
        </is>
      </c>
      <c r="C45" s="428" t="inlineStr">
        <is>
          <t>Professional Licensing Framework</t>
        </is>
      </c>
      <c r="D45" s="436" t="inlineStr">
        <is>
          <t>SCFHS</t>
        </is>
      </c>
      <c r="E45" s="439" t="inlineStr">
        <is>
          <t>HIGH</t>
        </is>
      </c>
      <c r="F45" s="433" t="inlineStr">
        <is>
          <t>MANDATORY</t>
        </is>
      </c>
      <c r="G45" s="437" t="inlineStr">
        <is>
          <t>Practice without licence: criminal prosecution; fine; deportation (expats); licence revocation for professional miscondu...</t>
        </is>
      </c>
      <c r="H45" s="429" t="inlineStr">
        <is>
          <t>Credential verification before licence; CPD audit; revalidation assessment (from 2024); employer spot check</t>
        </is>
      </c>
      <c r="I45" s="430" t="inlineStr">
        <is>
          <t>3 (dig</t>
        </is>
      </c>
      <c r="J45" s="60" t="inlineStr">
        <is>
          <t>No maturity model; licence tier by specialty and grade</t>
        </is>
      </c>
      <c r="K45" s="429" t="inlineStr">
        <is>
          <t>Layer 1: Governance</t>
        </is>
      </c>
      <c r="L45" s="429" t="inlineStr">
        <is>
          <t>HSTP human capital; Vision 2030 healthcare workforce Saudisation; SCFHS 2025-2030 strategy</t>
        </is>
      </c>
      <c r="M45" s="429" t="inlineStr">
        <is>
          <t>Licence certificate; educational credentials; CPD completion records; revalidation portfolio; employer verification letter</t>
        </is>
      </c>
    </row>
    <row r="46" ht="51.75" customHeight="1">
      <c r="A46" s="42" t="inlineStr">
        <is>
          <t>45</t>
        </is>
      </c>
      <c r="B46" s="426" t="inlineStr">
        <is>
          <t>SCFHS-CPD</t>
        </is>
      </c>
      <c r="C46" s="45" t="inlineStr">
        <is>
          <t>CPD Framework</t>
        </is>
      </c>
      <c r="D46" s="431" t="inlineStr">
        <is>
          <t>SCFHS</t>
        </is>
      </c>
      <c r="E46" s="439" t="inlineStr">
        <is>
          <t>HIGH</t>
        </is>
      </c>
      <c r="F46" s="433" t="inlineStr">
        <is>
          <t>MANDATORY</t>
        </is>
      </c>
      <c r="G46" s="434" t="inlineStr">
        <is>
          <t>Penalties defined by issuing authority; consult official source. NCA ECC-2 penalties apply if relevant</t>
        </is>
      </c>
      <c r="H46" s="44" t="inlineStr">
        <is>
          <t>As defined by issuing authority</t>
        </is>
      </c>
      <c r="I46" s="46" t="inlineStr">
        <is>
          <t>See DB</t>
        </is>
      </c>
      <c r="J46" s="56" t="inlineStr">
        <is>
          <t>See official framework for maturity model details</t>
        </is>
      </c>
      <c r="K46" s="44" t="inlineStr">
        <is>
          <t>Mapped to relevant GH-ICGA layer — requires manual assessment</t>
        </is>
      </c>
      <c r="L46" s="44" t="inlineStr">
        <is>
          <t>Aligned with relevant Vision 2030 programme — see framework context</t>
        </is>
      </c>
      <c r="M46" s="44" t="inlineStr">
        <is>
          <t>As specified in framework compliance requirements</t>
        </is>
      </c>
    </row>
    <row r="47" ht="51.75" customHeight="1">
      <c r="A47" s="435" t="inlineStr">
        <is>
          <t>46</t>
        </is>
      </c>
      <c r="B47" s="427" t="inlineStr">
        <is>
          <t>CCHI-HIR</t>
        </is>
      </c>
      <c r="C47" s="428" t="inlineStr">
        <is>
          <t>Cooperative Health Insurance Law &amp; Regulations</t>
        </is>
      </c>
      <c r="D47" s="436" t="inlineStr">
        <is>
          <t>CCHI</t>
        </is>
      </c>
      <c r="E47" s="439" t="inlineStr">
        <is>
          <t>HIGH</t>
        </is>
      </c>
      <c r="F47" s="433" t="inlineStr">
        <is>
          <t>MANDATORY</t>
        </is>
      </c>
      <c r="G47" s="437" t="inlineStr">
        <is>
          <t>Employer: daily SAR 1,000 fine per uninsured employee; Insurer: licence suspension; Provider: exclusion from insurance n...</t>
        </is>
      </c>
      <c r="H47" s="429" t="inlineStr">
        <is>
          <t>CCHI employer compliance audit; insurer financial audit; provider quality audit; digital claims system audit</t>
        </is>
      </c>
      <c r="I47" s="430" t="inlineStr">
        <is>
          <t>8 (rem</t>
        </is>
      </c>
      <c r="J47" s="60" t="inlineStr">
        <is>
          <t>No formal maturity model; licence tier classification for insurers</t>
        </is>
      </c>
      <c r="K47" s="429" t="inlineStr">
        <is>
          <t>Layer 1: Governance; Layer 4: Compliance</t>
        </is>
      </c>
      <c r="L47" s="429" t="inlineStr">
        <is>
          <t>Universal Health Coverage (Vision 2030); National Health Insurance rollout; HSTP financing transformation</t>
        </is>
      </c>
      <c r="M47" s="429" t="inlineStr">
        <is>
          <t>Insurance policy certificate; employer group insurance contract; UBP coverage compliance checklist; digital claims processing system documentation; CCHI audit reports</t>
        </is>
      </c>
    </row>
    <row r="48" ht="51.75" customHeight="1">
      <c r="A48" s="42" t="inlineStr">
        <is>
          <t>47</t>
        </is>
      </c>
      <c r="B48" s="426" t="inlineStr">
        <is>
          <t>CCHI-UBP</t>
        </is>
      </c>
      <c r="C48" s="45" t="inlineStr">
        <is>
          <t>Unified Health Benefits Package</t>
        </is>
      </c>
      <c r="D48" s="431" t="inlineStr">
        <is>
          <t>CCHI</t>
        </is>
      </c>
      <c r="E48" s="439" t="inlineStr">
        <is>
          <t>HIGH</t>
        </is>
      </c>
      <c r="F48" s="433" t="inlineStr">
        <is>
          <t>MANDATORY</t>
        </is>
      </c>
      <c r="G48" s="434" t="inlineStr">
        <is>
          <t>Penalties defined by issuing authority; consult official source. NCA ECC-2 penalties apply if relevant</t>
        </is>
      </c>
      <c r="H48" s="44" t="inlineStr">
        <is>
          <t>As defined by issuing authority</t>
        </is>
      </c>
      <c r="I48" s="46" t="inlineStr">
        <is>
          <t>See DB</t>
        </is>
      </c>
      <c r="J48" s="56" t="inlineStr">
        <is>
          <t>See official framework for maturity model details</t>
        </is>
      </c>
      <c r="K48" s="44" t="inlineStr">
        <is>
          <t>Mapped to relevant GH-ICGA layer — requires manual assessment</t>
        </is>
      </c>
      <c r="L48" s="44" t="inlineStr">
        <is>
          <t>Aligned with relevant Vision 2030 programme — see framework context</t>
        </is>
      </c>
      <c r="M48" s="44" t="inlineStr">
        <is>
          <t>As specified in framework compliance requirements</t>
        </is>
      </c>
    </row>
    <row r="49" ht="51.75" customHeight="1">
      <c r="A49" s="435" t="inlineStr">
        <is>
          <t>48</t>
        </is>
      </c>
      <c r="B49" s="427" t="inlineStr">
        <is>
          <t>SAMA-CSF</t>
        </is>
      </c>
      <c r="C49" s="428" t="inlineStr">
        <is>
          <t>SAMA Cybersecurity Framework</t>
        </is>
      </c>
      <c r="D49" s="436" t="inlineStr">
        <is>
          <t>CCHI</t>
        </is>
      </c>
      <c r="E49" s="439" t="inlineStr">
        <is>
          <t>HIGH</t>
        </is>
      </c>
      <c r="F49" s="433" t="inlineStr">
        <is>
          <t>MANDATORY</t>
        </is>
      </c>
      <c r="G49" s="437" t="inlineStr">
        <is>
          <t>SAMA enforcement: business closure (extreme); SAR multimillion fines (unspecified ceiling); mandatory remediation plan; ...</t>
        </is>
      </c>
      <c r="H49" s="429" t="inlineStr">
        <is>
          <t>Annual self-assessment; SAMA external assessment every 3 years; SAMA surprise inspection (risk-based)</t>
        </is>
      </c>
      <c r="I49" s="430" t="inlineStr">
        <is>
          <t>6 (hea</t>
        </is>
      </c>
      <c r="J49" s="27" t="inlineStr">
        <is>
          <t>Yes — 6 maturity levels (1=Initial to 6=Optimising); sub-domain level maturity s...</t>
        </is>
      </c>
      <c r="K49" s="429" t="inlineStr">
        <is>
          <t>Layer 1: Governance; Layer 2: Risk Management; Layer 4: Compliance</t>
        </is>
      </c>
      <c r="L49" s="429" t="inlineStr">
        <is>
          <t>Financial Sector Development Programme (FSDP); Vision 2030 Fintech strategy; health insurance digital transformation</t>
        </is>
      </c>
      <c r="M49" s="429" t="inlineStr">
        <is>
          <t>Annual self-assessment report; risk register; policy documentation; penetration test reports; BCP test evidence; staff training records; third-party vendor assessment</t>
        </is>
      </c>
    </row>
    <row r="50" ht="51.75" customHeight="1">
      <c r="A50" s="42" t="inlineStr">
        <is>
          <t>49</t>
        </is>
      </c>
      <c r="B50" s="426" t="inlineStr">
        <is>
          <t>SHC-QF</t>
        </is>
      </c>
      <c r="C50" s="45" t="inlineStr">
        <is>
          <t>Saudi Health Quality Framework</t>
        </is>
      </c>
      <c r="D50" s="431" t="inlineStr">
        <is>
          <t>SHC</t>
        </is>
      </c>
      <c r="E50" s="439" t="inlineStr">
        <is>
          <t>HIGH</t>
        </is>
      </c>
      <c r="F50" s="438" t="inlineStr">
        <is>
          <t>VOLUNTARY</t>
        </is>
      </c>
      <c r="G50" s="434" t="inlineStr">
        <is>
          <t>Penalties defined by issuing authority; consult official source. NCA ECC-2 penalties apply if relevant</t>
        </is>
      </c>
      <c r="H50" s="44" t="inlineStr">
        <is>
          <t>As defined by issuing authority</t>
        </is>
      </c>
      <c r="I50" s="46" t="inlineStr">
        <is>
          <t>See DB</t>
        </is>
      </c>
      <c r="J50" s="56" t="inlineStr">
        <is>
          <t>See official framework for maturity model details</t>
        </is>
      </c>
      <c r="K50" s="44" t="inlineStr">
        <is>
          <t>Mapped to relevant GH-ICGA layer — requires manual assessment</t>
        </is>
      </c>
      <c r="L50" s="44" t="inlineStr">
        <is>
          <t>Aligned with relevant Vision 2030 programme — see framework context</t>
        </is>
      </c>
      <c r="M50" s="44" t="inlineStr">
        <is>
          <t>As specified in framework compliance requirements</t>
        </is>
      </c>
    </row>
    <row r="51" ht="51.75" customHeight="1">
      <c r="A51" s="435" t="inlineStr">
        <is>
          <t>50</t>
        </is>
      </c>
      <c r="B51" s="427" t="inlineStr">
        <is>
          <t>SHC-PRIV</t>
        </is>
      </c>
      <c r="C51" s="428" t="inlineStr">
        <is>
          <t>Health Sector Privatisation Framework</t>
        </is>
      </c>
      <c r="D51" s="436" t="inlineStr">
        <is>
          <t>SHC</t>
        </is>
      </c>
      <c r="E51" s="439" t="inlineStr">
        <is>
          <t>HIGH</t>
        </is>
      </c>
      <c r="F51" s="438" t="inlineStr">
        <is>
          <t>VOLUNTARY</t>
        </is>
      </c>
      <c r="G51" s="437" t="inlineStr">
        <is>
          <t>Penalties defined by issuing authority; consult official source. NCA ECC-2 penalties apply if relevant</t>
        </is>
      </c>
      <c r="H51" s="429" t="inlineStr">
        <is>
          <t>As defined by issuing authority</t>
        </is>
      </c>
      <c r="I51" s="430" t="inlineStr">
        <is>
          <t>See DB</t>
        </is>
      </c>
      <c r="J51" s="56" t="inlineStr">
        <is>
          <t>See official framework for maturity model details</t>
        </is>
      </c>
      <c r="K51" s="429" t="inlineStr">
        <is>
          <t>Mapped to relevant GH-ICGA layer — requires manual assessment</t>
        </is>
      </c>
      <c r="L51" s="429" t="inlineStr">
        <is>
          <t>Aligned with relevant Vision 2030 programme — see framework context</t>
        </is>
      </c>
      <c r="M51" s="429" t="inlineStr">
        <is>
          <t>As specified in framework compliance requirements</t>
        </is>
      </c>
    </row>
    <row r="52" ht="51.75" customHeight="1">
      <c r="A52" s="42" t="inlineStr">
        <is>
          <t>51</t>
        </is>
      </c>
      <c r="B52" s="426" t="inlineStr">
        <is>
          <t>NHIC-HDS</t>
        </is>
      </c>
      <c r="C52" s="45" t="inlineStr">
        <is>
          <t>National Health Data Standards</t>
        </is>
      </c>
      <c r="D52" s="431" t="inlineStr">
        <is>
          <t>NHIC</t>
        </is>
      </c>
      <c r="E52" s="439" t="inlineStr">
        <is>
          <t>HIGH</t>
        </is>
      </c>
      <c r="F52" s="433" t="inlineStr">
        <is>
          <t>MANDATORY</t>
        </is>
      </c>
      <c r="G52" s="434" t="inlineStr">
        <is>
          <t>Penalties defined by issuing authority; consult official source. NCA ECC-2 penalties apply if relevant</t>
        </is>
      </c>
      <c r="H52" s="44" t="inlineStr">
        <is>
          <t>As defined by issuing authority</t>
        </is>
      </c>
      <c r="I52" s="46" t="inlineStr">
        <is>
          <t>See DB</t>
        </is>
      </c>
      <c r="J52" s="56" t="inlineStr">
        <is>
          <t>See official framework for maturity model details</t>
        </is>
      </c>
      <c r="K52" s="44" t="inlineStr">
        <is>
          <t>Mapped to relevant GH-ICGA layer — requires manual assessment</t>
        </is>
      </c>
      <c r="L52" s="44" t="inlineStr">
        <is>
          <t>Aligned with relevant Vision 2030 programme — see framework context</t>
        </is>
      </c>
      <c r="M52" s="44" t="inlineStr">
        <is>
          <t>As specified in framework compliance requirements</t>
        </is>
      </c>
    </row>
    <row r="53" ht="51.75" customHeight="1">
      <c r="A53" s="435" t="inlineStr">
        <is>
          <t>52</t>
        </is>
      </c>
      <c r="B53" s="427" t="inlineStr">
        <is>
          <t>NHIC-CODES</t>
        </is>
      </c>
      <c r="C53" s="428" t="inlineStr">
        <is>
          <t>Clinical Coding Standards (ICD-10, SNOMED)</t>
        </is>
      </c>
      <c r="D53" s="436" t="inlineStr">
        <is>
          <t>NHIC</t>
        </is>
      </c>
      <c r="E53" s="439" t="inlineStr">
        <is>
          <t>HIGH</t>
        </is>
      </c>
      <c r="F53" s="433" t="inlineStr">
        <is>
          <t>MANDATORY</t>
        </is>
      </c>
      <c r="G53" s="437" t="inlineStr">
        <is>
          <t>Penalties defined by issuing authority; consult official source. NCA ECC-2 penalties apply if relevant</t>
        </is>
      </c>
      <c r="H53" s="429" t="inlineStr">
        <is>
          <t>As defined by issuing authority</t>
        </is>
      </c>
      <c r="I53" s="430" t="inlineStr">
        <is>
          <t>See DB</t>
        </is>
      </c>
      <c r="J53" s="56" t="inlineStr">
        <is>
          <t>See official framework for maturity model details</t>
        </is>
      </c>
      <c r="K53" s="429" t="inlineStr">
        <is>
          <t>Mapped to relevant GH-ICGA layer — requires manual assessment</t>
        </is>
      </c>
      <c r="L53" s="429" t="inlineStr">
        <is>
          <t>Aligned with relevant Vision 2030 programme — see framework context</t>
        </is>
      </c>
      <c r="M53" s="429" t="inlineStr">
        <is>
          <t>As specified in framework compliance requirements</t>
        </is>
      </c>
    </row>
    <row r="54" ht="51.75" customHeight="1">
      <c r="A54" s="42" t="inlineStr">
        <is>
          <t>53</t>
        </is>
      </c>
      <c r="B54" s="426" t="inlineStr">
        <is>
          <t>CST-TITA</t>
        </is>
      </c>
      <c r="C54" s="45" t="inlineStr">
        <is>
          <t>Telecommunications &amp; IT Act</t>
        </is>
      </c>
      <c r="D54" s="431" t="inlineStr">
        <is>
          <t>CST</t>
        </is>
      </c>
      <c r="E54" s="439" t="inlineStr">
        <is>
          <t>HIGH</t>
        </is>
      </c>
      <c r="F54" s="433" t="inlineStr">
        <is>
          <t>MANDATORY</t>
        </is>
      </c>
      <c r="G54" s="434" t="inlineStr">
        <is>
          <t>Penalties defined by issuing authority; consult official source. NCA ECC-2 penalties apply if relevant</t>
        </is>
      </c>
      <c r="H54" s="44" t="inlineStr">
        <is>
          <t>As defined by issuing authority</t>
        </is>
      </c>
      <c r="I54" s="46" t="inlineStr">
        <is>
          <t>See DB</t>
        </is>
      </c>
      <c r="J54" s="56" t="inlineStr">
        <is>
          <t>See official framework for maturity model details</t>
        </is>
      </c>
      <c r="K54" s="44" t="inlineStr">
        <is>
          <t>Mapped to relevant GH-ICGA layer — requires manual assessment</t>
        </is>
      </c>
      <c r="L54" s="44" t="inlineStr">
        <is>
          <t>Aligned with relevant Vision 2030 programme — see framework context</t>
        </is>
      </c>
      <c r="M54" s="44" t="inlineStr">
        <is>
          <t>As specified in framework compliance requirements</t>
        </is>
      </c>
    </row>
    <row r="55" ht="51.75" customHeight="1">
      <c r="A55" s="435" t="inlineStr">
        <is>
          <t>54</t>
        </is>
      </c>
      <c r="B55" s="427" t="inlineStr">
        <is>
          <t>CST-CSRF</t>
        </is>
      </c>
      <c r="C55" s="428" t="inlineStr">
        <is>
          <t>Cybersecurity Regulatory Framework for ICT</t>
        </is>
      </c>
      <c r="D55" s="436" t="inlineStr">
        <is>
          <t>CST</t>
        </is>
      </c>
      <c r="E55" s="439" t="inlineStr">
        <is>
          <t>HIGH</t>
        </is>
      </c>
      <c r="F55" s="433" t="inlineStr">
        <is>
          <t>MANDATORY</t>
        </is>
      </c>
      <c r="G55" s="437" t="inlineStr">
        <is>
          <t>Penalties defined by issuing authority; consult official source. NCA ECC-2 penalties apply if relevant</t>
        </is>
      </c>
      <c r="H55" s="429" t="inlineStr">
        <is>
          <t>As defined by issuing authority</t>
        </is>
      </c>
      <c r="I55" s="430" t="inlineStr">
        <is>
          <t>See DB</t>
        </is>
      </c>
      <c r="J55" s="56" t="inlineStr">
        <is>
          <t>See official framework for maturity model details</t>
        </is>
      </c>
      <c r="K55" s="429" t="inlineStr">
        <is>
          <t>Mapped to relevant GH-ICGA layer — requires manual assessment</t>
        </is>
      </c>
      <c r="L55" s="429" t="inlineStr">
        <is>
          <t>Aligned with relevant Vision 2030 programme — see framework context</t>
        </is>
      </c>
      <c r="M55" s="429" t="inlineStr">
        <is>
          <t>As specified in framework compliance requirements</t>
        </is>
      </c>
    </row>
    <row r="56" ht="51.75" customHeight="1">
      <c r="A56" s="42" t="inlineStr">
        <is>
          <t>55</t>
        </is>
      </c>
      <c r="B56" s="426" t="inlineStr">
        <is>
          <t>CST-CYBER-OPS</t>
        </is>
      </c>
      <c r="C56" s="45" t="inlineStr">
        <is>
          <t>Cybersecurity Operations Regulations (ICT)</t>
        </is>
      </c>
      <c r="D56" s="431" t="inlineStr">
        <is>
          <t>CST</t>
        </is>
      </c>
      <c r="E56" s="439" t="inlineStr">
        <is>
          <t>HIGH</t>
        </is>
      </c>
      <c r="F56" s="433" t="inlineStr">
        <is>
          <t>MANDATORY</t>
        </is>
      </c>
      <c r="G56" s="434" t="inlineStr">
        <is>
          <t>Penalties defined by issuing authority; consult official source. NCA ECC-2 penalties apply if relevant</t>
        </is>
      </c>
      <c r="H56" s="44" t="inlineStr">
        <is>
          <t>As defined by issuing authority</t>
        </is>
      </c>
      <c r="I56" s="46" t="inlineStr">
        <is>
          <t>See DB</t>
        </is>
      </c>
      <c r="J56" s="56" t="inlineStr">
        <is>
          <t>See official framework for maturity model details</t>
        </is>
      </c>
      <c r="K56" s="44" t="inlineStr">
        <is>
          <t>Mapped to relevant GH-ICGA layer — requires manual assessment</t>
        </is>
      </c>
      <c r="L56" s="44" t="inlineStr">
        <is>
          <t>Aligned with relevant Vision 2030 programme — see framework context</t>
        </is>
      </c>
      <c r="M56" s="44" t="inlineStr">
        <is>
          <t>As specified in framework compliance requirements</t>
        </is>
      </c>
    </row>
    <row r="57" ht="51.75" customHeight="1">
      <c r="A57" s="435" t="inlineStr">
        <is>
          <t>56</t>
        </is>
      </c>
      <c r="B57" s="427" t="inlineStr">
        <is>
          <t>CST-CCR</t>
        </is>
      </c>
      <c r="C57" s="428" t="inlineStr">
        <is>
          <t>Cloud Computing Regulatory Framework</t>
        </is>
      </c>
      <c r="D57" s="436" t="inlineStr">
        <is>
          <t>CST</t>
        </is>
      </c>
      <c r="E57" s="439" t="inlineStr">
        <is>
          <t>HIGH</t>
        </is>
      </c>
      <c r="F57" s="433" t="inlineStr">
        <is>
          <t>MANDATORY</t>
        </is>
      </c>
      <c r="G57" s="437" t="inlineStr">
        <is>
          <t>Penalties defined by issuing authority; consult official source. NCA ECC-2 penalties apply if relevant</t>
        </is>
      </c>
      <c r="H57" s="429" t="inlineStr">
        <is>
          <t>As defined by issuing authority</t>
        </is>
      </c>
      <c r="I57" s="430" t="inlineStr">
        <is>
          <t>See DB</t>
        </is>
      </c>
      <c r="J57" s="56" t="inlineStr">
        <is>
          <t>See official framework for maturity model details</t>
        </is>
      </c>
      <c r="K57" s="429" t="inlineStr">
        <is>
          <t>Mapped to relevant GH-ICGA layer — requires manual assessment</t>
        </is>
      </c>
      <c r="L57" s="429" t="inlineStr">
        <is>
          <t>Aligned with relevant Vision 2030 programme — see framework context</t>
        </is>
      </c>
      <c r="M57" s="429" t="inlineStr">
        <is>
          <t>As specified in framework compliance requirements</t>
        </is>
      </c>
    </row>
    <row r="58" ht="51.75" customHeight="1">
      <c r="A58" s="42" t="inlineStr">
        <is>
          <t>57</t>
        </is>
      </c>
      <c r="B58" s="426" t="inlineStr">
        <is>
          <t>CST-DPS</t>
        </is>
      </c>
      <c r="C58" s="45" t="inlineStr">
        <is>
          <t>Digital Platform Services Regulations</t>
        </is>
      </c>
      <c r="D58" s="431" t="inlineStr">
        <is>
          <t>CST</t>
        </is>
      </c>
      <c r="E58" s="439" t="inlineStr">
        <is>
          <t>HIGH</t>
        </is>
      </c>
      <c r="F58" s="433" t="inlineStr">
        <is>
          <t>MANDATORY</t>
        </is>
      </c>
      <c r="G58" s="434" t="inlineStr">
        <is>
          <t>Penalties defined by issuing authority; consult official source. NCA ECC-2 penalties apply if relevant</t>
        </is>
      </c>
      <c r="H58" s="44" t="inlineStr">
        <is>
          <t>As defined by issuing authority</t>
        </is>
      </c>
      <c r="I58" s="46" t="inlineStr">
        <is>
          <t>See DB</t>
        </is>
      </c>
      <c r="J58" s="56" t="inlineStr">
        <is>
          <t>See official framework for maturity model details</t>
        </is>
      </c>
      <c r="K58" s="44" t="inlineStr">
        <is>
          <t>Mapped to relevant GH-ICGA layer — requires manual assessment</t>
        </is>
      </c>
      <c r="L58" s="44" t="inlineStr">
        <is>
          <t>Aligned with relevant Vision 2030 programme — see framework context</t>
        </is>
      </c>
      <c r="M58" s="44" t="inlineStr">
        <is>
          <t>As specified in framework compliance requirements</t>
        </is>
      </c>
    </row>
    <row r="59" ht="51.75" customHeight="1">
      <c r="A59" s="435" t="inlineStr">
        <is>
          <t>58</t>
        </is>
      </c>
      <c r="B59" s="427" t="inlineStr">
        <is>
          <t>CST-DCS</t>
        </is>
      </c>
      <c r="C59" s="428" t="inlineStr">
        <is>
          <t>Data Center Services Regulations</t>
        </is>
      </c>
      <c r="D59" s="436" t="inlineStr">
        <is>
          <t>CST</t>
        </is>
      </c>
      <c r="E59" s="439" t="inlineStr">
        <is>
          <t>HIGH</t>
        </is>
      </c>
      <c r="F59" s="433" t="inlineStr">
        <is>
          <t>MANDATORY</t>
        </is>
      </c>
      <c r="G59" s="437" t="inlineStr">
        <is>
          <t>Penalties defined by issuing authority; consult official source. NCA ECC-2 penalties apply if relevant</t>
        </is>
      </c>
      <c r="H59" s="429" t="inlineStr">
        <is>
          <t>As defined by issuing authority</t>
        </is>
      </c>
      <c r="I59" s="430" t="inlineStr">
        <is>
          <t>See DB</t>
        </is>
      </c>
      <c r="J59" s="56" t="inlineStr">
        <is>
          <t>See official framework for maturity model details</t>
        </is>
      </c>
      <c r="K59" s="429" t="inlineStr">
        <is>
          <t>Mapped to relevant GH-ICGA layer — requires manual assessment</t>
        </is>
      </c>
      <c r="L59" s="429" t="inlineStr">
        <is>
          <t>Aligned with relevant Vision 2030 programme — see framework context</t>
        </is>
      </c>
      <c r="M59" s="429" t="inlineStr">
        <is>
          <t>As specified in framework compliance requirements</t>
        </is>
      </c>
    </row>
    <row r="60" ht="51.75" customHeight="1">
      <c r="A60" s="42" t="inlineStr">
        <is>
          <t>59</t>
        </is>
      </c>
      <c r="B60" s="426" t="inlineStr">
        <is>
          <t>DGA-CFP</t>
        </is>
      </c>
      <c r="C60" s="45" t="inlineStr">
        <is>
          <t>Cloud First Policy</t>
        </is>
      </c>
      <c r="D60" s="431" t="inlineStr">
        <is>
          <t>DGA</t>
        </is>
      </c>
      <c r="E60" s="439" t="inlineStr">
        <is>
          <t>HIGH</t>
        </is>
      </c>
      <c r="F60" s="433" t="inlineStr">
        <is>
          <t>MANDATORY</t>
        </is>
      </c>
      <c r="G60" s="434" t="inlineStr">
        <is>
          <t>Penalties defined by issuing authority; consult official source. NCA ECC-2 penalties apply if relevant</t>
        </is>
      </c>
      <c r="H60" s="44" t="inlineStr">
        <is>
          <t>As defined by issuing authority</t>
        </is>
      </c>
      <c r="I60" s="46" t="inlineStr">
        <is>
          <t>See DB</t>
        </is>
      </c>
      <c r="J60" s="56" t="inlineStr">
        <is>
          <t>See official framework for maturity model details</t>
        </is>
      </c>
      <c r="K60" s="44" t="inlineStr">
        <is>
          <t>Mapped to relevant GH-ICGA layer — requires manual assessment</t>
        </is>
      </c>
      <c r="L60" s="44" t="inlineStr">
        <is>
          <t>Aligned with relevant Vision 2030 programme — see framework context</t>
        </is>
      </c>
      <c r="M60" s="44" t="inlineStr">
        <is>
          <t>As specified in framework compliance requirements</t>
        </is>
      </c>
    </row>
    <row r="61" ht="51.75" customHeight="1">
      <c r="A61" s="435" t="inlineStr">
        <is>
          <t>60</t>
        </is>
      </c>
      <c r="B61" s="427" t="inlineStr">
        <is>
          <t>SASO-PS</t>
        </is>
      </c>
      <c r="C61" s="428" t="inlineStr">
        <is>
          <t>Product Safety &amp; Technical Regulations</t>
        </is>
      </c>
      <c r="D61" s="436" t="inlineStr">
        <is>
          <t>SASO</t>
        </is>
      </c>
      <c r="E61" s="439" t="inlineStr">
        <is>
          <t>HIGH</t>
        </is>
      </c>
      <c r="F61" s="433" t="inlineStr">
        <is>
          <t>MANDATORY</t>
        </is>
      </c>
      <c r="G61" s="437" t="inlineStr">
        <is>
          <t>Product recall; import detention; SAR fine; SABER system blacklisting; facility licence suspension</t>
        </is>
      </c>
      <c r="H61" s="429" t="inlineStr">
        <is>
          <t>Pre-market: SABER conformity certification (mandatory before import); market surveillance audits; consumer complaint investigation</t>
        </is>
      </c>
      <c r="I61" s="430" t="inlineStr">
        <is>
          <t>12 (Io</t>
        </is>
      </c>
      <c r="J61" s="60" t="inlineStr">
        <is>
          <t>No maturity model; pass/fail conformity assessment</t>
        </is>
      </c>
      <c r="K61" s="429" t="inlineStr">
        <is>
          <t>Layer 3: Technical Controls; Layer 4: Compliance</t>
        </is>
      </c>
      <c r="L61" s="429" t="inlineStr">
        <is>
          <t>Quality products for Vision 2030; National Quality Infrastructure Programme; local manufacturing initiative</t>
        </is>
      </c>
      <c r="M61" s="429" t="inlineStr">
        <is>
          <t>SABER conformity certificate; test report (IEC 60601/ETSI EN 303 645); importer registration; product technical file; shipment clearance records</t>
        </is>
      </c>
    </row>
    <row r="62" ht="51.75" customHeight="1">
      <c r="A62" s="42" t="inlineStr">
        <is>
          <t>61</t>
        </is>
      </c>
      <c r="B62" s="426" t="inlineStr">
        <is>
          <t>SASO-SABER</t>
        </is>
      </c>
      <c r="C62" s="45" t="inlineStr">
        <is>
          <t>SABER Product Conformity Platform</t>
        </is>
      </c>
      <c r="D62" s="431" t="inlineStr">
        <is>
          <t>SASO</t>
        </is>
      </c>
      <c r="E62" s="439" t="inlineStr">
        <is>
          <t>HIGH</t>
        </is>
      </c>
      <c r="F62" s="433" t="inlineStr">
        <is>
          <t>MANDATORY</t>
        </is>
      </c>
      <c r="G62" s="434" t="inlineStr">
        <is>
          <t>Penalties defined by issuing authority; consult official source. NCA ECC-2 penalties apply if relevant</t>
        </is>
      </c>
      <c r="H62" s="44" t="inlineStr">
        <is>
          <t>As defined by issuing authority</t>
        </is>
      </c>
      <c r="I62" s="46" t="inlineStr">
        <is>
          <t>See DB</t>
        </is>
      </c>
      <c r="J62" s="56" t="inlineStr">
        <is>
          <t>See official framework for maturity model details</t>
        </is>
      </c>
      <c r="K62" s="44" t="inlineStr">
        <is>
          <t>Mapped to relevant GH-ICGA layer — requires manual assessment</t>
        </is>
      </c>
      <c r="L62" s="44" t="inlineStr">
        <is>
          <t>Aligned with relevant Vision 2030 programme — see framework context</t>
        </is>
      </c>
      <c r="M62" s="44" t="inlineStr">
        <is>
          <t>As specified in framework compliance requirements</t>
        </is>
      </c>
    </row>
    <row r="63" ht="51.75" customHeight="1">
      <c r="A63" s="435" t="inlineStr">
        <is>
          <t>62</t>
        </is>
      </c>
      <c r="B63" s="427" t="inlineStr">
        <is>
          <t>MHRSD-NITAQAT</t>
        </is>
      </c>
      <c r="C63" s="428" t="inlineStr">
        <is>
          <t>Saudisation / Nitaqat System</t>
        </is>
      </c>
      <c r="D63" s="436" t="inlineStr">
        <is>
          <t>MHRSD</t>
        </is>
      </c>
      <c r="E63" s="439" t="inlineStr">
        <is>
          <t>HIGH</t>
        </is>
      </c>
      <c r="F63" s="433" t="inlineStr">
        <is>
          <t>MANDATORY</t>
        </is>
      </c>
      <c r="G63" s="437" t="inlineStr">
        <is>
          <t>Red zone: work visa ban; government services suspension; business licence at risk; SAR fines per violation; forced natio...</t>
        </is>
      </c>
      <c r="H63" s="429" t="inlineStr">
        <is>
          <t>Qiwa platform continuous monitoring; MHRSD labour inspection; NCA cyber workforce compliance audit</t>
        </is>
      </c>
      <c r="I63" s="430" t="inlineStr">
        <is>
          <t>3 (cyb</t>
        </is>
      </c>
      <c r="J63" s="56" t="inlineStr">
        <is>
          <t>Colour-coded zone system: Platinum / Green / Yellow / Red — updated quarterly</t>
        </is>
      </c>
      <c r="K63" s="429" t="inlineStr">
        <is>
          <t>Layer 1: Governance</t>
        </is>
      </c>
      <c r="L63" s="429" t="inlineStr">
        <is>
          <t>Vision 2030 Saudisation targets; National Labour Market Strategy; NCA SCyWF cybersecurity workforce development</t>
        </is>
      </c>
      <c r="M63" s="429" t="inlineStr">
        <is>
          <t>GOSI registration records; Qiwa Nitaqat colour certificate; Saudi employee contracts; NCA ECC-2 cybersecurity role audit; SCFHS licence for Saudi clinical professionals</t>
        </is>
      </c>
    </row>
    <row r="64" ht="51.75" customHeight="1">
      <c r="A64" s="42" t="inlineStr">
        <is>
          <t>63</t>
        </is>
      </c>
      <c r="B64" s="426" t="inlineStr">
        <is>
          <t>OSH-REGS</t>
        </is>
      </c>
      <c r="C64" s="45" t="inlineStr">
        <is>
          <t>Occupational Safety &amp; Health Regulations</t>
        </is>
      </c>
      <c r="D64" s="431" t="inlineStr">
        <is>
          <t>MHRSD</t>
        </is>
      </c>
      <c r="E64" s="439" t="inlineStr">
        <is>
          <t>HIGH</t>
        </is>
      </c>
      <c r="F64" s="433" t="inlineStr">
        <is>
          <t>MANDATORY</t>
        </is>
      </c>
      <c r="G64" s="434" t="inlineStr">
        <is>
          <t>Penalties defined by issuing authority; consult official source. NCA ECC-2 penalties apply if relevant</t>
        </is>
      </c>
      <c r="H64" s="44" t="inlineStr">
        <is>
          <t>As defined by issuing authority</t>
        </is>
      </c>
      <c r="I64" s="46" t="inlineStr">
        <is>
          <t>See DB</t>
        </is>
      </c>
      <c r="J64" s="56" t="inlineStr">
        <is>
          <t>See official framework for maturity model details</t>
        </is>
      </c>
      <c r="K64" s="44" t="inlineStr">
        <is>
          <t>Mapped to relevant GH-ICGA layer — requires manual assessment</t>
        </is>
      </c>
      <c r="L64" s="44" t="inlineStr">
        <is>
          <t>Aligned with relevant Vision 2030 programme — see framework context</t>
        </is>
      </c>
      <c r="M64" s="44" t="inlineStr">
        <is>
          <t>As specified in framework compliance requirements</t>
        </is>
      </c>
    </row>
  </sheetData>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I191"/>
  <sheetViews>
    <sheetView zoomScaleNormal="100" workbookViewId="0">
      <pane ySplit="1" topLeftCell="A2" activePane="bottomLeft" state="frozen"/>
      <selection pane="bottomLeft" activeCell="A1" sqref="A1"/>
    </sheetView>
  </sheetViews>
  <sheetFormatPr baseColWidth="8" defaultColWidth="8.6640625" defaultRowHeight="14.25"/>
  <cols>
    <col width="18" customWidth="1" min="1" max="1"/>
    <col width="38" customWidth="1" min="2" max="2"/>
    <col width="12" customWidth="1" min="3" max="3"/>
    <col width="10" customWidth="1" min="4" max="4"/>
    <col width="46" customWidth="1" min="5" max="6"/>
    <col width="38" customWidth="1" min="7" max="7"/>
    <col width="28" customWidth="1" min="8" max="8"/>
    <col width="42" customWidth="1" min="9" max="9"/>
  </cols>
  <sheetData>
    <row r="1" ht="21.75" customHeight="1">
      <c r="A1" s="5" t="inlineStr">
        <is>
          <t>Framework Code</t>
        </is>
      </c>
      <c r="B1" s="5" t="inlineStr">
        <is>
          <t>Framework Name</t>
        </is>
      </c>
      <c r="C1" s="5" t="inlineStr">
        <is>
          <t>Regulator</t>
        </is>
      </c>
      <c r="D1" s="5" t="inlineStr">
        <is>
          <t>HC IoT Relevance</t>
        </is>
      </c>
      <c r="E1" s="5" t="inlineStr">
        <is>
          <t>FOR: Strengths &amp; Supporters</t>
        </is>
      </c>
      <c r="F1" s="5" t="inlineStr">
        <is>
          <t>AGAINST: Criticisms &amp; Critics</t>
        </is>
      </c>
      <c r="G1" s="5" t="inlineStr">
        <is>
          <t>Known Gaps</t>
        </is>
      </c>
      <c r="H1" s="5" t="inlineStr">
        <is>
          <t>Best Comparator Framework</t>
        </is>
      </c>
      <c r="I1" s="5" t="inlineStr">
        <is>
          <t>Recommended Use in KSA HC IoT</t>
        </is>
      </c>
    </row>
    <row r="2" ht="72" customHeight="1">
      <c r="A2" s="426" t="inlineStr">
        <is>
          <t>CBAHI-HAS-H</t>
        </is>
      </c>
      <c r="B2" s="45" t="inlineStr">
        <is>
          <t>Hospital Accreditation Standards (5th Ed.)</t>
        </is>
      </c>
      <c r="C2" s="44" t="inlineStr">
        <is>
          <t>CBAHI</t>
        </is>
      </c>
      <c r="D2" s="432" t="inlineStr">
        <is>
          <t>HIGHEST</t>
        </is>
      </c>
      <c r="E2" s="440" t="inlineStr">
        <is>
          <t>Almutairi et al. (2015) and Alkhenizan &amp; Shaw (2011) find CBAHI-accredited hospitals show measurable quality improvements; national benchmark grounded in Saudi context unlike JCI (US-centric); patient safety improvements documented post-accreditation.</t>
        </is>
      </c>
      <c r="F2" s="434" t="inlineStr">
        <is>
          <t>Voluntariness undermines universal coverage — only ~40% of KSA hospitals accredited (WHO PHSSR 2025); Greenfield &amp; Braithwaite (2008) meta-analysis questions causal link between accreditation and patient outcomes; survey preparation creates compliance-oriented behaviours rather than genuine quality improvement (gaming risk)</t>
        </is>
      </c>
      <c r="G2" s="44" t="inlineStr">
        <is>
          <t>3-year survey cycle too long for rapid IoMT deployment environment; HIT standards in 5th Ed still less specific than HIMSS EMRAM Stage 6/7 requirements; cybersecurity standards within CBAHI remain minimal compared to NCA ECC-2 requirements; no dedicated IoMT governance chapter despite medical device</t>
        </is>
      </c>
      <c r="H2" s="441" t="inlineStr">
        <is>
          <t>CBAHI vs JCI: JCI globally recognised; CBAHI nationally recognised — JCI preferred for medical tourism attracting hospitals. CBAHI vs HIMSS EMRAM: CBA...</t>
        </is>
      </c>
      <c r="I2" s="426" t="inlineStr">
        <is>
          <t>GH-ICGA Layer 5 (Assurance) — CBAHI accreditation is the primary assurance mechanism for hospital IoMT governance. Thesis argument: CBAHI-HAS-H 5th Ed HIT standards need a cybersecurity annex for IoMT...</t>
        </is>
      </c>
    </row>
    <row r="3" ht="72" customHeight="1">
      <c r="A3" s="131" t="inlineStr">
        <is>
          <t>CST-IOT</t>
        </is>
      </c>
      <c r="B3" s="122" t="inlineStr">
        <is>
          <t>IoT Regulatory Framework</t>
        </is>
      </c>
      <c r="C3" s="121" t="inlineStr">
        <is>
          <t>CST</t>
        </is>
      </c>
      <c r="D3" s="432" t="inlineStr">
        <is>
          <t>HIGHEST</t>
        </is>
      </c>
      <c r="E3" s="442" t="inlineStr">
        <is>
          <t>Academic debate varies by framework maturity and international adoption. For KSA-specific debate, consult: Almohammad &amp; Wills (2021) J Cybersecurity; Al-Khater et al. (2020) IEEE Access; Baker McKenzi</t>
        </is>
      </c>
      <c r="F3" s="127" t="inlineStr">
        <is>
          <t>Known criticisms include: implementation gap between standards and practice; resource constraints for smaller healthcare entities; rapid technology evolution outpacing regulation. Consult framework ev</t>
        </is>
      </c>
      <c r="G3" s="121" t="inlineStr">
        <is>
          <t>Known criticisms include: implementation gap between standards and practice; resource constraints for smaller healthcare entities; rapid technology evolution outpacing regulation. Consult framework evaluation literature for specifics.</t>
        </is>
      </c>
      <c r="H3" s="128" t="inlineStr">
        <is>
          <t>Framework comparison requires contextual analysis. Key comparators: NIST CSF 2.0 (international benchmark), ISO 27001 (certifiable standard), ECC-2 (K...</t>
        </is>
      </c>
      <c r="I3" s="131" t="inlineStr">
        <is>
          <t>Relevance to GH-ICGA framework varies by layer — see GH-ICGA Layer Mapping column. All KSA mandatory frameworks are compliance inputs to GH-ICGA Layer 4. Frameworks with IoMT-specific provisions direc...</t>
        </is>
      </c>
    </row>
    <row r="4" ht="72" customHeight="1">
      <c r="A4" s="426" t="inlineStr">
        <is>
          <t>ECC-2:2024</t>
        </is>
      </c>
      <c r="B4" s="45" t="inlineStr">
        <is>
          <t>Essential Cybersecurity Controls</t>
        </is>
      </c>
      <c r="C4" s="44" t="inlineStr">
        <is>
          <t>NCA</t>
        </is>
      </c>
      <c r="D4" s="432" t="inlineStr">
        <is>
          <t>HIGHEST</t>
        </is>
      </c>
      <c r="E4" s="440" t="inlineStr">
        <is>
          <t>Nationally contextualised; stronger than NIST CSF for enforcement; Arabic-first design reduces adoption friction in KSA; mandatory Saudisation closes workforce gap.</t>
        </is>
      </c>
      <c r="F4" s="434" t="inlineStr">
        <is>
          <t>Critics argue reducing from 114 to 108 controls is regressive — Almohammad &amp; Wills (2021) found ECC-1 already under-specified for IoT environments; compliance-oriented rather than risk-oriented (Al-Khater et al. 2020); no formal IoT-specific annex despite ECC-2 expansion</t>
        </is>
      </c>
      <c r="G4" s="44" t="inlineStr">
        <is>
          <t>No dedicated IoMT/medical device sub-framework; Saudisation mandate may worsen near-term skills shortage before improving it (Clyde &amp; Co 2025); maturity model self-assessment lacks independent verification; gap between ECC compliance and actual security posture documented by Almohammad &amp; Wills (2021</t>
        </is>
      </c>
      <c r="H4" s="441" t="inlineStr">
        <is>
          <t>ECC-2 vs NIST CSF 2.0: ECC-2 is MANDATORY, CSF voluntary; ECC-2 KSA-specific, CSF global. ECC-2 vs ISO 27001:2022: ECC-2 = prescriptive controls, ISO ...</t>
        </is>
      </c>
      <c r="I4" s="426" t="inlineStr">
        <is>
          <t>PRIMARY driver for GH-ICGA Layer 1 (Governance) and Layer 4 (Compliance). ECC-2 ECC-2:2024 constitutes the national baseline onto which GH-ICGA adds healthcare IoT specificity. Thesis position: GH-ICG...</t>
        </is>
      </c>
    </row>
    <row r="5" ht="72" customHeight="1">
      <c r="A5" s="77" t="inlineStr">
        <is>
          <t>MOH-EMR-NABIDH</t>
        </is>
      </c>
      <c r="B5" s="72" t="inlineStr">
        <is>
          <t>EMR Standards / NABIDH Platform</t>
        </is>
      </c>
      <c r="C5" s="70" t="inlineStr">
        <is>
          <t>MOH</t>
        </is>
      </c>
      <c r="D5" s="432" t="inlineStr">
        <is>
          <t>HIGHEST</t>
        </is>
      </c>
      <c r="E5" s="443" t="inlineStr">
        <is>
          <t>Academic debate varies by framework maturity and international adoption. For KSA-specific debate, consult: Almohammad &amp; Wills (2021) J Cybersecurity; Al-Khater et al. (2020) IEEE Access; Baker McKenzi</t>
        </is>
      </c>
      <c r="F5" s="74" t="inlineStr">
        <is>
          <t>Known criticisms include: implementation gap between standards and practice; resource constraints for smaller healthcare entities; rapid technology evolution outpacing regulation. Consult framework ev</t>
        </is>
      </c>
      <c r="G5" s="70" t="inlineStr">
        <is>
          <t>Known criticisms include: implementation gap between standards and practice; resource constraints for smaller healthcare entities; rapid technology evolution outpacing regulation. Consult framework evaluation literature for specifics.</t>
        </is>
      </c>
      <c r="H5" s="75" t="inlineStr">
        <is>
          <t>Framework comparison requires contextual analysis. Key comparators: NIST CSF 2.0 (international benchmark), ISO 27001 (certifiable standard), ECC-2 (K...</t>
        </is>
      </c>
      <c r="I5" s="77" t="inlineStr">
        <is>
          <t>Relevance to GH-ICGA framework varies by layer — see GH-ICGA Layer Mapping column. All KSA mandatory frameworks are compliance inputs to GH-ICGA Layer 4. Frameworks with IoMT-specific provisions direc...</t>
        </is>
      </c>
    </row>
    <row r="6" ht="72" customHeight="1">
      <c r="A6" s="426" t="inlineStr">
        <is>
          <t>MOH-HIS</t>
        </is>
      </c>
      <c r="B6" s="45" t="inlineStr">
        <is>
          <t>Health Information System Standards</t>
        </is>
      </c>
      <c r="C6" s="44" t="inlineStr">
        <is>
          <t>MOH</t>
        </is>
      </c>
      <c r="D6" s="432" t="inlineStr">
        <is>
          <t>HIGHEST</t>
        </is>
      </c>
      <c r="E6" s="440" t="inlineStr">
        <is>
          <t>National standardisation essential for patient safety continuity (WHO 2019); NABIDH integration creates longitudinal patient record unavailable previously; IoMT data integration requirements push hospitals toward modern system architectures.</t>
        </is>
      </c>
      <c r="F6" s="434" t="inlineStr">
        <is>
          <t>Ajami &amp; Bagheri-Tadi (2013) and Aloudah et al. (2021) document implementation-reality gap in Saudi HIS — standards exist but compliance varies widely by facility tier; urban-rural HIS capacity gap poorly addressed; cybersecurity requirements within HIS standards historically weak (pre-NABIDH)</t>
        </is>
      </c>
      <c r="G6" s="44" t="inlineStr">
        <is>
          <t>112 controls create compliance burden without proportionality guidance; small private clinics face disproportionate compliance cost; no formal HIS certification programme — self-declaration accepted; IoMT data standards not harmonised with international HL7 FHIR profiles; historical emphasis on data</t>
        </is>
      </c>
      <c r="H6" s="441" t="inlineStr">
        <is>
          <t>MOH-HIS vs NHS Digital standards (UK): NHS has legally binding DCB standards with enforcement; MOH-HIS is ministerial directive with softer enforcemen...</t>
        </is>
      </c>
      <c r="I6" s="426" t="inlineStr">
        <is>
          <t>GH-ICGA Layer 1 (Governance) + Layer 3 (Technical Controls) — MOH-HIS is the clinical data governance backbone that the preliminary GH-ICGA IoMT framework must integrate with. Thesis: GH-ICGA IoMT dat...</t>
        </is>
      </c>
    </row>
    <row r="7" ht="72" customHeight="1">
      <c r="A7" s="77" t="inlineStr">
        <is>
          <t>MOH-HL</t>
        </is>
      </c>
      <c r="B7" s="72" t="inlineStr">
        <is>
          <t>Health Law</t>
        </is>
      </c>
      <c r="C7" s="70" t="inlineStr">
        <is>
          <t>MOH</t>
        </is>
      </c>
      <c r="D7" s="432" t="inlineStr">
        <is>
          <t>HIGHEST</t>
        </is>
      </c>
      <c r="E7" s="443" t="inlineStr">
        <is>
          <t>Academic debate varies by framework maturity and international adoption. For KSA-specific debate, consult: Almohammad &amp; Wills (2021) J Cybersecurity; Al-Khater et al. (2020) IEEE Access; Baker McKenzi</t>
        </is>
      </c>
      <c r="F7" s="74" t="inlineStr">
        <is>
          <t>Known criticisms include: implementation gap between standards and practice; resource constraints for smaller healthcare entities; rapid technology evolution outpacing regulation. Consult framework ev</t>
        </is>
      </c>
      <c r="G7" s="70" t="inlineStr">
        <is>
          <t>Known criticisms include: implementation gap between standards and practice; resource constraints for smaller healthcare entities; rapid technology evolution outpacing regulation. Consult framework evaluation literature for specifics.</t>
        </is>
      </c>
      <c r="H7" s="75" t="inlineStr">
        <is>
          <t>Framework comparison requires contextual analysis. Key comparators: NIST CSF 2.0 (international benchmark), ISO 27001 (certifiable standard), ECC-2 (K...</t>
        </is>
      </c>
      <c r="I7" s="77" t="inlineStr">
        <is>
          <t>Relevance to GH-ICGA framework varies by layer — see GH-ICGA Layer Mapping column. All KSA mandatory frameworks are compliance inputs to GH-ICGA Layer 4. Frameworks with IoMT-specific provisions direc...</t>
        </is>
      </c>
    </row>
    <row r="8" ht="72" customHeight="1">
      <c r="A8" s="426" t="inlineStr">
        <is>
          <t>MOH-PS</t>
        </is>
      </c>
      <c r="B8" s="45" t="inlineStr">
        <is>
          <t>Patient Safety Standards</t>
        </is>
      </c>
      <c r="C8" s="44" t="inlineStr">
        <is>
          <t>MOH</t>
        </is>
      </c>
      <c r="D8" s="432" t="inlineStr">
        <is>
          <t>HIGHEST</t>
        </is>
      </c>
      <c r="E8" s="440" t="inlineStr">
        <is>
          <t>Academic debate varies by framework maturity and international adoption. For KSA-specific debate, consult: Almohammad &amp; Wills (2021) J Cybersecurity; Al-Khater et al. (2020) IEEE Access; Baker McKenzi</t>
        </is>
      </c>
      <c r="F8" s="434" t="inlineStr">
        <is>
          <t>Known criticisms include: implementation gap between standards and practice; resource constraints for smaller healthcare entities; rapid technology evolution outpacing regulation. Consult framework ev</t>
        </is>
      </c>
      <c r="G8" s="44" t="inlineStr">
        <is>
          <t>Known criticisms include: implementation gap between standards and practice; resource constraints for smaller healthcare entities; rapid technology evolution outpacing regulation. Consult framework evaluation literature for specifics.</t>
        </is>
      </c>
      <c r="H8" s="441" t="inlineStr">
        <is>
          <t>Framework comparison requires contextual analysis. Key comparators: NIST CSF 2.0 (international benchmark), ISO 27001 (certifiable standard), ECC-2 (K...</t>
        </is>
      </c>
      <c r="I8" s="426" t="inlineStr">
        <is>
          <t>Relevance to GH-ICGA framework varies by layer — see GH-ICGA Layer Mapping column. All KSA mandatory frameworks are compliance inputs to GH-ICGA Layer 4. Frameworks with IoMT-specific provisions direc...</t>
        </is>
      </c>
    </row>
    <row r="9" ht="72" customHeight="1">
      <c r="A9" s="77" t="inlineStr">
        <is>
          <t>MOH-TELE</t>
        </is>
      </c>
      <c r="B9" s="72" t="inlineStr">
        <is>
          <t>Telemedicine Regulations</t>
        </is>
      </c>
      <c r="C9" s="70" t="inlineStr">
        <is>
          <t>MOH</t>
        </is>
      </c>
      <c r="D9" s="432" t="inlineStr">
        <is>
          <t>HIGHEST</t>
        </is>
      </c>
      <c r="E9" s="443" t="inlineStr">
        <is>
          <t>COVID-19 proved telehealth viability at scale in KSA (Al-Ataawi et al. 2022); Sehhaty platform shows government commitment; removes geographic barriers consistent with Vision 2030 equity goals; IoMT remote monitoring reimbursement framework emerging.</t>
        </is>
      </c>
      <c r="F9" s="74" t="inlineStr">
        <is>
          <t>Clinical quality in telehealth still debated (Hollander &amp; Sites 2020); data sovereignty for cross-border telehealth unresolved; prescription via teleconsultation remains restricted limiting scope; rural connectivity gaps undermine access equity goal</t>
        </is>
      </c>
      <c r="G9" s="70" t="inlineStr">
        <is>
          <t>Regulations still lag technology — VR/AR clinical applications not addressed; AI-assisted teleconsultation regulatory pathway unclear; cross-border telehealth restrictions create market fragmentation; no minimum quality standards for audio/video equipment; liability for technical failure not yet cod</t>
        </is>
      </c>
      <c r="H9" s="75" t="inlineStr">
        <is>
          <t>MOH-TELE vs NHS TECS (UK): NHS TECS has DTAC (Digital Technology Assessment Criteria) for all digital health tools — KSA equivalent absent. MOH-TELE v...</t>
        </is>
      </c>
      <c r="I9" s="77" t="inlineStr">
        <is>
          <t>GH-ICGA Layer 1 (Governance) — telehealth regulation defines the governance boundary for remote IoMT monitoring. Thesis relevance: GH-ICGA must address the governance overlap between MOH-TELE (clinica...</t>
        </is>
      </c>
    </row>
    <row r="10" ht="72" customHeight="1">
      <c r="A10" s="426" t="inlineStr">
        <is>
          <t>NCA-ECC-2:2024</t>
        </is>
      </c>
      <c r="B10" s="45" t="inlineStr">
        <is>
          <t>Essential Cybersecurity Controls</t>
        </is>
      </c>
      <c r="C10" s="44" t="inlineStr">
        <is>
          <t>SDAIA</t>
        </is>
      </c>
      <c r="D10" s="432" t="inlineStr">
        <is>
          <t>HIGHEST</t>
        </is>
      </c>
      <c r="E10" s="440" t="inlineStr">
        <is>
          <t>Academic debate varies by framework maturity and international adoption. For KSA-specific debate, consult: Almohammad &amp; Wills (2021) J Cybersecurity; Al-Khater et al. (2020) IEEE Access; Baker McKenzi</t>
        </is>
      </c>
      <c r="F10" s="434" t="inlineStr">
        <is>
          <t>Known criticisms include: implementation gap between standards and practice; resource constraints for smaller healthcare entities; rapid technology evolution outpacing regulation. Consult framework ev</t>
        </is>
      </c>
      <c r="G10" s="44" t="inlineStr">
        <is>
          <t>Known criticisms include: implementation gap between standards and practice; resource constraints for smaller healthcare entities; rapid technology evolution outpacing regulation. Consult framework evaluation literature for specifics.</t>
        </is>
      </c>
      <c r="H10" s="441" t="inlineStr">
        <is>
          <t>Framework comparison requires contextual analysis. Key comparators: NIST CSF 2.0 (international benchmark), ISO 27001 (certifiable standard), ECC-2 (K...</t>
        </is>
      </c>
      <c r="I10" s="426" t="inlineStr">
        <is>
          <t>Relevance to GH-ICGA framework varies by layer — see GH-ICGA Layer Mapping column. All KSA mandatory frameworks are compliance inputs to GH-ICGA Layer 4. Frameworks with IoMT-specific provisions direc...</t>
        </is>
      </c>
    </row>
    <row r="11" ht="72" customHeight="1">
      <c r="A11" s="77" t="inlineStr">
        <is>
          <t>NCA-OTCC</t>
        </is>
      </c>
      <c r="B11" s="72" t="inlineStr">
        <is>
          <t>OT Cybersecurity Controls</t>
        </is>
      </c>
      <c r="C11" s="70" t="inlineStr">
        <is>
          <t>MOH</t>
        </is>
      </c>
      <c r="D11" s="432" t="inlineStr">
        <is>
          <t>HIGHEST</t>
        </is>
      </c>
      <c r="E11" s="443" t="inlineStr">
        <is>
          <t>Academic debate varies by framework maturity and international adoption. For KSA-specific debate, consult: Almohammad &amp; Wills (2021) J Cybersecurity; Al-Khater et al. (2020) IEEE Access; Baker McKenzi</t>
        </is>
      </c>
      <c r="F11" s="74" t="inlineStr">
        <is>
          <t>Known criticisms include: implementation gap between standards and practice; resource constraints for smaller healthcare entities; rapid technology evolution outpacing regulation. Consult framework ev</t>
        </is>
      </c>
      <c r="G11" s="70" t="inlineStr">
        <is>
          <t>Known criticisms include: implementation gap between standards and practice; resource constraints for smaller healthcare entities; rapid technology evolution outpacing regulation. Consult framework evaluation literature for specifics.</t>
        </is>
      </c>
      <c r="H11" s="75" t="inlineStr">
        <is>
          <t>Framework comparison requires contextual analysis. Key comparators: NIST CSF 2.0 (international benchmark), ISO 27001 (certifiable standard), ECC-2 (K...</t>
        </is>
      </c>
      <c r="I11" s="77" t="inlineStr">
        <is>
          <t>Relevance to GH-ICGA framework varies by layer — see GH-ICGA Layer Mapping column. All KSA mandatory frameworks are compliance inputs to GH-ICGA Layer 4. Frameworks with IoMT-specific provisions direc...</t>
        </is>
      </c>
    </row>
    <row r="12" ht="72" customHeight="1">
      <c r="A12" s="426" t="inlineStr">
        <is>
          <t>NCA-REG-2024</t>
        </is>
      </c>
      <c r="B12" s="45" t="inlineStr">
        <is>
          <t>NCA Regulatory Framework (Enforcement &amp; Penalties)</t>
        </is>
      </c>
      <c r="C12" s="44" t="inlineStr">
        <is>
          <t>NCA</t>
        </is>
      </c>
      <c r="D12" s="432" t="inlineStr">
        <is>
          <t>HIGHEST</t>
        </is>
      </c>
      <c r="E12" s="440" t="inlineStr">
        <is>
          <t>Academic debate varies by framework maturity and international adoption. For KSA-specific debate, consult: Almohammad &amp; Wills (2021) J Cybersecurity; Al-Khater et al. (2020) IEEE Access; Baker McKenzi</t>
        </is>
      </c>
      <c r="F12" s="434" t="inlineStr">
        <is>
          <t>Known criticisms include: implementation gap between standards and practice; resource constraints for smaller healthcare entities; rapid technology evolution outpacing regulation. Consult framework ev</t>
        </is>
      </c>
      <c r="G12" s="44" t="inlineStr">
        <is>
          <t>Known criticisms include: implementation gap between standards and practice; resource constraints for smaller healthcare entities; rapid technology evolution outpacing regulation. Consult framework evaluation literature for specifics.</t>
        </is>
      </c>
      <c r="H12" s="441" t="inlineStr">
        <is>
          <t>Framework comparison requires contextual analysis. Key comparators: NIST CSF 2.0 (international benchmark), ISO 27001 (certifiable standard), ECC-2 (K...</t>
        </is>
      </c>
      <c r="I12" s="426" t="inlineStr">
        <is>
          <t>Relevance to GH-ICGA framework varies by layer — see GH-ICGA Layer Mapping column. All KSA mandatory frameworks are compliance inputs to GH-ICGA Layer 4. Frameworks with IoMT-specific provisions direc...</t>
        </is>
      </c>
    </row>
    <row r="13" ht="72" customHeight="1">
      <c r="A13" s="33" t="inlineStr">
        <is>
          <t>NDMO-RULEBOOK</t>
        </is>
      </c>
      <c r="B13" s="20" t="inlineStr">
        <is>
          <t>PDPL Controllers Registration &amp; Rules</t>
        </is>
      </c>
      <c r="C13" s="19" t="inlineStr">
        <is>
          <t>SDAIA</t>
        </is>
      </c>
      <c r="D13" s="432" t="inlineStr">
        <is>
          <t>HIGHEST</t>
        </is>
      </c>
      <c r="E13" s="444" t="inlineStr">
        <is>
          <t>Academic debate varies by framework maturity and international adoption. For KSA-specific debate, consult: Almohammad &amp; Wills (2021) J Cybersecurity; Al-Khater et al. (2020) IEEE Access; Baker McKenzi</t>
        </is>
      </c>
      <c r="F13" s="29" t="inlineStr">
        <is>
          <t>Known criticisms include: implementation gap between standards and practice; resource constraints for smaller healthcare entities; rapid technology evolution outpacing regulation. Consult framework ev</t>
        </is>
      </c>
      <c r="G13" s="19" t="inlineStr">
        <is>
          <t>Known criticisms include: implementation gap between standards and practice; resource constraints for smaller healthcare entities; rapid technology evolution outpacing regulation. Consult framework evaluation literature for specifics.</t>
        </is>
      </c>
      <c r="H13" s="30" t="inlineStr">
        <is>
          <t>Framework comparison requires contextual analysis. Key comparators: NIST CSF 2.0 (international benchmark), ISO 27001 (certifiable standard), ECC-2 (K...</t>
        </is>
      </c>
      <c r="I13" s="33" t="inlineStr">
        <is>
          <t>Relevance to GH-ICGA framework varies by layer — see GH-ICGA Layer Mapping column. All KSA mandatory frameworks are compliance inputs to GH-ICGA Layer 4. Frameworks with IoMT-specific provisions direc...</t>
        </is>
      </c>
    </row>
    <row r="14" ht="72" customHeight="1">
      <c r="A14" s="426" t="inlineStr">
        <is>
          <t>NHIC-INTEROP</t>
        </is>
      </c>
      <c r="B14" s="45" t="inlineStr">
        <is>
          <t>Health IT Interoperability Framework (FHIR-based)</t>
        </is>
      </c>
      <c r="C14" s="44" t="inlineStr">
        <is>
          <t>NHIC</t>
        </is>
      </c>
      <c r="D14" s="432" t="inlineStr">
        <is>
          <t>HIGHEST</t>
        </is>
      </c>
      <c r="E14" s="440" t="inlineStr">
        <is>
          <t>Academic debate varies by framework maturity and international adoption. For KSA-specific debate, consult: Almohammad &amp; Wills (2021) J Cybersecurity; Al-Khater et al. (2020) IEEE Access; Baker McKenzi</t>
        </is>
      </c>
      <c r="F14" s="434" t="inlineStr">
        <is>
          <t>Known criticisms include: implementation gap between standards and practice; resource constraints for smaller healthcare entities; rapid technology evolution outpacing regulation. Consult framework ev</t>
        </is>
      </c>
      <c r="G14" s="44" t="inlineStr">
        <is>
          <t>Known criticisms include: implementation gap between standards and practice; resource constraints for smaller healthcare entities; rapid technology evolution outpacing regulation. Consult framework evaluation literature for specifics.</t>
        </is>
      </c>
      <c r="H14" s="441" t="inlineStr">
        <is>
          <t>Framework comparison requires contextual analysis. Key comparators: NIST CSF 2.0 (international benchmark), ISO 27001 (certifiable standard), ECC-2 (K...</t>
        </is>
      </c>
      <c r="I14" s="426" t="inlineStr">
        <is>
          <t>Relevance to GH-ICGA framework varies by layer — see GH-ICGA Layer Mapping column. All KSA mandatory frameworks are compliance inputs to GH-ICGA Layer 4. Frameworks with IoMT-specific provisions direc...</t>
        </is>
      </c>
    </row>
    <row r="15" ht="72" customHeight="1">
      <c r="A15" s="77" t="inlineStr">
        <is>
          <t>NHIC-NABIDH</t>
        </is>
      </c>
      <c r="B15" s="72" t="inlineStr">
        <is>
          <t>NABIDH National EHR Platform Standard</t>
        </is>
      </c>
      <c r="C15" s="70" t="inlineStr">
        <is>
          <t>NHIC</t>
        </is>
      </c>
      <c r="D15" s="432" t="inlineStr">
        <is>
          <t>HIGHEST</t>
        </is>
      </c>
      <c r="E15" s="443" t="inlineStr">
        <is>
          <t>Academic debate varies by framework maturity and international adoption. For KSA-specific debate, consult: Almohammad &amp; Wills (2021) J Cybersecurity; Al-Khater et al. (2020) IEEE Access; Baker McKenzi</t>
        </is>
      </c>
      <c r="F15" s="74" t="inlineStr">
        <is>
          <t>Known criticisms include: implementation gap between standards and practice; resource constraints for smaller healthcare entities; rapid technology evolution outpacing regulation. Consult framework ev</t>
        </is>
      </c>
      <c r="G15" s="70" t="inlineStr">
        <is>
          <t>Known criticisms include: implementation gap between standards and practice; resource constraints for smaller healthcare entities; rapid technology evolution outpacing regulation. Consult framework evaluation literature for specifics.</t>
        </is>
      </c>
      <c r="H15" s="75" t="inlineStr">
        <is>
          <t>Framework comparison requires contextual analysis. Key comparators: NIST CSF 2.0 (international benchmark), ISO 27001 (certifiable standard), ECC-2 (K...</t>
        </is>
      </c>
      <c r="I15" s="77" t="inlineStr">
        <is>
          <t>Relevance to GH-ICGA framework varies by layer — see GH-ICGA Layer Mapping column. All KSA mandatory frameworks are compliance inputs to GH-ICGA Layer 4. Frameworks with IoMT-specific provisions direc...</t>
        </is>
      </c>
    </row>
    <row r="16" ht="72" customHeight="1">
      <c r="A16" s="426" t="inlineStr">
        <is>
          <t>OTCC-1:2022</t>
        </is>
      </c>
      <c r="B16" s="45" t="inlineStr">
        <is>
          <t>OT Cybersecurity Controls</t>
        </is>
      </c>
      <c r="C16" s="44" t="inlineStr">
        <is>
          <t>NCA</t>
        </is>
      </c>
      <c r="D16" s="432" t="inlineStr">
        <is>
          <t>HIGHEST</t>
        </is>
      </c>
      <c r="E16" s="440" t="inlineStr">
        <is>
          <t>First KSA standard addressing ICS/SCADA — fills critical gap identified in Nurse et al. (2017) for CNI sectors; aligns with IEC 62443 international benchmark; hospital OT networks explicitly in scope.</t>
        </is>
      </c>
      <c r="F16" s="434" t="inlineStr">
        <is>
          <t>Medical IoT falls between OTCC (OT-centric) and ECC-2 (IT-centric) — Coventry &amp; Branley (2018) argue medical devices need dedicated classification not forced into OT/IT binary; OTCC written for industrial OT, clinical environment nuances absent</t>
        </is>
      </c>
      <c r="G16" s="44" t="inlineStr">
        <is>
          <t>Clinical IoMT context absent — infusion pumps and ventilators behave differently from SCADA; no clinical engineering expertise incorporated in drafting; 53 controls insufficient for complex hospital OT topology documented by Jalali &amp; Kaiser (2018); conflict between availability-first OT principle an</t>
        </is>
      </c>
      <c r="H16" s="441" t="inlineStr">
        <is>
          <t>OTCC vs IEC 62443: OTCC mandatory in KSA; IEC 62443 voluntary but globally recognised — OTCC maps to IEC 62443-2-1 security management but lacks 62443...</t>
        </is>
      </c>
      <c r="I16" s="426" t="inlineStr">
        <is>
          <t>GH-ICGA Layer 3 (Technical Controls) — directly informs IoMT technical control set in preliminary GH-ICGA. Key thesis argument: OTCC covers general OT but misses clinical IoMT specificity — GH-ICGA La...</t>
        </is>
      </c>
    </row>
    <row r="17" ht="72" customHeight="1">
      <c r="A17" s="33" t="inlineStr">
        <is>
          <t>PDPL-2021</t>
        </is>
      </c>
      <c r="B17" s="20" t="inlineStr">
        <is>
          <t>Personal Data Protection Law</t>
        </is>
      </c>
      <c r="C17" s="19" t="inlineStr">
        <is>
          <t>SDAIA</t>
        </is>
      </c>
      <c r="D17" s="432" t="inlineStr">
        <is>
          <t>HIGHEST</t>
        </is>
      </c>
      <c r="E17" s="444" t="inlineStr">
        <is>
          <t>Long-overdue — KSA had no comprehensive data protection law until 2021; health data explicitly protected as sensitive category; aligns KSA with global adequacy standards.</t>
        </is>
      </c>
      <c r="F17" s="29" t="inlineStr">
        <is>
          <t>Alrawabdeh (2014) and Aldawood &amp; Skinner (2019) documented Saudi privacy culture gap — regulation without public awareness is ineffective; 'GDPR-lite' criticism: exemptions broader than GDPR, enforcement weaker; health data provisions in IR still less specific than UK GDPR Schedule 1 conditions</t>
        </is>
      </c>
      <c r="G17" s="19" t="inlineStr">
        <is>
          <t xml:space="preserve">No independent supervisory authority (SDAIA is both promoter and regulator — conflict of interest noted by Baker McKenzie 2025); patient data portability rights weaker than GDPR Article 20; no explicit right to explanation for AI-automated health decisions; cross-border transfer rules changed twice </t>
        </is>
      </c>
      <c r="H17" s="30" t="inlineStr">
        <is>
          <t>PDPL vs GDPR: PDPL penalty lower (SAR 5M vs €20M); PDPL broader government exemptions; GDPR has independent DPA, PDPL does not. PDPL vs HIPAA: PDPL = ...</t>
        </is>
      </c>
      <c r="I17" s="33" t="inlineStr">
        <is>
          <t>PRIMARY driver for GH-ICGA Layer 4 (Compliance) — PDPL is the legal foundation for patient data governance in the preliminary GH-ICGA framework. Thesis argument: GH-ICGA Layer 4 operationalises PDPL r...</t>
        </is>
      </c>
    </row>
    <row r="18" ht="72" customHeight="1">
      <c r="A18" s="426" t="inlineStr">
        <is>
          <t>PDPL-DTR-2024</t>
        </is>
      </c>
      <c r="B18" s="45" t="inlineStr">
        <is>
          <t>Data Transfer Regulation (revised)</t>
        </is>
      </c>
      <c r="C18" s="44" t="inlineStr">
        <is>
          <t>SDAIA</t>
        </is>
      </c>
      <c r="D18" s="432" t="inlineStr">
        <is>
          <t>HIGHEST</t>
        </is>
      </c>
      <c r="E18" s="440" t="inlineStr">
        <is>
          <t>Academic debate varies by framework maturity and international adoption. For KSA-specific debate, consult: Almohammad &amp; Wills (2021) J Cybersecurity; Al-Khater et al. (2020) IEEE Access; Baker McKenzi</t>
        </is>
      </c>
      <c r="F18" s="434" t="inlineStr">
        <is>
          <t>Known criticisms include: implementation gap between standards and practice; resource constraints for smaller healthcare entities; rapid technology evolution outpacing regulation. Consult framework ev</t>
        </is>
      </c>
      <c r="G18" s="44" t="inlineStr">
        <is>
          <t>Known criticisms include: implementation gap between standards and practice; resource constraints for smaller healthcare entities; rapid technology evolution outpacing regulation. Consult framework evaluation literature for specifics.</t>
        </is>
      </c>
      <c r="H18" s="441" t="inlineStr">
        <is>
          <t>Framework comparison requires contextual analysis. Key comparators: NIST CSF 2.0 (international benchmark), ISO 27001 (certifiable standard), ECC-2 (K...</t>
        </is>
      </c>
      <c r="I18" s="426" t="inlineStr">
        <is>
          <t>Relevance to GH-ICGA framework varies by layer — see GH-ICGA Layer Mapping column. All KSA mandatory frameworks are compliance inputs to GH-ICGA Layer 4. Frameworks with IoMT-specific provisions direc...</t>
        </is>
      </c>
    </row>
    <row r="19" ht="72" customHeight="1">
      <c r="A19" s="33" t="inlineStr">
        <is>
          <t>PDPL-IR-2023</t>
        </is>
      </c>
      <c r="B19" s="20" t="inlineStr">
        <is>
          <t>PDPL Implementing Regulations</t>
        </is>
      </c>
      <c r="C19" s="19" t="inlineStr">
        <is>
          <t>SDAIA</t>
        </is>
      </c>
      <c r="D19" s="432" t="inlineStr">
        <is>
          <t>HIGHEST</t>
        </is>
      </c>
      <c r="E19" s="444" t="inlineStr">
        <is>
          <t>Academic debate varies by framework maturity and international adoption. For KSA-specific debate, consult: Almohammad &amp; Wills (2021) J Cybersecurity; Al-Khater et al. (2020) IEEE Access; Baker McKenzi</t>
        </is>
      </c>
      <c r="F19" s="29" t="inlineStr">
        <is>
          <t>Known criticisms include: implementation gap between standards and practice; resource constraints for smaller healthcare entities; rapid technology evolution outpacing regulation. Consult framework ev</t>
        </is>
      </c>
      <c r="G19" s="19" t="inlineStr">
        <is>
          <t>Known criticisms include: implementation gap between standards and practice; resource constraints for smaller healthcare entities; rapid technology evolution outpacing regulation. Consult framework evaluation literature for specifics.</t>
        </is>
      </c>
      <c r="H19" s="30" t="inlineStr">
        <is>
          <t>Framework comparison requires contextual analysis. Key comparators: NIST CSF 2.0 (international benchmark), ISO 27001 (certifiable standard), ECC-2 (K...</t>
        </is>
      </c>
      <c r="I19" s="33" t="inlineStr">
        <is>
          <t>Relevance to GH-ICGA framework varies by layer — see GH-ICGA Layer Mapping column. All KSA mandatory frameworks are compliance inputs to GH-ICGA Layer 4. Frameworks with IoMT-specific provisions direc...</t>
        </is>
      </c>
    </row>
    <row r="20" ht="72" customHeight="1">
      <c r="A20" s="426" t="inlineStr">
        <is>
          <t>SFDA-AI-MDS-G010</t>
        </is>
      </c>
      <c r="B20" s="45" t="inlineStr">
        <is>
          <t>AI/ML in Medical Devices (MDS-G010)</t>
        </is>
      </c>
      <c r="C20" s="44" t="inlineStr">
        <is>
          <t>SFDA</t>
        </is>
      </c>
      <c r="D20" s="432" t="inlineStr">
        <is>
          <t>HIGHEST</t>
        </is>
      </c>
      <c r="E20" s="440" t="inlineStr">
        <is>
          <t>First-mover advantage in GCC region for AI device regulation; aligns with FDA AI/ML Action Plan and EU AI Act direction; Topol (2019) argues clinical AI requires national regulatory clarity to enable safe adoption.</t>
        </is>
      </c>
      <c r="F20" s="434" t="inlineStr">
        <is>
          <t>Guidance issued 2024 but no enforcement date confirmed — Parikh et al. (2019) document regulatory ambiguity as the primary barrier to clinical AI deployment; black-box AI in diagnostics conflicts with explainability requirements — WHO (2021) AI ethics in health highlights tension; small hospitals cannot validate AI devices on Saudi patient populations alone</t>
        </is>
      </c>
      <c r="G20" s="44" t="inlineStr">
        <is>
          <t>Non-binding guidance only — no mandatory pre-market AI review yet; no SFDA AI/ML device registry; Saudi patient population representativeness in global AI training data poorly addressed; limited SFDA technical expertise in AI/ML evaluation documented; no clinical trial requirement specific to AI per</t>
        </is>
      </c>
      <c r="H20" s="441" t="inlineStr">
        <is>
          <t>SFDA MDS-G010 vs FDA AI/ML SaMD Action Plan (2021): FDA has iterative change protocol; SFDA guidance analogous but less detailed. vs EU AI Act (2024):...</t>
        </is>
      </c>
      <c r="I20" s="426" t="inlineStr">
        <is>
          <t>GH-ICGA Layer 2 (Risk Management) — AI-enabled IoMT devices require specific risk governance that both SFDA-MDR and NCA-ECC miss. GH-ICGA thesis positions AI medical device governance as a cross-layer...</t>
        </is>
      </c>
    </row>
    <row r="21" ht="72" customHeight="1">
      <c r="A21" s="77" t="inlineStr">
        <is>
          <t>SFDA-MDR</t>
        </is>
      </c>
      <c r="B21" s="72" t="inlineStr">
        <is>
          <t>Medical Device Regulations</t>
        </is>
      </c>
      <c r="C21" s="70" t="inlineStr">
        <is>
          <t>SFDA</t>
        </is>
      </c>
      <c r="D21" s="432" t="inlineStr">
        <is>
          <t>HIGHEST</t>
        </is>
      </c>
      <c r="E21" s="443" t="inlineStr">
        <is>
          <t>2022 revision brought KSA alignment with IMDRF global model — first time KSA device regulation internationally benchmarked; UDID implementation enables post-market traceability critical for IoMT security recall.</t>
        </is>
      </c>
      <c r="F21" s="74" t="inlineStr">
        <is>
          <t>Al-Hamdan et al. (2020) and Aziz (2021) document significant classification and registration delays — average 18-24 months for Class III devices; cybersecurity requirements in MDR still underdeveloped relative to FDA premarket cybersecurity guidance; AI medical device pathway (MDS-G010) issued 2024 but enforcement timeline unclear</t>
        </is>
      </c>
      <c r="G21" s="70" t="inlineStr">
        <is>
          <t>SaMD (Software as Medical Device) classification grey areas create regulatory uncertainty for IoMT apps; post-market surveillance reporting rates historically very low (SFDA 2022 annual report); no KSA-specific clinical data requirement — global clinical evidence accepted without Saudi population va</t>
        </is>
      </c>
      <c r="H21" s="75" t="inlineStr">
        <is>
          <t>SFDA-MDR vs EU MDR 2017/745: EU MDR stricter clinical evidence; SFDA-MDR aligned with IMDRF GHTF but lighter on UDI requirements. SFDA-MDR vs FDA 510(...</t>
        </is>
      </c>
      <c r="I21" s="77" t="inlineStr">
        <is>
          <t>CRITICAL for GH-ICGA Layer 2 (Risk Management) and Layer 3 (Technical Controls) — SFDA-MDR is the primary device governance framework that GH-ICGA must interface with. Thesis: GH-ICGA proposes a cyber...</t>
        </is>
      </c>
    </row>
    <row r="22" ht="72" customHeight="1">
      <c r="A22" s="426" t="inlineStr">
        <is>
          <t>SFDA-PHARMA</t>
        </is>
      </c>
      <c r="B22" s="45" t="inlineStr">
        <is>
          <t>Drug &amp; Pharmacy Law</t>
        </is>
      </c>
      <c r="C22" s="44" t="inlineStr">
        <is>
          <t>SFDA</t>
        </is>
      </c>
      <c r="D22" s="432" t="inlineStr">
        <is>
          <t>HIGHEST</t>
        </is>
      </c>
      <c r="E22" s="440" t="inlineStr">
        <is>
          <t>Academic debate varies by framework maturity and international adoption. For KSA-specific debate, consult: Almohammad &amp; Wills (2021) J Cybersecurity; Al-Khater et al. (2020) IEEE Access; Baker McKenzi</t>
        </is>
      </c>
      <c r="F22" s="434" t="inlineStr">
        <is>
          <t>Known criticisms include: implementation gap between standards and practice; resource constraints for smaller healthcare entities; rapid technology evolution outpacing regulation. Consult framework ev</t>
        </is>
      </c>
      <c r="G22" s="44" t="inlineStr">
        <is>
          <t>Known criticisms include: implementation gap between standards and practice; resource constraints for smaller healthcare entities; rapid technology evolution outpacing regulation. Consult framework evaluation literature for specifics.</t>
        </is>
      </c>
      <c r="H22" s="441" t="inlineStr">
        <is>
          <t>Framework comparison requires contextual analysis. Key comparators: NIST CSF 2.0 (international benchmark), ISO 27001 (certifiable standard), ECC-2 (K...</t>
        </is>
      </c>
      <c r="I22" s="426" t="inlineStr">
        <is>
          <t>Relevance to GH-ICGA framework varies by layer — see GH-ICGA Layer Mapping column. All KSA mandatory frameworks are compliance inputs to GH-ICGA Layer 4. Frameworks with IoMT-specific provisions direc...</t>
        </is>
      </c>
    </row>
    <row r="23" ht="72" customHeight="1">
      <c r="A23" s="77" t="inlineStr">
        <is>
          <t>SFDA-PMS</t>
        </is>
      </c>
      <c r="B23" s="72" t="inlineStr">
        <is>
          <t>Post-Market Surveillance Requirements</t>
        </is>
      </c>
      <c r="C23" s="70" t="inlineStr">
        <is>
          <t>SFDA</t>
        </is>
      </c>
      <c r="D23" s="432" t="inlineStr">
        <is>
          <t>HIGHEST</t>
        </is>
      </c>
      <c r="E23" s="443" t="inlineStr">
        <is>
          <t>Academic debate varies by framework maturity and international adoption. For KSA-specific debate, consult: Almohammad &amp; Wills (2021) J Cybersecurity; Al-Khater et al. (2020) IEEE Access; Baker McKenzi</t>
        </is>
      </c>
      <c r="F23" s="74" t="inlineStr">
        <is>
          <t>Known criticisms include: implementation gap between standards and practice; resource constraints for smaller healthcare entities; rapid technology evolution outpacing regulation. Consult framework ev</t>
        </is>
      </c>
      <c r="G23" s="70" t="inlineStr">
        <is>
          <t>Known criticisms include: implementation gap between standards and practice; resource constraints for smaller healthcare entities; rapid technology evolution outpacing regulation. Consult framework evaluation literature for specifics.</t>
        </is>
      </c>
      <c r="H23" s="75" t="inlineStr">
        <is>
          <t>Framework comparison requires contextual analysis. Key comparators: NIST CSF 2.0 (international benchmark), ISO 27001 (certifiable standard), ECC-2 (K...</t>
        </is>
      </c>
      <c r="I23" s="77" t="inlineStr">
        <is>
          <t>Relevance to GH-ICGA framework varies by layer — see GH-ICGA Layer Mapping column. All KSA mandatory frameworks are compliance inputs to GH-ICGA Layer 4. Frameworks with IoMT-specific provisions direc...</t>
        </is>
      </c>
    </row>
    <row r="24" ht="72" customHeight="1">
      <c r="A24" s="426" t="inlineStr">
        <is>
          <t>SHC-HSTP</t>
        </is>
      </c>
      <c r="B24" s="45" t="inlineStr">
        <is>
          <t>Health Sector Transformation Programme</t>
        </is>
      </c>
      <c r="C24" s="44" t="inlineStr">
        <is>
          <t>SHC</t>
        </is>
      </c>
      <c r="D24" s="432" t="inlineStr">
        <is>
          <t>HIGHEST</t>
        </is>
      </c>
      <c r="E24" s="440" t="inlineStr">
        <is>
          <t>WHO/WEF (2025) PHSSR report confirms HSTP achievements in hospital cluster reform and digital health infrastructure; Vision 2030 provides long-term planning horizon unusual in health reform globally; IoMT deployment targets create concrete digital health demand.</t>
        </is>
      </c>
      <c r="F24" s="434" t="inlineStr">
        <is>
          <t>Kronfol (2012) and Al-Yousuf et al. (2002) document historical KSA health reform challenges — implementation gap between plan and reality; privatisation may worsen equity without strong regulation; digital health targets ambitious relative to healthcare workforce digital literacy (Al-Marwani &amp; Zaraket 2022)</t>
        </is>
      </c>
      <c r="G24" s="44" t="inlineStr">
        <is>
          <t>Annual KPI reporting often shows target slippage without accountability; IoMT targets set without reference to cybersecurity readiness gap; health cluster governance still unclear — cluster CEOs vs MOH regional directors authority conflict; private sector participation targets delayed; rural and rem</t>
        </is>
      </c>
      <c r="H24" s="441" t="inlineStr">
        <is>
          <t>HSTP vs NHS Long-Term Plan (UK): NHS 10-year plan similar structure; UK plan more specific on digital. HSTP vs National Health Mission (India): scale ...</t>
        </is>
      </c>
      <c r="I24" s="426" t="inlineStr">
        <is>
          <t>GH-ICGA Layer 1 (Governance) — HSTP defines the strategic health sector context within which GH-ICGA operates. Thesis: GH-ICGA is positioned as a governance tool that enables Saudi hospitals to meet H...</t>
        </is>
      </c>
    </row>
    <row r="25" ht="72" customHeight="1">
      <c r="A25" s="77" t="inlineStr">
        <is>
          <t>CBAHI-HAS-AMB</t>
        </is>
      </c>
      <c r="B25" s="72" t="inlineStr">
        <is>
          <t>Ambulatory Care Standards</t>
        </is>
      </c>
      <c r="C25" s="70" t="inlineStr">
        <is>
          <t>CBAHI</t>
        </is>
      </c>
      <c r="D25" s="439" t="inlineStr">
        <is>
          <t>HIGH</t>
        </is>
      </c>
      <c r="E25" s="443" t="inlineStr">
        <is>
          <t>Academic debate varies by framework maturity and international adoption. For KSA-specific debate, consult: Almohammad &amp; Wills (2021) J Cybersecurity; Al-Khater et al. (2020) IEEE Access; Baker McKenzi</t>
        </is>
      </c>
      <c r="F25" s="74" t="inlineStr">
        <is>
          <t>Known criticisms include: implementation gap between standards and practice; resource constraints for smaller healthcare entities; rapid technology evolution outpacing regulation. Consult framework ev</t>
        </is>
      </c>
      <c r="G25" s="70" t="inlineStr">
        <is>
          <t>Known criticisms include: implementation gap between standards and practice; resource constraints for smaller healthcare entities; rapid technology evolution outpacing regulation. Consult framework evaluation literature for specifics.</t>
        </is>
      </c>
      <c r="H25" s="75" t="inlineStr">
        <is>
          <t>Framework comparison requires contextual analysis. Key comparators: NIST CSF 2.0 (international benchmark), ISO 27001 (certifiable standard), ECC-2 (K...</t>
        </is>
      </c>
      <c r="I25" s="77" t="inlineStr">
        <is>
          <t>Relevance to GH-ICGA framework varies by layer — see GH-ICGA Layer Mapping column. All KSA mandatory frameworks are compliance inputs to GH-ICGA Layer 4. Frameworks with IoMT-specific provisions direc...</t>
        </is>
      </c>
    </row>
    <row r="26" ht="72" customHeight="1">
      <c r="A26" s="426" t="inlineStr">
        <is>
          <t>CBAHI-HAS-LAB</t>
        </is>
      </c>
      <c r="B26" s="45" t="inlineStr">
        <is>
          <t>Laboratory Accreditation Standards</t>
        </is>
      </c>
      <c r="C26" s="44" t="inlineStr">
        <is>
          <t>CBAHI</t>
        </is>
      </c>
      <c r="D26" s="439" t="inlineStr">
        <is>
          <t>HIGH</t>
        </is>
      </c>
      <c r="E26" s="440" t="inlineStr">
        <is>
          <t>Academic debate varies by framework maturity and international adoption. For KSA-specific debate, consult: Almohammad &amp; Wills (2021) J Cybersecurity; Al-Khater et al. (2020) IEEE Access; Baker McKenzi</t>
        </is>
      </c>
      <c r="F26" s="434" t="inlineStr">
        <is>
          <t>Known criticisms include: implementation gap between standards and practice; resource constraints for smaller healthcare entities; rapid technology evolution outpacing regulation. Consult framework ev</t>
        </is>
      </c>
      <c r="G26" s="44" t="inlineStr">
        <is>
          <t>Known criticisms include: implementation gap between standards and practice; resource constraints for smaller healthcare entities; rapid technology evolution outpacing regulation. Consult framework evaluation literature for specifics.</t>
        </is>
      </c>
      <c r="H26" s="441" t="inlineStr">
        <is>
          <t>Framework comparison requires contextual analysis. Key comparators: NIST CSF 2.0 (international benchmark), ISO 27001 (certifiable standard), ECC-2 (K...</t>
        </is>
      </c>
      <c r="I26" s="426" t="inlineStr">
        <is>
          <t>Relevance to GH-ICGA framework varies by layer — see GH-ICGA Layer Mapping column. All KSA mandatory frameworks are compliance inputs to GH-ICGA Layer 4. Frameworks with IoMT-specific provisions direc...</t>
        </is>
      </c>
    </row>
    <row r="27" ht="72" customHeight="1">
      <c r="A27" s="77" t="inlineStr">
        <is>
          <t>CBAHI-HAS-LTC</t>
        </is>
      </c>
      <c r="B27" s="72" t="inlineStr">
        <is>
          <t>Long-Term Care Standards</t>
        </is>
      </c>
      <c r="C27" s="70" t="inlineStr">
        <is>
          <t>CBAHI</t>
        </is>
      </c>
      <c r="D27" s="439" t="inlineStr">
        <is>
          <t>HIGH</t>
        </is>
      </c>
      <c r="E27" s="443" t="inlineStr">
        <is>
          <t>Academic debate varies by framework maturity and international adoption. For KSA-specific debate, consult: Almohammad &amp; Wills (2021) J Cybersecurity; Al-Khater et al. (2020) IEEE Access; Baker McKenzi</t>
        </is>
      </c>
      <c r="F27" s="74" t="inlineStr">
        <is>
          <t>Known criticisms include: implementation gap between standards and practice; resource constraints for smaller healthcare entities; rapid technology evolution outpacing regulation. Consult framework ev</t>
        </is>
      </c>
      <c r="G27" s="70" t="inlineStr">
        <is>
          <t>Known criticisms include: implementation gap between standards and practice; resource constraints for smaller healthcare entities; rapid technology evolution outpacing regulation. Consult framework evaluation literature for specifics.</t>
        </is>
      </c>
      <c r="H27" s="75" t="inlineStr">
        <is>
          <t>Framework comparison requires contextual analysis. Key comparators: NIST CSF 2.0 (international benchmark), ISO 27001 (certifiable standard), ECC-2 (K...</t>
        </is>
      </c>
      <c r="I27" s="77" t="inlineStr">
        <is>
          <t>Relevance to GH-ICGA framework varies by layer — see GH-ICGA Layer Mapping column. All KSA mandatory frameworks are compliance inputs to GH-ICGA Layer 4. Frameworks with IoMT-specific provisions direc...</t>
        </is>
      </c>
    </row>
    <row r="28" ht="72" customHeight="1">
      <c r="A28" s="426" t="inlineStr">
        <is>
          <t>CBAHI-HAS-PHC</t>
        </is>
      </c>
      <c r="B28" s="45" t="inlineStr">
        <is>
          <t>Primary Health Care Accreditation Standards</t>
        </is>
      </c>
      <c r="C28" s="44" t="inlineStr">
        <is>
          <t>CBAHI</t>
        </is>
      </c>
      <c r="D28" s="439" t="inlineStr">
        <is>
          <t>HIGH</t>
        </is>
      </c>
      <c r="E28" s="440" t="inlineStr">
        <is>
          <t>Academic debate varies by framework maturity and international adoption. For KSA-specific debate, consult: Almohammad &amp; Wills (2021) J Cybersecurity; Al-Khater et al. (2020) IEEE Access; Baker McKenzi</t>
        </is>
      </c>
      <c r="F28" s="434" t="inlineStr">
        <is>
          <t>Known criticisms include: implementation gap between standards and practice; resource constraints for smaller healthcare entities; rapid technology evolution outpacing regulation. Consult framework ev</t>
        </is>
      </c>
      <c r="G28" s="44" t="inlineStr">
        <is>
          <t>Known criticisms include: implementation gap between standards and practice; resource constraints for smaller healthcare entities; rapid technology evolution outpacing regulation. Consult framework evaluation literature for specifics.</t>
        </is>
      </c>
      <c r="H28" s="441" t="inlineStr">
        <is>
          <t>Framework comparison requires contextual analysis. Key comparators: NIST CSF 2.0 (international benchmark), ISO 27001 (certifiable standard), ECC-2 (K...</t>
        </is>
      </c>
      <c r="I28" s="426" t="inlineStr">
        <is>
          <t>Relevance to GH-ICGA framework varies by layer — see GH-ICGA Layer Mapping column. All KSA mandatory frameworks are compliance inputs to GH-ICGA Layer 4. Frameworks with IoMT-specific provisions direc...</t>
        </is>
      </c>
    </row>
    <row r="29" ht="72" customHeight="1">
      <c r="A29" s="33" t="inlineStr">
        <is>
          <t>CCC-1:2020</t>
        </is>
      </c>
      <c r="B29" s="20" t="inlineStr">
        <is>
          <t>Cloud Cybersecurity Controls</t>
        </is>
      </c>
      <c r="C29" s="19" t="inlineStr">
        <is>
          <t>NCA</t>
        </is>
      </c>
      <c r="D29" s="439" t="inlineStr">
        <is>
          <t>HIGH</t>
        </is>
      </c>
      <c r="E29" s="444" t="inlineStr">
        <is>
          <t>Addresses real gap in ECC-1 for cloud-hosted health systems; CSP+CST dual obligation model mirrors EU NIS2 approach; mandatory for health cloud deployment.</t>
        </is>
      </c>
      <c r="F29" s="29" t="inlineStr">
        <is>
          <t>CCC-1 pre-dates major health cloud adoption acceleration — rapidly becoming outdated; Alassaf et al. (2019) argue cloud health data sovereignty requirements create innovation friction; CCC-2 consultation process too slow relative to cloud technology evolution</t>
        </is>
      </c>
      <c r="G29" s="19" t="inlineStr">
        <is>
          <t>CCC-1 does not address edge computing (critical for real-time IoMT); generative AI/ML workloads in health cloud not covered; sovereign cloud zone regulations (CST 2023) create regulatory overlap with CCC; NABIDH cloud hosting requirements not explicitly aligned with CCC controls</t>
        </is>
      </c>
      <c r="H29" s="30" t="inlineStr">
        <is>
          <t>CCC vs ISO 27017: CCC mandatory in KSA; ISO 27017 voluntary global standard. CCC maps to CSA CCM v4 (Cloud Controls Matrix) but is simpler. CCC vs SAM...</t>
        </is>
      </c>
      <c r="I29" s="33" t="inlineStr">
        <is>
          <t>GH-ICGA Layer 3 (Technical) + Layer 4 (Compliance) — cloud security controls inform GH-ICGA cloud-hosted IoMT governance. Thesis gap: GH-ICGA must address how CCC applies when IoMT data streams to clo...</t>
        </is>
      </c>
    </row>
    <row r="30" ht="72" customHeight="1">
      <c r="A30" s="426" t="inlineStr">
        <is>
          <t>CCHI-HIR</t>
        </is>
      </c>
      <c r="B30" s="45" t="inlineStr">
        <is>
          <t>Cooperative Health Insurance Law &amp; Regulations</t>
        </is>
      </c>
      <c r="C30" s="44" t="inlineStr">
        <is>
          <t>CCHI</t>
        </is>
      </c>
      <c r="D30" s="439" t="inlineStr">
        <is>
          <t>HIGH</t>
        </is>
      </c>
      <c r="E30" s="440" t="inlineStr">
        <is>
          <t>Academic debate varies by framework maturity and international adoption. For KSA-specific debate, consult: Almohammad &amp; Wills (2021) J Cybersecurity; Al-Khater et al. (2020) IEEE Access; Baker McKenzi</t>
        </is>
      </c>
      <c r="F30" s="434" t="inlineStr">
        <is>
          <t>Known criticisms include: implementation gap between standards and practice; resource constraints for smaller healthcare entities; rapid technology evolution outpacing regulation. Consult framework ev</t>
        </is>
      </c>
      <c r="G30" s="44" t="inlineStr">
        <is>
          <t>Known criticisms include: implementation gap between standards and practice; resource constraints for smaller healthcare entities; rapid technology evolution outpacing regulation. Consult framework evaluation literature for specifics.</t>
        </is>
      </c>
      <c r="H30" s="441" t="inlineStr">
        <is>
          <t>Framework comparison requires contextual analysis. Key comparators: NIST CSF 2.0 (international benchmark), ISO 27001 (certifiable standard), ECC-2 (K...</t>
        </is>
      </c>
      <c r="I30" s="426" t="inlineStr">
        <is>
          <t>Relevance to GH-ICGA framework varies by layer — see GH-ICGA Layer Mapping column. All KSA mandatory frameworks are compliance inputs to GH-ICGA Layer 4. Frameworks with IoMT-specific provisions direc...</t>
        </is>
      </c>
    </row>
    <row r="31" ht="72" customHeight="1">
      <c r="A31" s="77" t="inlineStr">
        <is>
          <t>CCHI-UBP</t>
        </is>
      </c>
      <c r="B31" s="72" t="inlineStr">
        <is>
          <t>Unified Health Benefits Package</t>
        </is>
      </c>
      <c r="C31" s="70" t="inlineStr">
        <is>
          <t>CCHI</t>
        </is>
      </c>
      <c r="D31" s="439" t="inlineStr">
        <is>
          <t>HIGH</t>
        </is>
      </c>
      <c r="E31" s="443" t="inlineStr">
        <is>
          <t>Academic debate varies by framework maturity and international adoption. For KSA-specific debate, consult: Almohammad &amp; Wills (2021) J Cybersecurity; Al-Khater et al. (2020) IEEE Access; Baker McKenzi</t>
        </is>
      </c>
      <c r="F31" s="74" t="inlineStr">
        <is>
          <t>Known criticisms include: implementation gap between standards and practice; resource constraints for smaller healthcare entities; rapid technology evolution outpacing regulation. Consult framework ev</t>
        </is>
      </c>
      <c r="G31" s="70" t="inlineStr">
        <is>
          <t>Known criticisms include: implementation gap between standards and practice; resource constraints for smaller healthcare entities; rapid technology evolution outpacing regulation. Consult framework evaluation literature for specifics.</t>
        </is>
      </c>
      <c r="H31" s="75" t="inlineStr">
        <is>
          <t>Framework comparison requires contextual analysis. Key comparators: NIST CSF 2.0 (international benchmark), ISO 27001 (certifiable standard), ECC-2 (K...</t>
        </is>
      </c>
      <c r="I31" s="77" t="inlineStr">
        <is>
          <t>Relevance to GH-ICGA framework varies by layer — see GH-ICGA Layer Mapping column. All KSA mandatory frameworks are compliance inputs to GH-ICGA Layer 4. Frameworks with IoMT-specific provisions direc...</t>
        </is>
      </c>
    </row>
    <row r="32" ht="72" customHeight="1">
      <c r="A32" s="426" t="inlineStr">
        <is>
          <t>CSCC-1:2019</t>
        </is>
      </c>
      <c r="B32" s="45" t="inlineStr">
        <is>
          <t>Critical Systems Cybersecurity Controls</t>
        </is>
      </c>
      <c r="C32" s="44" t="inlineStr">
        <is>
          <t>NCA</t>
        </is>
      </c>
      <c r="D32" s="439" t="inlineStr">
        <is>
          <t>HIGH</t>
        </is>
      </c>
      <c r="E32" s="440" t="inlineStr">
        <is>
          <t>Academic debate varies by framework maturity and international adoption. For KSA-specific debate, consult: Almohammad &amp; Wills (2021) J Cybersecurity; Al-Khater et al. (2020) IEEE Access; Baker McKenzi</t>
        </is>
      </c>
      <c r="F32" s="434" t="inlineStr">
        <is>
          <t>Known criticisms include: implementation gap between standards and practice; resource constraints for smaller healthcare entities; rapid technology evolution outpacing regulation. Consult framework ev</t>
        </is>
      </c>
      <c r="G32" s="44" t="inlineStr">
        <is>
          <t>Known criticisms include: implementation gap between standards and practice; resource constraints for smaller healthcare entities; rapid technology evolution outpacing regulation. Consult framework evaluation literature for specifics.</t>
        </is>
      </c>
      <c r="H32" s="441" t="inlineStr">
        <is>
          <t>Framework comparison requires contextual analysis. Key comparators: NIST CSF 2.0 (international benchmark), ISO 27001 (certifiable standard), ECC-2 (K...</t>
        </is>
      </c>
      <c r="I32" s="426" t="inlineStr">
        <is>
          <t>Relevance to GH-ICGA framework varies by layer — see GH-ICGA Layer Mapping column. All KSA mandatory frameworks are compliance inputs to GH-ICGA Layer 4. Frameworks with IoMT-specific provisions direc...</t>
        </is>
      </c>
    </row>
    <row r="33" ht="72" customHeight="1">
      <c r="A33" s="131" t="inlineStr">
        <is>
          <t>CST-CCR</t>
        </is>
      </c>
      <c r="B33" s="122" t="inlineStr">
        <is>
          <t>Cloud Computing Regulatory Framework</t>
        </is>
      </c>
      <c r="C33" s="121" t="inlineStr">
        <is>
          <t>CST</t>
        </is>
      </c>
      <c r="D33" s="439" t="inlineStr">
        <is>
          <t>HIGH</t>
        </is>
      </c>
      <c r="E33" s="442" t="inlineStr">
        <is>
          <t>Academic debate varies by framework maturity and international adoption. For KSA-specific debate, consult: Almohammad &amp; Wills (2021) J Cybersecurity; Al-Khater et al. (2020) IEEE Access; Baker McKenzi</t>
        </is>
      </c>
      <c r="F33" s="127" t="inlineStr">
        <is>
          <t>Known criticisms include: implementation gap between standards and practice; resource constraints for smaller healthcare entities; rapid technology evolution outpacing regulation. Consult framework ev</t>
        </is>
      </c>
      <c r="G33" s="121" t="inlineStr">
        <is>
          <t>Known criticisms include: implementation gap between standards and practice; resource constraints for smaller healthcare entities; rapid technology evolution outpacing regulation. Consult framework evaluation literature for specifics.</t>
        </is>
      </c>
      <c r="H33" s="128" t="inlineStr">
        <is>
          <t>Framework comparison requires contextual analysis. Key comparators: NIST CSF 2.0 (international benchmark), ISO 27001 (certifiable standard), ECC-2 (K...</t>
        </is>
      </c>
      <c r="I33" s="131" t="inlineStr">
        <is>
          <t>Relevance to GH-ICGA framework varies by layer — see GH-ICGA Layer Mapping column. All KSA mandatory frameworks are compliance inputs to GH-ICGA Layer 4. Frameworks with IoMT-specific provisions direc...</t>
        </is>
      </c>
    </row>
    <row r="34" ht="72" customHeight="1">
      <c r="A34" s="426" t="inlineStr">
        <is>
          <t>CST-CSRF</t>
        </is>
      </c>
      <c r="B34" s="45" t="inlineStr">
        <is>
          <t>Cybersecurity Regulatory Framework for ICT</t>
        </is>
      </c>
      <c r="C34" s="44" t="inlineStr">
        <is>
          <t>CST</t>
        </is>
      </c>
      <c r="D34" s="439" t="inlineStr">
        <is>
          <t>HIGH</t>
        </is>
      </c>
      <c r="E34" s="440" t="inlineStr">
        <is>
          <t>Academic debate varies by framework maturity and international adoption. For KSA-specific debate, consult: Almohammad &amp; Wills (2021) J Cybersecurity; Al-Khater et al. (2020) IEEE Access; Baker McKenzi</t>
        </is>
      </c>
      <c r="F34" s="434" t="inlineStr">
        <is>
          <t>Known criticisms include: implementation gap between standards and practice; resource constraints for smaller healthcare entities; rapid technology evolution outpacing regulation. Consult framework ev</t>
        </is>
      </c>
      <c r="G34" s="44" t="inlineStr">
        <is>
          <t>Known criticisms include: implementation gap between standards and practice; resource constraints for smaller healthcare entities; rapid technology evolution outpacing regulation. Consult framework evaluation literature for specifics.</t>
        </is>
      </c>
      <c r="H34" s="441" t="inlineStr">
        <is>
          <t>Framework comparison requires contextual analysis. Key comparators: NIST CSF 2.0 (international benchmark), ISO 27001 (certifiable standard), ECC-2 (K...</t>
        </is>
      </c>
      <c r="I34" s="426" t="inlineStr">
        <is>
          <t>Relevance to GH-ICGA framework varies by layer — see GH-ICGA Layer Mapping column. All KSA mandatory frameworks are compliance inputs to GH-ICGA Layer 4. Frameworks with IoMT-specific provisions direc...</t>
        </is>
      </c>
    </row>
    <row r="35" ht="72" customHeight="1">
      <c r="A35" s="131" t="inlineStr">
        <is>
          <t>CST-CYBER-OPS</t>
        </is>
      </c>
      <c r="B35" s="122" t="inlineStr">
        <is>
          <t>Cybersecurity Operations Regulations (ICT)</t>
        </is>
      </c>
      <c r="C35" s="121" t="inlineStr">
        <is>
          <t>CST</t>
        </is>
      </c>
      <c r="D35" s="439" t="inlineStr">
        <is>
          <t>HIGH</t>
        </is>
      </c>
      <c r="E35" s="442" t="inlineStr">
        <is>
          <t>Academic debate varies by framework maturity and international adoption. For KSA-specific debate, consult: Almohammad &amp; Wills (2021) J Cybersecurity; Al-Khater et al. (2020) IEEE Access; Baker McKenzi</t>
        </is>
      </c>
      <c r="F35" s="127" t="inlineStr">
        <is>
          <t>Known criticisms include: implementation gap between standards and practice; resource constraints for smaller healthcare entities; rapid technology evolution outpacing regulation. Consult framework ev</t>
        </is>
      </c>
      <c r="G35" s="121" t="inlineStr">
        <is>
          <t>Known criticisms include: implementation gap between standards and practice; resource constraints for smaller healthcare entities; rapid technology evolution outpacing regulation. Consult framework evaluation literature for specifics.</t>
        </is>
      </c>
      <c r="H35" s="128" t="inlineStr">
        <is>
          <t>Framework comparison requires contextual analysis. Key comparators: NIST CSF 2.0 (international benchmark), ISO 27001 (certifiable standard), ECC-2 (K...</t>
        </is>
      </c>
      <c r="I35" s="131" t="inlineStr">
        <is>
          <t>Relevance to GH-ICGA framework varies by layer — see GH-ICGA Layer Mapping column. All KSA mandatory frameworks are compliance inputs to GH-ICGA Layer 4. Frameworks with IoMT-specific provisions direc...</t>
        </is>
      </c>
    </row>
    <row r="36" ht="72" customHeight="1">
      <c r="A36" s="426" t="inlineStr">
        <is>
          <t>CST-DCS</t>
        </is>
      </c>
      <c r="B36" s="45" t="inlineStr">
        <is>
          <t>Data Center Services Regulations</t>
        </is>
      </c>
      <c r="C36" s="44" t="inlineStr">
        <is>
          <t>CST</t>
        </is>
      </c>
      <c r="D36" s="439" t="inlineStr">
        <is>
          <t>HIGH</t>
        </is>
      </c>
      <c r="E36" s="440" t="inlineStr">
        <is>
          <t>Academic debate varies by framework maturity and international adoption. For KSA-specific debate, consult: Almohammad &amp; Wills (2021) J Cybersecurity; Al-Khater et al. (2020) IEEE Access; Baker McKenzi</t>
        </is>
      </c>
      <c r="F36" s="434" t="inlineStr">
        <is>
          <t>Known criticisms include: implementation gap between standards and practice; resource constraints for smaller healthcare entities; rapid technology evolution outpacing regulation. Consult framework ev</t>
        </is>
      </c>
      <c r="G36" s="44" t="inlineStr">
        <is>
          <t>Known criticisms include: implementation gap between standards and practice; resource constraints for smaller healthcare entities; rapid technology evolution outpacing regulation. Consult framework evaluation literature for specifics.</t>
        </is>
      </c>
      <c r="H36" s="441" t="inlineStr">
        <is>
          <t>Framework comparison requires contextual analysis. Key comparators: NIST CSF 2.0 (international benchmark), ISO 27001 (certifiable standard), ECC-2 (K...</t>
        </is>
      </c>
      <c r="I36" s="426" t="inlineStr">
        <is>
          <t>Relevance to GH-ICGA framework varies by layer — see GH-ICGA Layer Mapping column. All KSA mandatory frameworks are compliance inputs to GH-ICGA Layer 4. Frameworks with IoMT-specific provisions direc...</t>
        </is>
      </c>
    </row>
    <row r="37" ht="72" customHeight="1">
      <c r="A37" s="131" t="inlineStr">
        <is>
          <t>CST-DPS</t>
        </is>
      </c>
      <c r="B37" s="122" t="inlineStr">
        <is>
          <t>Digital Platform Services Regulations</t>
        </is>
      </c>
      <c r="C37" s="121" t="inlineStr">
        <is>
          <t>CST</t>
        </is>
      </c>
      <c r="D37" s="439" t="inlineStr">
        <is>
          <t>HIGH</t>
        </is>
      </c>
      <c r="E37" s="442" t="inlineStr">
        <is>
          <t>Academic debate varies by framework maturity and international adoption. For KSA-specific debate, consult: Almohammad &amp; Wills (2021) J Cybersecurity; Al-Khater et al. (2020) IEEE Access; Baker McKenzi</t>
        </is>
      </c>
      <c r="F37" s="127" t="inlineStr">
        <is>
          <t>Known criticisms include: implementation gap between standards and practice; resource constraints for smaller healthcare entities; rapid technology evolution outpacing regulation. Consult framework ev</t>
        </is>
      </c>
      <c r="G37" s="121" t="inlineStr">
        <is>
          <t>Known criticisms include: implementation gap between standards and practice; resource constraints for smaller healthcare entities; rapid technology evolution outpacing regulation. Consult framework evaluation literature for specifics.</t>
        </is>
      </c>
      <c r="H37" s="128" t="inlineStr">
        <is>
          <t>Framework comparison requires contextual analysis. Key comparators: NIST CSF 2.0 (international benchmark), ISO 27001 (certifiable standard), ECC-2 (K...</t>
        </is>
      </c>
      <c r="I37" s="131" t="inlineStr">
        <is>
          <t>Relevance to GH-ICGA framework varies by layer — see GH-ICGA Layer Mapping column. All KSA mandatory frameworks are compliance inputs to GH-ICGA Layer 4. Frameworks with IoMT-specific provisions direc...</t>
        </is>
      </c>
    </row>
    <row r="38" ht="72" customHeight="1">
      <c r="A38" s="426" t="inlineStr">
        <is>
          <t>CST-TITA</t>
        </is>
      </c>
      <c r="B38" s="45" t="inlineStr">
        <is>
          <t>Telecommunications &amp; IT Act</t>
        </is>
      </c>
      <c r="C38" s="44" t="inlineStr">
        <is>
          <t>CST</t>
        </is>
      </c>
      <c r="D38" s="439" t="inlineStr">
        <is>
          <t>HIGH</t>
        </is>
      </c>
      <c r="E38" s="440" t="inlineStr">
        <is>
          <t>Academic debate varies by framework maturity and international adoption. For KSA-specific debate, consult: Almohammad &amp; Wills (2021) J Cybersecurity; Al-Khater et al. (2020) IEEE Access; Baker McKenzi</t>
        </is>
      </c>
      <c r="F38" s="434" t="inlineStr">
        <is>
          <t>Known criticisms include: implementation gap between standards and practice; resource constraints for smaller healthcare entities; rapid technology evolution outpacing regulation. Consult framework ev</t>
        </is>
      </c>
      <c r="G38" s="44" t="inlineStr">
        <is>
          <t>Known criticisms include: implementation gap between standards and practice; resource constraints for smaller healthcare entities; rapid technology evolution outpacing regulation. Consult framework evaluation literature for specifics.</t>
        </is>
      </c>
      <c r="H38" s="441" t="inlineStr">
        <is>
          <t>Framework comparison requires contextual analysis. Key comparators: NIST CSF 2.0 (international benchmark), ISO 27001 (certifiable standard), ECC-2 (K...</t>
        </is>
      </c>
      <c r="I38" s="426" t="inlineStr">
        <is>
          <t>Relevance to GH-ICGA framework varies by layer — see GH-ICGA Layer Mapping column. All KSA mandatory frameworks are compliance inputs to GH-ICGA Layer 4. Frameworks with IoMT-specific provisions direc...</t>
        </is>
      </c>
    </row>
    <row r="39" ht="72" customHeight="1">
      <c r="A39" s="33" t="inlineStr">
        <is>
          <t>DCC-1:2022</t>
        </is>
      </c>
      <c r="B39" s="20" t="inlineStr">
        <is>
          <t>Data Cybersecurity Controls</t>
        </is>
      </c>
      <c r="C39" s="19" t="inlineStr">
        <is>
          <t>NCA</t>
        </is>
      </c>
      <c r="D39" s="439" t="inlineStr">
        <is>
          <t>HIGH</t>
        </is>
      </c>
      <c r="E39" s="444" t="inlineStr">
        <is>
          <t>Academic debate varies by framework maturity and international adoption. For KSA-specific debate, consult: Almohammad &amp; Wills (2021) J Cybersecurity; Al-Khater et al. (2020) IEEE Access; Baker McKenzi</t>
        </is>
      </c>
      <c r="F39" s="29" t="inlineStr">
        <is>
          <t>Known criticisms include: implementation gap between standards and practice; resource constraints for smaller healthcare entities; rapid technology evolution outpacing regulation. Consult framework ev</t>
        </is>
      </c>
      <c r="G39" s="19" t="inlineStr">
        <is>
          <t>Known criticisms include: implementation gap between standards and practice; resource constraints for smaller healthcare entities; rapid technology evolution outpacing regulation. Consult framework evaluation literature for specifics.</t>
        </is>
      </c>
      <c r="H39" s="30" t="inlineStr">
        <is>
          <t>Framework comparison requires contextual analysis. Key comparators: NIST CSF 2.0 (international benchmark), ISO 27001 (certifiable standard), ECC-2 (K...</t>
        </is>
      </c>
      <c r="I39" s="33" t="inlineStr">
        <is>
          <t>Relevance to GH-ICGA framework varies by layer — see GH-ICGA Layer Mapping column. All KSA mandatory frameworks are compliance inputs to GH-ICGA Layer 4. Frameworks with IoMT-specific provisions direc...</t>
        </is>
      </c>
    </row>
    <row r="40" ht="72" customHeight="1">
      <c r="A40" s="426" t="inlineStr">
        <is>
          <t>DGA-CFP</t>
        </is>
      </c>
      <c r="B40" s="45" t="inlineStr">
        <is>
          <t>Cloud First Policy</t>
        </is>
      </c>
      <c r="C40" s="44" t="inlineStr">
        <is>
          <t>DGA</t>
        </is>
      </c>
      <c r="D40" s="439" t="inlineStr">
        <is>
          <t>HIGH</t>
        </is>
      </c>
      <c r="E40" s="440" t="inlineStr">
        <is>
          <t>Academic debate varies by framework maturity and international adoption. For KSA-specific debate, consult: Almohammad &amp; Wills (2021) J Cybersecurity; Al-Khater et al. (2020) IEEE Access; Baker McKenzi</t>
        </is>
      </c>
      <c r="F40" s="434" t="inlineStr">
        <is>
          <t>Known criticisms include: implementation gap between standards and practice; resource constraints for smaller healthcare entities; rapid technology evolution outpacing regulation. Consult framework ev</t>
        </is>
      </c>
      <c r="G40" s="44" t="inlineStr">
        <is>
          <t>Known criticisms include: implementation gap between standards and practice; resource constraints for smaller healthcare entities; rapid technology evolution outpacing regulation. Consult framework evaluation literature for specifics.</t>
        </is>
      </c>
      <c r="H40" s="441" t="inlineStr">
        <is>
          <t>Framework comparison requires contextual analysis. Key comparators: NIST CSF 2.0 (international benchmark), ISO 27001 (certifiable standard), ECC-2 (K...</t>
        </is>
      </c>
      <c r="I40" s="426" t="inlineStr">
        <is>
          <t>Relevance to GH-ICGA framework varies by layer — see GH-ICGA Layer Mapping column. All KSA mandatory frameworks are compliance inputs to GH-ICGA Layer 4. Frameworks with IoMT-specific provisions direc...</t>
        </is>
      </c>
    </row>
    <row r="41" ht="72" customHeight="1">
      <c r="A41" s="198" t="inlineStr">
        <is>
          <t>MHRSD-NITAQAT</t>
        </is>
      </c>
      <c r="B41" s="192" t="inlineStr">
        <is>
          <t>Saudisation / Nitaqat System</t>
        </is>
      </c>
      <c r="C41" s="190" t="inlineStr">
        <is>
          <t>MHRSD</t>
        </is>
      </c>
      <c r="D41" s="439" t="inlineStr">
        <is>
          <t>HIGH</t>
        </is>
      </c>
      <c r="E41" s="445" t="inlineStr">
        <is>
          <t>Academic debate varies by framework maturity and international adoption. For KSA-specific debate, consult: Almohammad &amp; Wills (2021) J Cybersecurity; Al-Khater et al. (2020) IEEE Access; Baker McKenzi</t>
        </is>
      </c>
      <c r="F41" s="194" t="inlineStr">
        <is>
          <t>Known criticisms include: implementation gap between standards and practice; resource constraints for smaller healthcare entities; rapid technology evolution outpacing regulation. Consult framework ev</t>
        </is>
      </c>
      <c r="G41" s="190" t="inlineStr">
        <is>
          <t>Known criticisms include: implementation gap between standards and practice; resource constraints for smaller healthcare entities; rapid technology evolution outpacing regulation. Consult framework evaluation literature for specifics.</t>
        </is>
      </c>
      <c r="H41" s="195" t="inlineStr">
        <is>
          <t>Framework comparison requires contextual analysis. Key comparators: NIST CSF 2.0 (international benchmark), ISO 27001 (certifiable standard), ECC-2 (K...</t>
        </is>
      </c>
      <c r="I41" s="198" t="inlineStr">
        <is>
          <t>Relevance to GH-ICGA framework varies by layer — see GH-ICGA Layer Mapping column. All KSA mandatory frameworks are compliance inputs to GH-ICGA Layer 4. Frameworks with IoMT-specific provisions direc...</t>
        </is>
      </c>
    </row>
    <row r="42" ht="72" customHeight="1">
      <c r="A42" s="426" t="inlineStr">
        <is>
          <t>MOH-HAJHLT</t>
        </is>
      </c>
      <c r="B42" s="45" t="inlineStr">
        <is>
          <t>Hajj &amp; Umrah Health Standards</t>
        </is>
      </c>
      <c r="C42" s="44" t="inlineStr">
        <is>
          <t>MOH</t>
        </is>
      </c>
      <c r="D42" s="439" t="inlineStr">
        <is>
          <t>HIGH</t>
        </is>
      </c>
      <c r="E42" s="440" t="inlineStr">
        <is>
          <t>Academic debate varies by framework maturity and international adoption. For KSA-specific debate, consult: Almohammad &amp; Wills (2021) J Cybersecurity; Al-Khater et al. (2020) IEEE Access; Baker McKenzi</t>
        </is>
      </c>
      <c r="F42" s="434" t="inlineStr">
        <is>
          <t>Known criticisms include: implementation gap between standards and practice; resource constraints for smaller healthcare entities; rapid technology evolution outpacing regulation. Consult framework ev</t>
        </is>
      </c>
      <c r="G42" s="44" t="inlineStr">
        <is>
          <t>Known criticisms include: implementation gap between standards and practice; resource constraints for smaller healthcare entities; rapid technology evolution outpacing regulation. Consult framework evaluation literature for specifics.</t>
        </is>
      </c>
      <c r="H42" s="441" t="inlineStr">
        <is>
          <t>Framework comparison requires contextual analysis. Key comparators: NIST CSF 2.0 (international benchmark), ISO 27001 (certifiable standard), ECC-2 (K...</t>
        </is>
      </c>
      <c r="I42" s="426" t="inlineStr">
        <is>
          <t>Relevance to GH-ICGA framework varies by layer — see GH-ICGA Layer Mapping column. All KSA mandatory frameworks are compliance inputs to GH-ICGA Layer 4. Frameworks with IoMT-specific provisions direc...</t>
        </is>
      </c>
    </row>
    <row r="43" ht="72" customHeight="1">
      <c r="A43" s="77" t="inlineStr">
        <is>
          <t>MOH-NHIS</t>
        </is>
      </c>
      <c r="B43" s="72" t="inlineStr">
        <is>
          <t>National Health Insurance Standards</t>
        </is>
      </c>
      <c r="C43" s="70" t="inlineStr">
        <is>
          <t>MOH</t>
        </is>
      </c>
      <c r="D43" s="439" t="inlineStr">
        <is>
          <t>HIGH</t>
        </is>
      </c>
      <c r="E43" s="443" t="inlineStr">
        <is>
          <t>Academic debate varies by framework maturity and international adoption. For KSA-specific debate, consult: Almohammad &amp; Wills (2021) J Cybersecurity; Al-Khater et al. (2020) IEEE Access; Baker McKenzi</t>
        </is>
      </c>
      <c r="F43" s="74" t="inlineStr">
        <is>
          <t>Known criticisms include: implementation gap between standards and practice; resource constraints for smaller healthcare entities; rapid technology evolution outpacing regulation. Consult framework ev</t>
        </is>
      </c>
      <c r="G43" s="70" t="inlineStr">
        <is>
          <t>Known criticisms include: implementation gap between standards and practice; resource constraints for smaller healthcare entities; rapid technology evolution outpacing regulation. Consult framework evaluation literature for specifics.</t>
        </is>
      </c>
      <c r="H43" s="75" t="inlineStr">
        <is>
          <t>Framework comparison requires contextual analysis. Key comparators: NIST CSF 2.0 (international benchmark), ISO 27001 (certifiable standard), ECC-2 (K...</t>
        </is>
      </c>
      <c r="I43" s="77" t="inlineStr">
        <is>
          <t>Relevance to GH-ICGA framework varies by layer — see GH-ICGA Layer Mapping column. All KSA mandatory frameworks are compliance inputs to GH-ICGA Layer 4. Frameworks with IoMT-specific provisions direc...</t>
        </is>
      </c>
    </row>
    <row r="44" ht="72" customHeight="1">
      <c r="A44" s="426" t="inlineStr">
        <is>
          <t>MOH-PHILAW</t>
        </is>
      </c>
      <c r="B44" s="45" t="inlineStr">
        <is>
          <t>Private Health Institutions Law</t>
        </is>
      </c>
      <c r="C44" s="44" t="inlineStr">
        <is>
          <t>MOH</t>
        </is>
      </c>
      <c r="D44" s="439" t="inlineStr">
        <is>
          <t>HIGH</t>
        </is>
      </c>
      <c r="E44" s="440" t="inlineStr">
        <is>
          <t>Academic debate varies by framework maturity and international adoption. For KSA-specific debate, consult: Almohammad &amp; Wills (2021) J Cybersecurity; Al-Khater et al. (2020) IEEE Access; Baker McKenzi</t>
        </is>
      </c>
      <c r="F44" s="434" t="inlineStr">
        <is>
          <t>Known criticisms include: implementation gap between standards and practice; resource constraints for smaller healthcare entities; rapid technology evolution outpacing regulation. Consult framework ev</t>
        </is>
      </c>
      <c r="G44" s="44" t="inlineStr">
        <is>
          <t>Known criticisms include: implementation gap between standards and practice; resource constraints for smaller healthcare entities; rapid technology evolution outpacing regulation. Consult framework evaluation literature for specifics.</t>
        </is>
      </c>
      <c r="H44" s="441" t="inlineStr">
        <is>
          <t>Framework comparison requires contextual analysis. Key comparators: NIST CSF 2.0 (international benchmark), ISO 27001 (certifiable standard), ECC-2 (K...</t>
        </is>
      </c>
      <c r="I44" s="426" t="inlineStr">
        <is>
          <t>Relevance to GH-ICGA framework varies by layer — see GH-ICGA Layer Mapping column. All KSA mandatory frameworks are compliance inputs to GH-ICGA Layer 4. Frameworks with IoMT-specific provisions direc...</t>
        </is>
      </c>
    </row>
    <row r="45" ht="72" customHeight="1">
      <c r="A45" s="77" t="inlineStr">
        <is>
          <t>MOH-PR</t>
        </is>
      </c>
      <c r="B45" s="72" t="inlineStr">
        <is>
          <t>Patient Rights Charter</t>
        </is>
      </c>
      <c r="C45" s="70" t="inlineStr">
        <is>
          <t>MOH</t>
        </is>
      </c>
      <c r="D45" s="439" t="inlineStr">
        <is>
          <t>HIGH</t>
        </is>
      </c>
      <c r="E45" s="443" t="inlineStr">
        <is>
          <t>Academic debate varies by framework maturity and international adoption. For KSA-specific debate, consult: Almohammad &amp; Wills (2021) J Cybersecurity; Al-Khater et al. (2020) IEEE Access; Baker McKenzi</t>
        </is>
      </c>
      <c r="F45" s="74" t="inlineStr">
        <is>
          <t>Known criticisms include: implementation gap between standards and practice; resource constraints for smaller healthcare entities; rapid technology evolution outpacing regulation. Consult framework ev</t>
        </is>
      </c>
      <c r="G45" s="70" t="inlineStr">
        <is>
          <t>Known criticisms include: implementation gap between standards and practice; resource constraints for smaller healthcare entities; rapid technology evolution outpacing regulation. Consult framework evaluation literature for specifics.</t>
        </is>
      </c>
      <c r="H45" s="75" t="inlineStr">
        <is>
          <t>Framework comparison requires contextual analysis. Key comparators: NIST CSF 2.0 (international benchmark), ISO 27001 (certifiable standard), ECC-2 (K...</t>
        </is>
      </c>
      <c r="I45" s="77" t="inlineStr">
        <is>
          <t>Relevance to GH-ICGA framework varies by layer — see GH-ICGA Layer Mapping column. All KSA mandatory frameworks are compliance inputs to GH-ICGA Layer 4. Frameworks with IoMT-specific provisions direc...</t>
        </is>
      </c>
    </row>
    <row r="46" ht="72" customHeight="1">
      <c r="A46" s="426" t="inlineStr">
        <is>
          <t>NCA-DCC</t>
        </is>
      </c>
      <c r="B46" s="45" t="inlineStr">
        <is>
          <t>Data Cybersecurity Controls</t>
        </is>
      </c>
      <c r="C46" s="44" t="inlineStr">
        <is>
          <t>MOH</t>
        </is>
      </c>
      <c r="D46" s="439" t="inlineStr">
        <is>
          <t>HIGH</t>
        </is>
      </c>
      <c r="E46" s="440" t="inlineStr">
        <is>
          <t>Academic debate varies by framework maturity and international adoption. For KSA-specific debate, consult: Almohammad &amp; Wills (2021) J Cybersecurity; Al-Khater et al. (2020) IEEE Access; Baker McKenzi</t>
        </is>
      </c>
      <c r="F46" s="434" t="inlineStr">
        <is>
          <t>Known criticisms include: implementation gap between standards and practice; resource constraints for smaller healthcare entities; rapid technology evolution outpacing regulation. Consult framework ev</t>
        </is>
      </c>
      <c r="G46" s="44" t="inlineStr">
        <is>
          <t>Known criticisms include: implementation gap between standards and practice; resource constraints for smaller healthcare entities; rapid technology evolution outpacing regulation. Consult framework evaluation literature for specifics.</t>
        </is>
      </c>
      <c r="H46" s="441" t="inlineStr">
        <is>
          <t>Framework comparison requires contextual analysis. Key comparators: NIST CSF 2.0 (international benchmark), ISO 27001 (certifiable standard), ECC-2 (K...</t>
        </is>
      </c>
      <c r="I46" s="426" t="inlineStr">
        <is>
          <t>Relevance to GH-ICGA framework varies by layer — see GH-ICGA Layer Mapping column. All KSA mandatory frameworks are compliance inputs to GH-ICGA Layer 4. Frameworks with IoMT-specific provisions direc...</t>
        </is>
      </c>
    </row>
    <row r="47" ht="72" customHeight="1">
      <c r="A47" s="33" t="inlineStr">
        <is>
          <t>NCS-1:2020</t>
        </is>
      </c>
      <c r="B47" s="20" t="inlineStr">
        <is>
          <t>National Cryptographic Standards</t>
        </is>
      </c>
      <c r="C47" s="19" t="inlineStr">
        <is>
          <t>NCA</t>
        </is>
      </c>
      <c r="D47" s="439" t="inlineStr">
        <is>
          <t>HIGH</t>
        </is>
      </c>
      <c r="E47" s="444" t="inlineStr">
        <is>
          <t>Academic debate varies by framework maturity and international adoption. For KSA-specific debate, consult: Almohammad &amp; Wills (2021) J Cybersecurity; Al-Khater et al. (2020) IEEE Access; Baker McKenzi</t>
        </is>
      </c>
      <c r="F47" s="29" t="inlineStr">
        <is>
          <t>Known criticisms include: implementation gap between standards and practice; resource constraints for smaller healthcare entities; rapid technology evolution outpacing regulation. Consult framework ev</t>
        </is>
      </c>
      <c r="G47" s="19" t="inlineStr">
        <is>
          <t>Known criticisms include: implementation gap between standards and practice; resource constraints for smaller healthcare entities; rapid technology evolution outpacing regulation. Consult framework evaluation literature for specifics.</t>
        </is>
      </c>
      <c r="H47" s="30" t="inlineStr">
        <is>
          <t>Framework comparison requires contextual analysis. Key comparators: NIST CSF 2.0 (international benchmark), ISO 27001 (certifiable standard), ECC-2 (K...</t>
        </is>
      </c>
      <c r="I47" s="33" t="inlineStr">
        <is>
          <t>Relevance to GH-ICGA framework varies by layer — see GH-ICGA Layer Mapping column. All KSA mandatory frameworks are compliance inputs to GH-ICGA Layer 4. Frameworks with IoMT-specific provisions direc...</t>
        </is>
      </c>
    </row>
    <row r="48" ht="72" customHeight="1">
      <c r="A48" s="426" t="inlineStr">
        <is>
          <t>NDMO-DCP</t>
        </is>
      </c>
      <c r="B48" s="45" t="inlineStr">
        <is>
          <t>Data Classification Policy</t>
        </is>
      </c>
      <c r="C48" s="44" t="inlineStr">
        <is>
          <t>SDAIA</t>
        </is>
      </c>
      <c r="D48" s="439" t="inlineStr">
        <is>
          <t>HIGH</t>
        </is>
      </c>
      <c r="E48" s="440" t="inlineStr">
        <is>
          <t>Academic debate varies by framework maturity and international adoption. For KSA-specific debate, consult: Almohammad &amp; Wills (2021) J Cybersecurity; Al-Khater et al. (2020) IEEE Access; Baker McKenzi</t>
        </is>
      </c>
      <c r="F48" s="434" t="inlineStr">
        <is>
          <t>Known criticisms include: implementation gap between standards and practice; resource constraints for smaller healthcare entities; rapid technology evolution outpacing regulation. Consult framework ev</t>
        </is>
      </c>
      <c r="G48" s="44" t="inlineStr">
        <is>
          <t>Known criticisms include: implementation gap between standards and practice; resource constraints for smaller healthcare entities; rapid technology evolution outpacing regulation. Consult framework evaluation literature for specifics.</t>
        </is>
      </c>
      <c r="H48" s="441" t="inlineStr">
        <is>
          <t>Framework comparison requires contextual analysis. Key comparators: NIST CSF 2.0 (international benchmark), ISO 27001 (certifiable standard), ECC-2 (K...</t>
        </is>
      </c>
      <c r="I48" s="426" t="inlineStr">
        <is>
          <t>Relevance to GH-ICGA framework varies by layer — see GH-ICGA Layer Mapping column. All KSA mandatory frameworks are compliance inputs to GH-ICGA Layer 4. Frameworks with IoMT-specific provisions direc...</t>
        </is>
      </c>
    </row>
    <row r="49" ht="72" customHeight="1">
      <c r="A49" s="33" t="inlineStr">
        <is>
          <t>NDMO-DGF</t>
        </is>
      </c>
      <c r="B49" s="20" t="inlineStr">
        <is>
          <t>National Data Governance Framework</t>
        </is>
      </c>
      <c r="C49" s="19" t="inlineStr">
        <is>
          <t>SDAIA</t>
        </is>
      </c>
      <c r="D49" s="439" t="inlineStr">
        <is>
          <t>HIGH</t>
        </is>
      </c>
      <c r="E49" s="444" t="inlineStr">
        <is>
          <t>Academic debate varies by framework maturity and international adoption. For KSA-specific debate, consult: Almohammad &amp; Wills (2021) J Cybersecurity; Al-Khater et al. (2020) IEEE Access; Baker McKenzi</t>
        </is>
      </c>
      <c r="F49" s="29" t="inlineStr">
        <is>
          <t>Known criticisms include: implementation gap between standards and practice; resource constraints for smaller healthcare entities; rapid technology evolution outpacing regulation. Consult framework ev</t>
        </is>
      </c>
      <c r="G49" s="19" t="inlineStr">
        <is>
          <t>Known criticisms include: implementation gap between standards and practice; resource constraints for smaller healthcare entities; rapid technology evolution outpacing regulation. Consult framework evaluation literature for specifics.</t>
        </is>
      </c>
      <c r="H49" s="30" t="inlineStr">
        <is>
          <t>Framework comparison requires contextual analysis. Key comparators: NIST CSF 2.0 (international benchmark), ISO 27001 (certifiable standard), ECC-2 (K...</t>
        </is>
      </c>
      <c r="I49" s="33" t="inlineStr">
        <is>
          <t>Relevance to GH-ICGA framework varies by layer — see GH-ICGA Layer Mapping column. All KSA mandatory frameworks are compliance inputs to GH-ICGA Layer 4. Frameworks with IoMT-specific provisions direc...</t>
        </is>
      </c>
    </row>
    <row r="50" ht="72" customHeight="1">
      <c r="A50" s="426" t="inlineStr">
        <is>
          <t>NDMO-NDGIR</t>
        </is>
      </c>
      <c r="B50" s="45" t="inlineStr">
        <is>
          <t>National Data Governance Interim Regulations</t>
        </is>
      </c>
      <c r="C50" s="44" t="inlineStr">
        <is>
          <t>SDAIA</t>
        </is>
      </c>
      <c r="D50" s="439" t="inlineStr">
        <is>
          <t>HIGH</t>
        </is>
      </c>
      <c r="E50" s="440" t="inlineStr">
        <is>
          <t>Academic debate varies by framework maturity and international adoption. For KSA-specific debate, consult: Almohammad &amp; Wills (2021) J Cybersecurity; Al-Khater et al. (2020) IEEE Access; Baker McKenzi</t>
        </is>
      </c>
      <c r="F50" s="434" t="inlineStr">
        <is>
          <t>Known criticisms include: implementation gap between standards and practice; resource constraints for smaller healthcare entities; rapid technology evolution outpacing regulation. Consult framework ev</t>
        </is>
      </c>
      <c r="G50" s="44" t="inlineStr">
        <is>
          <t>Known criticisms include: implementation gap between standards and practice; resource constraints for smaller healthcare entities; rapid technology evolution outpacing regulation. Consult framework evaluation literature for specifics.</t>
        </is>
      </c>
      <c r="H50" s="441" t="inlineStr">
        <is>
          <t>Framework comparison requires contextual analysis. Key comparators: NIST CSF 2.0 (international benchmark), ISO 27001 (certifiable standard), ECC-2 (K...</t>
        </is>
      </c>
      <c r="I50" s="426" t="inlineStr">
        <is>
          <t>Relevance to GH-ICGA framework varies by layer — see GH-ICGA Layer Mapping column. All KSA mandatory frameworks are compliance inputs to GH-ICGA Layer 4. Frameworks with IoMT-specific provisions direc...</t>
        </is>
      </c>
    </row>
    <row r="51" ht="72" customHeight="1">
      <c r="A51" s="77" t="inlineStr">
        <is>
          <t>NHIC-CODES</t>
        </is>
      </c>
      <c r="B51" s="72" t="inlineStr">
        <is>
          <t>Clinical Coding Standards (ICD-10, SNOMED)</t>
        </is>
      </c>
      <c r="C51" s="70" t="inlineStr">
        <is>
          <t>NHIC</t>
        </is>
      </c>
      <c r="D51" s="439" t="inlineStr">
        <is>
          <t>HIGH</t>
        </is>
      </c>
      <c r="E51" s="443" t="inlineStr">
        <is>
          <t>Academic debate varies by framework maturity and international adoption. For KSA-specific debate, consult: Almohammad &amp; Wills (2021) J Cybersecurity; Al-Khater et al. (2020) IEEE Access; Baker McKenzi</t>
        </is>
      </c>
      <c r="F51" s="74" t="inlineStr">
        <is>
          <t>Known criticisms include: implementation gap between standards and practice; resource constraints for smaller healthcare entities; rapid technology evolution outpacing regulation. Consult framework ev</t>
        </is>
      </c>
      <c r="G51" s="70" t="inlineStr">
        <is>
          <t>Known criticisms include: implementation gap between standards and practice; resource constraints for smaller healthcare entities; rapid technology evolution outpacing regulation. Consult framework evaluation literature for specifics.</t>
        </is>
      </c>
      <c r="H51" s="75" t="inlineStr">
        <is>
          <t>Framework comparison requires contextual analysis. Key comparators: NIST CSF 2.0 (international benchmark), ISO 27001 (certifiable standard), ECC-2 (K...</t>
        </is>
      </c>
      <c r="I51" s="77" t="inlineStr">
        <is>
          <t>Relevance to GH-ICGA framework varies by layer — see GH-ICGA Layer Mapping column. All KSA mandatory frameworks are compliance inputs to GH-ICGA Layer 4. Frameworks with IoMT-specific provisions direc...</t>
        </is>
      </c>
    </row>
    <row r="52" ht="72" customHeight="1">
      <c r="A52" s="426" t="inlineStr">
        <is>
          <t>NHIC-HDS</t>
        </is>
      </c>
      <c r="B52" s="45" t="inlineStr">
        <is>
          <t>National Health Data Standards</t>
        </is>
      </c>
      <c r="C52" s="44" t="inlineStr">
        <is>
          <t>NHIC</t>
        </is>
      </c>
      <c r="D52" s="439" t="inlineStr">
        <is>
          <t>HIGH</t>
        </is>
      </c>
      <c r="E52" s="440" t="inlineStr">
        <is>
          <t>Academic debate varies by framework maturity and international adoption. For KSA-specific debate, consult: Almohammad &amp; Wills (2021) J Cybersecurity; Al-Khater et al. (2020) IEEE Access; Baker McKenzi</t>
        </is>
      </c>
      <c r="F52" s="434" t="inlineStr">
        <is>
          <t>Known criticisms include: implementation gap between standards and practice; resource constraints for smaller healthcare entities; rapid technology evolution outpacing regulation. Consult framework ev</t>
        </is>
      </c>
      <c r="G52" s="44" t="inlineStr">
        <is>
          <t>Known criticisms include: implementation gap between standards and practice; resource constraints for smaller healthcare entities; rapid technology evolution outpacing regulation. Consult framework evaluation literature for specifics.</t>
        </is>
      </c>
      <c r="H52" s="441" t="inlineStr">
        <is>
          <t>Framework comparison requires contextual analysis. Key comparators: NIST CSF 2.0 (international benchmark), ISO 27001 (certifiable standard), ECC-2 (K...</t>
        </is>
      </c>
      <c r="I52" s="426" t="inlineStr">
        <is>
          <t>Relevance to GH-ICGA framework varies by layer — see GH-ICGA Layer Mapping column. All KSA mandatory frameworks are compliance inputs to GH-ICGA Layer 4. Frameworks with IoMT-specific provisions direc...</t>
        </is>
      </c>
    </row>
    <row r="53" ht="72" customHeight="1">
      <c r="A53" s="198" t="inlineStr">
        <is>
          <t>OSH-REGS</t>
        </is>
      </c>
      <c r="B53" s="192" t="inlineStr">
        <is>
          <t>Occupational Safety &amp; Health Regulations</t>
        </is>
      </c>
      <c r="C53" s="190" t="inlineStr">
        <is>
          <t>MHRSD</t>
        </is>
      </c>
      <c r="D53" s="439" t="inlineStr">
        <is>
          <t>HIGH</t>
        </is>
      </c>
      <c r="E53" s="445" t="inlineStr">
        <is>
          <t>Academic debate varies by framework maturity and international adoption. For KSA-specific debate, consult: Almohammad &amp; Wills (2021) J Cybersecurity; Al-Khater et al. (2020) IEEE Access; Baker McKenzi</t>
        </is>
      </c>
      <c r="F53" s="194" t="inlineStr">
        <is>
          <t>Known criticisms include: implementation gap between standards and practice; resource constraints for smaller healthcare entities; rapid technology evolution outpacing regulation. Consult framework ev</t>
        </is>
      </c>
      <c r="G53" s="190" t="inlineStr">
        <is>
          <t>Known criticisms include: implementation gap between standards and practice; resource constraints for smaller healthcare entities; rapid technology evolution outpacing regulation. Consult framework evaluation literature for specifics.</t>
        </is>
      </c>
      <c r="H53" s="195" t="inlineStr">
        <is>
          <t>Framework comparison requires contextual analysis. Key comparators: NIST CSF 2.0 (international benchmark), ISO 27001 (certifiable standard), ECC-2 (K...</t>
        </is>
      </c>
      <c r="I53" s="198" t="inlineStr">
        <is>
          <t>Relevance to GH-ICGA framework varies by layer — see GH-ICGA Layer Mapping column. All KSA mandatory frameworks are compliance inputs to GH-ICGA Layer 4. Frameworks with IoMT-specific provisions direc...</t>
        </is>
      </c>
    </row>
    <row r="54" ht="72" customHeight="1">
      <c r="A54" s="426" t="inlineStr">
        <is>
          <t>SAMA-CSF</t>
        </is>
      </c>
      <c r="B54" s="45" t="inlineStr">
        <is>
          <t>SAMA Cybersecurity Framework</t>
        </is>
      </c>
      <c r="C54" s="44" t="inlineStr">
        <is>
          <t>CCHI</t>
        </is>
      </c>
      <c r="D54" s="439" t="inlineStr">
        <is>
          <t>HIGH</t>
        </is>
      </c>
      <c r="E54" s="440" t="inlineStr">
        <is>
          <t>Only KSA framework with a formal 6-level maturity model — enables progression benchmarking; annual self-assessment creates continuous improvement culture; aligns with G-7 Fundamental Elements of Cybersecurity (financial sector).</t>
        </is>
      </c>
      <c r="F54" s="434" t="inlineStr">
        <is>
          <t>2017 vintage — predates cloud-native architectures, AI-driven fraud, and health insurance sector IoT expansion; Wattlecorp (2025) notes SAMA-CSF and NCA-ECC-2 overlap creates dual compliance burden for health insurers; self-assessment without mandatory external verification undermines assurance value</t>
        </is>
      </c>
      <c r="G54" s="44" t="inlineStr">
        <is>
          <t>Issued 2017 — significantly outdated vs NCA ECC-2 (2024) — no major revision in 7 years; SAMA-CSF and NCA-ECC-2 alignment not formally documented creating uncertainty; health insurance entities must navigate SAMA-CSF, NCA-ECC-2, PDPL, and CCHI-DCS simultaneously — regulatory fragmentation; IoT/conne</t>
        </is>
      </c>
      <c r="H54" s="441" t="inlineStr">
        <is>
          <t>SAMA-CSF vs NCA-ECC-2: SAMA-CSF sector-specific (financial), ECC-2 cross-sector — ECC-2 now dominant for cybersecurity, SAMA-CSF supplementary. SAMA-C...</t>
        </is>
      </c>
      <c r="I54" s="426" t="inlineStr">
        <is>
          <t>GH-ICGA Layer 1 (Governance) — SAMA-CSF maturity model is an important reference for GH-ICGA's own maturity assessment design. Thesis: GH-ICGA proposes adapting SAMA-CSF's 6-level maturity model for h...</t>
        </is>
      </c>
    </row>
    <row r="55" ht="72" customHeight="1">
      <c r="A55" s="178" t="inlineStr">
        <is>
          <t>SASO-PS</t>
        </is>
      </c>
      <c r="B55" s="169" t="inlineStr">
        <is>
          <t>Product Safety &amp; Technical Regulations</t>
        </is>
      </c>
      <c r="C55" s="168" t="inlineStr">
        <is>
          <t>SASO</t>
        </is>
      </c>
      <c r="D55" s="439" t="inlineStr">
        <is>
          <t>HIGH</t>
        </is>
      </c>
      <c r="E55" s="446" t="inlineStr">
        <is>
          <t>Academic debate varies by framework maturity and international adoption. For KSA-specific debate, consult: Almohammad &amp; Wills (2021) J Cybersecurity; Al-Khater et al. (2020) IEEE Access; Baker McKenzi</t>
        </is>
      </c>
      <c r="F55" s="174" t="inlineStr">
        <is>
          <t>Known criticisms include: implementation gap between standards and practice; resource constraints for smaller healthcare entities; rapid technology evolution outpacing regulation. Consult framework ev</t>
        </is>
      </c>
      <c r="G55" s="168" t="inlineStr">
        <is>
          <t>Known criticisms include: implementation gap between standards and practice; resource constraints for smaller healthcare entities; rapid technology evolution outpacing regulation. Consult framework evaluation literature for specifics.</t>
        </is>
      </c>
      <c r="H55" s="175" t="inlineStr">
        <is>
          <t>Framework comparison requires contextual analysis. Key comparators: NIST CSF 2.0 (international benchmark), ISO 27001 (certifiable standard), ECC-2 (K...</t>
        </is>
      </c>
      <c r="I55" s="178" t="inlineStr">
        <is>
          <t>Relevance to GH-ICGA framework varies by layer — see GH-ICGA Layer Mapping column. All KSA mandatory frameworks are compliance inputs to GH-ICGA Layer 4. Frameworks with IoMT-specific provisions direc...</t>
        </is>
      </c>
    </row>
    <row r="56" ht="72" customHeight="1">
      <c r="A56" s="426" t="inlineStr">
        <is>
          <t>SASO-SABER</t>
        </is>
      </c>
      <c r="B56" s="45" t="inlineStr">
        <is>
          <t>SABER Product Conformity Platform</t>
        </is>
      </c>
      <c r="C56" s="44" t="inlineStr">
        <is>
          <t>SASO</t>
        </is>
      </c>
      <c r="D56" s="439" t="inlineStr">
        <is>
          <t>HIGH</t>
        </is>
      </c>
      <c r="E56" s="440" t="inlineStr">
        <is>
          <t>Academic debate varies by framework maturity and international adoption. For KSA-specific debate, consult: Almohammad &amp; Wills (2021) J Cybersecurity; Al-Khater et al. (2020) IEEE Access; Baker McKenzi</t>
        </is>
      </c>
      <c r="F56" s="434" t="inlineStr">
        <is>
          <t>Known criticisms include: implementation gap between standards and practice; resource constraints for smaller healthcare entities; rapid technology evolution outpacing regulation. Consult framework ev</t>
        </is>
      </c>
      <c r="G56" s="44" t="inlineStr">
        <is>
          <t>Known criticisms include: implementation gap between standards and practice; resource constraints for smaller healthcare entities; rapid technology evolution outpacing regulation. Consult framework evaluation literature for specifics.</t>
        </is>
      </c>
      <c r="H56" s="441" t="inlineStr">
        <is>
          <t>Framework comparison requires contextual analysis. Key comparators: NIST CSF 2.0 (international benchmark), ISO 27001 (certifiable standard), ECC-2 (K...</t>
        </is>
      </c>
      <c r="I56" s="426" t="inlineStr">
        <is>
          <t>Relevance to GH-ICGA framework varies by layer — see GH-ICGA Layer Mapping column. All KSA mandatory frameworks are compliance inputs to GH-ICGA Layer 4. Frameworks with IoMT-specific provisions direc...</t>
        </is>
      </c>
    </row>
    <row r="57" ht="72" customHeight="1">
      <c r="A57" s="77" t="inlineStr">
        <is>
          <t>SCFHS-CPD</t>
        </is>
      </c>
      <c r="B57" s="72" t="inlineStr">
        <is>
          <t>CPD Framework</t>
        </is>
      </c>
      <c r="C57" s="70" t="inlineStr">
        <is>
          <t>SCFHS</t>
        </is>
      </c>
      <c r="D57" s="439" t="inlineStr">
        <is>
          <t>HIGH</t>
        </is>
      </c>
      <c r="E57" s="443" t="inlineStr">
        <is>
          <t>Academic debate varies by framework maturity and international adoption. For KSA-specific debate, consult: Almohammad &amp; Wills (2021) J Cybersecurity; Al-Khater et al. (2020) IEEE Access; Baker McKenzi</t>
        </is>
      </c>
      <c r="F57" s="74" t="inlineStr">
        <is>
          <t>Known criticisms include: implementation gap between standards and practice; resource constraints for smaller healthcare entities; rapid technology evolution outpacing regulation. Consult framework ev</t>
        </is>
      </c>
      <c r="G57" s="70" t="inlineStr">
        <is>
          <t>Known criticisms include: implementation gap between standards and practice; resource constraints for smaller healthcare entities; rapid technology evolution outpacing regulation. Consult framework evaluation literature for specifics.</t>
        </is>
      </c>
      <c r="H57" s="75" t="inlineStr">
        <is>
          <t>Framework comparison requires contextual analysis. Key comparators: NIST CSF 2.0 (international benchmark), ISO 27001 (certifiable standard), ECC-2 (K...</t>
        </is>
      </c>
      <c r="I57" s="77" t="inlineStr">
        <is>
          <t>Relevance to GH-ICGA framework varies by layer — see GH-ICGA Layer Mapping column. All KSA mandatory frameworks are compliance inputs to GH-ICGA Layer 4. Frameworks with IoMT-specific provisions direc...</t>
        </is>
      </c>
    </row>
    <row r="58" ht="72" customHeight="1">
      <c r="A58" s="426" t="inlineStr">
        <is>
          <t>SCFHS-PLF</t>
        </is>
      </c>
      <c r="B58" s="45" t="inlineStr">
        <is>
          <t>Professional Licensing Framework</t>
        </is>
      </c>
      <c r="C58" s="44" t="inlineStr">
        <is>
          <t>SCFHS</t>
        </is>
      </c>
      <c r="D58" s="439" t="inlineStr">
        <is>
          <t>HIGH</t>
        </is>
      </c>
      <c r="E58" s="440" t="inlineStr">
        <is>
          <t>Academic debate varies by framework maturity and international adoption. For KSA-specific debate, consult: Almohammad &amp; Wills (2021) J Cybersecurity; Al-Khater et al. (2020) IEEE Access; Baker McKenzi</t>
        </is>
      </c>
      <c r="F58" s="434" t="inlineStr">
        <is>
          <t>Known criticisms include: implementation gap between standards and practice; resource constraints for smaller healthcare entities; rapid technology evolution outpacing regulation. Consult framework ev</t>
        </is>
      </c>
      <c r="G58" s="44" t="inlineStr">
        <is>
          <t>Known criticisms include: implementation gap between standards and practice; resource constraints for smaller healthcare entities; rapid technology evolution outpacing regulation. Consult framework evaluation literature for specifics.</t>
        </is>
      </c>
      <c r="H58" s="441" t="inlineStr">
        <is>
          <t>Framework comparison requires contextual analysis. Key comparators: NIST CSF 2.0 (international benchmark), ISO 27001 (certifiable standard), ECC-2 (K...</t>
        </is>
      </c>
      <c r="I58" s="426" t="inlineStr">
        <is>
          <t>Relevance to GH-ICGA framework varies by layer — see GH-ICGA Layer Mapping column. All KSA mandatory frameworks are compliance inputs to GH-ICGA Layer 4. Frameworks with IoMT-specific provisions direc...</t>
        </is>
      </c>
    </row>
    <row r="59" ht="72" customHeight="1">
      <c r="A59" s="33" t="inlineStr">
        <is>
          <t>SCyWF</t>
        </is>
      </c>
      <c r="B59" s="20" t="inlineStr">
        <is>
          <t>Saudi Cybersecurity Workforce Framework</t>
        </is>
      </c>
      <c r="C59" s="19" t="inlineStr">
        <is>
          <t>NCA</t>
        </is>
      </c>
      <c r="D59" s="439" t="inlineStr">
        <is>
          <t>HIGH</t>
        </is>
      </c>
      <c r="E59" s="444" t="inlineStr">
        <is>
          <t>Academic debate varies by framework maturity and international adoption. For KSA-specific debate, consult: Almohammad &amp; Wills (2021) J Cybersecurity; Al-Khater et al. (2020) IEEE Access; Baker McKenzi</t>
        </is>
      </c>
      <c r="F59" s="29" t="inlineStr">
        <is>
          <t>Known criticisms include: implementation gap between standards and practice; resource constraints for smaller healthcare entities; rapid technology evolution outpacing regulation. Consult framework ev</t>
        </is>
      </c>
      <c r="G59" s="19" t="inlineStr">
        <is>
          <t>Known criticisms include: implementation gap between standards and practice; resource constraints for smaller healthcare entities; rapid technology evolution outpacing regulation. Consult framework evaluation literature for specifics.</t>
        </is>
      </c>
      <c r="H59" s="30" t="inlineStr">
        <is>
          <t>Framework comparison requires contextual analysis. Key comparators: NIST CSF 2.0 (international benchmark), ISO 27001 (certifiable standard), ECC-2 (K...</t>
        </is>
      </c>
      <c r="I59" s="33" t="inlineStr">
        <is>
          <t>Relevance to GH-ICGA framework varies by layer — see GH-ICGA Layer Mapping column. All KSA mandatory frameworks are compliance inputs to GH-ICGA Layer 4. Frameworks with IoMT-specific provisions direc...</t>
        </is>
      </c>
    </row>
    <row r="60" ht="72" customHeight="1">
      <c r="A60" s="426" t="inlineStr">
        <is>
          <t>SDAIA-NSDAI</t>
        </is>
      </c>
      <c r="B60" s="45" t="inlineStr">
        <is>
          <t>National Strategy for Data &amp; AI</t>
        </is>
      </c>
      <c r="C60" s="44" t="inlineStr">
        <is>
          <t>SDAIA</t>
        </is>
      </c>
      <c r="D60" s="439" t="inlineStr">
        <is>
          <t>HIGH</t>
        </is>
      </c>
      <c r="E60" s="440" t="inlineStr">
        <is>
          <t>Academic debate varies by framework maturity and international adoption. For KSA-specific debate, consult: Almohammad &amp; Wills (2021) J Cybersecurity; Al-Khater et al. (2020) IEEE Access; Baker McKenzi</t>
        </is>
      </c>
      <c r="F60" s="434" t="inlineStr">
        <is>
          <t>Known criticisms include: implementation gap between standards and practice; resource constraints for smaller healthcare entities; rapid technology evolution outpacing regulation. Consult framework ev</t>
        </is>
      </c>
      <c r="G60" s="44" t="inlineStr">
        <is>
          <t>Known criticisms include: implementation gap between standards and practice; resource constraints for smaller healthcare entities; rapid technology evolution outpacing regulation. Consult framework evaluation literature for specifics.</t>
        </is>
      </c>
      <c r="H60" s="441" t="inlineStr">
        <is>
          <t>Framework comparison requires contextual analysis. Key comparators: NIST CSF 2.0 (international benchmark), ISO 27001 (certifiable standard), ECC-2 (K...</t>
        </is>
      </c>
      <c r="I60" s="426" t="inlineStr">
        <is>
          <t>Relevance to GH-ICGA framework varies by layer — see GH-ICGA Layer Mapping column. All KSA mandatory frameworks are compliance inputs to GH-ICGA Layer 4. Frameworks with IoMT-specific provisions direc...</t>
        </is>
      </c>
    </row>
    <row r="61" ht="72" customHeight="1">
      <c r="A61" s="77" t="inlineStr">
        <is>
          <t>SFDA-CT</t>
        </is>
      </c>
      <c r="B61" s="72" t="inlineStr">
        <is>
          <t>Clinical Trial Regulations</t>
        </is>
      </c>
      <c r="C61" s="70" t="inlineStr">
        <is>
          <t>SFDA</t>
        </is>
      </c>
      <c r="D61" s="439" t="inlineStr">
        <is>
          <t>HIGH</t>
        </is>
      </c>
      <c r="E61" s="443" t="inlineStr">
        <is>
          <t>Academic debate varies by framework maturity and international adoption. For KSA-specific debate, consult: Almohammad &amp; Wills (2021) J Cybersecurity; Al-Khater et al. (2020) IEEE Access; Baker McKenzi</t>
        </is>
      </c>
      <c r="F61" s="74" t="inlineStr">
        <is>
          <t>Known criticisms include: implementation gap between standards and practice; resource constraints for smaller healthcare entities; rapid technology evolution outpacing regulation. Consult framework ev</t>
        </is>
      </c>
      <c r="G61" s="70" t="inlineStr">
        <is>
          <t>Known criticisms include: implementation gap between standards and practice; resource constraints for smaller healthcare entities; rapid technology evolution outpacing regulation. Consult framework evaluation literature for specifics.</t>
        </is>
      </c>
      <c r="H61" s="75" t="inlineStr">
        <is>
          <t>Framework comparison requires contextual analysis. Key comparators: NIST CSF 2.0 (international benchmark), ISO 27001 (certifiable standard), ECC-2 (K...</t>
        </is>
      </c>
      <c r="I61" s="77" t="inlineStr">
        <is>
          <t>Relevance to GH-ICGA framework varies by layer — see GH-ICGA Layer Mapping column. All KSA mandatory frameworks are compliance inputs to GH-ICGA Layer 4. Frameworks with IoMT-specific provisions direc...</t>
        </is>
      </c>
    </row>
    <row r="62" ht="72" customHeight="1">
      <c r="A62" s="426" t="inlineStr">
        <is>
          <t>SFDA-GMP</t>
        </is>
      </c>
      <c r="B62" s="45" t="inlineStr">
        <is>
          <t>Good Manufacturing Practice</t>
        </is>
      </c>
      <c r="C62" s="44" t="inlineStr">
        <is>
          <t>SFDA</t>
        </is>
      </c>
      <c r="D62" s="439" t="inlineStr">
        <is>
          <t>HIGH</t>
        </is>
      </c>
      <c r="E62" s="440" t="inlineStr">
        <is>
          <t>Academic debate varies by framework maturity and international adoption. For KSA-specific debate, consult: Almohammad &amp; Wills (2021) J Cybersecurity; Al-Khater et al. (2020) IEEE Access; Baker McKenzi</t>
        </is>
      </c>
      <c r="F62" s="434" t="inlineStr">
        <is>
          <t>Known criticisms include: implementation gap between standards and practice; resource constraints for smaller healthcare entities; rapid technology evolution outpacing regulation. Consult framework ev</t>
        </is>
      </c>
      <c r="G62" s="44" t="inlineStr">
        <is>
          <t>Known criticisms include: implementation gap between standards and practice; resource constraints for smaller healthcare entities; rapid technology evolution outpacing regulation. Consult framework evaluation literature for specifics.</t>
        </is>
      </c>
      <c r="H62" s="441" t="inlineStr">
        <is>
          <t>Framework comparison requires contextual analysis. Key comparators: NIST CSF 2.0 (international benchmark), ISO 27001 (certifiable standard), ECC-2 (K...</t>
        </is>
      </c>
      <c r="I62" s="426" t="inlineStr">
        <is>
          <t>Relevance to GH-ICGA framework varies by layer — see GH-ICGA Layer Mapping column. All KSA mandatory frameworks are compliance inputs to GH-ICGA Layer 4. Frameworks with IoMT-specific provisions direc...</t>
        </is>
      </c>
    </row>
    <row r="63" ht="72" customHeight="1">
      <c r="A63" s="77" t="inlineStr">
        <is>
          <t>SHC-PRIV</t>
        </is>
      </c>
      <c r="B63" s="72" t="inlineStr">
        <is>
          <t>Health Sector Privatisation Framework</t>
        </is>
      </c>
      <c r="C63" s="70" t="inlineStr">
        <is>
          <t>SHC</t>
        </is>
      </c>
      <c r="D63" s="439" t="inlineStr">
        <is>
          <t>HIGH</t>
        </is>
      </c>
      <c r="E63" s="443" t="inlineStr">
        <is>
          <t>Academic debate varies by framework maturity and international adoption. For KSA-specific debate, consult: Almohammad &amp; Wills (2021) J Cybersecurity; Al-Khater et al. (2020) IEEE Access; Baker McKenzi</t>
        </is>
      </c>
      <c r="F63" s="74" t="inlineStr">
        <is>
          <t>Known criticisms include: implementation gap between standards and practice; resource constraints for smaller healthcare entities; rapid technology evolution outpacing regulation. Consult framework ev</t>
        </is>
      </c>
      <c r="G63" s="70" t="inlineStr">
        <is>
          <t>Known criticisms include: implementation gap between standards and practice; resource constraints for smaller healthcare entities; rapid technology evolution outpacing regulation. Consult framework evaluation literature for specifics.</t>
        </is>
      </c>
      <c r="H63" s="75" t="inlineStr">
        <is>
          <t>Framework comparison requires contextual analysis. Key comparators: NIST CSF 2.0 (international benchmark), ISO 27001 (certifiable standard), ECC-2 (K...</t>
        </is>
      </c>
      <c r="I63" s="77" t="inlineStr">
        <is>
          <t>Relevance to GH-ICGA framework varies by layer — see GH-ICGA Layer Mapping column. All KSA mandatory frameworks are compliance inputs to GH-ICGA Layer 4. Frameworks with IoMT-specific provisions direc...</t>
        </is>
      </c>
    </row>
    <row r="64" ht="72" customHeight="1">
      <c r="A64" s="426" t="inlineStr">
        <is>
          <t>SHC-QF</t>
        </is>
      </c>
      <c r="B64" s="45" t="inlineStr">
        <is>
          <t>Saudi Health Quality Framework</t>
        </is>
      </c>
      <c r="C64" s="44" t="inlineStr">
        <is>
          <t>SHC</t>
        </is>
      </c>
      <c r="D64" s="439" t="inlineStr">
        <is>
          <t>HIGH</t>
        </is>
      </c>
      <c r="E64" s="440" t="inlineStr">
        <is>
          <t>Academic debate varies by framework maturity and international adoption. For KSA-specific debate, consult: Almohammad &amp; Wills (2021) J Cybersecurity; Al-Khater et al. (2020) IEEE Access; Baker McKenzi</t>
        </is>
      </c>
      <c r="F64" s="434" t="inlineStr">
        <is>
          <t>Known criticisms include: implementation gap between standards and practice; resource constraints for smaller healthcare entities; rapid technology evolution outpacing regulation. Consult framework ev</t>
        </is>
      </c>
      <c r="G64" s="44" t="inlineStr">
        <is>
          <t>Known criticisms include: implementation gap between standards and practice; resource constraints for smaller healthcare entities; rapid technology evolution outpacing regulation. Consult framework evaluation literature for specifics.</t>
        </is>
      </c>
      <c r="H64" s="441" t="inlineStr">
        <is>
          <t>Framework comparison requires contextual analysis. Key comparators: NIST CSF 2.0 (international benchmark), ISO 27001 (certifiable standard), ECC-2 (K...</t>
        </is>
      </c>
      <c r="I64" s="426" t="inlineStr">
        <is>
          <t>Relevance to GH-ICGA framework varies by layer — see GH-ICGA Layer Mapping column. All KSA mandatory frameworks are compliance inputs to GH-ICGA Layer 4. Frameworks with IoMT-specific provisions direc...</t>
        </is>
      </c>
    </row>
    <row r="65" ht="72" customHeight="1">
      <c r="A65" s="379" t="inlineStr">
        <is>
          <t>AMAALA-FW</t>
        </is>
      </c>
      <c r="B65" s="370" t="inlineStr">
        <is>
          <t>Wellness &amp; Health Tourism Standards</t>
        </is>
      </c>
      <c r="C65" s="369" t="inlineStr">
        <is>
          <t>AMAALA</t>
        </is>
      </c>
      <c r="D65" s="447" t="inlineStr">
        <is>
          <t>MODERATE</t>
        </is>
      </c>
      <c r="E65" s="448" t="inlineStr">
        <is>
          <t>Academic debate varies by framework maturity and international adoption. For KSA-specific debate, consult: Almohammad &amp; Wills (2021) J Cybersecurity; Al-Khater et al. (2020) IEEE Access; Baker McKenzi</t>
        </is>
      </c>
      <c r="F65" s="375" t="inlineStr">
        <is>
          <t>Known criticisms include: implementation gap between standards and practice; resource constraints for smaller healthcare entities; rapid technology evolution outpacing regulation. Consult framework ev</t>
        </is>
      </c>
      <c r="G65" s="369" t="inlineStr">
        <is>
          <t>Known criticisms include: implementation gap between standards and practice; resource constraints for smaller healthcare entities; rapid technology evolution outpacing regulation. Consult framework evaluation literature for specifics.</t>
        </is>
      </c>
      <c r="H65" s="376" t="inlineStr">
        <is>
          <t>Framework comparison requires contextual analysis. Key comparators: NIST CSF 2.0 (international benchmark), ISO 27001 (certifiable standard), ECC-2 (K...</t>
        </is>
      </c>
      <c r="I65" s="379" t="inlineStr">
        <is>
          <t>Relevance to GH-ICGA framework varies by layer — see GH-ICGA Layer Mapping column. All KSA mandatory frameworks are compliance inputs to GH-ICGA Layer 4. Frameworks with IoMT-specific provisions direc...</t>
        </is>
      </c>
    </row>
    <row r="66" ht="72" customHeight="1">
      <c r="A66" s="426" t="inlineStr">
        <is>
          <t>BOE-FW</t>
        </is>
      </c>
      <c r="B66" s="45" t="inlineStr">
        <is>
          <t>Legal Drafting Regulations</t>
        </is>
      </c>
      <c r="C66" s="44" t="inlineStr">
        <is>
          <t>BOE</t>
        </is>
      </c>
      <c r="D66" s="447" t="inlineStr">
        <is>
          <t>MODERATE</t>
        </is>
      </c>
      <c r="E66" s="440" t="inlineStr">
        <is>
          <t>Academic debate varies by framework maturity and international adoption. For KSA-specific debate, consult: Almohammad &amp; Wills (2021) J Cybersecurity; Al-Khater et al. (2020) IEEE Access; Baker McKenzi</t>
        </is>
      </c>
      <c r="F66" s="434" t="inlineStr">
        <is>
          <t>Known criticisms include: implementation gap between standards and practice; resource constraints for smaller healthcare entities; rapid technology evolution outpacing regulation. Consult framework ev</t>
        </is>
      </c>
      <c r="G66" s="44" t="inlineStr">
        <is>
          <t>Known criticisms include: implementation gap between standards and practice; resource constraints for smaller healthcare entities; rapid technology evolution outpacing regulation. Consult framework evaluation literature for specifics.</t>
        </is>
      </c>
      <c r="H66" s="441" t="inlineStr">
        <is>
          <t>Framework comparison requires contextual analysis. Key comparators: NIST CSF 2.0 (international benchmark), ISO 27001 (certifiable standard), ECC-2 (K...</t>
        </is>
      </c>
      <c r="I66" s="426" t="inlineStr">
        <is>
          <t>Relevance to GH-ICGA framework varies by layer — see GH-ICGA Layer Mapping column. All KSA mandatory frameworks are compliance inputs to GH-ICGA Layer 4. Frameworks with IoMT-specific provisions direc...</t>
        </is>
      </c>
    </row>
    <row r="67" ht="72" customHeight="1">
      <c r="A67" s="77" t="inlineStr">
        <is>
          <t>CCHI-DCS</t>
        </is>
      </c>
      <c r="B67" s="72" t="inlineStr">
        <is>
          <t>Digital Claims Processing Standards</t>
        </is>
      </c>
      <c r="C67" s="70" t="inlineStr">
        <is>
          <t>CCHI</t>
        </is>
      </c>
      <c r="D67" s="447" t="inlineStr">
        <is>
          <t>MODERATE</t>
        </is>
      </c>
      <c r="E67" s="443" t="inlineStr">
        <is>
          <t>Academic debate varies by framework maturity and international adoption. For KSA-specific debate, consult: Almohammad &amp; Wills (2021) J Cybersecurity; Al-Khater et al. (2020) IEEE Access; Baker McKenzi</t>
        </is>
      </c>
      <c r="F67" s="74" t="inlineStr">
        <is>
          <t>Known criticisms include: implementation gap between standards and practice; resource constraints for smaller healthcare entities; rapid technology evolution outpacing regulation. Consult framework ev</t>
        </is>
      </c>
      <c r="G67" s="70" t="inlineStr">
        <is>
          <t>Known criticisms include: implementation gap between standards and practice; resource constraints for smaller healthcare entities; rapid technology evolution outpacing regulation. Consult framework evaluation literature for specifics.</t>
        </is>
      </c>
      <c r="H67" s="75" t="inlineStr">
        <is>
          <t>Framework comparison requires contextual analysis. Key comparators: NIST CSF 2.0 (international benchmark), ISO 27001 (certifiable standard), ECC-2 (K...</t>
        </is>
      </c>
      <c r="I67" s="77" t="inlineStr">
        <is>
          <t>Relevance to GH-ICGA framework varies by layer — see GH-ICGA Layer Mapping column. All KSA mandatory frameworks are compliance inputs to GH-ICGA Layer 4. Frameworks with IoMT-specific provisions direc...</t>
        </is>
      </c>
    </row>
    <row r="68" ht="72" customHeight="1">
      <c r="A68" s="426" t="inlineStr">
        <is>
          <t>CCHI-INSLIC</t>
        </is>
      </c>
      <c r="B68" s="45" t="inlineStr">
        <is>
          <t>Health Insurance Licensing Requirements</t>
        </is>
      </c>
      <c r="C68" s="44" t="inlineStr">
        <is>
          <t>CCHI</t>
        </is>
      </c>
      <c r="D68" s="447" t="inlineStr">
        <is>
          <t>MODERATE</t>
        </is>
      </c>
      <c r="E68" s="440" t="inlineStr">
        <is>
          <t>Academic debate varies by framework maturity and international adoption. For KSA-specific debate, consult: Almohammad &amp; Wills (2021) J Cybersecurity; Al-Khater et al. (2020) IEEE Access; Baker McKenzi</t>
        </is>
      </c>
      <c r="F68" s="434" t="inlineStr">
        <is>
          <t>Known criticisms include: implementation gap between standards and practice; resource constraints for smaller healthcare entities; rapid technology evolution outpacing regulation. Consult framework ev</t>
        </is>
      </c>
      <c r="G68" s="44" t="inlineStr">
        <is>
          <t>Known criticisms include: implementation gap between standards and practice; resource constraints for smaller healthcare entities; rapid technology evolution outpacing regulation. Consult framework evaluation literature for specifics.</t>
        </is>
      </c>
      <c r="H68" s="441" t="inlineStr">
        <is>
          <t>Framework comparison requires contextual analysis. Key comparators: NIST CSF 2.0 (international benchmark), ISO 27001 (certifiable standard), ECC-2 (K...</t>
        </is>
      </c>
      <c r="I68" s="426" t="inlineStr">
        <is>
          <t>Relevance to GH-ICGA framework varies by layer — see GH-ICGA Layer Mapping column. All KSA mandatory frameworks are compliance inputs to GH-ICGA Layer 4. Frameworks with IoMT-specific provisions direc...</t>
        </is>
      </c>
    </row>
    <row r="69" ht="72" customHeight="1">
      <c r="A69" s="77" t="inlineStr">
        <is>
          <t>CCHI-PROVNET</t>
        </is>
      </c>
      <c r="B69" s="72" t="inlineStr">
        <is>
          <t>Provider Network Standards</t>
        </is>
      </c>
      <c r="C69" s="70" t="inlineStr">
        <is>
          <t>CCHI</t>
        </is>
      </c>
      <c r="D69" s="447" t="inlineStr">
        <is>
          <t>MODERATE</t>
        </is>
      </c>
      <c r="E69" s="443" t="inlineStr">
        <is>
          <t>Academic debate varies by framework maturity and international adoption. For KSA-specific debate, consult: Almohammad &amp; Wills (2021) J Cybersecurity; Al-Khater et al. (2020) IEEE Access; Baker McKenzi</t>
        </is>
      </c>
      <c r="F69" s="74" t="inlineStr">
        <is>
          <t>Known criticisms include: implementation gap between standards and practice; resource constraints for smaller healthcare entities; rapid technology evolution outpacing regulation. Consult framework ev</t>
        </is>
      </c>
      <c r="G69" s="70" t="inlineStr">
        <is>
          <t>Known criticisms include: implementation gap between standards and practice; resource constraints for smaller healthcare entities; rapid technology evolution outpacing regulation. Consult framework evaluation literature for specifics.</t>
        </is>
      </c>
      <c r="H69" s="75" t="inlineStr">
        <is>
          <t>Framework comparison requires contextual analysis. Key comparators: NIST CSF 2.0 (international benchmark), ISO 27001 (certifiable standard), ECC-2 (K...</t>
        </is>
      </c>
      <c r="I69" s="77" t="inlineStr">
        <is>
          <t>Relevance to GH-ICGA framework varies by layer — see GH-ICGA Layer Mapping column. All KSA mandatory frameworks are compliance inputs to GH-ICGA Layer 4. Frameworks with IoMT-specific provisions direc...</t>
        </is>
      </c>
    </row>
    <row r="70" ht="72" customHeight="1">
      <c r="A70" s="426" t="inlineStr">
        <is>
          <t>COM-FW</t>
        </is>
      </c>
      <c r="B70" s="45" t="inlineStr">
        <is>
          <t>Royal Decrees &amp; CoM Resolutions</t>
        </is>
      </c>
      <c r="C70" s="44" t="inlineStr">
        <is>
          <t>COM</t>
        </is>
      </c>
      <c r="D70" s="447" t="inlineStr">
        <is>
          <t>MODERATE</t>
        </is>
      </c>
      <c r="E70" s="440" t="inlineStr">
        <is>
          <t>Academic debate varies by framework maturity and international adoption. For KSA-specific debate, consult: Almohammad &amp; Wills (2021) J Cybersecurity; Al-Khater et al. (2020) IEEE Access; Baker McKenzi</t>
        </is>
      </c>
      <c r="F70" s="434" t="inlineStr">
        <is>
          <t>Known criticisms include: implementation gap between standards and practice; resource constraints for smaller healthcare entities; rapid technology evolution outpacing regulation. Consult framework ev</t>
        </is>
      </c>
      <c r="G70" s="44" t="inlineStr">
        <is>
          <t>Known criticisms include: implementation gap between standards and practice; resource constraints for smaller healthcare entities; rapid technology evolution outpacing regulation. Consult framework evaluation literature for specifics.</t>
        </is>
      </c>
      <c r="H70" s="441" t="inlineStr">
        <is>
          <t>Framework comparison requires contextual analysis. Key comparators: NIST CSF 2.0 (international benchmark), ISO 27001 (certifiable standard), ECC-2 (K...</t>
        </is>
      </c>
      <c r="I70" s="426" t="inlineStr">
        <is>
          <t>Relevance to GH-ICGA framework varies by layer — see GH-ICGA Layer Mapping column. All KSA mandatory frameworks are compliance inputs to GH-ICGA Layer 4. Frameworks with IoMT-specific provisions direc...</t>
        </is>
      </c>
    </row>
    <row r="71" ht="72" customHeight="1">
      <c r="A71" s="131" t="inlineStr">
        <is>
          <t>CST-USERIGHTS</t>
        </is>
      </c>
      <c r="B71" s="122" t="inlineStr">
        <is>
          <t>Protection of Rights of ICT Services Users</t>
        </is>
      </c>
      <c r="C71" s="121" t="inlineStr">
        <is>
          <t>CST</t>
        </is>
      </c>
      <c r="D71" s="447" t="inlineStr">
        <is>
          <t>MODERATE</t>
        </is>
      </c>
      <c r="E71" s="442" t="inlineStr">
        <is>
          <t>Academic debate varies by framework maturity and international adoption. For KSA-specific debate, consult: Almohammad &amp; Wills (2021) J Cybersecurity; Al-Khater et al. (2020) IEEE Access; Baker McKenzi</t>
        </is>
      </c>
      <c r="F71" s="127" t="inlineStr">
        <is>
          <t>Known criticisms include: implementation gap between standards and practice; resource constraints for smaller healthcare entities; rapid technology evolution outpacing regulation. Consult framework ev</t>
        </is>
      </c>
      <c r="G71" s="121" t="inlineStr">
        <is>
          <t>Known criticisms include: implementation gap between standards and practice; resource constraints for smaller healthcare entities; rapid technology evolution outpacing regulation. Consult framework evaluation literature for specifics.</t>
        </is>
      </c>
      <c r="H71" s="128" t="inlineStr">
        <is>
          <t>Framework comparison requires contextual analysis. Key comparators: NIST CSF 2.0 (international benchmark), ISO 27001 (certifiable standard), ECC-2 (K...</t>
        </is>
      </c>
      <c r="I71" s="131" t="inlineStr">
        <is>
          <t>Relevance to GH-ICGA framework varies by layer — see GH-ICGA Layer Mapping column. All KSA mandatory frameworks are compliance inputs to GH-ICGA Layer 4. Frameworks with IoMT-specific provisions direc...</t>
        </is>
      </c>
    </row>
    <row r="72" ht="72" customHeight="1">
      <c r="A72" s="426" t="inlineStr">
        <is>
          <t>DGA-DMI</t>
        </is>
      </c>
      <c r="B72" s="45" t="inlineStr">
        <is>
          <t>Digital Maturity Index Methodology</t>
        </is>
      </c>
      <c r="C72" s="44" t="inlineStr">
        <is>
          <t>DGA</t>
        </is>
      </c>
      <c r="D72" s="447" t="inlineStr">
        <is>
          <t>MODERATE</t>
        </is>
      </c>
      <c r="E72" s="440" t="inlineStr">
        <is>
          <t>Academic debate varies by framework maturity and international adoption. For KSA-specific debate, consult: Almohammad &amp; Wills (2021) J Cybersecurity; Al-Khater et al. (2020) IEEE Access; Baker McKenzi</t>
        </is>
      </c>
      <c r="F72" s="434" t="inlineStr">
        <is>
          <t>Known criticisms include: implementation gap between standards and practice; resource constraints for smaller healthcare entities; rapid technology evolution outpacing regulation. Consult framework ev</t>
        </is>
      </c>
      <c r="G72" s="44" t="inlineStr">
        <is>
          <t>Known criticisms include: implementation gap between standards and practice; resource constraints for smaller healthcare entities; rapid technology evolution outpacing regulation. Consult framework evaluation literature for specifics.</t>
        </is>
      </c>
      <c r="H72" s="441" t="inlineStr">
        <is>
          <t>Framework comparison requires contextual analysis. Key comparators: NIST CSF 2.0 (international benchmark), ISO 27001 (certifiable standard), ECC-2 (K...</t>
        </is>
      </c>
      <c r="I72" s="426" t="inlineStr">
        <is>
          <t>Relevance to GH-ICGA framework varies by layer — see GH-ICGA Layer Mapping column. All KSA mandatory frameworks are compliance inputs to GH-ICGA Layer 4. Frameworks with IoMT-specific provisions direc...</t>
        </is>
      </c>
    </row>
    <row r="73" ht="72" customHeight="1">
      <c r="A73" s="131" t="inlineStr">
        <is>
          <t>DGA-GDS</t>
        </is>
      </c>
      <c r="B73" s="122" t="inlineStr">
        <is>
          <t>Government Digital Standards</t>
        </is>
      </c>
      <c r="C73" s="121" t="inlineStr">
        <is>
          <t>DGA</t>
        </is>
      </c>
      <c r="D73" s="447" t="inlineStr">
        <is>
          <t>MODERATE</t>
        </is>
      </c>
      <c r="E73" s="442" t="inlineStr">
        <is>
          <t>Academic debate varies by framework maturity and international adoption. For KSA-specific debate, consult: Almohammad &amp; Wills (2021) J Cybersecurity; Al-Khater et al. (2020) IEEE Access; Baker McKenzi</t>
        </is>
      </c>
      <c r="F73" s="127" t="inlineStr">
        <is>
          <t>Known criticisms include: implementation gap between standards and practice; resource constraints for smaller healthcare entities; rapid technology evolution outpacing regulation. Consult framework ev</t>
        </is>
      </c>
      <c r="G73" s="121" t="inlineStr">
        <is>
          <t>Known criticisms include: implementation gap between standards and practice; resource constraints for smaller healthcare entities; rapid technology evolution outpacing regulation. Consult framework evaluation literature for specifics.</t>
        </is>
      </c>
      <c r="H73" s="128" t="inlineStr">
        <is>
          <t>Framework comparison requires contextual analysis. Key comparators: NIST CSF 2.0 (international benchmark), ISO 27001 (certifiable standard), ECC-2 (K...</t>
        </is>
      </c>
      <c r="I73" s="131" t="inlineStr">
        <is>
          <t>Relevance to GH-ICGA framework varies by layer — see GH-ICGA Layer Mapping column. All KSA mandatory frameworks are compliance inputs to GH-ICGA Layer 4. Frameworks with IoMT-specific provisions direc...</t>
        </is>
      </c>
    </row>
    <row r="74" ht="72" customHeight="1">
      <c r="A74" s="426" t="inlineStr">
        <is>
          <t>DGA-GRFM</t>
        </is>
      </c>
      <c r="B74" s="45" t="inlineStr">
        <is>
          <t>Government Reference Framework for Enterprise Architecture</t>
        </is>
      </c>
      <c r="C74" s="44" t="inlineStr">
        <is>
          <t>DGA</t>
        </is>
      </c>
      <c r="D74" s="447" t="inlineStr">
        <is>
          <t>MODERATE</t>
        </is>
      </c>
      <c r="E74" s="440" t="inlineStr">
        <is>
          <t>Academic debate varies by framework maturity and international adoption. For KSA-specific debate, consult: Almohammad &amp; Wills (2021) J Cybersecurity; Al-Khater et al. (2020) IEEE Access; Baker McKenzi</t>
        </is>
      </c>
      <c r="F74" s="434" t="inlineStr">
        <is>
          <t>Known criticisms include: implementation gap between standards and practice; resource constraints for smaller healthcare entities; rapid technology evolution outpacing regulation. Consult framework ev</t>
        </is>
      </c>
      <c r="G74" s="44" t="inlineStr">
        <is>
          <t>Known criticisms include: implementation gap between standards and practice; resource constraints for smaller healthcare entities; rapid technology evolution outpacing regulation. Consult framework evaluation literature for specifics.</t>
        </is>
      </c>
      <c r="H74" s="441" t="inlineStr">
        <is>
          <t>Framework comparison requires contextual analysis. Key comparators: NIST CSF 2.0 (international benchmark), ISO 27001 (certifiable standard), ECC-2 (K...</t>
        </is>
      </c>
      <c r="I74" s="426" t="inlineStr">
        <is>
          <t>Relevance to GH-ICGA framework varies by layer — see GH-ICGA Layer Mapping column. All KSA mandatory frameworks are compliance inputs to GH-ICGA Layer 4. Frameworks with IoMT-specific provisions direc...</t>
        </is>
      </c>
    </row>
    <row r="75" ht="72" customHeight="1">
      <c r="A75" s="131" t="inlineStr">
        <is>
          <t>DGA-ODP</t>
        </is>
      </c>
      <c r="B75" s="122" t="inlineStr">
        <is>
          <t>Open Data Policy</t>
        </is>
      </c>
      <c r="C75" s="121" t="inlineStr">
        <is>
          <t>DGA</t>
        </is>
      </c>
      <c r="D75" s="447" t="inlineStr">
        <is>
          <t>MODERATE</t>
        </is>
      </c>
      <c r="E75" s="442" t="inlineStr">
        <is>
          <t>Academic debate varies by framework maturity and international adoption. For KSA-specific debate, consult: Almohammad &amp; Wills (2021) J Cybersecurity; Al-Khater et al. (2020) IEEE Access; Baker McKenzi</t>
        </is>
      </c>
      <c r="F75" s="127" t="inlineStr">
        <is>
          <t>Known criticisms include: implementation gap between standards and practice; resource constraints for smaller healthcare entities; rapid technology evolution outpacing regulation. Consult framework ev</t>
        </is>
      </c>
      <c r="G75" s="121" t="inlineStr">
        <is>
          <t>Known criticisms include: implementation gap between standards and practice; resource constraints for smaller healthcare entities; rapid technology evolution outpacing regulation. Consult framework evaluation literature for specifics.</t>
        </is>
      </c>
      <c r="H75" s="128" t="inlineStr">
        <is>
          <t>Framework comparison requires contextual analysis. Key comparators: NIST CSF 2.0 (international benchmark), ISO 27001 (certifiable standard), ECC-2 (K...</t>
        </is>
      </c>
      <c r="I75" s="131" t="inlineStr">
        <is>
          <t>Relevance to GH-ICGA framework varies by layer — see GH-ICGA Layer Mapping column. All KSA mandatory frameworks are compliance inputs to GH-ICGA Layer 4. Frameworks with IoMT-specific provisions direc...</t>
        </is>
      </c>
    </row>
    <row r="76" ht="72" customHeight="1">
      <c r="A76" s="426" t="inlineStr">
        <is>
          <t>DGDA-FW</t>
        </is>
      </c>
      <c r="B76" s="45" t="inlineStr">
        <is>
          <t>Diriyah Development Standards</t>
        </is>
      </c>
      <c r="C76" s="44" t="inlineStr">
        <is>
          <t>DGDA</t>
        </is>
      </c>
      <c r="D76" s="447" t="inlineStr">
        <is>
          <t>MODERATE</t>
        </is>
      </c>
      <c r="E76" s="440" t="inlineStr">
        <is>
          <t>Academic debate varies by framework maturity and international adoption. For KSA-specific debate, consult: Almohammad &amp; Wills (2021) J Cybersecurity; Al-Khater et al. (2020) IEEE Access; Baker McKenzi</t>
        </is>
      </c>
      <c r="F76" s="434" t="inlineStr">
        <is>
          <t>Known criticisms include: implementation gap between standards and practice; resource constraints for smaller healthcare entities; rapid technology evolution outpacing regulation. Consult framework ev</t>
        </is>
      </c>
      <c r="G76" s="44" t="inlineStr">
        <is>
          <t>Known criticisms include: implementation gap between standards and practice; resource constraints for smaller healthcare entities; rapid technology evolution outpacing regulation. Consult framework evaluation literature for specifics.</t>
        </is>
      </c>
      <c r="H76" s="441" t="inlineStr">
        <is>
          <t>Framework comparison requires contextual analysis. Key comparators: NIST CSF 2.0 (international benchmark), ISO 27001 (certifiable standard), ECC-2 (K...</t>
        </is>
      </c>
      <c r="I76" s="426" t="inlineStr">
        <is>
          <t>Relevance to GH-ICGA framework varies by layer — see GH-ICGA Layer Mapping column. All KSA mandatory frameworks are compliance inputs to GH-ICGA Layer 4. Frameworks with IoMT-specific provisions direc...</t>
        </is>
      </c>
    </row>
    <row r="77" ht="72" customHeight="1">
      <c r="A77" s="224" t="inlineStr">
        <is>
          <t>ECRA-FW</t>
        </is>
      </c>
      <c r="B77" s="215" t="inlineStr">
        <is>
          <t>Electricity Law</t>
        </is>
      </c>
      <c r="C77" s="214" t="inlineStr">
        <is>
          <t>ECRA</t>
        </is>
      </c>
      <c r="D77" s="447" t="inlineStr">
        <is>
          <t>MODERATE</t>
        </is>
      </c>
      <c r="E77" s="449" t="inlineStr">
        <is>
          <t>Academic debate varies by framework maturity and international adoption. For KSA-specific debate, consult: Almohammad &amp; Wills (2021) J Cybersecurity; Al-Khater et al. (2020) IEEE Access; Baker McKenzi</t>
        </is>
      </c>
      <c r="F77" s="220" t="inlineStr">
        <is>
          <t>Known criticisms include: implementation gap between standards and practice; resource constraints for smaller healthcare entities; rapid technology evolution outpacing regulation. Consult framework ev</t>
        </is>
      </c>
      <c r="G77" s="214" t="inlineStr">
        <is>
          <t>Known criticisms include: implementation gap between standards and practice; resource constraints for smaller healthcare entities; rapid technology evolution outpacing regulation. Consult framework evaluation literature for specifics.</t>
        </is>
      </c>
      <c r="H77" s="221" t="inlineStr">
        <is>
          <t>Framework comparison requires contextual analysis. Key comparators: NIST CSF 2.0 (international benchmark), ISO 27001 (certifiable standard), ECC-2 (K...</t>
        </is>
      </c>
      <c r="I77" s="224" t="inlineStr">
        <is>
          <t>Relevance to GH-ICGA framework varies by layer — see GH-ICGA Layer Mapping column. All KSA mandatory frameworks are compliance inputs to GH-ICGA Layer 4. Frameworks with IoMT-specific provisions direc...</t>
        </is>
      </c>
    </row>
    <row r="78" ht="72" customHeight="1">
      <c r="A78" s="426" t="inlineStr">
        <is>
          <t>ETEC-FW</t>
        </is>
      </c>
      <c r="B78" s="45" t="inlineStr">
        <is>
          <t>Academic Accreditation Standards</t>
        </is>
      </c>
      <c r="C78" s="44" t="inlineStr">
        <is>
          <t>ETEC</t>
        </is>
      </c>
      <c r="D78" s="447" t="inlineStr">
        <is>
          <t>MODERATE</t>
        </is>
      </c>
      <c r="E78" s="440" t="inlineStr">
        <is>
          <t>Academic debate varies by framework maturity and international adoption. For KSA-specific debate, consult: Almohammad &amp; Wills (2021) J Cybersecurity; Al-Khater et al. (2020) IEEE Access; Baker McKenzi</t>
        </is>
      </c>
      <c r="F78" s="434" t="inlineStr">
        <is>
          <t>Known criticisms include: implementation gap between standards and practice; resource constraints for smaller healthcare entities; rapid technology evolution outpacing regulation. Consult framework ev</t>
        </is>
      </c>
      <c r="G78" s="44" t="inlineStr">
        <is>
          <t>Known criticisms include: implementation gap between standards and practice; resource constraints for smaller healthcare entities; rapid technology evolution outpacing regulation. Consult framework evaluation literature for specifics.</t>
        </is>
      </c>
      <c r="H78" s="441" t="inlineStr">
        <is>
          <t>Framework comparison requires contextual analysis. Key comparators: NIST CSF 2.0 (international benchmark), ISO 27001 (certifiable standard), ECC-2 (K...</t>
        </is>
      </c>
      <c r="I78" s="426" t="inlineStr">
        <is>
          <t>Relevance to GH-ICGA framework varies by layer — see GH-ICGA Layer Mapping column. All KSA mandatory frameworks are compliance inputs to GH-ICGA Layer 4. Frameworks with IoMT-specific provisions direc...</t>
        </is>
      </c>
    </row>
    <row r="79" ht="72" customHeight="1">
      <c r="A79" s="269" t="inlineStr">
        <is>
          <t>GACA-FW</t>
        </is>
      </c>
      <c r="B79" s="260" t="inlineStr">
        <is>
          <t>Civil Aviation Law</t>
        </is>
      </c>
      <c r="C79" s="259" t="inlineStr">
        <is>
          <t>GACA</t>
        </is>
      </c>
      <c r="D79" s="447" t="inlineStr">
        <is>
          <t>MODERATE</t>
        </is>
      </c>
      <c r="E79" s="450" t="inlineStr">
        <is>
          <t>Academic debate varies by framework maturity and international adoption. For KSA-specific debate, consult: Almohammad &amp; Wills (2021) J Cybersecurity; Al-Khater et al. (2020) IEEE Access; Baker McKenzi</t>
        </is>
      </c>
      <c r="F79" s="265" t="inlineStr">
        <is>
          <t>Known criticisms include: implementation gap between standards and practice; resource constraints for smaller healthcare entities; rapid technology evolution outpacing regulation. Consult framework ev</t>
        </is>
      </c>
      <c r="G79" s="259" t="inlineStr">
        <is>
          <t>Known criticisms include: implementation gap between standards and practice; resource constraints for smaller healthcare entities; rapid technology evolution outpacing regulation. Consult framework evaluation literature for specifics.</t>
        </is>
      </c>
      <c r="H79" s="266" t="inlineStr">
        <is>
          <t>Framework comparison requires contextual analysis. Key comparators: NIST CSF 2.0 (international benchmark), ISO 27001 (certifiable standard), ECC-2 (K...</t>
        </is>
      </c>
      <c r="I79" s="269" t="inlineStr">
        <is>
          <t>Relevance to GH-ICGA framework varies by layer — see GH-ICGA Layer Mapping column. All KSA mandatory frameworks are compliance inputs to GH-ICGA Layer 4. Frameworks with IoMT-specific provisions direc...</t>
        </is>
      </c>
    </row>
    <row r="80" ht="72" customHeight="1">
      <c r="A80" s="426" t="inlineStr">
        <is>
          <t>GAFT-FW</t>
        </is>
      </c>
      <c r="B80" s="45" t="inlineStr">
        <is>
          <t>Foreign Trade Law</t>
        </is>
      </c>
      <c r="C80" s="44" t="inlineStr">
        <is>
          <t>GAFT</t>
        </is>
      </c>
      <c r="D80" s="447" t="inlineStr">
        <is>
          <t>MODERATE</t>
        </is>
      </c>
      <c r="E80" s="440" t="inlineStr">
        <is>
          <t>Academic debate varies by framework maturity and international adoption. For KSA-specific debate, consult: Almohammad &amp; Wills (2021) J Cybersecurity; Al-Khater et al. (2020) IEEE Access; Baker McKenzi</t>
        </is>
      </c>
      <c r="F80" s="434" t="inlineStr">
        <is>
          <t>Known criticisms include: implementation gap between standards and practice; resource constraints for smaller healthcare entities; rapid technology evolution outpacing regulation. Consult framework ev</t>
        </is>
      </c>
      <c r="G80" s="44" t="inlineStr">
        <is>
          <t>Known criticisms include: implementation gap between standards and practice; resource constraints for smaller healthcare entities; rapid technology evolution outpacing regulation. Consult framework evaluation literature for specifics.</t>
        </is>
      </c>
      <c r="H80" s="441" t="inlineStr">
        <is>
          <t>Framework comparison requires contextual analysis. Key comparators: NIST CSF 2.0 (international benchmark), ISO 27001 (certifiable standard), ECC-2 (K...</t>
        </is>
      </c>
      <c r="I80" s="426" t="inlineStr">
        <is>
          <t>Relevance to GH-ICGA framework varies by layer — see GH-ICGA Layer Mapping column. All KSA mandatory frameworks are compliance inputs to GH-ICGA Layer 4. Frameworks with IoMT-specific provisions direc...</t>
        </is>
      </c>
    </row>
    <row r="81" ht="72" customHeight="1">
      <c r="A81" s="178" t="inlineStr">
        <is>
          <t>GASTAT-FW</t>
        </is>
      </c>
      <c r="B81" s="169" t="inlineStr">
        <is>
          <t>National Statistics &amp; Health Reporting Standards</t>
        </is>
      </c>
      <c r="C81" s="168" t="inlineStr">
        <is>
          <t>GASTAT</t>
        </is>
      </c>
      <c r="D81" s="447" t="inlineStr">
        <is>
          <t>MODERATE</t>
        </is>
      </c>
      <c r="E81" s="446" t="inlineStr">
        <is>
          <t>Academic debate varies by framework maturity and international adoption. For KSA-specific debate, consult: Almohammad &amp; Wills (2021) J Cybersecurity; Al-Khater et al. (2020) IEEE Access; Baker McKenzi</t>
        </is>
      </c>
      <c r="F81" s="174" t="inlineStr">
        <is>
          <t>Known criticisms include: implementation gap between standards and practice; resource constraints for smaller healthcare entities; rapid technology evolution outpacing regulation. Consult framework ev</t>
        </is>
      </c>
      <c r="G81" s="168" t="inlineStr">
        <is>
          <t>Known criticisms include: implementation gap between standards and practice; resource constraints for smaller healthcare entities; rapid technology evolution outpacing regulation. Consult framework evaluation literature for specifics.</t>
        </is>
      </c>
      <c r="H81" s="175" t="inlineStr">
        <is>
          <t>Framework comparison requires contextual analysis. Key comparators: NIST CSF 2.0 (international benchmark), ISO 27001 (certifiable standard), ECC-2 (K...</t>
        </is>
      </c>
      <c r="I81" s="178" t="inlineStr">
        <is>
          <t>Relevance to GH-ICGA framework varies by layer — see GH-ICGA Layer Mapping column. All KSA mandatory frameworks are compliance inputs to GH-ICGA Layer 4. Frameworks with IoMT-specific provisions direc...</t>
        </is>
      </c>
    </row>
    <row r="82" ht="72" customHeight="1">
      <c r="A82" s="426" t="inlineStr">
        <is>
          <t>GOSI-OIL</t>
        </is>
      </c>
      <c r="B82" s="45" t="inlineStr">
        <is>
          <t>Occupational Injury Law &amp; Benefits</t>
        </is>
      </c>
      <c r="C82" s="44" t="inlineStr">
        <is>
          <t>GOSI</t>
        </is>
      </c>
      <c r="D82" s="447" t="inlineStr">
        <is>
          <t>MODERATE</t>
        </is>
      </c>
      <c r="E82" s="440" t="inlineStr">
        <is>
          <t>Academic debate varies by framework maturity and international adoption. For KSA-specific debate, consult: Almohammad &amp; Wills (2021) J Cybersecurity; Al-Khater et al. (2020) IEEE Access; Baker McKenzi</t>
        </is>
      </c>
      <c r="F82" s="434" t="inlineStr">
        <is>
          <t>Known criticisms include: implementation gap between standards and practice; resource constraints for smaller healthcare entities; rapid technology evolution outpacing regulation. Consult framework ev</t>
        </is>
      </c>
      <c r="G82" s="44" t="inlineStr">
        <is>
          <t>Known criticisms include: implementation gap between standards and practice; resource constraints for smaller healthcare entities; rapid technology evolution outpacing regulation. Consult framework evaluation literature for specifics.</t>
        </is>
      </c>
      <c r="H82" s="441" t="inlineStr">
        <is>
          <t>Framework comparison requires contextual analysis. Key comparators: NIST CSF 2.0 (international benchmark), ISO 27001 (certifiable standard), ECC-2 (K...</t>
        </is>
      </c>
      <c r="I82" s="426" t="inlineStr">
        <is>
          <t>Relevance to GH-ICGA framework varies by layer — see GH-ICGA Layer Mapping column. All KSA mandatory frameworks are compliance inputs to GH-ICGA Layer 4. Frameworks with IoMT-specific provisions direc...</t>
        </is>
      </c>
    </row>
    <row r="83" ht="72" customHeight="1">
      <c r="A83" s="108" t="inlineStr">
        <is>
          <t>GOSI-SIN</t>
        </is>
      </c>
      <c r="B83" s="99" t="inlineStr">
        <is>
          <t>Social Insurance Regulations</t>
        </is>
      </c>
      <c r="C83" s="98" t="inlineStr">
        <is>
          <t>GOSI</t>
        </is>
      </c>
      <c r="D83" s="447" t="inlineStr">
        <is>
          <t>MODERATE</t>
        </is>
      </c>
      <c r="E83" s="451" t="inlineStr">
        <is>
          <t>Academic debate varies by framework maturity and international adoption. For KSA-specific debate, consult: Almohammad &amp; Wills (2021) J Cybersecurity; Al-Khater et al. (2020) IEEE Access; Baker McKenzi</t>
        </is>
      </c>
      <c r="F83" s="104" t="inlineStr">
        <is>
          <t>Known criticisms include: implementation gap between standards and practice; resource constraints for smaller healthcare entities; rapid technology evolution outpacing regulation. Consult framework ev</t>
        </is>
      </c>
      <c r="G83" s="98" t="inlineStr">
        <is>
          <t>Known criticisms include: implementation gap between standards and practice; resource constraints for smaller healthcare entities; rapid technology evolution outpacing regulation. Consult framework evaluation literature for specifics.</t>
        </is>
      </c>
      <c r="H83" s="105" t="inlineStr">
        <is>
          <t>Framework comparison requires contextual analysis. Key comparators: NIST CSF 2.0 (international benchmark), ISO 27001 (certifiable standard), ECC-2 (K...</t>
        </is>
      </c>
      <c r="I83" s="108" t="inlineStr">
        <is>
          <t>Relevance to GH-ICGA framework varies by layer — see GH-ICGA Layer Mapping column. All KSA mandatory frameworks are compliance inputs to GH-ICGA Layer 4. Frameworks with IoMT-specific provisions direc...</t>
        </is>
      </c>
    </row>
    <row r="84" ht="72" customHeight="1">
      <c r="A84" s="426" t="inlineStr">
        <is>
          <t>HRDF-FW</t>
        </is>
      </c>
      <c r="B84" s="45" t="inlineStr">
        <is>
          <t>Workforce Training Programme Standards</t>
        </is>
      </c>
      <c r="C84" s="44" t="inlineStr">
        <is>
          <t>HRDF</t>
        </is>
      </c>
      <c r="D84" s="447" t="inlineStr">
        <is>
          <t>MODERATE</t>
        </is>
      </c>
      <c r="E84" s="440" t="inlineStr">
        <is>
          <t>Academic debate varies by framework maturity and international adoption. For KSA-specific debate, consult: Almohammad &amp; Wills (2021) J Cybersecurity; Al-Khater et al. (2020) IEEE Access; Baker McKenzi</t>
        </is>
      </c>
      <c r="F84" s="434" t="inlineStr">
        <is>
          <t>Known criticisms include: implementation gap between standards and practice; resource constraints for smaller healthcare entities; rapid technology evolution outpacing regulation. Consult framework ev</t>
        </is>
      </c>
      <c r="G84" s="44" t="inlineStr">
        <is>
          <t>Known criticisms include: implementation gap between standards and practice; resource constraints for smaller healthcare entities; rapid technology evolution outpacing regulation. Consult framework evaluation literature for specifics.</t>
        </is>
      </c>
      <c r="H84" s="441" t="inlineStr">
        <is>
          <t>Framework comparison requires contextual analysis. Key comparators: NIST CSF 2.0 (international benchmark), ISO 27001 (certifiable standard), ECC-2 (K...</t>
        </is>
      </c>
      <c r="I84" s="426" t="inlineStr">
        <is>
          <t>Relevance to GH-ICGA framework varies by layer — see GH-ICGA Layer Mapping column. All KSA mandatory frameworks are compliance inputs to GH-ICGA Layer 4. Frameworks with IoMT-specific provisions direc...</t>
        </is>
      </c>
    </row>
    <row r="85" ht="72" customHeight="1">
      <c r="A85" s="108" t="inlineStr">
        <is>
          <t>IAIC-COILAW</t>
        </is>
      </c>
      <c r="B85" s="99" t="inlineStr">
        <is>
          <t>Cooperative Insurance Companies Control Law</t>
        </is>
      </c>
      <c r="C85" s="98" t="inlineStr">
        <is>
          <t>IAIC</t>
        </is>
      </c>
      <c r="D85" s="447" t="inlineStr">
        <is>
          <t>MODERATE</t>
        </is>
      </c>
      <c r="E85" s="451" t="inlineStr">
        <is>
          <t>Academic debate varies by framework maturity and international adoption. For KSA-specific debate, consult: Almohammad &amp; Wills (2021) J Cybersecurity; Al-Khater et al. (2020) IEEE Access; Baker McKenzi</t>
        </is>
      </c>
      <c r="F85" s="104" t="inlineStr">
        <is>
          <t>Known criticisms include: implementation gap between standards and practice; resource constraints for smaller healthcare entities; rapid technology evolution outpacing regulation. Consult framework ev</t>
        </is>
      </c>
      <c r="G85" s="98" t="inlineStr">
        <is>
          <t>Known criticisms include: implementation gap between standards and practice; resource constraints for smaller healthcare entities; rapid technology evolution outpacing regulation. Consult framework evaluation literature for specifics.</t>
        </is>
      </c>
      <c r="H85" s="105" t="inlineStr">
        <is>
          <t>Framework comparison requires contextual analysis. Key comparators: NIST CSF 2.0 (international benchmark), ISO 27001 (certifiable standard), ECC-2 (K...</t>
        </is>
      </c>
      <c r="I85" s="108" t="inlineStr">
        <is>
          <t>Relevance to GH-ICGA framework varies by layer — see GH-ICGA Layer Mapping column. All KSA mandatory frameworks are compliance inputs to GH-ICGA Layer 4. Frameworks with IoMT-specific provisions direc...</t>
        </is>
      </c>
    </row>
    <row r="86" ht="72" customHeight="1">
      <c r="A86" s="426" t="inlineStr">
        <is>
          <t>IAIC-CSF</t>
        </is>
      </c>
      <c r="B86" s="45" t="inlineStr">
        <is>
          <t>Insurance Cybersecurity Framework</t>
        </is>
      </c>
      <c r="C86" s="44" t="inlineStr">
        <is>
          <t>IAIC</t>
        </is>
      </c>
      <c r="D86" s="447" t="inlineStr">
        <is>
          <t>MODERATE</t>
        </is>
      </c>
      <c r="E86" s="440" t="inlineStr">
        <is>
          <t>Academic debate varies by framework maturity and international adoption. For KSA-specific debate, consult: Almohammad &amp; Wills (2021) J Cybersecurity; Al-Khater et al. (2020) IEEE Access; Baker McKenzi</t>
        </is>
      </c>
      <c r="F86" s="434" t="inlineStr">
        <is>
          <t>Known criticisms include: implementation gap between standards and practice; resource constraints for smaller healthcare entities; rapid technology evolution outpacing regulation. Consult framework ev</t>
        </is>
      </c>
      <c r="G86" s="44" t="inlineStr">
        <is>
          <t>Known criticisms include: implementation gap between standards and practice; resource constraints for smaller healthcare entities; rapid technology evolution outpacing regulation. Consult framework evaluation literature for specifics.</t>
        </is>
      </c>
      <c r="H86" s="441" t="inlineStr">
        <is>
          <t>Framework comparison requires contextual analysis. Key comparators: NIST CSF 2.0 (international benchmark), ISO 27001 (certifiable standard), ECC-2 (K...</t>
        </is>
      </c>
      <c r="I86" s="426" t="inlineStr">
        <is>
          <t>Relevance to GH-ICGA framework varies by layer — see GH-ICGA Layer Mapping column. All KSA mandatory frameworks are compliance inputs to GH-ICGA Layer 4. Frameworks with IoMT-specific provisions direc...</t>
        </is>
      </c>
    </row>
    <row r="87" ht="72" customHeight="1">
      <c r="A87" s="224" t="inlineStr">
        <is>
          <t>KACARE-FW</t>
        </is>
      </c>
      <c r="B87" s="215" t="inlineStr">
        <is>
          <t>Nuclear &amp; Radiation Regulations (IAEA-aligned)</t>
        </is>
      </c>
      <c r="C87" s="214" t="inlineStr">
        <is>
          <t>KACARE</t>
        </is>
      </c>
      <c r="D87" s="447" t="inlineStr">
        <is>
          <t>MODERATE</t>
        </is>
      </c>
      <c r="E87" s="449" t="inlineStr">
        <is>
          <t>Academic debate varies by framework maturity and international adoption. For KSA-specific debate, consult: Almohammad &amp; Wills (2021) J Cybersecurity; Al-Khater et al. (2020) IEEE Access; Baker McKenzi</t>
        </is>
      </c>
      <c r="F87" s="220" t="inlineStr">
        <is>
          <t>Known criticisms include: implementation gap between standards and practice; resource constraints for smaller healthcare entities; rapid technology evolution outpacing regulation. Consult framework ev</t>
        </is>
      </c>
      <c r="G87" s="214" t="inlineStr">
        <is>
          <t>Known criticisms include: implementation gap between standards and practice; resource constraints for smaller healthcare entities; rapid technology evolution outpacing regulation. Consult framework evaluation literature for specifics.</t>
        </is>
      </c>
      <c r="H87" s="221" t="inlineStr">
        <is>
          <t>Framework comparison requires contextual analysis. Key comparators: NIST CSF 2.0 (international benchmark), ISO 27001 (certifiable standard), ECC-2 (K...</t>
        </is>
      </c>
      <c r="I87" s="224" t="inlineStr">
        <is>
          <t>Relevance to GH-ICGA framework varies by layer — see GH-ICGA Layer Mapping column. All KSA mandatory frameworks are compliance inputs to GH-ICGA Layer 4. Frameworks with IoMT-specific provisions direc...</t>
        </is>
      </c>
    </row>
    <row r="88" ht="72" customHeight="1">
      <c r="A88" s="426" t="inlineStr">
        <is>
          <t>KACST-H-FW</t>
        </is>
      </c>
      <c r="B88" s="45" t="inlineStr">
        <is>
          <t>Research Ethics &amp; Governance</t>
        </is>
      </c>
      <c r="C88" s="44" t="inlineStr">
        <is>
          <t>KACST-H</t>
        </is>
      </c>
      <c r="D88" s="447" t="inlineStr">
        <is>
          <t>MODERATE</t>
        </is>
      </c>
      <c r="E88" s="440" t="inlineStr">
        <is>
          <t>Academic debate varies by framework maturity and international adoption. For KSA-specific debate, consult: Almohammad &amp; Wills (2021) J Cybersecurity; Al-Khater et al. (2020) IEEE Access; Baker McKenzi</t>
        </is>
      </c>
      <c r="F88" s="434" t="inlineStr">
        <is>
          <t>Known criticisms include: implementation gap between standards and practice; resource constraints for smaller healthcare entities; rapid technology evolution outpacing regulation. Consult framework ev</t>
        </is>
      </c>
      <c r="G88" s="44" t="inlineStr">
        <is>
          <t>Known criticisms include: implementation gap between standards and practice; resource constraints for smaller healthcare entities; rapid technology evolution outpacing regulation. Consult framework evaluation literature for specifics.</t>
        </is>
      </c>
      <c r="H88" s="441" t="inlineStr">
        <is>
          <t>Framework comparison requires contextual analysis. Key comparators: NIST CSF 2.0 (international benchmark), ISO 27001 (certifiable standard), ECC-2 (K...</t>
        </is>
      </c>
      <c r="I88" s="426" t="inlineStr">
        <is>
          <t>Relevance to GH-ICGA framework varies by layer — see GH-ICGA Layer Mapping column. All KSA mandatory frameworks are compliance inputs to GH-ICGA Layer 4. Frameworks with IoMT-specific provisions direc...</t>
        </is>
      </c>
    </row>
    <row r="89" ht="72" customHeight="1">
      <c r="A89" s="77" t="inlineStr">
        <is>
          <t>KAIMRC-FW</t>
        </is>
      </c>
      <c r="B89" s="72" t="inlineStr">
        <is>
          <t>Research Ethics &amp; GCP Standards (ICH E6)</t>
        </is>
      </c>
      <c r="C89" s="70" t="inlineStr">
        <is>
          <t>KAIMRC</t>
        </is>
      </c>
      <c r="D89" s="447" t="inlineStr">
        <is>
          <t>MODERATE</t>
        </is>
      </c>
      <c r="E89" s="443" t="inlineStr">
        <is>
          <t>Academic debate varies by framework maturity and international adoption. For KSA-specific debate, consult: Almohammad &amp; Wills (2021) J Cybersecurity; Al-Khater et al. (2020) IEEE Access; Baker McKenzi</t>
        </is>
      </c>
      <c r="F89" s="74" t="inlineStr">
        <is>
          <t>Known criticisms include: implementation gap between standards and practice; resource constraints for smaller healthcare entities; rapid technology evolution outpacing regulation. Consult framework ev</t>
        </is>
      </c>
      <c r="G89" s="70" t="inlineStr">
        <is>
          <t>Known criticisms include: implementation gap between standards and practice; resource constraints for smaller healthcare entities; rapid technology evolution outpacing regulation. Consult framework evaluation literature for specifics.</t>
        </is>
      </c>
      <c r="H89" s="75" t="inlineStr">
        <is>
          <t>Framework comparison requires contextual analysis. Key comparators: NIST CSF 2.0 (international benchmark), ISO 27001 (certifiable standard), ECC-2 (K...</t>
        </is>
      </c>
      <c r="I89" s="77" t="inlineStr">
        <is>
          <t>Relevance to GH-ICGA framework varies by layer — see GH-ICGA Layer Mapping column. All KSA mandatory frameworks are compliance inputs to GH-ICGA Layer 4. Frameworks with IoMT-specific provisions direc...</t>
        </is>
      </c>
    </row>
    <row r="90" ht="72" customHeight="1">
      <c r="A90" s="426" t="inlineStr">
        <is>
          <t>KAU-FW</t>
        </is>
      </c>
      <c r="B90" s="45" t="inlineStr">
        <is>
          <t>Clinical Policy &amp; Hospital Governance</t>
        </is>
      </c>
      <c r="C90" s="44" t="inlineStr">
        <is>
          <t>KAU</t>
        </is>
      </c>
      <c r="D90" s="447" t="inlineStr">
        <is>
          <t>MODERATE</t>
        </is>
      </c>
      <c r="E90" s="440" t="inlineStr">
        <is>
          <t>Academic debate varies by framework maturity and international adoption. For KSA-specific debate, consult: Almohammad &amp; Wills (2021) J Cybersecurity; Al-Khater et al. (2020) IEEE Access; Baker McKenzi</t>
        </is>
      </c>
      <c r="F90" s="434" t="inlineStr">
        <is>
          <t>Known criticisms include: implementation gap between standards and practice; resource constraints for smaller healthcare entities; rapid technology evolution outpacing regulation. Consult framework ev</t>
        </is>
      </c>
      <c r="G90" s="44" t="inlineStr">
        <is>
          <t>Known criticisms include: implementation gap between standards and practice; resource constraints for smaller healthcare entities; rapid technology evolution outpacing regulation. Consult framework evaluation literature for specifics.</t>
        </is>
      </c>
      <c r="H90" s="441" t="inlineStr">
        <is>
          <t>Framework comparison requires contextual analysis. Key comparators: NIST CSF 2.0 (international benchmark), ISO 27001 (certifiable standard), ECC-2 (K...</t>
        </is>
      </c>
      <c r="I90" s="426" t="inlineStr">
        <is>
          <t>Relevance to GH-ICGA framework varies by layer — see GH-ICGA Layer Mapping column. All KSA mandatory frameworks are compliance inputs to GH-ICGA Layer 4. Frameworks with IoMT-specific provisions direc...</t>
        </is>
      </c>
    </row>
    <row r="91" ht="72" customHeight="1">
      <c r="A91" s="313" t="inlineStr">
        <is>
          <t>KAUST-FW</t>
        </is>
      </c>
      <c r="B91" s="304" t="inlineStr">
        <is>
          <t>Research Ethics &amp; Governance Policy</t>
        </is>
      </c>
      <c r="C91" s="303" t="inlineStr">
        <is>
          <t>KAUST</t>
        </is>
      </c>
      <c r="D91" s="447" t="inlineStr">
        <is>
          <t>MODERATE</t>
        </is>
      </c>
      <c r="E91" s="452" t="inlineStr">
        <is>
          <t>Academic debate varies by framework maturity and international adoption. For KSA-specific debate, consult: Almohammad &amp; Wills (2021) J Cybersecurity; Al-Khater et al. (2020) IEEE Access; Baker McKenzi</t>
        </is>
      </c>
      <c r="F91" s="309" t="inlineStr">
        <is>
          <t>Known criticisms include: implementation gap between standards and practice; resource constraints for smaller healthcare entities; rapid technology evolution outpacing regulation. Consult framework ev</t>
        </is>
      </c>
      <c r="G91" s="303" t="inlineStr">
        <is>
          <t>Known criticisms include: implementation gap between standards and practice; resource constraints for smaller healthcare entities; rapid technology evolution outpacing regulation. Consult framework evaluation literature for specifics.</t>
        </is>
      </c>
      <c r="H91" s="310" t="inlineStr">
        <is>
          <t>Framework comparison requires contextual analysis. Key comparators: NIST CSF 2.0 (international benchmark), ISO 27001 (certifiable standard), ECC-2 (K...</t>
        </is>
      </c>
      <c r="I91" s="313" t="inlineStr">
        <is>
          <t>Relevance to GH-ICGA framework varies by layer — see GH-ICGA Layer Mapping column. All KSA mandatory frameworks are compliance inputs to GH-ICGA Layer 4. Frameworks with IoMT-specific provisions direc...</t>
        </is>
      </c>
    </row>
    <row r="92" ht="72" customHeight="1">
      <c r="A92" s="426" t="inlineStr">
        <is>
          <t>KFSHRC-FW</t>
        </is>
      </c>
      <c r="B92" s="45" t="inlineStr">
        <is>
          <t>Clinical Policy &amp; JCI/CBAHI Quality Management</t>
        </is>
      </c>
      <c r="C92" s="44" t="inlineStr">
        <is>
          <t>KFSHRC</t>
        </is>
      </c>
      <c r="D92" s="447" t="inlineStr">
        <is>
          <t>MODERATE</t>
        </is>
      </c>
      <c r="E92" s="440" t="inlineStr">
        <is>
          <t>Academic debate varies by framework maturity and international adoption. For KSA-specific debate, consult: Almohammad &amp; Wills (2021) J Cybersecurity; Al-Khater et al. (2020) IEEE Access; Baker McKenzi</t>
        </is>
      </c>
      <c r="F92" s="434" t="inlineStr">
        <is>
          <t>Known criticisms include: implementation gap between standards and practice; resource constraints for smaller healthcare entities; rapid technology evolution outpacing regulation. Consult framework ev</t>
        </is>
      </c>
      <c r="G92" s="44" t="inlineStr">
        <is>
          <t>Known criticisms include: implementation gap between standards and practice; resource constraints for smaller healthcare entities; rapid technology evolution outpacing regulation. Consult framework evaluation literature for specifics.</t>
        </is>
      </c>
      <c r="H92" s="441" t="inlineStr">
        <is>
          <t>Framework comparison requires contextual analysis. Key comparators: NIST CSF 2.0 (international benchmark), ISO 27001 (certifiable standard), ECC-2 (K...</t>
        </is>
      </c>
      <c r="I92" s="426" t="inlineStr">
        <is>
          <t>Relevance to GH-ICGA framework varies by layer — see GH-ICGA Layer Mapping column. All KSA mandatory frameworks are compliance inputs to GH-ICGA Layer 4. Frameworks with IoMT-specific provisions direc...</t>
        </is>
      </c>
    </row>
    <row r="93" ht="72" customHeight="1">
      <c r="A93" s="313" t="inlineStr">
        <is>
          <t>KFUPM-FW</t>
        </is>
      </c>
      <c r="B93" s="304" t="inlineStr">
        <is>
          <t>Research Policy &amp; Engineering Standards</t>
        </is>
      </c>
      <c r="C93" s="303" t="inlineStr">
        <is>
          <t>KFUPM</t>
        </is>
      </c>
      <c r="D93" s="447" t="inlineStr">
        <is>
          <t>MODERATE</t>
        </is>
      </c>
      <c r="E93" s="452" t="inlineStr">
        <is>
          <t>Academic debate varies by framework maturity and international adoption. For KSA-specific debate, consult: Almohammad &amp; Wills (2021) J Cybersecurity; Al-Khater et al. (2020) IEEE Access; Baker McKenzi</t>
        </is>
      </c>
      <c r="F93" s="309" t="inlineStr">
        <is>
          <t>Known criticisms include: implementation gap between standards and practice; resource constraints for smaller healthcare entities; rapid technology evolution outpacing regulation. Consult framework ev</t>
        </is>
      </c>
      <c r="G93" s="303" t="inlineStr">
        <is>
          <t>Known criticisms include: implementation gap between standards and practice; resource constraints for smaller healthcare entities; rapid technology evolution outpacing regulation. Consult framework evaluation literature for specifics.</t>
        </is>
      </c>
      <c r="H93" s="310" t="inlineStr">
        <is>
          <t>Framework comparison requires contextual analysis. Key comparators: NIST CSF 2.0 (international benchmark), ISO 27001 (certifiable standard), ECC-2 (K...</t>
        </is>
      </c>
      <c r="I93" s="313" t="inlineStr">
        <is>
          <t>Relevance to GH-ICGA framework varies by layer — see GH-ICGA Layer Mapping column. All KSA mandatory frameworks are compliance inputs to GH-ICGA Layer 4. Frameworks with IoMT-specific provisions direc...</t>
        </is>
      </c>
    </row>
    <row r="94" ht="72" customHeight="1">
      <c r="A94" s="426" t="inlineStr">
        <is>
          <t>KSMC-FW</t>
        </is>
      </c>
      <c r="B94" s="45" t="inlineStr">
        <is>
          <t>Clinical Operations Policy</t>
        </is>
      </c>
      <c r="C94" s="44" t="inlineStr">
        <is>
          <t>KSMC</t>
        </is>
      </c>
      <c r="D94" s="447" t="inlineStr">
        <is>
          <t>MODERATE</t>
        </is>
      </c>
      <c r="E94" s="440" t="inlineStr">
        <is>
          <t>Academic debate varies by framework maturity and international adoption. For KSA-specific debate, consult: Almohammad &amp; Wills (2021) J Cybersecurity; Al-Khater et al. (2020) IEEE Access; Baker McKenzi</t>
        </is>
      </c>
      <c r="F94" s="434" t="inlineStr">
        <is>
          <t>Known criticisms include: implementation gap between standards and practice; resource constraints for smaller healthcare entities; rapid technology evolution outpacing regulation. Consult framework ev</t>
        </is>
      </c>
      <c r="G94" s="44" t="inlineStr">
        <is>
          <t>Known criticisms include: implementation gap between standards and practice; resource constraints for smaller healthcare entities; rapid technology evolution outpacing regulation. Consult framework evaluation literature for specifics.</t>
        </is>
      </c>
      <c r="H94" s="441" t="inlineStr">
        <is>
          <t>Framework comparison requires contextual analysis. Key comparators: NIST CSF 2.0 (international benchmark), ISO 27001 (certifiable standard), ECC-2 (K...</t>
        </is>
      </c>
      <c r="I94" s="426" t="inlineStr">
        <is>
          <t>Relevance to GH-ICGA framework varies by layer — see GH-ICGA Layer Mapping column. All KSA mandatory frameworks are compliance inputs to GH-ICGA Layer 4. Frameworks with IoMT-specific provisions direc...</t>
        </is>
      </c>
    </row>
    <row r="95" ht="72" customHeight="1">
      <c r="A95" s="313" t="inlineStr">
        <is>
          <t>KSU-FW</t>
        </is>
      </c>
      <c r="B95" s="304" t="inlineStr">
        <is>
          <t>Clinical Policy &amp; Hospital Governance</t>
        </is>
      </c>
      <c r="C95" s="303" t="inlineStr">
        <is>
          <t>KSU</t>
        </is>
      </c>
      <c r="D95" s="447" t="inlineStr">
        <is>
          <t>MODERATE</t>
        </is>
      </c>
      <c r="E95" s="452" t="inlineStr">
        <is>
          <t>Academic debate varies by framework maturity and international adoption. For KSA-specific debate, consult: Almohammad &amp; Wills (2021) J Cybersecurity; Al-Khater et al. (2020) IEEE Access; Baker McKenzi</t>
        </is>
      </c>
      <c r="F95" s="309" t="inlineStr">
        <is>
          <t>Known criticisms include: implementation gap between standards and practice; resource constraints for smaller healthcare entities; rapid technology evolution outpacing regulation. Consult framework ev</t>
        </is>
      </c>
      <c r="G95" s="303" t="inlineStr">
        <is>
          <t>Known criticisms include: implementation gap between standards and practice; resource constraints for smaller healthcare entities; rapid technology evolution outpacing regulation. Consult framework evaluation literature for specifics.</t>
        </is>
      </c>
      <c r="H95" s="310" t="inlineStr">
        <is>
          <t>Framework comparison requires contextual analysis. Key comparators: NIST CSF 2.0 (international benchmark), ISO 27001 (certifiable standard), ECC-2 (K...</t>
        </is>
      </c>
      <c r="I95" s="313" t="inlineStr">
        <is>
          <t>Relevance to GH-ICGA framework varies by layer — see GH-ICGA Layer Mapping column. All KSA mandatory frameworks are compliance inputs to GH-ICGA Layer 4. Frameworks with IoMT-specific provisions direc...</t>
        </is>
      </c>
    </row>
    <row r="96" ht="72" customHeight="1">
      <c r="A96" s="426" t="inlineStr">
        <is>
          <t>MAWANI-FW</t>
        </is>
      </c>
      <c r="B96" s="45" t="inlineStr">
        <is>
          <t>Ports Regulations &amp; Cold Chain Standards</t>
        </is>
      </c>
      <c r="C96" s="44" t="inlineStr">
        <is>
          <t>MAWANI</t>
        </is>
      </c>
      <c r="D96" s="447" t="inlineStr">
        <is>
          <t>MODERATE</t>
        </is>
      </c>
      <c r="E96" s="440" t="inlineStr">
        <is>
          <t>Academic debate varies by framework maturity and international adoption. For KSA-specific debate, consult: Almohammad &amp; Wills (2021) J Cybersecurity; Al-Khater et al. (2020) IEEE Access; Baker McKenzi</t>
        </is>
      </c>
      <c r="F96" s="434" t="inlineStr">
        <is>
          <t>Known criticisms include: implementation gap between standards and practice; resource constraints for smaller healthcare entities; rapid technology evolution outpacing regulation. Consult framework ev</t>
        </is>
      </c>
      <c r="G96" s="44" t="inlineStr">
        <is>
          <t>Known criticisms include: implementation gap between standards and practice; resource constraints for smaller healthcare entities; rapid technology evolution outpacing regulation. Consult framework evaluation literature for specifics.</t>
        </is>
      </c>
      <c r="H96" s="441" t="inlineStr">
        <is>
          <t>Framework comparison requires contextual analysis. Key comparators: NIST CSF 2.0 (international benchmark), ISO 27001 (certifiable standard), ECC-2 (K...</t>
        </is>
      </c>
      <c r="I96" s="426" t="inlineStr">
        <is>
          <t>Relevance to GH-ICGA framework varies by layer — see GH-ICGA Layer Mapping column. All KSA mandatory frameworks are compliance inputs to GH-ICGA Layer 4. Frameworks with IoMT-specific provisions direc...</t>
        </is>
      </c>
    </row>
    <row r="97" ht="72" customHeight="1">
      <c r="A97" s="198" t="inlineStr">
        <is>
          <t>MCIT-DEP</t>
        </is>
      </c>
      <c r="B97" s="192" t="inlineStr">
        <is>
          <t>Digital Economy Policy</t>
        </is>
      </c>
      <c r="C97" s="190" t="inlineStr">
        <is>
          <t>MCIT</t>
        </is>
      </c>
      <c r="D97" s="447" t="inlineStr">
        <is>
          <t>MODERATE</t>
        </is>
      </c>
      <c r="E97" s="445" t="inlineStr">
        <is>
          <t>Academic debate varies by framework maturity and international adoption. For KSA-specific debate, consult: Almohammad &amp; Wills (2021) J Cybersecurity; Al-Khater et al. (2020) IEEE Access; Baker McKenzi</t>
        </is>
      </c>
      <c r="F97" s="194" t="inlineStr">
        <is>
          <t>Known criticisms include: implementation gap between standards and practice; resource constraints for smaller healthcare entities; rapid technology evolution outpacing regulation. Consult framework ev</t>
        </is>
      </c>
      <c r="G97" s="190" t="inlineStr">
        <is>
          <t>Known criticisms include: implementation gap between standards and practice; resource constraints for smaller healthcare entities; rapid technology evolution outpacing regulation. Consult framework evaluation literature for specifics.</t>
        </is>
      </c>
      <c r="H97" s="195" t="inlineStr">
        <is>
          <t>Framework comparison requires contextual analysis. Key comparators: NIST CSF 2.0 (international benchmark), ISO 27001 (certifiable standard), ECC-2 (K...</t>
        </is>
      </c>
      <c r="I97" s="198" t="inlineStr">
        <is>
          <t>Relevance to GH-ICGA framework varies by layer — see GH-ICGA Layer Mapping column. All KSA mandatory frameworks are compliance inputs to GH-ICGA Layer 4. Frameworks with IoMT-specific provisions direc...</t>
        </is>
      </c>
    </row>
    <row r="98" ht="72" customHeight="1">
      <c r="A98" s="426" t="inlineStr">
        <is>
          <t>MCIT-ETL</t>
        </is>
      </c>
      <c r="B98" s="45" t="inlineStr">
        <is>
          <t>Electronic Transactions Law</t>
        </is>
      </c>
      <c r="C98" s="44" t="inlineStr">
        <is>
          <t>MCIT</t>
        </is>
      </c>
      <c r="D98" s="447" t="inlineStr">
        <is>
          <t>MODERATE</t>
        </is>
      </c>
      <c r="E98" s="440" t="inlineStr">
        <is>
          <t>Academic debate varies by framework maturity and international adoption. For KSA-specific debate, consult: Almohammad &amp; Wills (2021) J Cybersecurity; Al-Khater et al. (2020) IEEE Access; Baker McKenzi</t>
        </is>
      </c>
      <c r="F98" s="434" t="inlineStr">
        <is>
          <t>Known criticisms include: implementation gap between standards and practice; resource constraints for smaller healthcare entities; rapid technology evolution outpacing regulation. Consult framework ev</t>
        </is>
      </c>
      <c r="G98" s="44" t="inlineStr">
        <is>
          <t>Known criticisms include: implementation gap between standards and practice; resource constraints for smaller healthcare entities; rapid technology evolution outpacing regulation. Consult framework evaluation literature for specifics.</t>
        </is>
      </c>
      <c r="H98" s="441" t="inlineStr">
        <is>
          <t>Framework comparison requires contextual analysis. Key comparators: NIST CSF 2.0 (international benchmark), ISO 27001 (certifiable standard), ECC-2 (K...</t>
        </is>
      </c>
      <c r="I98" s="426" t="inlineStr">
        <is>
          <t>Relevance to GH-ICGA framework varies by layer — see GH-ICGA Layer Mapping column. All KSA mandatory frameworks are compliance inputs to GH-ICGA Layer 4. Frameworks with IoMT-specific provisions direc...</t>
        </is>
      </c>
    </row>
    <row r="99" ht="72" customHeight="1">
      <c r="A99" s="198" t="inlineStr">
        <is>
          <t>MCIT-ICT23</t>
        </is>
      </c>
      <c r="B99" s="192" t="inlineStr">
        <is>
          <t>ICT Strategy 2023</t>
        </is>
      </c>
      <c r="C99" s="190" t="inlineStr">
        <is>
          <t>MCIT</t>
        </is>
      </c>
      <c r="D99" s="447" t="inlineStr">
        <is>
          <t>MODERATE</t>
        </is>
      </c>
      <c r="E99" s="445" t="inlineStr">
        <is>
          <t>Academic debate varies by framework maturity and international adoption. For KSA-specific debate, consult: Almohammad &amp; Wills (2021) J Cybersecurity; Al-Khater et al. (2020) IEEE Access; Baker McKenzi</t>
        </is>
      </c>
      <c r="F99" s="194" t="inlineStr">
        <is>
          <t>Known criticisms include: implementation gap between standards and practice; resource constraints for smaller healthcare entities; rapid technology evolution outpacing regulation. Consult framework ev</t>
        </is>
      </c>
      <c r="G99" s="190" t="inlineStr">
        <is>
          <t>Known criticisms include: implementation gap between standards and practice; resource constraints for smaller healthcare entities; rapid technology evolution outpacing regulation. Consult framework evaluation literature for specifics.</t>
        </is>
      </c>
      <c r="H99" s="195" t="inlineStr">
        <is>
          <t>Framework comparison requires contextual analysis. Key comparators: NIST CSF 2.0 (international benchmark), ISO 27001 (certifiable standard), ECC-2 (K...</t>
        </is>
      </c>
      <c r="I99" s="198" t="inlineStr">
        <is>
          <t>Relevance to GH-ICGA framework varies by layer — see GH-ICGA Layer Mapping column. All KSA mandatory frameworks are compliance inputs to GH-ICGA Layer 4. Frameworks with IoMT-specific provisions direc...</t>
        </is>
      </c>
    </row>
    <row r="100" ht="72" customHeight="1">
      <c r="A100" s="426" t="inlineStr">
        <is>
          <t>MEP-LAW</t>
        </is>
      </c>
      <c r="B100" s="45" t="inlineStr">
        <is>
          <t>Vision 2030 Framework</t>
        </is>
      </c>
      <c r="C100" s="44" t="inlineStr">
        <is>
          <t>MEP</t>
        </is>
      </c>
      <c r="D100" s="447" t="inlineStr">
        <is>
          <t>MODERATE</t>
        </is>
      </c>
      <c r="E100" s="440" t="inlineStr">
        <is>
          <t>Academic debate varies by framework maturity and international adoption. For KSA-specific debate, consult: Almohammad &amp; Wills (2021) J Cybersecurity; Al-Khater et al. (2020) IEEE Access; Baker McKenzi</t>
        </is>
      </c>
      <c r="F100" s="434" t="inlineStr">
        <is>
          <t>Known criticisms include: implementation gap between standards and practice; resource constraints for smaller healthcare entities; rapid technology evolution outpacing regulation. Consult framework ev</t>
        </is>
      </c>
      <c r="G100" s="44" t="inlineStr">
        <is>
          <t>Known criticisms include: implementation gap between standards and practice; resource constraints for smaller healthcare entities; rapid technology evolution outpacing regulation. Consult framework evaluation literature for specifics.</t>
        </is>
      </c>
      <c r="H100" s="441" t="inlineStr">
        <is>
          <t>Framework comparison requires contextual analysis. Key comparators: NIST CSF 2.0 (international benchmark), ISO 27001 (certifiable standard), ECC-2 (K...</t>
        </is>
      </c>
      <c r="I100" s="426" t="inlineStr">
        <is>
          <t>Relevance to GH-ICGA framework varies by layer — see GH-ICGA Layer Mapping column. All KSA mandatory frameworks are compliance inputs to GH-ICGA Layer 4. Frameworks with IoMT-specific provisions direc...</t>
        </is>
      </c>
    </row>
    <row r="101" ht="72" customHeight="1">
      <c r="A101" s="198" t="inlineStr">
        <is>
          <t>MEWA-LAW</t>
        </is>
      </c>
      <c r="B101" s="192" t="inlineStr">
        <is>
          <t>Environment &amp; Water Law</t>
        </is>
      </c>
      <c r="C101" s="190" t="inlineStr">
        <is>
          <t>MEWA</t>
        </is>
      </c>
      <c r="D101" s="447" t="inlineStr">
        <is>
          <t>MODERATE</t>
        </is>
      </c>
      <c r="E101" s="445" t="inlineStr">
        <is>
          <t>Academic debate varies by framework maturity and international adoption. For KSA-specific debate, consult: Almohammad &amp; Wills (2021) J Cybersecurity; Al-Khater et al. (2020) IEEE Access; Baker McKenzi</t>
        </is>
      </c>
      <c r="F101" s="194" t="inlineStr">
        <is>
          <t>Known criticisms include: implementation gap between standards and practice; resource constraints for smaller healthcare entities; rapid technology evolution outpacing regulation. Consult framework ev</t>
        </is>
      </c>
      <c r="G101" s="190" t="inlineStr">
        <is>
          <t>Known criticisms include: implementation gap between standards and practice; resource constraints for smaller healthcare entities; rapid technology evolution outpacing regulation. Consult framework evaluation literature for specifics.</t>
        </is>
      </c>
      <c r="H101" s="195" t="inlineStr">
        <is>
          <t>Framework comparison requires contextual analysis. Key comparators: NIST CSF 2.0 (international benchmark), ISO 27001 (certifiable standard), ECC-2 (K...</t>
        </is>
      </c>
      <c r="I101" s="198" t="inlineStr">
        <is>
          <t>Relevance to GH-ICGA framework varies by layer — see GH-ICGA Layer Mapping column. All KSA mandatory frameworks are compliance inputs to GH-ICGA Layer 4. Frameworks with IoMT-specific provisions direc...</t>
        </is>
      </c>
    </row>
    <row r="102" ht="72" customHeight="1">
      <c r="A102" s="426" t="inlineStr">
        <is>
          <t>MHRSD-LL</t>
        </is>
      </c>
      <c r="B102" s="45" t="inlineStr">
        <is>
          <t>Labour Law &amp; Implementing Regulations</t>
        </is>
      </c>
      <c r="C102" s="44" t="inlineStr">
        <is>
          <t>MHRSD</t>
        </is>
      </c>
      <c r="D102" s="447" t="inlineStr">
        <is>
          <t>MODERATE</t>
        </is>
      </c>
      <c r="E102" s="440" t="inlineStr">
        <is>
          <t>Academic debate varies by framework maturity and international adoption. For KSA-specific debate, consult: Almohammad &amp; Wills (2021) J Cybersecurity; Al-Khater et al. (2020) IEEE Access; Baker McKenzi</t>
        </is>
      </c>
      <c r="F102" s="434" t="inlineStr">
        <is>
          <t>Known criticisms include: implementation gap between standards and practice; resource constraints for smaller healthcare entities; rapid technology evolution outpacing regulation. Consult framework ev</t>
        </is>
      </c>
      <c r="G102" s="44" t="inlineStr">
        <is>
          <t>Known criticisms include: implementation gap between standards and practice; resource constraints for smaller healthcare entities; rapid technology evolution outpacing regulation. Consult framework evaluation literature for specifics.</t>
        </is>
      </c>
      <c r="H102" s="441" t="inlineStr">
        <is>
          <t>Framework comparison requires contextual analysis. Key comparators: NIST CSF 2.0 (international benchmark), ISO 27001 (certifiable standard), ECC-2 (K...</t>
        </is>
      </c>
      <c r="I102" s="426" t="inlineStr">
        <is>
          <t>Relevance to GH-ICGA framework varies by layer — see GH-ICGA Layer Mapping column. All KSA mandatory frameworks are compliance inputs to GH-ICGA Layer 4. Frameworks with IoMT-specific provisions direc...</t>
        </is>
      </c>
    </row>
    <row r="103" ht="72" customHeight="1">
      <c r="A103" s="198" t="inlineStr">
        <is>
          <t>MHRSD-WEL</t>
        </is>
      </c>
      <c r="B103" s="192" t="inlineStr">
        <is>
          <t>Welfare &amp; Social Protection Regulations</t>
        </is>
      </c>
      <c r="C103" s="190" t="inlineStr">
        <is>
          <t>MHRSD</t>
        </is>
      </c>
      <c r="D103" s="447" t="inlineStr">
        <is>
          <t>MODERATE</t>
        </is>
      </c>
      <c r="E103" s="445" t="inlineStr">
        <is>
          <t>Academic debate varies by framework maturity and international adoption. For KSA-specific debate, consult: Almohammad &amp; Wills (2021) J Cybersecurity; Al-Khater et al. (2020) IEEE Access; Baker McKenzi</t>
        </is>
      </c>
      <c r="F103" s="194" t="inlineStr">
        <is>
          <t>Known criticisms include: implementation gap between standards and practice; resource constraints for smaller healthcare entities; rapid technology evolution outpacing regulation. Consult framework ev</t>
        </is>
      </c>
      <c r="G103" s="190" t="inlineStr">
        <is>
          <t>Known criticisms include: implementation gap between standards and practice; resource constraints for smaller healthcare entities; rapid technology evolution outpacing regulation. Consult framework evaluation literature for specifics.</t>
        </is>
      </c>
      <c r="H103" s="195" t="inlineStr">
        <is>
          <t>Framework comparison requires contextual analysis. Key comparators: NIST CSF 2.0 (international benchmark), ISO 27001 (certifiable standard), ECC-2 (K...</t>
        </is>
      </c>
      <c r="I103" s="198" t="inlineStr">
        <is>
          <t>Relevance to GH-ICGA framework varies by layer — see GH-ICGA Layer Mapping column. All KSA mandatory frameworks are compliance inputs to GH-ICGA Layer 4. Frameworks with IoMT-specific provisions direc...</t>
        </is>
      </c>
    </row>
    <row r="104" ht="72" customHeight="1">
      <c r="A104" s="426" t="inlineStr">
        <is>
          <t>MIM-LAW</t>
        </is>
      </c>
      <c r="B104" s="45" t="inlineStr">
        <is>
          <t>Industry &amp; Mining Law</t>
        </is>
      </c>
      <c r="C104" s="44" t="inlineStr">
        <is>
          <t>MIM</t>
        </is>
      </c>
      <c r="D104" s="447" t="inlineStr">
        <is>
          <t>MODERATE</t>
        </is>
      </c>
      <c r="E104" s="440" t="inlineStr">
        <is>
          <t>Academic debate varies by framework maturity and international adoption. For KSA-specific debate, consult: Almohammad &amp; Wills (2021) J Cybersecurity; Al-Khater et al. (2020) IEEE Access; Baker McKenzi</t>
        </is>
      </c>
      <c r="F104" s="434" t="inlineStr">
        <is>
          <t>Known criticisms include: implementation gap between standards and practice; resource constraints for smaller healthcare entities; rapid technology evolution outpacing regulation. Consult framework ev</t>
        </is>
      </c>
      <c r="G104" s="44" t="inlineStr">
        <is>
          <t>Known criticisms include: implementation gap between standards and practice; resource constraints for smaller healthcare entities; rapid technology evolution outpacing regulation. Consult framework evaluation literature for specifics.</t>
        </is>
      </c>
      <c r="H104" s="441" t="inlineStr">
        <is>
          <t>Framework comparison requires contextual analysis. Key comparators: NIST CSF 2.0 (international benchmark), ISO 27001 (certifiable standard), ECC-2 (K...</t>
        </is>
      </c>
      <c r="I104" s="426" t="inlineStr">
        <is>
          <t>Relevance to GH-ICGA framework varies by layer — see GH-ICGA Layer Mapping column. All KSA mandatory frameworks are compliance inputs to GH-ICGA Layer 4. Frameworks with IoMT-specific provisions direc...</t>
        </is>
      </c>
    </row>
    <row r="105" ht="72" customHeight="1">
      <c r="A105" s="198" t="inlineStr">
        <is>
          <t>MISA-LAW</t>
        </is>
      </c>
      <c r="B105" s="192" t="inlineStr">
        <is>
          <t>Investment Law</t>
        </is>
      </c>
      <c r="C105" s="190" t="inlineStr">
        <is>
          <t>MISA</t>
        </is>
      </c>
      <c r="D105" s="447" t="inlineStr">
        <is>
          <t>MODERATE</t>
        </is>
      </c>
      <c r="E105" s="445" t="inlineStr">
        <is>
          <t>Academic debate varies by framework maturity and international adoption. For KSA-specific debate, consult: Almohammad &amp; Wills (2021) J Cybersecurity; Al-Khater et al. (2020) IEEE Access; Baker McKenzi</t>
        </is>
      </c>
      <c r="F105" s="194" t="inlineStr">
        <is>
          <t>Known criticisms include: implementation gap between standards and practice; resource constraints for smaller healthcare entities; rapid technology evolution outpacing regulation. Consult framework ev</t>
        </is>
      </c>
      <c r="G105" s="190" t="inlineStr">
        <is>
          <t>Known criticisms include: implementation gap between standards and practice; resource constraints for smaller healthcare entities; rapid technology evolution outpacing regulation. Consult framework evaluation literature for specifics.</t>
        </is>
      </c>
      <c r="H105" s="195" t="inlineStr">
        <is>
          <t>Framework comparison requires contextual analysis. Key comparators: NIST CSF 2.0 (international benchmark), ISO 27001 (certifiable standard), ECC-2 (K...</t>
        </is>
      </c>
      <c r="I105" s="198" t="inlineStr">
        <is>
          <t>Relevance to GH-ICGA framework varies by layer — see GH-ICGA Layer Mapping column. All KSA mandatory frameworks are compliance inputs to GH-ICGA Layer 4. Frameworks with IoMT-specific provisions direc...</t>
        </is>
      </c>
    </row>
    <row r="106" ht="72" customHeight="1">
      <c r="A106" s="426" t="inlineStr">
        <is>
          <t>MNGHA-FW</t>
        </is>
      </c>
      <c r="B106" s="45" t="inlineStr">
        <is>
          <t>NGHA Facilities Operations Standards</t>
        </is>
      </c>
      <c r="C106" s="44" t="inlineStr">
        <is>
          <t>MNGHA</t>
        </is>
      </c>
      <c r="D106" s="447" t="inlineStr">
        <is>
          <t>MODERATE</t>
        </is>
      </c>
      <c r="E106" s="440" t="inlineStr">
        <is>
          <t>Academic debate varies by framework maturity and international adoption. For KSA-specific debate, consult: Almohammad &amp; Wills (2021) J Cybersecurity; Al-Khater et al. (2020) IEEE Access; Baker McKenzi</t>
        </is>
      </c>
      <c r="F106" s="434" t="inlineStr">
        <is>
          <t>Known criticisms include: implementation gap between standards and practice; resource constraints for smaller healthcare entities; rapid technology evolution outpacing regulation. Consult framework ev</t>
        </is>
      </c>
      <c r="G106" s="44" t="inlineStr">
        <is>
          <t>Known criticisms include: implementation gap between standards and practice; resource constraints for smaller healthcare entities; rapid technology evolution outpacing regulation. Consult framework evaluation literature for specifics.</t>
        </is>
      </c>
      <c r="H106" s="441" t="inlineStr">
        <is>
          <t>Framework comparison requires contextual analysis. Key comparators: NIST CSF 2.0 (international benchmark), ISO 27001 (certifiable standard), ECC-2 (K...</t>
        </is>
      </c>
      <c r="I106" s="426" t="inlineStr">
        <is>
          <t>Relevance to GH-ICGA framework varies by layer — see GH-ICGA Layer Mapping column. All KSA mandatory frameworks are compliance inputs to GH-ICGA Layer 4. Frameworks with IoMT-specific provisions direc...</t>
        </is>
      </c>
    </row>
    <row r="107" ht="72" customHeight="1">
      <c r="A107" s="198" t="inlineStr">
        <is>
          <t>MOCI-LAW</t>
        </is>
      </c>
      <c r="B107" s="192" t="inlineStr">
        <is>
          <t>Companies &amp; Consumer Protection Laws</t>
        </is>
      </c>
      <c r="C107" s="190" t="inlineStr">
        <is>
          <t>MOCI</t>
        </is>
      </c>
      <c r="D107" s="447" t="inlineStr">
        <is>
          <t>MODERATE</t>
        </is>
      </c>
      <c r="E107" s="445" t="inlineStr">
        <is>
          <t>Academic debate varies by framework maturity and international adoption. For KSA-specific debate, consult: Almohammad &amp; Wills (2021) J Cybersecurity; Al-Khater et al. (2020) IEEE Access; Baker McKenzi</t>
        </is>
      </c>
      <c r="F107" s="194" t="inlineStr">
        <is>
          <t>Known criticisms include: implementation gap between standards and practice; resource constraints for smaller healthcare entities; rapid technology evolution outpacing regulation. Consult framework ev</t>
        </is>
      </c>
      <c r="G107" s="190" t="inlineStr">
        <is>
          <t>Known criticisms include: implementation gap between standards and practice; resource constraints for smaller healthcare entities; rapid technology evolution outpacing regulation. Consult framework evaluation literature for specifics.</t>
        </is>
      </c>
      <c r="H107" s="195" t="inlineStr">
        <is>
          <t>Framework comparison requires contextual analysis. Key comparators: NIST CSF 2.0 (international benchmark), ISO 27001 (certifiable standard), ECC-2 (K...</t>
        </is>
      </c>
      <c r="I107" s="198" t="inlineStr">
        <is>
          <t>Relevance to GH-ICGA framework varies by layer — see GH-ICGA Layer Mapping column. All KSA mandatory frameworks are compliance inputs to GH-ICGA Layer 4. Frameworks with IoMT-specific provisions direc...</t>
        </is>
      </c>
    </row>
    <row r="108" ht="72" customHeight="1">
      <c r="A108" s="426" t="inlineStr">
        <is>
          <t>MOCult-LAW</t>
        </is>
      </c>
      <c r="B108" s="45" t="inlineStr">
        <is>
          <t>Culture Law</t>
        </is>
      </c>
      <c r="C108" s="44" t="inlineStr">
        <is>
          <t>MOCult</t>
        </is>
      </c>
      <c r="D108" s="447" t="inlineStr">
        <is>
          <t>MODERATE</t>
        </is>
      </c>
      <c r="E108" s="440" t="inlineStr">
        <is>
          <t>Academic debate varies by framework maturity and international adoption. For KSA-specific debate, consult: Almohammad &amp; Wills (2021) J Cybersecurity; Al-Khater et al. (2020) IEEE Access; Baker McKenzi</t>
        </is>
      </c>
      <c r="F108" s="434" t="inlineStr">
        <is>
          <t>Known criticisms include: implementation gap between standards and practice; resource constraints for smaller healthcare entities; rapid technology evolution outpacing regulation. Consult framework ev</t>
        </is>
      </c>
      <c r="G108" s="44" t="inlineStr">
        <is>
          <t>Known criticisms include: implementation gap between standards and practice; resource constraints for smaller healthcare entities; rapid technology evolution outpacing regulation. Consult framework evaluation literature for specifics.</t>
        </is>
      </c>
      <c r="H108" s="441" t="inlineStr">
        <is>
          <t>Framework comparison requires contextual analysis. Key comparators: NIST CSF 2.0 (international benchmark), ISO 27001 (certifiable standard), ECC-2 (K...</t>
        </is>
      </c>
      <c r="I108" s="426" t="inlineStr">
        <is>
          <t>Relevance to GH-ICGA framework varies by layer — see GH-ICGA Layer Mapping column. All KSA mandatory frameworks are compliance inputs to GH-ICGA Layer 4. Frameworks with IoMT-specific provisions direc...</t>
        </is>
      </c>
    </row>
    <row r="109" ht="72" customHeight="1">
      <c r="A109" s="198" t="inlineStr">
        <is>
          <t>MOD-LAW</t>
        </is>
      </c>
      <c r="B109" s="192" t="inlineStr">
        <is>
          <t>Military Health Law &amp; Standards</t>
        </is>
      </c>
      <c r="C109" s="190" t="inlineStr">
        <is>
          <t>MOD</t>
        </is>
      </c>
      <c r="D109" s="447" t="inlineStr">
        <is>
          <t>MODERATE</t>
        </is>
      </c>
      <c r="E109" s="445" t="inlineStr">
        <is>
          <t>Academic debate varies by framework maturity and international adoption. For KSA-specific debate, consult: Almohammad &amp; Wills (2021) J Cybersecurity; Al-Khater et al. (2020) IEEE Access; Baker McKenzi</t>
        </is>
      </c>
      <c r="F109" s="194" t="inlineStr">
        <is>
          <t>Known criticisms include: implementation gap between standards and practice; resource constraints for smaller healthcare entities; rapid technology evolution outpacing regulation. Consult framework ev</t>
        </is>
      </c>
      <c r="G109" s="190" t="inlineStr">
        <is>
          <t>Known criticisms include: implementation gap between standards and practice; resource constraints for smaller healthcare entities; rapid technology evolution outpacing regulation. Consult framework evaluation literature for specifics.</t>
        </is>
      </c>
      <c r="H109" s="195" t="inlineStr">
        <is>
          <t>Framework comparison requires contextual analysis. Key comparators: NIST CSF 2.0 (international benchmark), ISO 27001 (certifiable standard), ECC-2 (K...</t>
        </is>
      </c>
      <c r="I109" s="198" t="inlineStr">
        <is>
          <t>Relevance to GH-ICGA framework varies by layer — see GH-ICGA Layer Mapping column. All KSA mandatory frameworks are compliance inputs to GH-ICGA Layer 4. Frameworks with IoMT-specific provisions direc...</t>
        </is>
      </c>
    </row>
    <row r="110" ht="72" customHeight="1">
      <c r="A110" s="426" t="inlineStr">
        <is>
          <t>MODON-FW</t>
        </is>
      </c>
      <c r="B110" s="45" t="inlineStr">
        <is>
          <t>Industrial Zones Licensing</t>
        </is>
      </c>
      <c r="C110" s="44" t="inlineStr">
        <is>
          <t>MODON</t>
        </is>
      </c>
      <c r="D110" s="447" t="inlineStr">
        <is>
          <t>MODERATE</t>
        </is>
      </c>
      <c r="E110" s="440" t="inlineStr">
        <is>
          <t>Academic debate varies by framework maturity and international adoption. For KSA-specific debate, consult: Almohammad &amp; Wills (2021) J Cybersecurity; Al-Khater et al. (2020) IEEE Access; Baker McKenzi</t>
        </is>
      </c>
      <c r="F110" s="434" t="inlineStr">
        <is>
          <t>Known criticisms include: implementation gap between standards and practice; resource constraints for smaller healthcare entities; rapid technology evolution outpacing regulation. Consult framework ev</t>
        </is>
      </c>
      <c r="G110" s="44" t="inlineStr">
        <is>
          <t>Known criticisms include: implementation gap between standards and practice; resource constraints for smaller healthcare entities; rapid technology evolution outpacing regulation. Consult framework evaluation literature for specifics.</t>
        </is>
      </c>
      <c r="H110" s="441" t="inlineStr">
        <is>
          <t>Framework comparison requires contextual analysis. Key comparators: NIST CSF 2.0 (international benchmark), ISO 27001 (certifiable standard), ECC-2 (K...</t>
        </is>
      </c>
      <c r="I110" s="426" t="inlineStr">
        <is>
          <t>Relevance to GH-ICGA framework varies by layer — see GH-ICGA Layer Mapping column. All KSA mandatory frameworks are compliance inputs to GH-ICGA Layer 4. Frameworks with IoMT-specific provisions direc...</t>
        </is>
      </c>
    </row>
    <row r="111" ht="72" customHeight="1">
      <c r="A111" s="198" t="inlineStr">
        <is>
          <t>MOE-LAW</t>
        </is>
      </c>
      <c r="B111" s="192" t="inlineStr">
        <is>
          <t>Education Law</t>
        </is>
      </c>
      <c r="C111" s="190" t="inlineStr">
        <is>
          <t>MOE</t>
        </is>
      </c>
      <c r="D111" s="447" t="inlineStr">
        <is>
          <t>MODERATE</t>
        </is>
      </c>
      <c r="E111" s="445" t="inlineStr">
        <is>
          <t>Academic debate varies by framework maturity and international adoption. For KSA-specific debate, consult: Almohammad &amp; Wills (2021) J Cybersecurity; Al-Khater et al. (2020) IEEE Access; Baker McKenzi</t>
        </is>
      </c>
      <c r="F111" s="194" t="inlineStr">
        <is>
          <t>Known criticisms include: implementation gap between standards and practice; resource constraints for smaller healthcare entities; rapid technology evolution outpacing regulation. Consult framework ev</t>
        </is>
      </c>
      <c r="G111" s="190" t="inlineStr">
        <is>
          <t>Known criticisms include: implementation gap between standards and practice; resource constraints for smaller healthcare entities; rapid technology evolution outpacing regulation. Consult framework evaluation literature for specifics.</t>
        </is>
      </c>
      <c r="H111" s="195" t="inlineStr">
        <is>
          <t>Framework comparison requires contextual analysis. Key comparators: NIST CSF 2.0 (international benchmark), ISO 27001 (certifiable standard), ECC-2 (K...</t>
        </is>
      </c>
      <c r="I111" s="198" t="inlineStr">
        <is>
          <t>Relevance to GH-ICGA framework varies by layer — see GH-ICGA Layer Mapping column. All KSA mandatory frameworks are compliance inputs to GH-ICGA Layer 4. Frameworks with IoMT-specific provisions direc...</t>
        </is>
      </c>
    </row>
    <row r="112" ht="72" customHeight="1">
      <c r="A112" s="426" t="inlineStr">
        <is>
          <t>MOENER-LAW</t>
        </is>
      </c>
      <c r="B112" s="45" t="inlineStr">
        <is>
          <t>Energy &amp; Petroleum Regulations</t>
        </is>
      </c>
      <c r="C112" s="44" t="inlineStr">
        <is>
          <t>MOENER</t>
        </is>
      </c>
      <c r="D112" s="447" t="inlineStr">
        <is>
          <t>MODERATE</t>
        </is>
      </c>
      <c r="E112" s="440" t="inlineStr">
        <is>
          <t>Academic debate varies by framework maturity and international adoption. For KSA-specific debate, consult: Almohammad &amp; Wills (2021) J Cybersecurity; Al-Khater et al. (2020) IEEE Access; Baker McKenzi</t>
        </is>
      </c>
      <c r="F112" s="434" t="inlineStr">
        <is>
          <t>Known criticisms include: implementation gap between standards and practice; resource constraints for smaller healthcare entities; rapid technology evolution outpacing regulation. Consult framework ev</t>
        </is>
      </c>
      <c r="G112" s="44" t="inlineStr">
        <is>
          <t>Known criticisms include: implementation gap between standards and practice; resource constraints for smaller healthcare entities; rapid technology evolution outpacing regulation. Consult framework evaluation literature for specifics.</t>
        </is>
      </c>
      <c r="H112" s="441" t="inlineStr">
        <is>
          <t>Framework comparison requires contextual analysis. Key comparators: NIST CSF 2.0 (international benchmark), ISO 27001 (certifiable standard), ECC-2 (K...</t>
        </is>
      </c>
      <c r="I112" s="426" t="inlineStr">
        <is>
          <t>Relevance to GH-ICGA framework varies by layer — see GH-ICGA Layer Mapping column. All KSA mandatory frameworks are compliance inputs to GH-ICGA Layer 4. Frameworks with IoMT-specific provisions direc...</t>
        </is>
      </c>
    </row>
    <row r="113" ht="72" customHeight="1">
      <c r="A113" s="198" t="inlineStr">
        <is>
          <t>MOF-LAW</t>
        </is>
      </c>
      <c r="B113" s="192" t="inlineStr">
        <is>
          <t>Public Finance Law</t>
        </is>
      </c>
      <c r="C113" s="190" t="inlineStr">
        <is>
          <t>MOF</t>
        </is>
      </c>
      <c r="D113" s="447" t="inlineStr">
        <is>
          <t>MODERATE</t>
        </is>
      </c>
      <c r="E113" s="445" t="inlineStr">
        <is>
          <t>Academic debate varies by framework maturity and international adoption. For KSA-specific debate, consult: Almohammad &amp; Wills (2021) J Cybersecurity; Al-Khater et al. (2020) IEEE Access; Baker McKenzi</t>
        </is>
      </c>
      <c r="F113" s="194" t="inlineStr">
        <is>
          <t>Known criticisms include: implementation gap between standards and practice; resource constraints for smaller healthcare entities; rapid technology evolution outpacing regulation. Consult framework ev</t>
        </is>
      </c>
      <c r="G113" s="190" t="inlineStr">
        <is>
          <t>Known criticisms include: implementation gap between standards and practice; resource constraints for smaller healthcare entities; rapid technology evolution outpacing regulation. Consult framework evaluation literature for specifics.</t>
        </is>
      </c>
      <c r="H113" s="195" t="inlineStr">
        <is>
          <t>Framework comparison requires contextual analysis. Key comparators: NIST CSF 2.0 (international benchmark), ISO 27001 (certifiable standard), ECC-2 (K...</t>
        </is>
      </c>
      <c r="I113" s="198" t="inlineStr">
        <is>
          <t>Relevance to GH-ICGA framework varies by layer — see GH-ICGA Layer Mapping column. All KSA mandatory frameworks are compliance inputs to GH-ICGA Layer 4. Frameworks with IoMT-specific provisions direc...</t>
        </is>
      </c>
    </row>
    <row r="114" ht="72" customHeight="1">
      <c r="A114" s="426" t="inlineStr">
        <is>
          <t>MOFA-LAW</t>
        </is>
      </c>
      <c r="B114" s="45" t="inlineStr">
        <is>
          <t>Diplomatic Law &amp; International Agreements</t>
        </is>
      </c>
      <c r="C114" s="44" t="inlineStr">
        <is>
          <t>MOFA</t>
        </is>
      </c>
      <c r="D114" s="447" t="inlineStr">
        <is>
          <t>MODERATE</t>
        </is>
      </c>
      <c r="E114" s="440" t="inlineStr">
        <is>
          <t>Academic debate varies by framework maturity and international adoption. For KSA-specific debate, consult: Almohammad &amp; Wills (2021) J Cybersecurity; Al-Khater et al. (2020) IEEE Access; Baker McKenzi</t>
        </is>
      </c>
      <c r="F114" s="434" t="inlineStr">
        <is>
          <t>Known criticisms include: implementation gap between standards and practice; resource constraints for smaller healthcare entities; rapid technology evolution outpacing regulation. Consult framework ev</t>
        </is>
      </c>
      <c r="G114" s="44" t="inlineStr">
        <is>
          <t>Known criticisms include: implementation gap between standards and practice; resource constraints for smaller healthcare entities; rapid technology evolution outpacing regulation. Consult framework evaluation literature for specifics.</t>
        </is>
      </c>
      <c r="H114" s="441" t="inlineStr">
        <is>
          <t>Framework comparison requires contextual analysis. Key comparators: NIST CSF 2.0 (international benchmark), ISO 27001 (certifiable standard), ECC-2 (K...</t>
        </is>
      </c>
      <c r="I114" s="426" t="inlineStr">
        <is>
          <t>Relevance to GH-ICGA framework varies by layer — see GH-ICGA Layer Mapping column. All KSA mandatory frameworks are compliance inputs to GH-ICGA Layer 4. Frameworks with IoMT-specific provisions direc...</t>
        </is>
      </c>
    </row>
    <row r="115" ht="72" customHeight="1">
      <c r="A115" s="198" t="inlineStr">
        <is>
          <t>MOHAJ-LAW</t>
        </is>
      </c>
      <c r="B115" s="192" t="inlineStr">
        <is>
          <t>Hajj &amp; Umrah Regulations</t>
        </is>
      </c>
      <c r="C115" s="190" t="inlineStr">
        <is>
          <t>MOHAJ</t>
        </is>
      </c>
      <c r="D115" s="447" t="inlineStr">
        <is>
          <t>MODERATE</t>
        </is>
      </c>
      <c r="E115" s="445" t="inlineStr">
        <is>
          <t>Academic debate varies by framework maturity and international adoption. For KSA-specific debate, consult: Almohammad &amp; Wills (2021) J Cybersecurity; Al-Khater et al. (2020) IEEE Access; Baker McKenzi</t>
        </is>
      </c>
      <c r="F115" s="194" t="inlineStr">
        <is>
          <t>Known criticisms include: implementation gap between standards and practice; resource constraints for smaller healthcare entities; rapid technology evolution outpacing regulation. Consult framework ev</t>
        </is>
      </c>
      <c r="G115" s="190" t="inlineStr">
        <is>
          <t>Known criticisms include: implementation gap between standards and practice; resource constraints for smaller healthcare entities; rapid technology evolution outpacing regulation. Consult framework evaluation literature for specifics.</t>
        </is>
      </c>
      <c r="H115" s="195" t="inlineStr">
        <is>
          <t>Framework comparison requires contextual analysis. Key comparators: NIST CSF 2.0 (international benchmark), ISO 27001 (certifiable standard), ECC-2 (K...</t>
        </is>
      </c>
      <c r="I115" s="198" t="inlineStr">
        <is>
          <t>Relevance to GH-ICGA framework varies by layer — see GH-ICGA Layer Mapping column. All KSA mandatory frameworks are compliance inputs to GH-ICGA Layer 4. Frameworks with IoMT-specific provisions direc...</t>
        </is>
      </c>
    </row>
    <row r="116" ht="72" customHeight="1">
      <c r="A116" s="426" t="inlineStr">
        <is>
          <t>MOI-ACTL</t>
        </is>
      </c>
      <c r="B116" s="45" t="inlineStr">
        <is>
          <t>Anti-Cybercrime Law</t>
        </is>
      </c>
      <c r="C116" s="44" t="inlineStr">
        <is>
          <t>MOI</t>
        </is>
      </c>
      <c r="D116" s="447" t="inlineStr">
        <is>
          <t>MODERATE</t>
        </is>
      </c>
      <c r="E116" s="440" t="inlineStr">
        <is>
          <t>Academic debate varies by framework maturity and international adoption. For KSA-specific debate, consult: Almohammad &amp; Wills (2021) J Cybersecurity; Al-Khater et al. (2020) IEEE Access; Baker McKenzi</t>
        </is>
      </c>
      <c r="F116" s="434" t="inlineStr">
        <is>
          <t>Known criticisms include: implementation gap between standards and practice; resource constraints for smaller healthcare entities; rapid technology evolution outpacing regulation. Consult framework ev</t>
        </is>
      </c>
      <c r="G116" s="44" t="inlineStr">
        <is>
          <t>Known criticisms include: implementation gap between standards and practice; resource constraints for smaller healthcare entities; rapid technology evolution outpacing regulation. Consult framework evaluation literature for specifics.</t>
        </is>
      </c>
      <c r="H116" s="441" t="inlineStr">
        <is>
          <t>Framework comparison requires contextual analysis. Key comparators: NIST CSF 2.0 (international benchmark), ISO 27001 (certifiable standard), ECC-2 (K...</t>
        </is>
      </c>
      <c r="I116" s="426" t="inlineStr">
        <is>
          <t>Relevance to GH-ICGA framework varies by layer — see GH-ICGA Layer Mapping column. All KSA mandatory frameworks are compliance inputs to GH-ICGA Layer 4. Frameworks with IoMT-specific provisions direc...</t>
        </is>
      </c>
    </row>
    <row r="117" ht="72" customHeight="1">
      <c r="A117" s="198" t="inlineStr">
        <is>
          <t>MOI-NID</t>
        </is>
      </c>
      <c r="B117" s="192" t="inlineStr">
        <is>
          <t>National ID / Absher Platform Standards</t>
        </is>
      </c>
      <c r="C117" s="190" t="inlineStr">
        <is>
          <t>MOI</t>
        </is>
      </c>
      <c r="D117" s="447" t="inlineStr">
        <is>
          <t>MODERATE</t>
        </is>
      </c>
      <c r="E117" s="445" t="inlineStr">
        <is>
          <t>Academic debate varies by framework maturity and international adoption. For KSA-specific debate, consult: Almohammad &amp; Wills (2021) J Cybersecurity; Al-Khater et al. (2020) IEEE Access; Baker McKenzi</t>
        </is>
      </c>
      <c r="F117" s="194" t="inlineStr">
        <is>
          <t>Known criticisms include: implementation gap between standards and practice; resource constraints for smaller healthcare entities; rapid technology evolution outpacing regulation. Consult framework ev</t>
        </is>
      </c>
      <c r="G117" s="190" t="inlineStr">
        <is>
          <t>Known criticisms include: implementation gap between standards and practice; resource constraints for smaller healthcare entities; rapid technology evolution outpacing regulation. Consult framework evaluation literature for specifics.</t>
        </is>
      </c>
      <c r="H117" s="195" t="inlineStr">
        <is>
          <t>Framework comparison requires contextual analysis. Key comparators: NIST CSF 2.0 (international benchmark), ISO 27001 (certifiable standard), ECC-2 (K...</t>
        </is>
      </c>
      <c r="I117" s="198" t="inlineStr">
        <is>
          <t>Relevance to GH-ICGA framework varies by layer — see GH-ICGA Layer Mapping column. All KSA mandatory frameworks are compliance inputs to GH-ICGA Layer 4. Frameworks with IoMT-specific provisions direc...</t>
        </is>
      </c>
    </row>
    <row r="118" ht="72" customHeight="1">
      <c r="A118" s="426" t="inlineStr">
        <is>
          <t>MOIA-LAW</t>
        </is>
      </c>
      <c r="B118" s="45" t="inlineStr">
        <is>
          <t>Halal Coordination Mandate</t>
        </is>
      </c>
      <c r="C118" s="44" t="inlineStr">
        <is>
          <t>MOIA</t>
        </is>
      </c>
      <c r="D118" s="447" t="inlineStr">
        <is>
          <t>MODERATE</t>
        </is>
      </c>
      <c r="E118" s="440" t="inlineStr">
        <is>
          <t>Academic debate varies by framework maturity and international adoption. For KSA-specific debate, consult: Almohammad &amp; Wills (2021) J Cybersecurity; Al-Khater et al. (2020) IEEE Access; Baker McKenzi</t>
        </is>
      </c>
      <c r="F118" s="434" t="inlineStr">
        <is>
          <t>Known criticisms include: implementation gap between standards and practice; resource constraints for smaller healthcare entities; rapid technology evolution outpacing regulation. Consult framework ev</t>
        </is>
      </c>
      <c r="G118" s="44" t="inlineStr">
        <is>
          <t>Known criticisms include: implementation gap between standards and practice; resource constraints for smaller healthcare entities; rapid technology evolution outpacing regulation. Consult framework evaluation literature for specifics.</t>
        </is>
      </c>
      <c r="H118" s="441" t="inlineStr">
        <is>
          <t>Framework comparison requires contextual analysis. Key comparators: NIST CSF 2.0 (international benchmark), ISO 27001 (certifiable standard), ECC-2 (K...</t>
        </is>
      </c>
      <c r="I118" s="426" t="inlineStr">
        <is>
          <t>Relevance to GH-ICGA framework varies by layer — see GH-ICGA Layer Mapping column. All KSA mandatory frameworks are compliance inputs to GH-ICGA Layer 4. Frameworks with IoMT-specific provisions direc...</t>
        </is>
      </c>
    </row>
    <row r="119" ht="72" customHeight="1">
      <c r="A119" s="198" t="inlineStr">
        <is>
          <t>MOJ-LAW</t>
        </is>
      </c>
      <c r="B119" s="192" t="inlineStr">
        <is>
          <t>Judicial Procedure Law</t>
        </is>
      </c>
      <c r="C119" s="190" t="inlineStr">
        <is>
          <t>MOJ</t>
        </is>
      </c>
      <c r="D119" s="447" t="inlineStr">
        <is>
          <t>MODERATE</t>
        </is>
      </c>
      <c r="E119" s="445" t="inlineStr">
        <is>
          <t>Academic debate varies by framework maturity and international adoption. For KSA-specific debate, consult: Almohammad &amp; Wills (2021) J Cybersecurity; Al-Khater et al. (2020) IEEE Access; Baker McKenzi</t>
        </is>
      </c>
      <c r="F119" s="194" t="inlineStr">
        <is>
          <t>Known criticisms include: implementation gap between standards and practice; resource constraints for smaller healthcare entities; rapid technology evolution outpacing regulation. Consult framework ev</t>
        </is>
      </c>
      <c r="G119" s="190" t="inlineStr">
        <is>
          <t>Known criticisms include: implementation gap between standards and practice; resource constraints for smaller healthcare entities; rapid technology evolution outpacing regulation. Consult framework evaluation literature for specifics.</t>
        </is>
      </c>
      <c r="H119" s="195" t="inlineStr">
        <is>
          <t>Framework comparison requires contextual analysis. Key comparators: NIST CSF 2.0 (international benchmark), ISO 27001 (certifiable standard), ECC-2 (K...</t>
        </is>
      </c>
      <c r="I119" s="198" t="inlineStr">
        <is>
          <t>Relevance to GH-ICGA framework varies by layer — see GH-ICGA Layer Mapping column. All KSA mandatory frameworks are compliance inputs to GH-ICGA Layer 4. Frameworks with IoMT-specific provisions direc...</t>
        </is>
      </c>
    </row>
    <row r="120" ht="72" customHeight="1">
      <c r="A120" s="426" t="inlineStr">
        <is>
          <t>MOMAH-LAW</t>
        </is>
      </c>
      <c r="B120" s="45" t="inlineStr">
        <is>
          <t>Building Regulations</t>
        </is>
      </c>
      <c r="C120" s="44" t="inlineStr">
        <is>
          <t>MOMAH</t>
        </is>
      </c>
      <c r="D120" s="447" t="inlineStr">
        <is>
          <t>MODERATE</t>
        </is>
      </c>
      <c r="E120" s="440" t="inlineStr">
        <is>
          <t>Academic debate varies by framework maturity and international adoption. For KSA-specific debate, consult: Almohammad &amp; Wills (2021) J Cybersecurity; Al-Khater et al. (2020) IEEE Access; Baker McKenzi</t>
        </is>
      </c>
      <c r="F120" s="434" t="inlineStr">
        <is>
          <t>Known criticisms include: implementation gap between standards and practice; resource constraints for smaller healthcare entities; rapid technology evolution outpacing regulation. Consult framework ev</t>
        </is>
      </c>
      <c r="G120" s="44" t="inlineStr">
        <is>
          <t>Known criticisms include: implementation gap between standards and practice; resource constraints for smaller healthcare entities; rapid technology evolution outpacing regulation. Consult framework evaluation literature for specifics.</t>
        </is>
      </c>
      <c r="H120" s="441" t="inlineStr">
        <is>
          <t>Framework comparison requires contextual analysis. Key comparators: NIST CSF 2.0 (international benchmark), ISO 27001 (certifiable standard), ECC-2 (K...</t>
        </is>
      </c>
      <c r="I120" s="426" t="inlineStr">
        <is>
          <t>Relevance to GH-ICGA framework varies by layer — see GH-ICGA Layer Mapping column. All KSA mandatory frameworks are compliance inputs to GH-ICGA Layer 4. Frameworks with IoMT-specific provisions direc...</t>
        </is>
      </c>
    </row>
    <row r="121" ht="72" customHeight="1">
      <c r="A121" s="198" t="inlineStr">
        <is>
          <t>MOMedia-LAW</t>
        </is>
      </c>
      <c r="B121" s="192" t="inlineStr">
        <is>
          <t>Audiovisual Media Law</t>
        </is>
      </c>
      <c r="C121" s="190" t="inlineStr">
        <is>
          <t>MOMedia</t>
        </is>
      </c>
      <c r="D121" s="447" t="inlineStr">
        <is>
          <t>MODERATE</t>
        </is>
      </c>
      <c r="E121" s="445" t="inlineStr">
        <is>
          <t>Academic debate varies by framework maturity and international adoption. For KSA-specific debate, consult: Almohammad &amp; Wills (2021) J Cybersecurity; Al-Khater et al. (2020) IEEE Access; Baker McKenzi</t>
        </is>
      </c>
      <c r="F121" s="194" t="inlineStr">
        <is>
          <t>Known criticisms include: implementation gap between standards and practice; resource constraints for smaller healthcare entities; rapid technology evolution outpacing regulation. Consult framework ev</t>
        </is>
      </c>
      <c r="G121" s="190" t="inlineStr">
        <is>
          <t>Known criticisms include: implementation gap between standards and practice; resource constraints for smaller healthcare entities; rapid technology evolution outpacing regulation. Consult framework evaluation literature for specifics.</t>
        </is>
      </c>
      <c r="H121" s="195" t="inlineStr">
        <is>
          <t>Framework comparison requires contextual analysis. Key comparators: NIST CSF 2.0 (international benchmark), ISO 27001 (certifiable standard), ECC-2 (K...</t>
        </is>
      </c>
      <c r="I121" s="198" t="inlineStr">
        <is>
          <t>Relevance to GH-ICGA framework varies by layer — see GH-ICGA Layer Mapping column. All KSA mandatory frameworks are compliance inputs to GH-ICGA Layer 4. Frameworks with IoMT-specific provisions direc...</t>
        </is>
      </c>
    </row>
    <row r="122" ht="72" customHeight="1">
      <c r="A122" s="426" t="inlineStr">
        <is>
          <t>MONG-LAW</t>
        </is>
      </c>
      <c r="B122" s="45" t="inlineStr">
        <is>
          <t>NGHA Hospital Network Standards</t>
        </is>
      </c>
      <c r="C122" s="44" t="inlineStr">
        <is>
          <t>MONG</t>
        </is>
      </c>
      <c r="D122" s="447" t="inlineStr">
        <is>
          <t>MODERATE</t>
        </is>
      </c>
      <c r="E122" s="440" t="inlineStr">
        <is>
          <t>Academic debate varies by framework maturity and international adoption. For KSA-specific debate, consult: Almohammad &amp; Wills (2021) J Cybersecurity; Al-Khater et al. (2020) IEEE Access; Baker McKenzi</t>
        </is>
      </c>
      <c r="F122" s="434" t="inlineStr">
        <is>
          <t>Known criticisms include: implementation gap between standards and practice; resource constraints for smaller healthcare entities; rapid technology evolution outpacing regulation. Consult framework ev</t>
        </is>
      </c>
      <c r="G122" s="44" t="inlineStr">
        <is>
          <t>Known criticisms include: implementation gap between standards and practice; resource constraints for smaller healthcare entities; rapid technology evolution outpacing regulation. Consult framework evaluation literature for specifics.</t>
        </is>
      </c>
      <c r="H122" s="441" t="inlineStr">
        <is>
          <t>Framework comparison requires contextual analysis. Key comparators: NIST CSF 2.0 (international benchmark), ISO 27001 (certifiable standard), ECC-2 (K...</t>
        </is>
      </c>
      <c r="I122" s="426" t="inlineStr">
        <is>
          <t>Relevance to GH-ICGA framework varies by layer — see GH-ICGA Layer Mapping column. All KSA mandatory frameworks are compliance inputs to GH-ICGA Layer 4. Frameworks with IoMT-specific provisions direc...</t>
        </is>
      </c>
    </row>
    <row r="123" ht="72" customHeight="1">
      <c r="A123" s="198" t="inlineStr">
        <is>
          <t>MOSPORT-LAW</t>
        </is>
      </c>
      <c r="B123" s="192" t="inlineStr">
        <is>
          <t>Sport Law</t>
        </is>
      </c>
      <c r="C123" s="190" t="inlineStr">
        <is>
          <t>MOSPORT</t>
        </is>
      </c>
      <c r="D123" s="447" t="inlineStr">
        <is>
          <t>MODERATE</t>
        </is>
      </c>
      <c r="E123" s="445" t="inlineStr">
        <is>
          <t>Academic debate varies by framework maturity and international adoption. For KSA-specific debate, consult: Almohammad &amp; Wills (2021) J Cybersecurity; Al-Khater et al. (2020) IEEE Access; Baker McKenzi</t>
        </is>
      </c>
      <c r="F123" s="194" t="inlineStr">
        <is>
          <t>Known criticisms include: implementation gap between standards and practice; resource constraints for smaller healthcare entities; rapid technology evolution outpacing regulation. Consult framework ev</t>
        </is>
      </c>
      <c r="G123" s="190" t="inlineStr">
        <is>
          <t>Known criticisms include: implementation gap between standards and practice; resource constraints for smaller healthcare entities; rapid technology evolution outpacing regulation. Consult framework evaluation literature for specifics.</t>
        </is>
      </c>
      <c r="H123" s="195" t="inlineStr">
        <is>
          <t>Framework comparison requires contextual analysis. Key comparators: NIST CSF 2.0 (international benchmark), ISO 27001 (certifiable standard), ECC-2 (K...</t>
        </is>
      </c>
      <c r="I123" s="198" t="inlineStr">
        <is>
          <t>Relevance to GH-ICGA framework varies by layer — see GH-ICGA Layer Mapping column. All KSA mandatory frameworks are compliance inputs to GH-ICGA Layer 4. Frameworks with IoMT-specific provisions direc...</t>
        </is>
      </c>
    </row>
    <row r="124" ht="72" customHeight="1">
      <c r="A124" s="426" t="inlineStr">
        <is>
          <t>MOT-LAW</t>
        </is>
      </c>
      <c r="B124" s="45" t="inlineStr">
        <is>
          <t>Transport Law</t>
        </is>
      </c>
      <c r="C124" s="44" t="inlineStr">
        <is>
          <t>MOT</t>
        </is>
      </c>
      <c r="D124" s="447" t="inlineStr">
        <is>
          <t>MODERATE</t>
        </is>
      </c>
      <c r="E124" s="440" t="inlineStr">
        <is>
          <t>Academic debate varies by framework maturity and international adoption. For KSA-specific debate, consult: Almohammad &amp; Wills (2021) J Cybersecurity; Al-Khater et al. (2020) IEEE Access; Baker McKenzi</t>
        </is>
      </c>
      <c r="F124" s="434" t="inlineStr">
        <is>
          <t>Known criticisms include: implementation gap between standards and practice; resource constraints for smaller healthcare entities; rapid technology evolution outpacing regulation. Consult framework ev</t>
        </is>
      </c>
      <c r="G124" s="44" t="inlineStr">
        <is>
          <t>Known criticisms include: implementation gap between standards and practice; resource constraints for smaller healthcare entities; rapid technology evolution outpacing regulation. Consult framework evaluation literature for specifics.</t>
        </is>
      </c>
      <c r="H124" s="441" t="inlineStr">
        <is>
          <t>Framework comparison requires contextual analysis. Key comparators: NIST CSF 2.0 (international benchmark), ISO 27001 (certifiable standard), ECC-2 (K...</t>
        </is>
      </c>
      <c r="I124" s="426" t="inlineStr">
        <is>
          <t>Relevance to GH-ICGA framework varies by layer — see GH-ICGA Layer Mapping column. All KSA mandatory frameworks are compliance inputs to GH-ICGA Layer 4. Frameworks with IoMT-specific provisions direc...</t>
        </is>
      </c>
    </row>
    <row r="125" ht="72" customHeight="1">
      <c r="A125" s="198" t="inlineStr">
        <is>
          <t>MOTour-LAW</t>
        </is>
      </c>
      <c r="B125" s="192" t="inlineStr">
        <is>
          <t>Tourism Law</t>
        </is>
      </c>
      <c r="C125" s="190" t="inlineStr">
        <is>
          <t>MOTour</t>
        </is>
      </c>
      <c r="D125" s="447" t="inlineStr">
        <is>
          <t>MODERATE</t>
        </is>
      </c>
      <c r="E125" s="445" t="inlineStr">
        <is>
          <t>Academic debate varies by framework maturity and international adoption. For KSA-specific debate, consult: Almohammad &amp; Wills (2021) J Cybersecurity; Al-Khater et al. (2020) IEEE Access; Baker McKenzi</t>
        </is>
      </c>
      <c r="F125" s="194" t="inlineStr">
        <is>
          <t>Known criticisms include: implementation gap between standards and practice; resource constraints for smaller healthcare entities; rapid technology evolution outpacing regulation. Consult framework ev</t>
        </is>
      </c>
      <c r="G125" s="190" t="inlineStr">
        <is>
          <t>Known criticisms include: implementation gap between standards and practice; resource constraints for smaller healthcare entities; rapid technology evolution outpacing regulation. Consult framework evaluation literature for specifics.</t>
        </is>
      </c>
      <c r="H125" s="195" t="inlineStr">
        <is>
          <t>Framework comparison requires contextual analysis. Key comparators: NIST CSF 2.0 (international benchmark), ISO 27001 (certifiable standard), ECC-2 (K...</t>
        </is>
      </c>
      <c r="I125" s="198" t="inlineStr">
        <is>
          <t>Relevance to GH-ICGA framework varies by layer — see GH-ICGA Layer Mapping column. All KSA mandatory frameworks are compliance inputs to GH-ICGA Layer 4. Frameworks with IoMT-specific provisions direc...</t>
        </is>
      </c>
    </row>
    <row r="126" ht="72" customHeight="1">
      <c r="A126" s="426" t="inlineStr">
        <is>
          <t>NAZAHA-FW</t>
        </is>
      </c>
      <c r="B126" s="45" t="inlineStr">
        <is>
          <t>Anti-Corruption Law &amp; Asset Disclosure</t>
        </is>
      </c>
      <c r="C126" s="44" t="inlineStr">
        <is>
          <t>NAZAHA</t>
        </is>
      </c>
      <c r="D126" s="447" t="inlineStr">
        <is>
          <t>MODERATE</t>
        </is>
      </c>
      <c r="E126" s="440" t="inlineStr">
        <is>
          <t>Academic debate varies by framework maturity and international adoption. For KSA-specific debate, consult: Almohammad &amp; Wills (2021) J Cybersecurity; Al-Khater et al. (2020) IEEE Access; Baker McKenzi</t>
        </is>
      </c>
      <c r="F126" s="434" t="inlineStr">
        <is>
          <t>Known criticisms include: implementation gap between standards and practice; resource constraints for smaller healthcare entities; rapid technology evolution outpacing regulation. Consult framework ev</t>
        </is>
      </c>
      <c r="G126" s="44" t="inlineStr">
        <is>
          <t>Known criticisms include: implementation gap between standards and practice; resource constraints for smaller healthcare entities; rapid technology evolution outpacing regulation. Consult framework evaluation literature for specifics.</t>
        </is>
      </c>
      <c r="H126" s="441" t="inlineStr">
        <is>
          <t>Framework comparison requires contextual analysis. Key comparators: NIST CSF 2.0 (international benchmark), ISO 27001 (certifiable standard), ECC-2 (K...</t>
        </is>
      </c>
      <c r="I126" s="426" t="inlineStr">
        <is>
          <t>Relevance to GH-ICGA framework varies by layer — see GH-ICGA Layer Mapping column. All KSA mandatory frameworks are compliance inputs to GH-ICGA Layer 4. Frameworks with IoMT-specific provisions direc...</t>
        </is>
      </c>
    </row>
    <row r="127" ht="72" customHeight="1">
      <c r="A127" s="33" t="inlineStr">
        <is>
          <t>NCA-MCSOC</t>
        </is>
      </c>
      <c r="B127" s="20" t="inlineStr">
        <is>
          <t>Managed SOC Policy</t>
        </is>
      </c>
      <c r="C127" s="19" t="inlineStr">
        <is>
          <t>NCA</t>
        </is>
      </c>
      <c r="D127" s="447" t="inlineStr">
        <is>
          <t>MODERATE</t>
        </is>
      </c>
      <c r="E127" s="444" t="inlineStr">
        <is>
          <t>Academic debate varies by framework maturity and international adoption. For KSA-specific debate, consult: Almohammad &amp; Wills (2021) J Cybersecurity; Al-Khater et al. (2020) IEEE Access; Baker McKenzi</t>
        </is>
      </c>
      <c r="F127" s="29" t="inlineStr">
        <is>
          <t>Known criticisms include: implementation gap between standards and practice; resource constraints for smaller healthcare entities; rapid technology evolution outpacing regulation. Consult framework ev</t>
        </is>
      </c>
      <c r="G127" s="19" t="inlineStr">
        <is>
          <t>Known criticisms include: implementation gap between standards and practice; resource constraints for smaller healthcare entities; rapid technology evolution outpacing regulation. Consult framework evaluation literature for specifics.</t>
        </is>
      </c>
      <c r="H127" s="30" t="inlineStr">
        <is>
          <t>Framework comparison requires contextual analysis. Key comparators: NIST CSF 2.0 (international benchmark), ISO 27001 (certifiable standard), ECC-2 (K...</t>
        </is>
      </c>
      <c r="I127" s="33" t="inlineStr">
        <is>
          <t>Relevance to GH-ICGA framework varies by layer — see GH-ICGA Layer Mapping column. All KSA mandatory frameworks are compliance inputs to GH-ICGA Layer 4. Frameworks with IoMT-specific provisions direc...</t>
        </is>
      </c>
    </row>
    <row r="128" ht="72" customHeight="1">
      <c r="A128" s="426" t="inlineStr">
        <is>
          <t>NCEC-FW</t>
        </is>
      </c>
      <c r="B128" s="45" t="inlineStr">
        <is>
          <t>General Environmental Regulation</t>
        </is>
      </c>
      <c r="C128" s="44" t="inlineStr">
        <is>
          <t>NCEC</t>
        </is>
      </c>
      <c r="D128" s="447" t="inlineStr">
        <is>
          <t>MODERATE</t>
        </is>
      </c>
      <c r="E128" s="440" t="inlineStr">
        <is>
          <t>Academic debate varies by framework maturity and international adoption. For KSA-specific debate, consult: Almohammad &amp; Wills (2021) J Cybersecurity; Al-Khater et al. (2020) IEEE Access; Baker McKenzi</t>
        </is>
      </c>
      <c r="F128" s="434" t="inlineStr">
        <is>
          <t>Known criticisms include: implementation gap between standards and practice; resource constraints for smaller healthcare entities; rapid technology evolution outpacing regulation. Consult framework ev</t>
        </is>
      </c>
      <c r="G128" s="44" t="inlineStr">
        <is>
          <t>Known criticisms include: implementation gap between standards and practice; resource constraints for smaller healthcare entities; rapid technology evolution outpacing regulation. Consult framework evaluation literature for specifics.</t>
        </is>
      </c>
      <c r="H128" s="441" t="inlineStr">
        <is>
          <t>Framework comparison requires contextual analysis. Key comparators: NIST CSF 2.0 (international benchmark), ISO 27001 (certifiable standard), ECC-2 (K...</t>
        </is>
      </c>
      <c r="I128" s="426" t="inlineStr">
        <is>
          <t>Relevance to GH-ICGA framework varies by layer — see GH-ICGA Layer Mapping column. All KSA mandatory frameworks are compliance inputs to GH-ICGA Layer 4. Frameworks with IoMT-specific provisions direc...</t>
        </is>
      </c>
    </row>
    <row r="129" ht="72" customHeight="1">
      <c r="A129" s="131" t="inlineStr">
        <is>
          <t>NCSA-FW</t>
        </is>
      </c>
      <c r="B129" s="122" t="inlineStr">
        <is>
          <t>Competitiveness Index Methodology</t>
        </is>
      </c>
      <c r="C129" s="121" t="inlineStr">
        <is>
          <t>NCSA</t>
        </is>
      </c>
      <c r="D129" s="447" t="inlineStr">
        <is>
          <t>MODERATE</t>
        </is>
      </c>
      <c r="E129" s="442" t="inlineStr">
        <is>
          <t>Academic debate varies by framework maturity and international adoption. For KSA-specific debate, consult: Almohammad &amp; Wills (2021) J Cybersecurity; Al-Khater et al. (2020) IEEE Access; Baker McKenzi</t>
        </is>
      </c>
      <c r="F129" s="127" t="inlineStr">
        <is>
          <t>Known criticisms include: implementation gap between standards and practice; resource constraints for smaller healthcare entities; rapid technology evolution outpacing regulation. Consult framework ev</t>
        </is>
      </c>
      <c r="G129" s="121" t="inlineStr">
        <is>
          <t>Known criticisms include: implementation gap between standards and practice; resource constraints for smaller healthcare entities; rapid technology evolution outpacing regulation. Consult framework evaluation literature for specifics.</t>
        </is>
      </c>
      <c r="H129" s="128" t="inlineStr">
        <is>
          <t>Framework comparison requires contextual analysis. Key comparators: NIST CSF 2.0 (international benchmark), ISO 27001 (certifiable standard), ECC-2 (K...</t>
        </is>
      </c>
      <c r="I129" s="131" t="inlineStr">
        <is>
          <t>Relevance to GH-ICGA framework varies by layer — see GH-ICGA Layer Mapping column. All KSA mandatory frameworks are compliance inputs to GH-ICGA Layer 4. Frameworks with IoMT-specific provisions direc...</t>
        </is>
      </c>
    </row>
    <row r="130" ht="72" customHeight="1">
      <c r="A130" s="426" t="inlineStr">
        <is>
          <t>NEOM-FW</t>
        </is>
      </c>
      <c r="B130" s="45" t="inlineStr">
        <is>
          <t>NEOM Health &amp; IoT Governance Framework</t>
        </is>
      </c>
      <c r="C130" s="44" t="inlineStr">
        <is>
          <t>NEOM</t>
        </is>
      </c>
      <c r="D130" s="447" t="inlineStr">
        <is>
          <t>MODERATE</t>
        </is>
      </c>
      <c r="E130" s="440" t="inlineStr">
        <is>
          <t>Academic debate varies by framework maturity and international adoption. For KSA-specific debate, consult: Almohammad &amp; Wills (2021) J Cybersecurity; Al-Khater et al. (2020) IEEE Access; Baker McKenzi</t>
        </is>
      </c>
      <c r="F130" s="434" t="inlineStr">
        <is>
          <t>Known criticisms include: implementation gap between standards and practice; resource constraints for smaller healthcare entities; rapid technology evolution outpacing regulation. Consult framework ev</t>
        </is>
      </c>
      <c r="G130" s="44" t="inlineStr">
        <is>
          <t>Known criticisms include: implementation gap between standards and practice; resource constraints for smaller healthcare entities; rapid technology evolution outpacing regulation. Consult framework evaluation literature for specifics.</t>
        </is>
      </c>
      <c r="H130" s="441" t="inlineStr">
        <is>
          <t>Framework comparison requires contextual analysis. Key comparators: NIST CSF 2.0 (international benchmark), ISO 27001 (certifiable standard), ECC-2 (K...</t>
        </is>
      </c>
      <c r="I130" s="426" t="inlineStr">
        <is>
          <t>Relevance to GH-ICGA framework varies by layer — see GH-ICGA Layer Mapping column. All KSA mandatory frameworks are compliance inputs to GH-ICGA Layer 4. Frameworks with IoMT-specific provisions direc...</t>
        </is>
      </c>
    </row>
    <row r="131" ht="72" customHeight="1">
      <c r="A131" s="77" t="inlineStr">
        <is>
          <t>NGHA-FW</t>
        </is>
      </c>
      <c r="B131" s="72" t="inlineStr">
        <is>
          <t>NGHA Hospital Network Operations Standards</t>
        </is>
      </c>
      <c r="C131" s="70" t="inlineStr">
        <is>
          <t>NGHA</t>
        </is>
      </c>
      <c r="D131" s="447" t="inlineStr">
        <is>
          <t>MODERATE</t>
        </is>
      </c>
      <c r="E131" s="443" t="inlineStr">
        <is>
          <t>Academic debate varies by framework maturity and international adoption. For KSA-specific debate, consult: Almohammad &amp; Wills (2021) J Cybersecurity; Al-Khater et al. (2020) IEEE Access; Baker McKenzi</t>
        </is>
      </c>
      <c r="F131" s="74" t="inlineStr">
        <is>
          <t>Known criticisms include: implementation gap between standards and practice; resource constraints for smaller healthcare entities; rapid technology evolution outpacing regulation. Consult framework ev</t>
        </is>
      </c>
      <c r="G131" s="70" t="inlineStr">
        <is>
          <t>Known criticisms include: implementation gap between standards and practice; resource constraints for smaller healthcare entities; rapid technology evolution outpacing regulation. Consult framework evaluation literature for specifics.</t>
        </is>
      </c>
      <c r="H131" s="75" t="inlineStr">
        <is>
          <t>Framework comparison requires contextual analysis. Key comparators: NIST CSF 2.0 (international benchmark), ISO 27001 (certifiable standard), ECC-2 (K...</t>
        </is>
      </c>
      <c r="I131" s="77" t="inlineStr">
        <is>
          <t>Relevance to GH-ICGA framework varies by layer — see GH-ICGA Layer Mapping column. All KSA mandatory frameworks are compliance inputs to GH-ICGA Layer 4. Frameworks with IoMT-specific provisions direc...</t>
        </is>
      </c>
    </row>
    <row r="132" ht="72" customHeight="1">
      <c r="A132" s="426" t="inlineStr">
        <is>
          <t>NUPCO-FW</t>
        </is>
      </c>
      <c r="B132" s="45" t="inlineStr">
        <is>
          <t>Procurement &amp; Quality Standards for Suppliers</t>
        </is>
      </c>
      <c r="C132" s="44" t="inlineStr">
        <is>
          <t>NUPCO</t>
        </is>
      </c>
      <c r="D132" s="447" t="inlineStr">
        <is>
          <t>MODERATE</t>
        </is>
      </c>
      <c r="E132" s="440" t="inlineStr">
        <is>
          <t>Academic debate varies by framework maturity and international adoption. For KSA-specific debate, consult: Almohammad &amp; Wills (2021) J Cybersecurity; Al-Khater et al. (2020) IEEE Access; Baker McKenzi</t>
        </is>
      </c>
      <c r="F132" s="434" t="inlineStr">
        <is>
          <t>Known criticisms include: implementation gap between standards and practice; resource constraints for smaller healthcare entities; rapid technology evolution outpacing regulation. Consult framework ev</t>
        </is>
      </c>
      <c r="G132" s="44" t="inlineStr">
        <is>
          <t>Known criticisms include: implementation gap between standards and practice; resource constraints for smaller healthcare entities; rapid technology evolution outpacing regulation. Consult framework evaluation literature for specifics.</t>
        </is>
      </c>
      <c r="H132" s="441" t="inlineStr">
        <is>
          <t>Framework comparison requires contextual analysis. Key comparators: NIST CSF 2.0 (international benchmark), ISO 27001 (certifiable standard), ECC-2 (K...</t>
        </is>
      </c>
      <c r="I132" s="426" t="inlineStr">
        <is>
          <t>Relevance to GH-ICGA framework varies by layer — see GH-ICGA Layer Mapping column. All KSA mandatory frameworks are compliance inputs to GH-ICGA Layer 4. Frameworks with IoMT-specific provisions direc...</t>
        </is>
      </c>
    </row>
    <row r="133" ht="72" customHeight="1">
      <c r="A133" s="224" t="inlineStr">
        <is>
          <t>NWC-FW</t>
        </is>
      </c>
      <c r="B133" s="215" t="inlineStr">
        <is>
          <t>Water Quality &amp; Distribution Standards</t>
        </is>
      </c>
      <c r="C133" s="214" t="inlineStr">
        <is>
          <t>NWC</t>
        </is>
      </c>
      <c r="D133" s="447" t="inlineStr">
        <is>
          <t>MODERATE</t>
        </is>
      </c>
      <c r="E133" s="449" t="inlineStr">
        <is>
          <t>Academic debate varies by framework maturity and international adoption. For KSA-specific debate, consult: Almohammad &amp; Wills (2021) J Cybersecurity; Al-Khater et al. (2020) IEEE Access; Baker McKenzi</t>
        </is>
      </c>
      <c r="F133" s="220" t="inlineStr">
        <is>
          <t>Known criticisms include: implementation gap between standards and practice; resource constraints for smaller healthcare entities; rapid technology evolution outpacing regulation. Consult framework ev</t>
        </is>
      </c>
      <c r="G133" s="214" t="inlineStr">
        <is>
          <t>Known criticisms include: implementation gap between standards and practice; resource constraints for smaller healthcare entities; rapid technology evolution outpacing regulation. Consult framework evaluation literature for specifics.</t>
        </is>
      </c>
      <c r="H133" s="221" t="inlineStr">
        <is>
          <t>Framework comparison requires contextual analysis. Key comparators: NIST CSF 2.0 (international benchmark), ISO 27001 (certifiable standard), ECC-2 (K...</t>
        </is>
      </c>
      <c r="I133" s="224" t="inlineStr">
        <is>
          <t>Relevance to GH-ICGA framework varies by layer — see GH-ICGA Layer Mapping column. All KSA mandatory frameworks are compliance inputs to GH-ICGA Layer 4. Frameworks with IoMT-specific provisions direc...</t>
        </is>
      </c>
    </row>
    <row r="134" ht="72" customHeight="1">
      <c r="A134" s="426" t="inlineStr">
        <is>
          <t>OSH-FW</t>
        </is>
      </c>
      <c r="B134" s="45" t="inlineStr">
        <is>
          <t>Occupational Safety &amp; Health Regulations</t>
        </is>
      </c>
      <c r="C134" s="44" t="inlineStr">
        <is>
          <t>OSH</t>
        </is>
      </c>
      <c r="D134" s="447" t="inlineStr">
        <is>
          <t>MODERATE</t>
        </is>
      </c>
      <c r="E134" s="440" t="inlineStr">
        <is>
          <t>Academic debate varies by framework maturity and international adoption. For KSA-specific debate, consult: Almohammad &amp; Wills (2021) J Cybersecurity; Al-Khater et al. (2020) IEEE Access; Baker McKenzi</t>
        </is>
      </c>
      <c r="F134" s="434" t="inlineStr">
        <is>
          <t>Known criticisms include: implementation gap between standards and practice; resource constraints for smaller healthcare entities; rapid technology evolution outpacing regulation. Consult framework ev</t>
        </is>
      </c>
      <c r="G134" s="44" t="inlineStr">
        <is>
          <t>Known criticisms include: implementation gap between standards and practice; resource constraints for smaller healthcare entities; rapid technology evolution outpacing regulation. Consult framework evaluation literature for specifics.</t>
        </is>
      </c>
      <c r="H134" s="441" t="inlineStr">
        <is>
          <t>Framework comparison requires contextual analysis. Key comparators: NIST CSF 2.0 (international benchmark), ISO 27001 (certifiable standard), ECC-2 (K...</t>
        </is>
      </c>
      <c r="I134" s="426" t="inlineStr">
        <is>
          <t>Relevance to GH-ICGA framework varies by layer — see GH-ICGA Layer Mapping column. All KSA mandatory frameworks are compliance inputs to GH-ICGA Layer 4. Frameworks with IoMT-specific provisions direc...</t>
        </is>
      </c>
    </row>
    <row r="135" ht="72" customHeight="1">
      <c r="A135" s="108" t="inlineStr">
        <is>
          <t>PIF-FW</t>
        </is>
      </c>
      <c r="B135" s="99" t="inlineStr">
        <is>
          <t>Investment Framework &amp; Portfolio Standards</t>
        </is>
      </c>
      <c r="C135" s="98" t="inlineStr">
        <is>
          <t>PIF</t>
        </is>
      </c>
      <c r="D135" s="447" t="inlineStr">
        <is>
          <t>MODERATE</t>
        </is>
      </c>
      <c r="E135" s="451" t="inlineStr">
        <is>
          <t>Academic debate varies by framework maturity and international adoption. For KSA-specific debate, consult: Almohammad &amp; Wills (2021) J Cybersecurity; Al-Khater et al. (2020) IEEE Access; Baker McKenzi</t>
        </is>
      </c>
      <c r="F135" s="104" t="inlineStr">
        <is>
          <t>Known criticisms include: implementation gap between standards and practice; resource constraints for smaller healthcare entities; rapid technology evolution outpacing regulation. Consult framework ev</t>
        </is>
      </c>
      <c r="G135" s="98" t="inlineStr">
        <is>
          <t>Known criticisms include: implementation gap between standards and practice; resource constraints for smaller healthcare entities; rapid technology evolution outpacing regulation. Consult framework evaluation literature for specifics.</t>
        </is>
      </c>
      <c r="H135" s="105" t="inlineStr">
        <is>
          <t>Framework comparison requires contextual analysis. Key comparators: NIST CSF 2.0 (international benchmark), ISO 27001 (certifiable standard), ECC-2 (K...</t>
        </is>
      </c>
      <c r="I135" s="108" t="inlineStr">
        <is>
          <t>Relevance to GH-ICGA framework varies by layer — see GH-ICGA Layer Mapping column. All KSA mandatory frameworks are compliance inputs to GH-ICGA Layer 4. Frameworks with IoMT-specific provisions direc...</t>
        </is>
      </c>
    </row>
    <row r="136" ht="72" customHeight="1">
      <c r="A136" s="426" t="inlineStr">
        <is>
          <t>PPA-FW</t>
        </is>
      </c>
      <c r="B136" s="45" t="inlineStr">
        <is>
          <t>Pension Regulations for Government Employees</t>
        </is>
      </c>
      <c r="C136" s="44" t="inlineStr">
        <is>
          <t>PPA</t>
        </is>
      </c>
      <c r="D136" s="447" t="inlineStr">
        <is>
          <t>MODERATE</t>
        </is>
      </c>
      <c r="E136" s="440" t="inlineStr">
        <is>
          <t>Academic debate varies by framework maturity and international adoption. For KSA-specific debate, consult: Almohammad &amp; Wills (2021) J Cybersecurity; Al-Khater et al. (2020) IEEE Access; Baker McKenzi</t>
        </is>
      </c>
      <c r="F136" s="434" t="inlineStr">
        <is>
          <t>Known criticisms include: implementation gap between standards and practice; resource constraints for smaller healthcare entities; rapid technology evolution outpacing regulation. Consult framework ev</t>
        </is>
      </c>
      <c r="G136" s="44" t="inlineStr">
        <is>
          <t>Known criticisms include: implementation gap between standards and practice; resource constraints for smaller healthcare entities; rapid technology evolution outpacing regulation. Consult framework evaluation literature for specifics.</t>
        </is>
      </c>
      <c r="H136" s="441" t="inlineStr">
        <is>
          <t>Framework comparison requires contextual analysis. Key comparators: NIST CSF 2.0 (international benchmark), ISO 27001 (certifiable standard), ECC-2 (K...</t>
        </is>
      </c>
      <c r="I136" s="426" t="inlineStr">
        <is>
          <t>Relevance to GH-ICGA framework varies by layer — see GH-ICGA Layer Mapping column. All KSA mandatory frameworks are compliance inputs to GH-ICGA Layer 4. Frameworks with IoMT-specific provisions direc...</t>
        </is>
      </c>
    </row>
    <row r="137" ht="72" customHeight="1">
      <c r="A137" s="291" t="inlineStr">
        <is>
          <t>RCJY-FW</t>
        </is>
      </c>
      <c r="B137" s="282" t="inlineStr">
        <is>
          <t>Industrial City Standards</t>
        </is>
      </c>
      <c r="C137" s="281" t="inlineStr">
        <is>
          <t>RCJY</t>
        </is>
      </c>
      <c r="D137" s="447" t="inlineStr">
        <is>
          <t>MODERATE</t>
        </is>
      </c>
      <c r="E137" s="453" t="inlineStr">
        <is>
          <t>Academic debate varies by framework maturity and international adoption. For KSA-specific debate, consult: Almohammad &amp; Wills (2021) J Cybersecurity; Al-Khater et al. (2020) IEEE Access; Baker McKenzi</t>
        </is>
      </c>
      <c r="F137" s="287" t="inlineStr">
        <is>
          <t>Known criticisms include: implementation gap between standards and practice; resource constraints for smaller healthcare entities; rapid technology evolution outpacing regulation. Consult framework ev</t>
        </is>
      </c>
      <c r="G137" s="281" t="inlineStr">
        <is>
          <t>Known criticisms include: implementation gap between standards and practice; resource constraints for smaller healthcare entities; rapid technology evolution outpacing regulation. Consult framework evaluation literature for specifics.</t>
        </is>
      </c>
      <c r="H137" s="288" t="inlineStr">
        <is>
          <t>Framework comparison requires contextual analysis. Key comparators: NIST CSF 2.0 (international benchmark), ISO 27001 (certifiable standard), ECC-2 (K...</t>
        </is>
      </c>
      <c r="I137" s="291" t="inlineStr">
        <is>
          <t>Relevance to GH-ICGA framework varies by layer — see GH-ICGA Layer Mapping column. All KSA mandatory frameworks are compliance inputs to GH-ICGA Layer 4. Frameworks with IoMT-specific provisions direc...</t>
        </is>
      </c>
    </row>
    <row r="138" ht="72" customHeight="1">
      <c r="A138" s="426" t="inlineStr">
        <is>
          <t>RCU-FW</t>
        </is>
      </c>
      <c r="B138" s="45" t="inlineStr">
        <is>
          <t>Tourism &amp; Heritage Standards</t>
        </is>
      </c>
      <c r="C138" s="44" t="inlineStr">
        <is>
          <t>RCU</t>
        </is>
      </c>
      <c r="D138" s="447" t="inlineStr">
        <is>
          <t>MODERATE</t>
        </is>
      </c>
      <c r="E138" s="440" t="inlineStr">
        <is>
          <t>Academic debate varies by framework maturity and international adoption. For KSA-specific debate, consult: Almohammad &amp; Wills (2021) J Cybersecurity; Al-Khater et al. (2020) IEEE Access; Baker McKenzi</t>
        </is>
      </c>
      <c r="F138" s="434" t="inlineStr">
        <is>
          <t>Known criticisms include: implementation gap between standards and practice; resource constraints for smaller healthcare entities; rapid technology evolution outpacing regulation. Consult framework ev</t>
        </is>
      </c>
      <c r="G138" s="44" t="inlineStr">
        <is>
          <t>Known criticisms include: implementation gap between standards and practice; resource constraints for smaller healthcare entities; rapid technology evolution outpacing regulation. Consult framework evaluation literature for specifics.</t>
        </is>
      </c>
      <c r="H138" s="441" t="inlineStr">
        <is>
          <t>Framework comparison requires contextual analysis. Key comparators: NIST CSF 2.0 (international benchmark), ISO 27001 (certifiable standard), ECC-2 (K...</t>
        </is>
      </c>
      <c r="I138" s="426" t="inlineStr">
        <is>
          <t>Relevance to GH-ICGA framework varies by layer — see GH-ICGA Layer Mapping column. All KSA mandatory frameworks are compliance inputs to GH-ICGA Layer 4. Frameworks with IoMT-specific provisions direc...</t>
        </is>
      </c>
    </row>
    <row r="139" ht="72" customHeight="1">
      <c r="A139" s="379" t="inlineStr">
        <is>
          <t>RDA-FW</t>
        </is>
      </c>
      <c r="B139" s="370" t="inlineStr">
        <is>
          <t>Urban Development Standards</t>
        </is>
      </c>
      <c r="C139" s="369" t="inlineStr">
        <is>
          <t>RDA</t>
        </is>
      </c>
      <c r="D139" s="447" t="inlineStr">
        <is>
          <t>MODERATE</t>
        </is>
      </c>
      <c r="E139" s="448" t="inlineStr">
        <is>
          <t>Academic debate varies by framework maturity and international adoption. For KSA-specific debate, consult: Almohammad &amp; Wills (2021) J Cybersecurity; Al-Khater et al. (2020) IEEE Access; Baker McKenzi</t>
        </is>
      </c>
      <c r="F139" s="375" t="inlineStr">
        <is>
          <t>Known criticisms include: implementation gap between standards and practice; resource constraints for smaller healthcare entities; rapid technology evolution outpacing regulation. Consult framework ev</t>
        </is>
      </c>
      <c r="G139" s="369" t="inlineStr">
        <is>
          <t>Known criticisms include: implementation gap between standards and practice; resource constraints for smaller healthcare entities; rapid technology evolution outpacing regulation. Consult framework evaluation literature for specifics.</t>
        </is>
      </c>
      <c r="H139" s="376" t="inlineStr">
        <is>
          <t>Framework comparison requires contextual analysis. Key comparators: NIST CSF 2.0 (international benchmark), ISO 27001 (certifiable standard), ECC-2 (K...</t>
        </is>
      </c>
      <c r="I139" s="379" t="inlineStr">
        <is>
          <t>Relevance to GH-ICGA framework varies by layer — see GH-ICGA Layer Mapping column. All KSA mandatory frameworks are compliance inputs to GH-ICGA Layer 4. Frameworks with IoMT-specific provisions direc...</t>
        </is>
      </c>
    </row>
    <row r="140" ht="72" customHeight="1">
      <c r="A140" s="426" t="inlineStr">
        <is>
          <t>RDIA-FW</t>
        </is>
      </c>
      <c r="B140" s="45" t="inlineStr">
        <is>
          <t>R&amp;D Framework</t>
        </is>
      </c>
      <c r="C140" s="44" t="inlineStr">
        <is>
          <t>RDIA</t>
        </is>
      </c>
      <c r="D140" s="447" t="inlineStr">
        <is>
          <t>MODERATE</t>
        </is>
      </c>
      <c r="E140" s="440" t="inlineStr">
        <is>
          <t>Academic debate varies by framework maturity and international adoption. For KSA-specific debate, consult: Almohammad &amp; Wills (2021) J Cybersecurity; Al-Khater et al. (2020) IEEE Access; Baker McKenzi</t>
        </is>
      </c>
      <c r="F140" s="434" t="inlineStr">
        <is>
          <t>Known criticisms include: implementation gap between standards and practice; resource constraints for smaller healthcare entities; rapid technology evolution outpacing regulation. Consult framework ev</t>
        </is>
      </c>
      <c r="G140" s="44" t="inlineStr">
        <is>
          <t>Known criticisms include: implementation gap between standards and practice; resource constraints for smaller healthcare entities; rapid technology evolution outpacing regulation. Consult framework evaluation literature for specifics.</t>
        </is>
      </c>
      <c r="H140" s="441" t="inlineStr">
        <is>
          <t>Framework comparison requires contextual analysis. Key comparators: NIST CSF 2.0 (international benchmark), ISO 27001 (certifiable standard), ECC-2 (K...</t>
        </is>
      </c>
      <c r="I140" s="426" t="inlineStr">
        <is>
          <t>Relevance to GH-ICGA framework varies by layer — see GH-ICGA Layer Mapping column. All KSA mandatory frameworks are compliance inputs to GH-ICGA Layer 4. Frameworks with IoMT-specific provisions direc...</t>
        </is>
      </c>
    </row>
    <row r="141" ht="72" customHeight="1">
      <c r="A141" s="108" t="inlineStr">
        <is>
          <t>REDF-FW</t>
        </is>
      </c>
      <c r="B141" s="99" t="inlineStr">
        <is>
          <t>Real Estate Lending Regulations</t>
        </is>
      </c>
      <c r="C141" s="98" t="inlineStr">
        <is>
          <t>REDF</t>
        </is>
      </c>
      <c r="D141" s="447" t="inlineStr">
        <is>
          <t>MODERATE</t>
        </is>
      </c>
      <c r="E141" s="451" t="inlineStr">
        <is>
          <t>Academic debate varies by framework maturity and international adoption. For KSA-specific debate, consult: Almohammad &amp; Wills (2021) J Cybersecurity; Al-Khater et al. (2020) IEEE Access; Baker McKenzi</t>
        </is>
      </c>
      <c r="F141" s="104" t="inlineStr">
        <is>
          <t>Known criticisms include: implementation gap between standards and practice; resource constraints for smaller healthcare entities; rapid technology evolution outpacing regulation. Consult framework ev</t>
        </is>
      </c>
      <c r="G141" s="98" t="inlineStr">
        <is>
          <t>Known criticisms include: implementation gap between standards and practice; resource constraints for smaller healthcare entities; rapid technology evolution outpacing regulation. Consult framework evaluation literature for specifics.</t>
        </is>
      </c>
      <c r="H141" s="105" t="inlineStr">
        <is>
          <t>Framework comparison requires contextual analysis. Key comparators: NIST CSF 2.0 (international benchmark), ISO 27001 (certifiable standard), ECC-2 (K...</t>
        </is>
      </c>
      <c r="I141" s="108" t="inlineStr">
        <is>
          <t>Relevance to GH-ICGA framework varies by layer — see GH-ICGA Layer Mapping column. All KSA mandatory frameworks are compliance inputs to GH-ICGA Layer 4. Frameworks with IoMT-specific provisions direc...</t>
        </is>
      </c>
    </row>
    <row r="142" ht="72" customHeight="1">
      <c r="A142" s="426" t="inlineStr">
        <is>
          <t>SAAC-FW</t>
        </is>
      </c>
      <c r="B142" s="45" t="inlineStr">
        <is>
          <t>Lab &amp; Inspection Body Accreditation (ISO 17025)</t>
        </is>
      </c>
      <c r="C142" s="44" t="inlineStr">
        <is>
          <t>SAAC</t>
        </is>
      </c>
      <c r="D142" s="447" t="inlineStr">
        <is>
          <t>MODERATE</t>
        </is>
      </c>
      <c r="E142" s="440" t="inlineStr">
        <is>
          <t>Academic debate varies by framework maturity and international adoption. For KSA-specific debate, consult: Almohammad &amp; Wills (2021) J Cybersecurity; Al-Khater et al. (2020) IEEE Access; Baker McKenzi</t>
        </is>
      </c>
      <c r="F142" s="434" t="inlineStr">
        <is>
          <t>Known criticisms include: implementation gap between standards and practice; resource constraints for smaller healthcare entities; rapid technology evolution outpacing regulation. Consult framework ev</t>
        </is>
      </c>
      <c r="G142" s="44" t="inlineStr">
        <is>
          <t>Known criticisms include: implementation gap between standards and practice; resource constraints for smaller healthcare entities; rapid technology evolution outpacing regulation. Consult framework evaluation literature for specifics.</t>
        </is>
      </c>
      <c r="H142" s="441" t="inlineStr">
        <is>
          <t>Framework comparison requires contextual analysis. Key comparators: NIST CSF 2.0 (international benchmark), ISO 27001 (certifiable standard), ECC-2 (K...</t>
        </is>
      </c>
      <c r="I142" s="426" t="inlineStr">
        <is>
          <t>Relevance to GH-ICGA framework varies by layer — see GH-ICGA Layer Mapping column. All KSA mandatory frameworks are compliance inputs to GH-ICGA Layer 4. Frameworks with IoMT-specific provisions direc...</t>
        </is>
      </c>
    </row>
    <row r="143" ht="72" customHeight="1">
      <c r="A143" s="178" t="inlineStr">
        <is>
          <t>SAFCSP-FW</t>
        </is>
      </c>
      <c r="B143" s="169" t="inlineStr">
        <is>
          <t>IFRS &amp; Auditing Standards</t>
        </is>
      </c>
      <c r="C143" s="168" t="inlineStr">
        <is>
          <t>SAFCSP</t>
        </is>
      </c>
      <c r="D143" s="447" t="inlineStr">
        <is>
          <t>MODERATE</t>
        </is>
      </c>
      <c r="E143" s="446" t="inlineStr">
        <is>
          <t>Academic debate varies by framework maturity and international adoption. For KSA-specific debate, consult: Almohammad &amp; Wills (2021) J Cybersecurity; Al-Khater et al. (2020) IEEE Access; Baker McKenzi</t>
        </is>
      </c>
      <c r="F143" s="174" t="inlineStr">
        <is>
          <t>Known criticisms include: implementation gap between standards and practice; resource constraints for smaller healthcare entities; rapid technology evolution outpacing regulation. Consult framework ev</t>
        </is>
      </c>
      <c r="G143" s="168" t="inlineStr">
        <is>
          <t>Known criticisms include: implementation gap between standards and practice; resource constraints for smaller healthcare entities; rapid technology evolution outpacing regulation. Consult framework evaluation literature for specifics.</t>
        </is>
      </c>
      <c r="H143" s="175" t="inlineStr">
        <is>
          <t>Framework comparison requires contextual analysis. Key comparators: NIST CSF 2.0 (international benchmark), ISO 27001 (certifiable standard), ECC-2 (K...</t>
        </is>
      </c>
      <c r="I143" s="178" t="inlineStr">
        <is>
          <t>Relevance to GH-ICGA framework varies by layer — see GH-ICGA Layer Mapping column. All KSA mandatory frameworks are compliance inputs to GH-ICGA Layer 4. Frameworks with IoMT-specific provisions direc...</t>
        </is>
      </c>
    </row>
    <row r="144" ht="72" customHeight="1">
      <c r="A144" s="426" t="inlineStr">
        <is>
          <t>SAIP-FW</t>
        </is>
      </c>
      <c r="B144" s="45" t="inlineStr">
        <is>
          <t>IP &amp; Patent Law</t>
        </is>
      </c>
      <c r="C144" s="44" t="inlineStr">
        <is>
          <t>SAIP</t>
        </is>
      </c>
      <c r="D144" s="447" t="inlineStr">
        <is>
          <t>MODERATE</t>
        </is>
      </c>
      <c r="E144" s="440" t="inlineStr">
        <is>
          <t>Academic debate varies by framework maturity and international adoption. For KSA-specific debate, consult: Almohammad &amp; Wills (2021) J Cybersecurity; Al-Khater et al. (2020) IEEE Access; Baker McKenzi</t>
        </is>
      </c>
      <c r="F144" s="434" t="inlineStr">
        <is>
          <t>Known criticisms include: implementation gap between standards and practice; resource constraints for smaller healthcare entities; rapid technology evolution outpacing regulation. Consult framework ev</t>
        </is>
      </c>
      <c r="G144" s="44" t="inlineStr">
        <is>
          <t>Known criticisms include: implementation gap between standards and practice; resource constraints for smaller healthcare entities; rapid technology evolution outpacing regulation. Consult framework evaluation literature for specifics.</t>
        </is>
      </c>
      <c r="H144" s="441" t="inlineStr">
        <is>
          <t>Framework comparison requires contextual analysis. Key comparators: NIST CSF 2.0 (international benchmark), ISO 27001 (certifiable standard), ECC-2 (K...</t>
        </is>
      </c>
      <c r="I144" s="426" t="inlineStr">
        <is>
          <t>Relevance to GH-ICGA framework varies by layer — see GH-ICGA Layer Mapping column. All KSA mandatory frameworks are compliance inputs to GH-ICGA Layer 4. Frameworks with IoMT-specific provisions direc...</t>
        </is>
      </c>
    </row>
    <row r="145" ht="72" customHeight="1">
      <c r="A145" s="108" t="inlineStr">
        <is>
          <t>SAMA-BCM</t>
        </is>
      </c>
      <c r="B145" s="99" t="inlineStr">
        <is>
          <t>Business Continuity Management Framework</t>
        </is>
      </c>
      <c r="C145" s="98" t="inlineStr">
        <is>
          <t>SAMA</t>
        </is>
      </c>
      <c r="D145" s="447" t="inlineStr">
        <is>
          <t>MODERATE</t>
        </is>
      </c>
      <c r="E145" s="451" t="inlineStr">
        <is>
          <t>Academic debate varies by framework maturity and international adoption. For KSA-specific debate, consult: Almohammad &amp; Wills (2021) J Cybersecurity; Al-Khater et al. (2020) IEEE Access; Baker McKenzi</t>
        </is>
      </c>
      <c r="F145" s="104" t="inlineStr">
        <is>
          <t>Known criticisms include: implementation gap between standards and practice; resource constraints for smaller healthcare entities; rapid technology evolution outpacing regulation. Consult framework ev</t>
        </is>
      </c>
      <c r="G145" s="98" t="inlineStr">
        <is>
          <t>Known criticisms include: implementation gap between standards and practice; resource constraints for smaller healthcare entities; rapid technology evolution outpacing regulation. Consult framework evaluation literature for specifics.</t>
        </is>
      </c>
      <c r="H145" s="105" t="inlineStr">
        <is>
          <t>Framework comparison requires contextual analysis. Key comparators: NIST CSF 2.0 (international benchmark), ISO 27001 (certifiable standard), ECC-2 (K...</t>
        </is>
      </c>
      <c r="I145" s="108" t="inlineStr">
        <is>
          <t>Relevance to GH-ICGA framework varies by layer — see GH-ICGA Layer Mapping column. All KSA mandatory frameworks are compliance inputs to GH-ICGA Layer 4. Frameworks with IoMT-specific provisions direc...</t>
        </is>
      </c>
    </row>
    <row r="146" ht="72" customHeight="1">
      <c r="A146" s="426" t="inlineStr">
        <is>
          <t>SAMA-CCP</t>
        </is>
      </c>
      <c r="B146" s="45" t="inlineStr">
        <is>
          <t>Consumer/Customer Protection Principles</t>
        </is>
      </c>
      <c r="C146" s="44" t="inlineStr">
        <is>
          <t>SAMA</t>
        </is>
      </c>
      <c r="D146" s="447" t="inlineStr">
        <is>
          <t>MODERATE</t>
        </is>
      </c>
      <c r="E146" s="440" t="inlineStr">
        <is>
          <t>Academic debate varies by framework maturity and international adoption. For KSA-specific debate, consult: Almohammad &amp; Wills (2021) J Cybersecurity; Al-Khater et al. (2020) IEEE Access; Baker McKenzi</t>
        </is>
      </c>
      <c r="F146" s="434" t="inlineStr">
        <is>
          <t>Known criticisms include: implementation gap between standards and practice; resource constraints for smaller healthcare entities; rapid technology evolution outpacing regulation. Consult framework ev</t>
        </is>
      </c>
      <c r="G146" s="44" t="inlineStr">
        <is>
          <t>Known criticisms include: implementation gap between standards and practice; resource constraints for smaller healthcare entities; rapid technology evolution outpacing regulation. Consult framework evaluation literature for specifics.</t>
        </is>
      </c>
      <c r="H146" s="441" t="inlineStr">
        <is>
          <t>Framework comparison requires contextual analysis. Key comparators: NIST CSF 2.0 (international benchmark), ISO 27001 (certifiable standard), ECC-2 (K...</t>
        </is>
      </c>
      <c r="I146" s="426" t="inlineStr">
        <is>
          <t>Relevance to GH-ICGA framework varies by layer — see GH-ICGA Layer Mapping column. All KSA mandatory frameworks are compliance inputs to GH-ICGA Layer 4. Frameworks with IoMT-specific provisions direc...</t>
        </is>
      </c>
    </row>
    <row r="147" ht="72" customHeight="1">
      <c r="A147" s="108" t="inlineStr">
        <is>
          <t>SAMA-CLOUD</t>
        </is>
      </c>
      <c r="B147" s="99" t="inlineStr">
        <is>
          <t>Cloud Computing Policy</t>
        </is>
      </c>
      <c r="C147" s="98" t="inlineStr">
        <is>
          <t>SAMA</t>
        </is>
      </c>
      <c r="D147" s="447" t="inlineStr">
        <is>
          <t>MODERATE</t>
        </is>
      </c>
      <c r="E147" s="451" t="inlineStr">
        <is>
          <t>Academic debate varies by framework maturity and international adoption. For KSA-specific debate, consult: Almohammad &amp; Wills (2021) J Cybersecurity; Al-Khater et al. (2020) IEEE Access; Baker McKenzi</t>
        </is>
      </c>
      <c r="F147" s="104" t="inlineStr">
        <is>
          <t>Known criticisms include: implementation gap between standards and practice; resource constraints for smaller healthcare entities; rapid technology evolution outpacing regulation. Consult framework ev</t>
        </is>
      </c>
      <c r="G147" s="98" t="inlineStr">
        <is>
          <t>Known criticisms include: implementation gap between standards and practice; resource constraints for smaller healthcare entities; rapid technology evolution outpacing regulation. Consult framework evaluation literature for specifics.</t>
        </is>
      </c>
      <c r="H147" s="105" t="inlineStr">
        <is>
          <t>Framework comparison requires contextual analysis. Key comparators: NIST CSF 2.0 (international benchmark), ISO 27001 (certifiable standard), ECC-2 (K...</t>
        </is>
      </c>
      <c r="I147" s="108" t="inlineStr">
        <is>
          <t>Relevance to GH-ICGA framework varies by layer — see GH-ICGA Layer Mapping column. All KSA mandatory frameworks are compliance inputs to GH-ICGA Layer 4. Frameworks with IoMT-specific provisions direc...</t>
        </is>
      </c>
    </row>
    <row r="148" ht="72" customHeight="1">
      <c r="A148" s="426" t="inlineStr">
        <is>
          <t>SASO-METRO</t>
        </is>
      </c>
      <c r="B148" s="45" t="inlineStr">
        <is>
          <t>Metrology Regulations</t>
        </is>
      </c>
      <c r="C148" s="44" t="inlineStr">
        <is>
          <t>SASO</t>
        </is>
      </c>
      <c r="D148" s="447" t="inlineStr">
        <is>
          <t>MODERATE</t>
        </is>
      </c>
      <c r="E148" s="440" t="inlineStr">
        <is>
          <t>Academic debate varies by framework maturity and international adoption. For KSA-specific debate, consult: Almohammad &amp; Wills (2021) J Cybersecurity; Al-Khater et al. (2020) IEEE Access; Baker McKenzi</t>
        </is>
      </c>
      <c r="F148" s="434" t="inlineStr">
        <is>
          <t>Known criticisms include: implementation gap between standards and practice; resource constraints for smaller healthcare entities; rapid technology evolution outpacing regulation. Consult framework ev</t>
        </is>
      </c>
      <c r="G148" s="44" t="inlineStr">
        <is>
          <t>Known criticisms include: implementation gap between standards and practice; resource constraints for smaller healthcare entities; rapid technology evolution outpacing regulation. Consult framework evaluation literature for specifics.</t>
        </is>
      </c>
      <c r="H148" s="441" t="inlineStr">
        <is>
          <t>Framework comparison requires contextual analysis. Key comparators: NIST CSF 2.0 (international benchmark), ISO 27001 (certifiable standard), ECC-2 (K...</t>
        </is>
      </c>
      <c r="I148" s="426" t="inlineStr">
        <is>
          <t>Relevance to GH-ICGA framework varies by layer — see GH-ICGA Layer Mapping column. All KSA mandatory frameworks are compliance inputs to GH-ICGA Layer 4. Frameworks with IoMT-specific provisions direc...</t>
        </is>
      </c>
    </row>
    <row r="149" ht="72" customHeight="1">
      <c r="A149" s="401" t="inlineStr">
        <is>
          <t>SBC-FW</t>
        </is>
      </c>
      <c r="B149" s="392" t="inlineStr">
        <is>
          <t>Business Registration &amp; Licensing Standards</t>
        </is>
      </c>
      <c r="C149" s="391" t="inlineStr">
        <is>
          <t>SBC</t>
        </is>
      </c>
      <c r="D149" s="447" t="inlineStr">
        <is>
          <t>MODERATE</t>
        </is>
      </c>
      <c r="E149" s="454" t="inlineStr">
        <is>
          <t>Academic debate varies by framework maturity and international adoption. For KSA-specific debate, consult: Almohammad &amp; Wills (2021) J Cybersecurity; Al-Khater et al. (2020) IEEE Access; Baker McKenzi</t>
        </is>
      </c>
      <c r="F149" s="397" t="inlineStr">
        <is>
          <t>Known criticisms include: implementation gap between standards and practice; resource constraints for smaller healthcare entities; rapid technology evolution outpacing regulation. Consult framework ev</t>
        </is>
      </c>
      <c r="G149" s="391" t="inlineStr">
        <is>
          <t>Known criticisms include: implementation gap between standards and practice; resource constraints for smaller healthcare entities; rapid technology evolution outpacing regulation. Consult framework evaluation literature for specifics.</t>
        </is>
      </c>
      <c r="H149" s="398" t="inlineStr">
        <is>
          <t>Framework comparison requires contextual analysis. Key comparators: NIST CSF 2.0 (international benchmark), ISO 27001 (certifiable standard), ECC-2 (K...</t>
        </is>
      </c>
      <c r="I149" s="401" t="inlineStr">
        <is>
          <t>Relevance to GH-ICGA framework varies by layer — see GH-ICGA Layer Mapping column. All KSA mandatory frameworks are compliance inputs to GH-ICGA Layer 4. Frameworks with IoMT-specific provisions direc...</t>
        </is>
      </c>
    </row>
    <row r="150" ht="72" customHeight="1">
      <c r="A150" s="426" t="inlineStr">
        <is>
          <t>SCEBA-FW</t>
        </is>
      </c>
      <c r="B150" s="45" t="inlineStr">
        <is>
          <t>Clinical Practice Guidelines &amp; HTA Regulations</t>
        </is>
      </c>
      <c r="C150" s="44" t="inlineStr">
        <is>
          <t>SCEBA</t>
        </is>
      </c>
      <c r="D150" s="447" t="inlineStr">
        <is>
          <t>MODERATE</t>
        </is>
      </c>
      <c r="E150" s="440" t="inlineStr">
        <is>
          <t>Academic debate varies by framework maturity and international adoption. For KSA-specific debate, consult: Almohammad &amp; Wills (2021) J Cybersecurity; Al-Khater et al. (2020) IEEE Access; Baker McKenzi</t>
        </is>
      </c>
      <c r="F150" s="434" t="inlineStr">
        <is>
          <t>Known criticisms include: implementation gap between standards and practice; resource constraints for smaller healthcare entities; rapid technology evolution outpacing regulation. Consult framework ev</t>
        </is>
      </c>
      <c r="G150" s="44" t="inlineStr">
        <is>
          <t>Known criticisms include: implementation gap between standards and practice; resource constraints for smaller healthcare entities; rapid technology evolution outpacing regulation. Consult framework evaluation literature for specifics.</t>
        </is>
      </c>
      <c r="H150" s="441" t="inlineStr">
        <is>
          <t>Framework comparison requires contextual analysis. Key comparators: NIST CSF 2.0 (international benchmark), ISO 27001 (certifiable standard), ECC-2 (K...</t>
        </is>
      </c>
      <c r="I150" s="426" t="inlineStr">
        <is>
          <t>Relevance to GH-ICGA framework varies by layer — see GH-ICGA Layer Mapping column. All KSA mandatory frameworks are compliance inputs to GH-ICGA Layer 4. Frameworks with IoMT-specific provisions direc...</t>
        </is>
      </c>
    </row>
    <row r="151" ht="72" customHeight="1">
      <c r="A151" s="77" t="inlineStr">
        <is>
          <t>SCFHS-INTL</t>
        </is>
      </c>
      <c r="B151" s="72" t="inlineStr">
        <is>
          <t>International Credential Verification</t>
        </is>
      </c>
      <c r="C151" s="70" t="inlineStr">
        <is>
          <t>SCFHS</t>
        </is>
      </c>
      <c r="D151" s="447" t="inlineStr">
        <is>
          <t>MODERATE</t>
        </is>
      </c>
      <c r="E151" s="443" t="inlineStr">
        <is>
          <t>Academic debate varies by framework maturity and international adoption. For KSA-specific debate, consult: Almohammad &amp; Wills (2021) J Cybersecurity; Al-Khater et al. (2020) IEEE Access; Baker McKenzi</t>
        </is>
      </c>
      <c r="F151" s="74" t="inlineStr">
        <is>
          <t>Known criticisms include: implementation gap between standards and practice; resource constraints for smaller healthcare entities; rapid technology evolution outpacing regulation. Consult framework ev</t>
        </is>
      </c>
      <c r="G151" s="70" t="inlineStr">
        <is>
          <t>Known criticisms include: implementation gap between standards and practice; resource constraints for smaller healthcare entities; rapid technology evolution outpacing regulation. Consult framework evaluation literature for specifics.</t>
        </is>
      </c>
      <c r="H151" s="75" t="inlineStr">
        <is>
          <t>Framework comparison requires contextual analysis. Key comparators: NIST CSF 2.0 (international benchmark), ISO 27001 (certifiable standard), ECC-2 (K...</t>
        </is>
      </c>
      <c r="I151" s="77" t="inlineStr">
        <is>
          <t>Relevance to GH-ICGA framework varies by layer — see GH-ICGA Layer Mapping column. All KSA mandatory frameworks are compliance inputs to GH-ICGA Layer 4. Frameworks with IoMT-specific provisions direc...</t>
        </is>
      </c>
    </row>
    <row r="152" ht="72" customHeight="1">
      <c r="A152" s="426" t="inlineStr">
        <is>
          <t>SCFHS-SBOARD</t>
        </is>
      </c>
      <c r="B152" s="45" t="inlineStr">
        <is>
          <t>Saudi Board Postgraduate Education Standards</t>
        </is>
      </c>
      <c r="C152" s="44" t="inlineStr">
        <is>
          <t>SCFHS</t>
        </is>
      </c>
      <c r="D152" s="447" t="inlineStr">
        <is>
          <t>MODERATE</t>
        </is>
      </c>
      <c r="E152" s="440" t="inlineStr">
        <is>
          <t>Academic debate varies by framework maturity and international adoption. For KSA-specific debate, consult: Almohammad &amp; Wills (2021) J Cybersecurity; Al-Khater et al. (2020) IEEE Access; Baker McKenzi</t>
        </is>
      </c>
      <c r="F152" s="434" t="inlineStr">
        <is>
          <t>Known criticisms include: implementation gap between standards and practice; resource constraints for smaller healthcare entities; rapid technology evolution outpacing regulation. Consult framework ev</t>
        </is>
      </c>
      <c r="G152" s="44" t="inlineStr">
        <is>
          <t>Known criticisms include: implementation gap between standards and practice; resource constraints for smaller healthcare entities; rapid technology evolution outpacing regulation. Consult framework evaluation literature for specifics.</t>
        </is>
      </c>
      <c r="H152" s="441" t="inlineStr">
        <is>
          <t>Framework comparison requires contextual analysis. Key comparators: NIST CSF 2.0 (international benchmark), ISO 27001 (certifiable standard), ECC-2 (K...</t>
        </is>
      </c>
      <c r="I152" s="426" t="inlineStr">
        <is>
          <t>Relevance to GH-ICGA framework varies by layer — see GH-ICGA Layer Mapping column. All KSA mandatory frameworks are compliance inputs to GH-ICGA Layer 4. Frameworks with IoMT-specific provisions direc...</t>
        </is>
      </c>
    </row>
    <row r="153" ht="72" customHeight="1">
      <c r="A153" s="77" t="inlineStr">
        <is>
          <t>SCFHS-SCRUT</t>
        </is>
      </c>
      <c r="B153" s="72" t="inlineStr">
        <is>
          <t>Scrutiny &amp; Malpractice Procedures</t>
        </is>
      </c>
      <c r="C153" s="70" t="inlineStr">
        <is>
          <t>SCFHS</t>
        </is>
      </c>
      <c r="D153" s="447" t="inlineStr">
        <is>
          <t>MODERATE</t>
        </is>
      </c>
      <c r="E153" s="443" t="inlineStr">
        <is>
          <t>Academic debate varies by framework maturity and international adoption. For KSA-specific debate, consult: Almohammad &amp; Wills (2021) J Cybersecurity; Al-Khater et al. (2020) IEEE Access; Baker McKenzi</t>
        </is>
      </c>
      <c r="F153" s="74" t="inlineStr">
        <is>
          <t>Known criticisms include: implementation gap between standards and practice; resource constraints for smaller healthcare entities; rapid technology evolution outpacing regulation. Consult framework ev</t>
        </is>
      </c>
      <c r="G153" s="70" t="inlineStr">
        <is>
          <t>Known criticisms include: implementation gap between standards and practice; resource constraints for smaller healthcare entities; rapid technology evolution outpacing regulation. Consult framework evaluation literature for specifics.</t>
        </is>
      </c>
      <c r="H153" s="75" t="inlineStr">
        <is>
          <t>Framework comparison requires contextual analysis. Key comparators: NIST CSF 2.0 (international benchmark), ISO 27001 (certifiable standard), ECC-2 (K...</t>
        </is>
      </c>
      <c r="I153" s="77" t="inlineStr">
        <is>
          <t>Relevance to GH-ICGA framework varies by layer — see GH-ICGA Layer Mapping column. All KSA mandatory frameworks are compliance inputs to GH-ICGA Layer 4. Frameworks with IoMT-specific provisions direc...</t>
        </is>
      </c>
    </row>
    <row r="154" ht="72" customHeight="1">
      <c r="A154" s="426" t="inlineStr">
        <is>
          <t>SDAIA-AI-ADO</t>
        </is>
      </c>
      <c r="B154" s="45" t="inlineStr">
        <is>
          <t>AI Adoption Framework</t>
        </is>
      </c>
      <c r="C154" s="44" t="inlineStr">
        <is>
          <t>SDAIA</t>
        </is>
      </c>
      <c r="D154" s="447" t="inlineStr">
        <is>
          <t>MODERATE</t>
        </is>
      </c>
      <c r="E154" s="440" t="inlineStr">
        <is>
          <t>Academic debate varies by framework maturity and international adoption. For KSA-specific debate, consult: Almohammad &amp; Wills (2021) J Cybersecurity; Al-Khater et al. (2020) IEEE Access; Baker McKenzi</t>
        </is>
      </c>
      <c r="F154" s="434" t="inlineStr">
        <is>
          <t>Known criticisms include: implementation gap between standards and practice; resource constraints for smaller healthcare entities; rapid technology evolution outpacing regulation. Consult framework ev</t>
        </is>
      </c>
      <c r="G154" s="44" t="inlineStr">
        <is>
          <t>Known criticisms include: implementation gap between standards and practice; resource constraints for smaller healthcare entities; rapid technology evolution outpacing regulation. Consult framework evaluation literature for specifics.</t>
        </is>
      </c>
      <c r="H154" s="441" t="inlineStr">
        <is>
          <t>Framework comparison requires contextual analysis. Key comparators: NIST CSF 2.0 (international benchmark), ISO 27001 (certifiable standard), ECC-2 (K...</t>
        </is>
      </c>
      <c r="I154" s="426" t="inlineStr">
        <is>
          <t>Relevance to GH-ICGA framework varies by layer — see GH-ICGA Layer Mapping column. All KSA mandatory frameworks are compliance inputs to GH-ICGA Layer 4. Frameworks with IoMT-specific provisions direc...</t>
        </is>
      </c>
    </row>
    <row r="155" ht="72" customHeight="1">
      <c r="A155" s="33" t="inlineStr">
        <is>
          <t>SDAIA-AI-ETH</t>
        </is>
      </c>
      <c r="B155" s="20" t="inlineStr">
        <is>
          <t>AI Ethics Principles (2nd Ed.)</t>
        </is>
      </c>
      <c r="C155" s="19" t="inlineStr">
        <is>
          <t>SDAIA</t>
        </is>
      </c>
      <c r="D155" s="447" t="inlineStr">
        <is>
          <t>MODERATE</t>
        </is>
      </c>
      <c r="E155" s="444" t="inlineStr">
        <is>
          <t>Academic debate varies by framework maturity and international adoption. For KSA-specific debate, consult: Almohammad &amp; Wills (2021) J Cybersecurity; Al-Khater et al. (2020) IEEE Access; Baker McKenzi</t>
        </is>
      </c>
      <c r="F155" s="29" t="inlineStr">
        <is>
          <t>Known criticisms include: implementation gap between standards and practice; resource constraints for smaller healthcare entities; rapid technology evolution outpacing regulation. Consult framework ev</t>
        </is>
      </c>
      <c r="G155" s="19" t="inlineStr">
        <is>
          <t>Known criticisms include: implementation gap between standards and practice; resource constraints for smaller healthcare entities; rapid technology evolution outpacing regulation. Consult framework evaluation literature for specifics.</t>
        </is>
      </c>
      <c r="H155" s="30" t="inlineStr">
        <is>
          <t>Framework comparison requires contextual analysis. Key comparators: NIST CSF 2.0 (international benchmark), ISO 27001 (certifiable standard), ECC-2 (K...</t>
        </is>
      </c>
      <c r="I155" s="33" t="inlineStr">
        <is>
          <t>Relevance to GH-ICGA framework varies by layer — see GH-ICGA Layer Mapping column. All KSA mandatory frameworks are compliance inputs to GH-ICGA Layer 4. Frameworks with IoMT-specific provisions direc...</t>
        </is>
      </c>
    </row>
    <row r="156" ht="72" customHeight="1">
      <c r="A156" s="426" t="inlineStr">
        <is>
          <t>SDAIA-GENAI</t>
        </is>
      </c>
      <c r="B156" s="45" t="inlineStr">
        <is>
          <t>Generative AI Guidelines</t>
        </is>
      </c>
      <c r="C156" s="44" t="inlineStr">
        <is>
          <t>SDAIA</t>
        </is>
      </c>
      <c r="D156" s="447" t="inlineStr">
        <is>
          <t>MODERATE</t>
        </is>
      </c>
      <c r="E156" s="440" t="inlineStr">
        <is>
          <t>Academic debate varies by framework maturity and international adoption. For KSA-specific debate, consult: Almohammad &amp; Wills (2021) J Cybersecurity; Al-Khater et al. (2020) IEEE Access; Baker McKenzi</t>
        </is>
      </c>
      <c r="F156" s="434" t="inlineStr">
        <is>
          <t>Known criticisms include: implementation gap between standards and practice; resource constraints for smaller healthcare entities; rapid technology evolution outpacing regulation. Consult framework ev</t>
        </is>
      </c>
      <c r="G156" s="44" t="inlineStr">
        <is>
          <t>Known criticisms include: implementation gap between standards and practice; resource constraints for smaller healthcare entities; rapid technology evolution outpacing regulation. Consult framework evaluation literature for specifics.</t>
        </is>
      </c>
      <c r="H156" s="441" t="inlineStr">
        <is>
          <t>Framework comparison requires contextual analysis. Key comparators: NIST CSF 2.0 (international benchmark), ISO 27001 (certifiable standard), ECC-2 (K...</t>
        </is>
      </c>
      <c r="I156" s="426" t="inlineStr">
        <is>
          <t>Relevance to GH-ICGA framework varies by layer — see GH-ICGA Layer Mapping column. All KSA mandatory frameworks are compliance inputs to GH-ICGA Layer 4. Frameworks with IoMT-specific provisions direc...</t>
        </is>
      </c>
    </row>
    <row r="157" ht="72" customHeight="1">
      <c r="A157" s="77" t="inlineStr">
        <is>
          <t>SEHA-FW</t>
        </is>
      </c>
      <c r="B157" s="72" t="inlineStr">
        <is>
          <t>Seha Telemedicine &amp; Remote IoMT Standards</t>
        </is>
      </c>
      <c r="C157" s="70" t="inlineStr">
        <is>
          <t>SEHA</t>
        </is>
      </c>
      <c r="D157" s="447" t="inlineStr">
        <is>
          <t>MODERATE</t>
        </is>
      </c>
      <c r="E157" s="443" t="inlineStr">
        <is>
          <t>Academic debate varies by framework maturity and international adoption. For KSA-specific debate, consult: Almohammad &amp; Wills (2021) J Cybersecurity; Al-Khater et al. (2020) IEEE Access; Baker McKenzi</t>
        </is>
      </c>
      <c r="F157" s="74" t="inlineStr">
        <is>
          <t>Known criticisms include: implementation gap between standards and practice; resource constraints for smaller healthcare entities; rapid technology evolution outpacing regulation. Consult framework ev</t>
        </is>
      </c>
      <c r="G157" s="70" t="inlineStr">
        <is>
          <t>Known criticisms include: implementation gap between standards and practice; resource constraints for smaller healthcare entities; rapid technology evolution outpacing regulation. Consult framework evaluation literature for specifics.</t>
        </is>
      </c>
      <c r="H157" s="75" t="inlineStr">
        <is>
          <t>Framework comparison requires contextual analysis. Key comparators: NIST CSF 2.0 (international benchmark), ISO 27001 (certifiable standard), ECC-2 (K...</t>
        </is>
      </c>
      <c r="I157" s="77" t="inlineStr">
        <is>
          <t>Relevance to GH-ICGA framework varies by layer — see GH-ICGA Layer Mapping column. All KSA mandatory frameworks are compliance inputs to GH-ICGA Layer 4. Frameworks with IoMT-specific provisions direc...</t>
        </is>
      </c>
    </row>
    <row r="158" ht="72" customHeight="1">
      <c r="A158" s="426" t="inlineStr">
        <is>
          <t>SFD-FW</t>
        </is>
      </c>
      <c r="B158" s="45" t="inlineStr">
        <is>
          <t>Development Finance Regulations</t>
        </is>
      </c>
      <c r="C158" s="44" t="inlineStr">
        <is>
          <t>SFD</t>
        </is>
      </c>
      <c r="D158" s="447" t="inlineStr">
        <is>
          <t>MODERATE</t>
        </is>
      </c>
      <c r="E158" s="440" t="inlineStr">
        <is>
          <t>Academic debate varies by framework maturity and international adoption. For KSA-specific debate, consult: Almohammad &amp; Wills (2021) J Cybersecurity; Al-Khater et al. (2020) IEEE Access; Baker McKenzi</t>
        </is>
      </c>
      <c r="F158" s="434" t="inlineStr">
        <is>
          <t>Known criticisms include: implementation gap between standards and practice; resource constraints for smaller healthcare entities; rapid technology evolution outpacing regulation. Consult framework ev</t>
        </is>
      </c>
      <c r="G158" s="44" t="inlineStr">
        <is>
          <t>Known criticisms include: implementation gap between standards and practice; resource constraints for smaller healthcare entities; rapid technology evolution outpacing regulation. Consult framework evaluation literature for specifics.</t>
        </is>
      </c>
      <c r="H158" s="441" t="inlineStr">
        <is>
          <t>Framework comparison requires contextual analysis. Key comparators: NIST CSF 2.0 (international benchmark), ISO 27001 (certifiable standard), ECC-2 (K...</t>
        </is>
      </c>
      <c r="I158" s="426" t="inlineStr">
        <is>
          <t>Relevance to GH-ICGA framework varies by layer — see GH-ICGA Layer Mapping column. All KSA mandatory frameworks are compliance inputs to GH-ICGA Layer 4. Frameworks with IoMT-specific provisions direc...</t>
        </is>
      </c>
    </row>
    <row r="159" ht="72" customHeight="1">
      <c r="A159" s="77" t="inlineStr">
        <is>
          <t>SHC-NHAP</t>
        </is>
      </c>
      <c r="B159" s="72" t="inlineStr">
        <is>
          <t>National Health Accounts Programme</t>
        </is>
      </c>
      <c r="C159" s="70" t="inlineStr">
        <is>
          <t>SHC</t>
        </is>
      </c>
      <c r="D159" s="447" t="inlineStr">
        <is>
          <t>MODERATE</t>
        </is>
      </c>
      <c r="E159" s="443" t="inlineStr">
        <is>
          <t>Academic debate varies by framework maturity and international adoption. For KSA-specific debate, consult: Almohammad &amp; Wills (2021) J Cybersecurity; Al-Khater et al. (2020) IEEE Access; Baker McKenzi</t>
        </is>
      </c>
      <c r="F159" s="74" t="inlineStr">
        <is>
          <t>Known criticisms include: implementation gap between standards and practice; resource constraints for smaller healthcare entities; rapid technology evolution outpacing regulation. Consult framework ev</t>
        </is>
      </c>
      <c r="G159" s="70" t="inlineStr">
        <is>
          <t>Known criticisms include: implementation gap between standards and practice; resource constraints for smaller healthcare entities; rapid technology evolution outpacing regulation. Consult framework evaluation literature for specifics.</t>
        </is>
      </c>
      <c r="H159" s="75" t="inlineStr">
        <is>
          <t>Framework comparison requires contextual analysis. Key comparators: NIST CSF 2.0 (international benchmark), ISO 27001 (certifiable standard), ECC-2 (K...</t>
        </is>
      </c>
      <c r="I159" s="77" t="inlineStr">
        <is>
          <t>Relevance to GH-ICGA framework varies by layer — see GH-ICGA Layer Mapping column. All KSA mandatory frameworks are compliance inputs to GH-ICGA Layer 4. Frameworks with IoMT-specific provisions direc...</t>
        </is>
      </c>
    </row>
    <row r="160" ht="72" customHeight="1">
      <c r="A160" s="426" t="inlineStr">
        <is>
          <t>SHURA-FW</t>
        </is>
      </c>
      <c r="B160" s="45" t="inlineStr">
        <is>
          <t>Legislative Review Process</t>
        </is>
      </c>
      <c r="C160" s="44" t="inlineStr">
        <is>
          <t>SHURA</t>
        </is>
      </c>
      <c r="D160" s="447" t="inlineStr">
        <is>
          <t>MODERATE</t>
        </is>
      </c>
      <c r="E160" s="440" t="inlineStr">
        <is>
          <t>Academic debate varies by framework maturity and international adoption. For KSA-specific debate, consult: Almohammad &amp; Wills (2021) J Cybersecurity; Al-Khater et al. (2020) IEEE Access; Baker McKenzi</t>
        </is>
      </c>
      <c r="F160" s="434" t="inlineStr">
        <is>
          <t>Known criticisms include: implementation gap between standards and practice; resource constraints for smaller healthcare entities; rapid technology evolution outpacing regulation. Consult framework ev</t>
        </is>
      </c>
      <c r="G160" s="44" t="inlineStr">
        <is>
          <t>Known criticisms include: implementation gap between standards and practice; resource constraints for smaller healthcare entities; rapid technology evolution outpacing regulation. Consult framework evaluation literature for specifics.</t>
        </is>
      </c>
      <c r="H160" s="441" t="inlineStr">
        <is>
          <t>Framework comparison requires contextual analysis. Key comparators: NIST CSF 2.0 (international benchmark), ISO 27001 (certifiable standard), ECC-2 (K...</t>
        </is>
      </c>
      <c r="I160" s="426" t="inlineStr">
        <is>
          <t>Relevance to GH-ICGA framework varies by layer — see GH-ICGA Layer Mapping column. All KSA mandatory frameworks are compliance inputs to GH-ICGA Layer 4. Frameworks with IoMT-specific provisions direc...</t>
        </is>
      </c>
    </row>
    <row r="161" ht="72" customHeight="1">
      <c r="A161" s="108" t="inlineStr">
        <is>
          <t>SIDF-FW</t>
        </is>
      </c>
      <c r="B161" s="99" t="inlineStr">
        <is>
          <t>Industrial Lending Regulations</t>
        </is>
      </c>
      <c r="C161" s="98" t="inlineStr">
        <is>
          <t>SIDF</t>
        </is>
      </c>
      <c r="D161" s="447" t="inlineStr">
        <is>
          <t>MODERATE</t>
        </is>
      </c>
      <c r="E161" s="451" t="inlineStr">
        <is>
          <t>Academic debate varies by framework maturity and international adoption. For KSA-specific debate, consult: Almohammad &amp; Wills (2021) J Cybersecurity; Al-Khater et al. (2020) IEEE Access; Baker McKenzi</t>
        </is>
      </c>
      <c r="F161" s="104" t="inlineStr">
        <is>
          <t>Known criticisms include: implementation gap between standards and practice; resource constraints for smaller healthcare entities; rapid technology evolution outpacing regulation. Consult framework ev</t>
        </is>
      </c>
      <c r="G161" s="98" t="inlineStr">
        <is>
          <t>Known criticisms include: implementation gap between standards and practice; resource constraints for smaller healthcare entities; rapid technology evolution outpacing regulation. Consult framework evaluation literature for specifics.</t>
        </is>
      </c>
      <c r="H161" s="105" t="inlineStr">
        <is>
          <t>Framework comparison requires contextual analysis. Key comparators: NIST CSF 2.0 (international benchmark), ISO 27001 (certifiable standard), ECC-2 (K...</t>
        </is>
      </c>
      <c r="I161" s="108" t="inlineStr">
        <is>
          <t>Relevance to GH-ICGA framework varies by layer — see GH-ICGA Layer Mapping column. All KSA mandatory frameworks are compliance inputs to GH-ICGA Layer 4. Frameworks with IoMT-specific provisions direc...</t>
        </is>
      </c>
    </row>
    <row r="162" ht="72" customHeight="1">
      <c r="A162" s="426" t="inlineStr">
        <is>
          <t>SME-FW</t>
        </is>
      </c>
      <c r="B162" s="45" t="inlineStr">
        <is>
          <t>SME Development Regulations</t>
        </is>
      </c>
      <c r="C162" s="44" t="inlineStr">
        <is>
          <t>SME</t>
        </is>
      </c>
      <c r="D162" s="447" t="inlineStr">
        <is>
          <t>MODERATE</t>
        </is>
      </c>
      <c r="E162" s="440" t="inlineStr">
        <is>
          <t>Academic debate varies by framework maturity and international adoption. For KSA-specific debate, consult: Almohammad &amp; Wills (2021) J Cybersecurity; Al-Khater et al. (2020) IEEE Access; Baker McKenzi</t>
        </is>
      </c>
      <c r="F162" s="434" t="inlineStr">
        <is>
          <t>Known criticisms include: implementation gap between standards and practice; resource constraints for smaller healthcare entities; rapid technology evolution outpacing regulation. Consult framework ev</t>
        </is>
      </c>
      <c r="G162" s="44" t="inlineStr">
        <is>
          <t>Known criticisms include: implementation gap between standards and practice; resource constraints for smaller healthcare entities; rapid technology evolution outpacing regulation. Consult framework evaluation literature for specifics.</t>
        </is>
      </c>
      <c r="H162" s="441" t="inlineStr">
        <is>
          <t>Framework comparison requires contextual analysis. Key comparators: NIST CSF 2.0 (international benchmark), ISO 27001 (certifiable standard), ECC-2 (K...</t>
        </is>
      </c>
      <c r="I162" s="426" t="inlineStr">
        <is>
          <t>Relevance to GH-ICGA framework varies by layer — see GH-ICGA Layer Mapping column. All KSA mandatory frameworks are compliance inputs to GH-ICGA Layer 4. Frameworks with IoMT-specific provisions direc...</t>
        </is>
      </c>
    </row>
    <row r="163" ht="72" customHeight="1">
      <c r="A163" s="131" t="inlineStr">
        <is>
          <t>SSA-FW</t>
        </is>
      </c>
      <c r="B163" s="122" t="inlineStr">
        <is>
          <t>Space Regulations &amp; Licensing</t>
        </is>
      </c>
      <c r="C163" s="121" t="inlineStr">
        <is>
          <t>SSA</t>
        </is>
      </c>
      <c r="D163" s="447" t="inlineStr">
        <is>
          <t>MODERATE</t>
        </is>
      </c>
      <c r="E163" s="442" t="inlineStr">
        <is>
          <t>Academic debate varies by framework maturity and international adoption. For KSA-specific debate, consult: Almohammad &amp; Wills (2021) J Cybersecurity; Al-Khater et al. (2020) IEEE Access; Baker McKenzi</t>
        </is>
      </c>
      <c r="F163" s="127" t="inlineStr">
        <is>
          <t>Known criticisms include: implementation gap between standards and practice; resource constraints for smaller healthcare entities; rapid technology evolution outpacing regulation. Consult framework ev</t>
        </is>
      </c>
      <c r="G163" s="121" t="inlineStr">
        <is>
          <t>Known criticisms include: implementation gap between standards and practice; resource constraints for smaller healthcare entities; rapid technology evolution outpacing regulation. Consult framework evaluation literature for specifics.</t>
        </is>
      </c>
      <c r="H163" s="128" t="inlineStr">
        <is>
          <t>Framework comparison requires contextual analysis. Key comparators: NIST CSF 2.0 (international benchmark), ISO 27001 (certifiable standard), ECC-2 (K...</t>
        </is>
      </c>
      <c r="I163" s="131" t="inlineStr">
        <is>
          <t>Relevance to GH-ICGA framework varies by layer — see GH-ICGA Layer Mapping column. All KSA mandatory frameworks are compliance inputs to GH-ICGA Layer 4. Frameworks with IoMT-specific provisions direc...</t>
        </is>
      </c>
    </row>
    <row r="164" ht="72" customHeight="1">
      <c r="A164" s="426" t="inlineStr">
        <is>
          <t>STA-FW</t>
        </is>
      </c>
      <c r="B164" s="45" t="inlineStr">
        <is>
          <t>Tourism Standards</t>
        </is>
      </c>
      <c r="C164" s="44" t="inlineStr">
        <is>
          <t>STA</t>
        </is>
      </c>
      <c r="D164" s="447" t="inlineStr">
        <is>
          <t>MODERATE</t>
        </is>
      </c>
      <c r="E164" s="440" t="inlineStr">
        <is>
          <t>Academic debate varies by framework maturity and international adoption. For KSA-specific debate, consult: Almohammad &amp; Wills (2021) J Cybersecurity; Al-Khater et al. (2020) IEEE Access; Baker McKenzi</t>
        </is>
      </c>
      <c r="F164" s="434" t="inlineStr">
        <is>
          <t>Known criticisms include: implementation gap between standards and practice; resource constraints for smaller healthcare entities; rapid technology evolution outpacing regulation. Consult framework ev</t>
        </is>
      </c>
      <c r="G164" s="44" t="inlineStr">
        <is>
          <t>Known criticisms include: implementation gap between standards and practice; resource constraints for smaller healthcare entities; rapid technology evolution outpacing regulation. Consult framework evaluation literature for specifics.</t>
        </is>
      </c>
      <c r="H164" s="441" t="inlineStr">
        <is>
          <t>Framework comparison requires contextual analysis. Key comparators: NIST CSF 2.0 (international benchmark), ISO 27001 (certifiable standard), ECC-2 (K...</t>
        </is>
      </c>
      <c r="I164" s="426" t="inlineStr">
        <is>
          <t>Relevance to GH-ICGA framework varies by layer — see GH-ICGA Layer Mapping column. All KSA mandatory frameworks are compliance inputs to GH-ICGA Layer 4. Frameworks with IoMT-specific provisions direc...</t>
        </is>
      </c>
    </row>
    <row r="165" ht="72" customHeight="1">
      <c r="A165" s="224" t="inlineStr">
        <is>
          <t>SWCC-FW</t>
        </is>
      </c>
      <c r="B165" s="215" t="inlineStr">
        <is>
          <t>Water Supply Standards</t>
        </is>
      </c>
      <c r="C165" s="214" t="inlineStr">
        <is>
          <t>SWCC</t>
        </is>
      </c>
      <c r="D165" s="447" t="inlineStr">
        <is>
          <t>MODERATE</t>
        </is>
      </c>
      <c r="E165" s="449" t="inlineStr">
        <is>
          <t>Academic debate varies by framework maturity and international adoption. For KSA-specific debate, consult: Almohammad &amp; Wills (2021) J Cybersecurity; Al-Khater et al. (2020) IEEE Access; Baker McKenzi</t>
        </is>
      </c>
      <c r="F165" s="220" t="inlineStr">
        <is>
          <t>Known criticisms include: implementation gap between standards and practice; resource constraints for smaller healthcare entities; rapid technology evolution outpacing regulation. Consult framework ev</t>
        </is>
      </c>
      <c r="G165" s="214" t="inlineStr">
        <is>
          <t>Known criticisms include: implementation gap between standards and practice; resource constraints for smaller healthcare entities; rapid technology evolution outpacing regulation. Consult framework evaluation literature for specifics.</t>
        </is>
      </c>
      <c r="H165" s="221" t="inlineStr">
        <is>
          <t>Framework comparison requires contextual analysis. Key comparators: NIST CSF 2.0 (international benchmark), ISO 27001 (certifiable standard), ECC-2 (K...</t>
        </is>
      </c>
      <c r="I165" s="224" t="inlineStr">
        <is>
          <t>Relevance to GH-ICGA framework varies by layer — see GH-ICGA Layer Mapping column. All KSA mandatory frameworks are compliance inputs to GH-ICGA Layer 4. Frameworks with IoMT-specific provisions direc...</t>
        </is>
      </c>
    </row>
    <row r="166" ht="72" customHeight="1">
      <c r="A166" s="426" t="inlineStr">
        <is>
          <t>TCC-1:2021</t>
        </is>
      </c>
      <c r="B166" s="45" t="inlineStr">
        <is>
          <t>Telework Cybersecurity Controls</t>
        </is>
      </c>
      <c r="C166" s="44" t="inlineStr">
        <is>
          <t>NCA</t>
        </is>
      </c>
      <c r="D166" s="447" t="inlineStr">
        <is>
          <t>MODERATE</t>
        </is>
      </c>
      <c r="E166" s="440" t="inlineStr">
        <is>
          <t>Academic debate varies by framework maturity and international adoption. For KSA-specific debate, consult: Almohammad &amp; Wills (2021) J Cybersecurity; Al-Khater et al. (2020) IEEE Access; Baker McKenzi</t>
        </is>
      </c>
      <c r="F166" s="434" t="inlineStr">
        <is>
          <t>Known criticisms include: implementation gap between standards and practice; resource constraints for smaller healthcare entities; rapid technology evolution outpacing regulation. Consult framework ev</t>
        </is>
      </c>
      <c r="G166" s="44" t="inlineStr">
        <is>
          <t>Known criticisms include: implementation gap between standards and practice; resource constraints for smaller healthcare entities; rapid technology evolution outpacing regulation. Consult framework evaluation literature for specifics.</t>
        </is>
      </c>
      <c r="H166" s="441" t="inlineStr">
        <is>
          <t>Framework comparison requires contextual analysis. Key comparators: NIST CSF 2.0 (international benchmark), ISO 27001 (certifiable standard), ECC-2 (K...</t>
        </is>
      </c>
      <c r="I166" s="426" t="inlineStr">
        <is>
          <t>Relevance to GH-ICGA framework varies by layer — see GH-ICGA Layer Mapping column. All KSA mandatory frameworks are compliance inputs to GH-ICGA Layer 4. Frameworks with IoMT-specific provisions direc...</t>
        </is>
      </c>
    </row>
    <row r="167" ht="72" customHeight="1">
      <c r="A167" s="313" t="inlineStr">
        <is>
          <t>TVTC-FW</t>
        </is>
      </c>
      <c r="B167" s="304" t="inlineStr">
        <is>
          <t>Vocational Training Standards</t>
        </is>
      </c>
      <c r="C167" s="303" t="inlineStr">
        <is>
          <t>TVTC</t>
        </is>
      </c>
      <c r="D167" s="447" t="inlineStr">
        <is>
          <t>MODERATE</t>
        </is>
      </c>
      <c r="E167" s="452" t="inlineStr">
        <is>
          <t>Academic debate varies by framework maturity and international adoption. For KSA-specific debate, consult: Almohammad &amp; Wills (2021) J Cybersecurity; Al-Khater et al. (2020) IEEE Access; Baker McKenzi</t>
        </is>
      </c>
      <c r="F167" s="309" t="inlineStr">
        <is>
          <t>Known criticisms include: implementation gap between standards and practice; resource constraints for smaller healthcare entities; rapid technology evolution outpacing regulation. Consult framework ev</t>
        </is>
      </c>
      <c r="G167" s="303" t="inlineStr">
        <is>
          <t>Known criticisms include: implementation gap between standards and practice; resource constraints for smaller healthcare entities; rapid technology evolution outpacing regulation. Consult framework evaluation literature for specifics.</t>
        </is>
      </c>
      <c r="H167" s="310" t="inlineStr">
        <is>
          <t>Framework comparison requires contextual analysis. Key comparators: NIST CSF 2.0 (international benchmark), ISO 27001 (certifiable standard), ECC-2 (K...</t>
        </is>
      </c>
      <c r="I167" s="313" t="inlineStr">
        <is>
          <t>Relevance to GH-ICGA framework varies by layer — see GH-ICGA Layer Mapping column. All KSA mandatory frameworks are compliance inputs to GH-ICGA Layer 4. Frameworks with IoMT-specific provisions direc...</t>
        </is>
      </c>
    </row>
    <row r="168" ht="72" customHeight="1">
      <c r="A168" s="426" t="inlineStr">
        <is>
          <t>Tadawul-FW</t>
        </is>
      </c>
      <c r="B168" s="45" t="inlineStr">
        <is>
          <t>Market Disclosure &amp; Listing Rules</t>
        </is>
      </c>
      <c r="C168" s="44" t="inlineStr">
        <is>
          <t>Tadawul</t>
        </is>
      </c>
      <c r="D168" s="447" t="inlineStr">
        <is>
          <t>MODERATE</t>
        </is>
      </c>
      <c r="E168" s="440" t="inlineStr">
        <is>
          <t>Academic debate varies by framework maturity and international adoption. For KSA-specific debate, consult: Almohammad &amp; Wills (2021) J Cybersecurity; Al-Khater et al. (2020) IEEE Access; Baker McKenzi</t>
        </is>
      </c>
      <c r="F168" s="434" t="inlineStr">
        <is>
          <t>Known criticisms include: implementation gap between standards and practice; resource constraints for smaller healthcare entities; rapid technology evolution outpacing regulation. Consult framework ev</t>
        </is>
      </c>
      <c r="G168" s="44" t="inlineStr">
        <is>
          <t>Known criticisms include: implementation gap between standards and practice; resource constraints for smaller healthcare entities; rapid technology evolution outpacing regulation. Consult framework evaluation literature for specifics.</t>
        </is>
      </c>
      <c r="H168" s="441" t="inlineStr">
        <is>
          <t>Framework comparison requires contextual analysis. Key comparators: NIST CSF 2.0 (international benchmark), ISO 27001 (certifiable standard), ECC-2 (K...</t>
        </is>
      </c>
      <c r="I168" s="426" t="inlineStr">
        <is>
          <t>Relevance to GH-ICGA framework varies by layer — see GH-ICGA Layer Mapping column. All KSA mandatory frameworks are compliance inputs to GH-ICGA Layer 4. Frameworks with IoMT-specific provisions direc...</t>
        </is>
      </c>
    </row>
    <row r="169" ht="72" customHeight="1">
      <c r="A169" s="401" t="inlineStr">
        <is>
          <t>V2030-FW</t>
        </is>
      </c>
      <c r="B169" s="392" t="inlineStr">
        <is>
          <t>Vision 2030 Framework &amp; Programmes</t>
        </is>
      </c>
      <c r="C169" s="391" t="inlineStr">
        <is>
          <t>V2030</t>
        </is>
      </c>
      <c r="D169" s="447" t="inlineStr">
        <is>
          <t>MODERATE</t>
        </is>
      </c>
      <c r="E169" s="454" t="inlineStr">
        <is>
          <t>Academic debate varies by framework maturity and international adoption. For KSA-specific debate, consult: Almohammad &amp; Wills (2021) J Cybersecurity; Al-Khater et al. (2020) IEEE Access; Baker McKenzi</t>
        </is>
      </c>
      <c r="F169" s="397" t="inlineStr">
        <is>
          <t>Known criticisms include: implementation gap between standards and practice; resource constraints for smaller healthcare entities; rapid technology evolution outpacing regulation. Consult framework ev</t>
        </is>
      </c>
      <c r="G169" s="391" t="inlineStr">
        <is>
          <t>Known criticisms include: implementation gap between standards and practice; resource constraints for smaller healthcare entities; rapid technology evolution outpacing regulation. Consult framework evaluation literature for specifics.</t>
        </is>
      </c>
      <c r="H169" s="398" t="inlineStr">
        <is>
          <t>Framework comparison requires contextual analysis. Key comparators: NIST CSF 2.0 (international benchmark), ISO 27001 (certifiable standard), ECC-2 (K...</t>
        </is>
      </c>
      <c r="I169" s="401" t="inlineStr">
        <is>
          <t>Relevance to GH-ICGA framework varies by layer — see GH-ICGA Layer Mapping column. All KSA mandatory frameworks are compliance inputs to GH-ICGA Layer 4. Frameworks with IoMT-specific provisions direc...</t>
        </is>
      </c>
    </row>
    <row r="170" ht="72" customHeight="1">
      <c r="A170" s="426" t="inlineStr">
        <is>
          <t>ZATCA-CUST</t>
        </is>
      </c>
      <c r="B170" s="45" t="inlineStr">
        <is>
          <t>Customs Regulations</t>
        </is>
      </c>
      <c r="C170" s="44" t="inlineStr">
        <is>
          <t>ZATCA</t>
        </is>
      </c>
      <c r="D170" s="447" t="inlineStr">
        <is>
          <t>MODERATE</t>
        </is>
      </c>
      <c r="E170" s="440" t="inlineStr">
        <is>
          <t>Academic debate varies by framework maturity and international adoption. For KSA-specific debate, consult: Almohammad &amp; Wills (2021) J Cybersecurity; Al-Khater et al. (2020) IEEE Access; Baker McKenzi</t>
        </is>
      </c>
      <c r="F170" s="434" t="inlineStr">
        <is>
          <t>Known criticisms include: implementation gap between standards and practice; resource constraints for smaller healthcare entities; rapid technology evolution outpacing regulation. Consult framework ev</t>
        </is>
      </c>
      <c r="G170" s="44" t="inlineStr">
        <is>
          <t>Known criticisms include: implementation gap between standards and practice; resource constraints for smaller healthcare entities; rapid technology evolution outpacing regulation. Consult framework evaluation literature for specifics.</t>
        </is>
      </c>
      <c r="H170" s="441" t="inlineStr">
        <is>
          <t>Framework comparison requires contextual analysis. Key comparators: NIST CSF 2.0 (international benchmark), ISO 27001 (certifiable standard), ECC-2 (K...</t>
        </is>
      </c>
      <c r="I170" s="426" t="inlineStr">
        <is>
          <t>Relevance to GH-ICGA framework varies by layer — see GH-ICGA Layer Mapping column. All KSA mandatory frameworks are compliance inputs to GH-ICGA Layer 4. Frameworks with IoMT-specific provisions direc...</t>
        </is>
      </c>
    </row>
    <row r="171" ht="72" customHeight="1">
      <c r="A171" s="155" t="inlineStr">
        <is>
          <t>ZATCA-EINV-P1</t>
        </is>
      </c>
      <c r="B171" s="146" t="inlineStr">
        <is>
          <t>E-Invoicing Phase 1 (Generation)</t>
        </is>
      </c>
      <c r="C171" s="145" t="inlineStr">
        <is>
          <t>ZATCA</t>
        </is>
      </c>
      <c r="D171" s="447" t="inlineStr">
        <is>
          <t>MODERATE</t>
        </is>
      </c>
      <c r="E171" s="455" t="inlineStr">
        <is>
          <t>Academic debate varies by framework maturity and international adoption. For KSA-specific debate, consult: Almohammad &amp; Wills (2021) J Cybersecurity; Al-Khater et al. (2020) IEEE Access; Baker McKenzi</t>
        </is>
      </c>
      <c r="F171" s="151" t="inlineStr">
        <is>
          <t>Known criticisms include: implementation gap between standards and practice; resource constraints for smaller healthcare entities; rapid technology evolution outpacing regulation. Consult framework ev</t>
        </is>
      </c>
      <c r="G171" s="145" t="inlineStr">
        <is>
          <t>Known criticisms include: implementation gap between standards and practice; resource constraints for smaller healthcare entities; rapid technology evolution outpacing regulation. Consult framework evaluation literature for specifics.</t>
        </is>
      </c>
      <c r="H171" s="152" t="inlineStr">
        <is>
          <t>Framework comparison requires contextual analysis. Key comparators: NIST CSF 2.0 (international benchmark), ISO 27001 (certifiable standard), ECC-2 (K...</t>
        </is>
      </c>
      <c r="I171" s="155" t="inlineStr">
        <is>
          <t>Relevance to GH-ICGA framework varies by layer — see GH-ICGA Layer Mapping column. All KSA mandatory frameworks are compliance inputs to GH-ICGA Layer 4. Frameworks with IoMT-specific provisions direc...</t>
        </is>
      </c>
    </row>
    <row r="172" ht="72" customHeight="1">
      <c r="A172" s="426" t="inlineStr">
        <is>
          <t>ZATCA-EINV-P2</t>
        </is>
      </c>
      <c r="B172" s="45" t="inlineStr">
        <is>
          <t>E-Invoicing Phase 2 (Integration)</t>
        </is>
      </c>
      <c r="C172" s="44" t="inlineStr">
        <is>
          <t>ZATCA</t>
        </is>
      </c>
      <c r="D172" s="447" t="inlineStr">
        <is>
          <t>MODERATE</t>
        </is>
      </c>
      <c r="E172" s="440" t="inlineStr">
        <is>
          <t>Academic debate varies by framework maturity and international adoption. For KSA-specific debate, consult: Almohammad &amp; Wills (2021) J Cybersecurity; Al-Khater et al. (2020) IEEE Access; Baker McKenzi</t>
        </is>
      </c>
      <c r="F172" s="434" t="inlineStr">
        <is>
          <t>Known criticisms include: implementation gap between standards and practice; resource constraints for smaller healthcare entities; rapid technology evolution outpacing regulation. Consult framework ev</t>
        </is>
      </c>
      <c r="G172" s="44" t="inlineStr">
        <is>
          <t>Known criticisms include: implementation gap between standards and practice; resource constraints for smaller healthcare entities; rapid technology evolution outpacing regulation. Consult framework evaluation literature for specifics.</t>
        </is>
      </c>
      <c r="H172" s="441" t="inlineStr">
        <is>
          <t>Framework comparison requires contextual analysis. Key comparators: NIST CSF 2.0 (international benchmark), ISO 27001 (certifiable standard), ECC-2 (K...</t>
        </is>
      </c>
      <c r="I172" s="426" t="inlineStr">
        <is>
          <t>Relevance to GH-ICGA framework varies by layer — see GH-ICGA Layer Mapping column. All KSA mandatory frameworks are compliance inputs to GH-ICGA Layer 4. Frameworks with IoMT-specific provisions direc...</t>
        </is>
      </c>
    </row>
    <row r="173" ht="72" customHeight="1">
      <c r="A173" s="108" t="inlineStr">
        <is>
          <t>CMA-CGR</t>
        </is>
      </c>
      <c r="B173" s="99" t="inlineStr">
        <is>
          <t>Corporate Governance Regulations</t>
        </is>
      </c>
      <c r="C173" s="98" t="inlineStr">
        <is>
          <t>CMA</t>
        </is>
      </c>
      <c r="D173" s="456" t="inlineStr">
        <is>
          <t>LOW</t>
        </is>
      </c>
      <c r="E173" s="451" t="inlineStr">
        <is>
          <t>Academic debate varies by framework maturity and international adoption. For KSA-specific debate, consult: Almohammad &amp; Wills (2021) J Cybersecurity; Al-Khater et al. (2020) IEEE Access; Baker McKenzi</t>
        </is>
      </c>
      <c r="F173" s="104" t="inlineStr">
        <is>
          <t>Known criticisms include: implementation gap between standards and practice; resource constraints for smaller healthcare entities; rapid technology evolution outpacing regulation. Consult framework ev</t>
        </is>
      </c>
      <c r="G173" s="98" t="inlineStr">
        <is>
          <t>Known criticisms include: implementation gap between standards and practice; resource constraints for smaller healthcare entities; rapid technology evolution outpacing regulation. Consult framework evaluation literature for specifics.</t>
        </is>
      </c>
      <c r="H173" s="105" t="inlineStr">
        <is>
          <t>Framework comparison requires contextual analysis. Key comparators: NIST CSF 2.0 (international benchmark), ISO 27001 (certifiable standard), ECC-2 (K...</t>
        </is>
      </c>
      <c r="I173" s="108" t="inlineStr">
        <is>
          <t>Relevance to GH-ICGA framework varies by layer — see GH-ICGA Layer Mapping column. All KSA mandatory frameworks are compliance inputs to GH-ICGA Layer 4. Frameworks with IoMT-specific provisions direc...</t>
        </is>
      </c>
    </row>
    <row r="174" ht="72" customHeight="1">
      <c r="A174" s="426" t="inlineStr">
        <is>
          <t>CMA-CML</t>
        </is>
      </c>
      <c r="B174" s="45" t="inlineStr">
        <is>
          <t>Capital Market Law</t>
        </is>
      </c>
      <c r="C174" s="44" t="inlineStr">
        <is>
          <t>CMA</t>
        </is>
      </c>
      <c r="D174" s="456" t="inlineStr">
        <is>
          <t>LOW</t>
        </is>
      </c>
      <c r="E174" s="440" t="inlineStr">
        <is>
          <t>Academic debate varies by framework maturity and international adoption. For KSA-specific debate, consult: Almohammad &amp; Wills (2021) J Cybersecurity; Al-Khater et al. (2020) IEEE Access; Baker McKenzi</t>
        </is>
      </c>
      <c r="F174" s="434" t="inlineStr">
        <is>
          <t>Known criticisms include: implementation gap between standards and practice; resource constraints for smaller healthcare entities; rapid technology evolution outpacing regulation. Consult framework ev</t>
        </is>
      </c>
      <c r="G174" s="44" t="inlineStr">
        <is>
          <t>Known criticisms include: implementation gap between standards and practice; resource constraints for smaller healthcare entities; rapid technology evolution outpacing regulation. Consult framework evaluation literature for specifics.</t>
        </is>
      </c>
      <c r="H174" s="441" t="inlineStr">
        <is>
          <t>Framework comparison requires contextual analysis. Key comparators: NIST CSF 2.0 (international benchmark), ISO 27001 (certifiable standard), ECC-2 (K...</t>
        </is>
      </c>
      <c r="I174" s="426" t="inlineStr">
        <is>
          <t>Relevance to GH-ICGA framework varies by layer — see GH-ICGA Layer Mapping column. All KSA mandatory frameworks are compliance inputs to GH-ICGA Layer 4. Frameworks with IoMT-specific provisions direc...</t>
        </is>
      </c>
    </row>
    <row r="175" ht="72" customHeight="1">
      <c r="A175" s="108" t="inlineStr">
        <is>
          <t>CMA-IFR</t>
        </is>
      </c>
      <c r="B175" s="99" t="inlineStr">
        <is>
          <t>Investment Fund Regulations</t>
        </is>
      </c>
      <c r="C175" s="98" t="inlineStr">
        <is>
          <t>CMA</t>
        </is>
      </c>
      <c r="D175" s="456" t="inlineStr">
        <is>
          <t>LOW</t>
        </is>
      </c>
      <c r="E175" s="451" t="inlineStr">
        <is>
          <t>Academic debate varies by framework maturity and international adoption. For KSA-specific debate, consult: Almohammad &amp; Wills (2021) J Cybersecurity; Al-Khater et al. (2020) IEEE Access; Baker McKenzi</t>
        </is>
      </c>
      <c r="F175" s="104" t="inlineStr">
        <is>
          <t>Known criticisms include: implementation gap between standards and practice; resource constraints for smaller healthcare entities; rapid technology evolution outpacing regulation. Consult framework ev</t>
        </is>
      </c>
      <c r="G175" s="98" t="inlineStr">
        <is>
          <t>Known criticisms include: implementation gap between standards and practice; resource constraints for smaller healthcare entities; rapid technology evolution outpacing regulation. Consult framework evaluation literature for specifics.</t>
        </is>
      </c>
      <c r="H175" s="105" t="inlineStr">
        <is>
          <t>Framework comparison requires contextual analysis. Key comparators: NIST CSF 2.0 (international benchmark), ISO 27001 (certifiable standard), ECC-2 (K...</t>
        </is>
      </c>
      <c r="I175" s="108" t="inlineStr">
        <is>
          <t>Relevance to GH-ICGA framework varies by layer — see GH-ICGA Layer Mapping column. All KSA mandatory frameworks are compliance inputs to GH-ICGA Layer 4. Frameworks with IoMT-specific provisions direc...</t>
        </is>
      </c>
    </row>
    <row r="176" ht="72" customHeight="1">
      <c r="A176" s="426" t="inlineStr">
        <is>
          <t>CMA-LR</t>
        </is>
      </c>
      <c r="B176" s="45" t="inlineStr">
        <is>
          <t>Listing Rules</t>
        </is>
      </c>
      <c r="C176" s="44" t="inlineStr">
        <is>
          <t>CMA</t>
        </is>
      </c>
      <c r="D176" s="456" t="inlineStr">
        <is>
          <t>LOW</t>
        </is>
      </c>
      <c r="E176" s="440" t="inlineStr">
        <is>
          <t>Academic debate varies by framework maturity and international adoption. For KSA-specific debate, consult: Almohammad &amp; Wills (2021) J Cybersecurity; Al-Khater et al. (2020) IEEE Access; Baker McKenzi</t>
        </is>
      </c>
      <c r="F176" s="434" t="inlineStr">
        <is>
          <t>Known criticisms include: implementation gap between standards and practice; resource constraints for smaller healthcare entities; rapid technology evolution outpacing regulation. Consult framework ev</t>
        </is>
      </c>
      <c r="G176" s="44" t="inlineStr">
        <is>
          <t>Known criticisms include: implementation gap between standards and practice; resource constraints for smaller healthcare entities; rapid technology evolution outpacing regulation. Consult framework evaluation literature for specifics.</t>
        </is>
      </c>
      <c r="H176" s="441" t="inlineStr">
        <is>
          <t>Framework comparison requires contextual analysis. Key comparators: NIST CSF 2.0 (international benchmark), ISO 27001 (certifiable standard), ECC-2 (K...</t>
        </is>
      </c>
      <c r="I176" s="426" t="inlineStr">
        <is>
          <t>Relevance to GH-ICGA framework varies by layer — see GH-ICGA Layer Mapping column. All KSA mandatory frameworks are compliance inputs to GH-ICGA Layer 4. Frameworks with IoMT-specific provisions direc...</t>
        </is>
      </c>
    </row>
    <row r="177" ht="72" customHeight="1">
      <c r="A177" s="131" t="inlineStr">
        <is>
          <t>CST-SPACE</t>
        </is>
      </c>
      <c r="B177" s="122" t="inlineStr">
        <is>
          <t>Space Regulatory Framework</t>
        </is>
      </c>
      <c r="C177" s="121" t="inlineStr">
        <is>
          <t>CST</t>
        </is>
      </c>
      <c r="D177" s="456" t="inlineStr">
        <is>
          <t>LOW</t>
        </is>
      </c>
      <c r="E177" s="442" t="inlineStr">
        <is>
          <t>Academic debate varies by framework maturity and international adoption. For KSA-specific debate, consult: Almohammad &amp; Wills (2021) J Cybersecurity; Al-Khater et al. (2020) IEEE Access; Baker McKenzi</t>
        </is>
      </c>
      <c r="F177" s="127" t="inlineStr">
        <is>
          <t>Known criticisms include: implementation gap between standards and practice; resource constraints for smaller healthcare entities; rapid technology evolution outpacing regulation. Consult framework ev</t>
        </is>
      </c>
      <c r="G177" s="121" t="inlineStr">
        <is>
          <t>Known criticisms include: implementation gap between standards and practice; resource constraints for smaller healthcare entities; rapid technology evolution outpacing regulation. Consult framework evaluation literature for specifics.</t>
        </is>
      </c>
      <c r="H177" s="128" t="inlineStr">
        <is>
          <t>Framework comparison requires contextual analysis. Key comparators: NIST CSF 2.0 (international benchmark), ISO 27001 (certifiable standard), ECC-2 (K...</t>
        </is>
      </c>
      <c r="I177" s="131" t="inlineStr">
        <is>
          <t>Relevance to GH-ICGA framework varies by layer — see GH-ICGA Layer Mapping column. All KSA mandatory frameworks are compliance inputs to GH-ICGA Layer 4. Frameworks with IoMT-specific provisions direc...</t>
        </is>
      </c>
    </row>
    <row r="178" ht="72" customHeight="1">
      <c r="A178" s="426" t="inlineStr">
        <is>
          <t>MOI-ATL</t>
        </is>
      </c>
      <c r="B178" s="45" t="inlineStr">
        <is>
          <t>Anti-Terrorism Law</t>
        </is>
      </c>
      <c r="C178" s="44" t="inlineStr">
        <is>
          <t>MOI</t>
        </is>
      </c>
      <c r="D178" s="456" t="inlineStr">
        <is>
          <t>LOW</t>
        </is>
      </c>
      <c r="E178" s="440" t="inlineStr">
        <is>
          <t>Academic debate varies by framework maturity and international adoption. For KSA-specific debate, consult: Almohammad &amp; Wills (2021) J Cybersecurity; Al-Khater et al. (2020) IEEE Access; Baker McKenzi</t>
        </is>
      </c>
      <c r="F178" s="434" t="inlineStr">
        <is>
          <t>Known criticisms include: implementation gap between standards and practice; resource constraints for smaller healthcare entities; rapid technology evolution outpacing regulation. Consult framework ev</t>
        </is>
      </c>
      <c r="G178" s="44" t="inlineStr">
        <is>
          <t>Known criticisms include: implementation gap between standards and practice; resource constraints for smaller healthcare entities; rapid technology evolution outpacing regulation. Consult framework evaluation literature for specifics.</t>
        </is>
      </c>
      <c r="H178" s="441" t="inlineStr">
        <is>
          <t>Framework comparison requires contextual analysis. Key comparators: NIST CSF 2.0 (international benchmark), ISO 27001 (certifiable standard), ECC-2 (K...</t>
        </is>
      </c>
      <c r="I178" s="426" t="inlineStr">
        <is>
          <t>Relevance to GH-ICGA framework varies by layer — see GH-ICGA Layer Mapping column. All KSA mandatory frameworks are compliance inputs to GH-ICGA Layer 4. Frameworks with IoMT-specific provisions direc...</t>
        </is>
      </c>
    </row>
    <row r="179" ht="72" customHeight="1">
      <c r="A179" s="33" t="inlineStr">
        <is>
          <t>NCA-CGEC</t>
        </is>
      </c>
      <c r="B179" s="20" t="inlineStr">
        <is>
          <t>Cybersecurity Guidelines for eCommerce</t>
        </is>
      </c>
      <c r="C179" s="19" t="inlineStr">
        <is>
          <t>NCA</t>
        </is>
      </c>
      <c r="D179" s="456" t="inlineStr">
        <is>
          <t>LOW</t>
        </is>
      </c>
      <c r="E179" s="444" t="inlineStr">
        <is>
          <t>Academic debate varies by framework maturity and international adoption. For KSA-specific debate, consult: Almohammad &amp; Wills (2021) J Cybersecurity; Al-Khater et al. (2020) IEEE Access; Baker McKenzi</t>
        </is>
      </c>
      <c r="F179" s="29" t="inlineStr">
        <is>
          <t>Known criticisms include: implementation gap between standards and practice; resource constraints for smaller healthcare entities; rapid technology evolution outpacing regulation. Consult framework ev</t>
        </is>
      </c>
      <c r="G179" s="19" t="inlineStr">
        <is>
          <t>Known criticisms include: implementation gap between standards and practice; resource constraints for smaller healthcare entities; rapid technology evolution outpacing regulation. Consult framework evaluation literature for specifics.</t>
        </is>
      </c>
      <c r="H179" s="30" t="inlineStr">
        <is>
          <t>Framework comparison requires contextual analysis. Key comparators: NIST CSF 2.0 (international benchmark), ISO 27001 (certifiable standard), ECC-2 (K...</t>
        </is>
      </c>
      <c r="I179" s="33" t="inlineStr">
        <is>
          <t>Relevance to GH-ICGA framework varies by layer — see GH-ICGA Layer Mapping column. All KSA mandatory frameworks are compliance inputs to GH-ICGA Layer 4. Frameworks with IoMT-specific provisions direc...</t>
        </is>
      </c>
    </row>
    <row r="180" ht="72" customHeight="1">
      <c r="A180" s="426" t="inlineStr">
        <is>
          <t>OSMACC-1:2021</t>
        </is>
      </c>
      <c r="B180" s="45" t="inlineStr">
        <is>
          <t>Social Media Cybersecurity Controls</t>
        </is>
      </c>
      <c r="C180" s="44" t="inlineStr">
        <is>
          <t>NCA</t>
        </is>
      </c>
      <c r="D180" s="456" t="inlineStr">
        <is>
          <t>LOW</t>
        </is>
      </c>
      <c r="E180" s="440" t="inlineStr">
        <is>
          <t>Academic debate varies by framework maturity and international adoption. For KSA-specific debate, consult: Almohammad &amp; Wills (2021) J Cybersecurity; Al-Khater et al. (2020) IEEE Access; Baker McKenzi</t>
        </is>
      </c>
      <c r="F180" s="434" t="inlineStr">
        <is>
          <t>Known criticisms include: implementation gap between standards and practice; resource constraints for smaller healthcare entities; rapid technology evolution outpacing regulation. Consult framework ev</t>
        </is>
      </c>
      <c r="G180" s="44" t="inlineStr">
        <is>
          <t>Known criticisms include: implementation gap between standards and practice; resource constraints for smaller healthcare entities; rapid technology evolution outpacing regulation. Consult framework evaluation literature for specifics.</t>
        </is>
      </c>
      <c r="H180" s="441" t="inlineStr">
        <is>
          <t>Framework comparison requires contextual analysis. Key comparators: NIST CSF 2.0 (international benchmark), ISO 27001 (certifiable standard), ECC-2 (K...</t>
        </is>
      </c>
      <c r="I180" s="426" t="inlineStr">
        <is>
          <t>Relevance to GH-ICGA framework varies by layer — see GH-ICGA Layer Mapping column. All KSA mandatory frameworks are compliance inputs to GH-ICGA Layer 4. Frameworks with IoMT-specific provisions direc...</t>
        </is>
      </c>
    </row>
    <row r="181" ht="72" customHeight="1">
      <c r="A181" s="108" t="inlineStr">
        <is>
          <t>SAMA-AML</t>
        </is>
      </c>
      <c r="B181" s="99" t="inlineStr">
        <is>
          <t>Anti-Money Laundering Regulations</t>
        </is>
      </c>
      <c r="C181" s="98" t="inlineStr">
        <is>
          <t>SAMA</t>
        </is>
      </c>
      <c r="D181" s="456" t="inlineStr">
        <is>
          <t>LOW</t>
        </is>
      </c>
      <c r="E181" s="451" t="inlineStr">
        <is>
          <t>Academic debate varies by framework maturity and international adoption. For KSA-specific debate, consult: Almohammad &amp; Wills (2021) J Cybersecurity; Al-Khater et al. (2020) IEEE Access; Baker McKenzi</t>
        </is>
      </c>
      <c r="F181" s="104" t="inlineStr">
        <is>
          <t>Known criticisms include: implementation gap between standards and practice; resource constraints for smaller healthcare entities; rapid technology evolution outpacing regulation. Consult framework ev</t>
        </is>
      </c>
      <c r="G181" s="98" t="inlineStr">
        <is>
          <t>Known criticisms include: implementation gap between standards and practice; resource constraints for smaller healthcare entities; rapid technology evolution outpacing regulation. Consult framework evaluation literature for specifics.</t>
        </is>
      </c>
      <c r="H181" s="105" t="inlineStr">
        <is>
          <t>Framework comparison requires contextual analysis. Key comparators: NIST CSF 2.0 (international benchmark), ISO 27001 (certifiable standard), ECC-2 (K...</t>
        </is>
      </c>
      <c r="I181" s="108" t="inlineStr">
        <is>
          <t>Relevance to GH-ICGA framework varies by layer — see GH-ICGA Layer Mapping column. All KSA mandatory frameworks are compliance inputs to GH-ICGA Layer 4. Frameworks with IoMT-specific provisions direc...</t>
        </is>
      </c>
    </row>
    <row r="182" ht="72" customHeight="1">
      <c r="A182" s="426" t="inlineStr">
        <is>
          <t>SAMA-ITGF</t>
        </is>
      </c>
      <c r="B182" s="45" t="inlineStr">
        <is>
          <t>IT Governance Framework</t>
        </is>
      </c>
      <c r="C182" s="44" t="inlineStr">
        <is>
          <t>SAMA</t>
        </is>
      </c>
      <c r="D182" s="456" t="inlineStr">
        <is>
          <t>LOW</t>
        </is>
      </c>
      <c r="E182" s="440" t="inlineStr">
        <is>
          <t>Academic debate varies by framework maturity and international adoption. For KSA-specific debate, consult: Almohammad &amp; Wills (2021) J Cybersecurity; Al-Khater et al. (2020) IEEE Access; Baker McKenzi</t>
        </is>
      </c>
      <c r="F182" s="434" t="inlineStr">
        <is>
          <t>Known criticisms include: implementation gap between standards and practice; resource constraints for smaller healthcare entities; rapid technology evolution outpacing regulation. Consult framework ev</t>
        </is>
      </c>
      <c r="G182" s="44" t="inlineStr">
        <is>
          <t>Known criticisms include: implementation gap between standards and practice; resource constraints for smaller healthcare entities; rapid technology evolution outpacing regulation. Consult framework evaluation literature for specifics.</t>
        </is>
      </c>
      <c r="H182" s="441" t="inlineStr">
        <is>
          <t>Framework comparison requires contextual analysis. Key comparators: NIST CSF 2.0 (international benchmark), ISO 27001 (certifiable standard), ECC-2 (K...</t>
        </is>
      </c>
      <c r="I182" s="426" t="inlineStr">
        <is>
          <t>Relevance to GH-ICGA framework varies by layer — see GH-ICGA Layer Mapping column. All KSA mandatory frameworks are compliance inputs to GH-ICGA Layer 4. Frameworks with IoMT-specific provisions direc...</t>
        </is>
      </c>
    </row>
    <row r="183" ht="72" customHeight="1">
      <c r="A183" s="108" t="inlineStr">
        <is>
          <t>SAMA-OBF</t>
        </is>
      </c>
      <c r="B183" s="99" t="inlineStr">
        <is>
          <t>Open Banking Framework</t>
        </is>
      </c>
      <c r="C183" s="98" t="inlineStr">
        <is>
          <t>SAMA</t>
        </is>
      </c>
      <c r="D183" s="456" t="inlineStr">
        <is>
          <t>LOW</t>
        </is>
      </c>
      <c r="E183" s="451" t="inlineStr">
        <is>
          <t>Academic debate varies by framework maturity and international adoption. For KSA-specific debate, consult: Almohammad &amp; Wills (2021) J Cybersecurity; Al-Khater et al. (2020) IEEE Access; Baker McKenzi</t>
        </is>
      </c>
      <c r="F183" s="104" t="inlineStr">
        <is>
          <t>Known criticisms include: implementation gap between standards and practice; resource constraints for smaller healthcare entities; rapid technology evolution outpacing regulation. Consult framework ev</t>
        </is>
      </c>
      <c r="G183" s="98" t="inlineStr">
        <is>
          <t>Known criticisms include: implementation gap between standards and practice; resource constraints for smaller healthcare entities; rapid technology evolution outpacing regulation. Consult framework evaluation literature for specifics.</t>
        </is>
      </c>
      <c r="H183" s="105" t="inlineStr">
        <is>
          <t>Framework comparison requires contextual analysis. Key comparators: NIST CSF 2.0 (international benchmark), ISO 27001 (certifiable standard), ECC-2 (K...</t>
        </is>
      </c>
      <c r="I183" s="108" t="inlineStr">
        <is>
          <t>Relevance to GH-ICGA framework varies by layer — see GH-ICGA Layer Mapping column. All KSA mandatory frameworks are compliance inputs to GH-ICGA Layer 4. Frameworks with IoMT-specific provisions direc...</t>
        </is>
      </c>
    </row>
    <row r="184" ht="72" customHeight="1">
      <c r="A184" s="426" t="inlineStr">
        <is>
          <t>SAMA-PSR</t>
        </is>
      </c>
      <c r="B184" s="45" t="inlineStr">
        <is>
          <t>Payment Services Regulations</t>
        </is>
      </c>
      <c r="C184" s="44" t="inlineStr">
        <is>
          <t>SAMA</t>
        </is>
      </c>
      <c r="D184" s="456" t="inlineStr">
        <is>
          <t>LOW</t>
        </is>
      </c>
      <c r="E184" s="440" t="inlineStr">
        <is>
          <t>Academic debate varies by framework maturity and international adoption. For KSA-specific debate, consult: Almohammad &amp; Wills (2021) J Cybersecurity; Al-Khater et al. (2020) IEEE Access; Baker McKenzi</t>
        </is>
      </c>
      <c r="F184" s="434" t="inlineStr">
        <is>
          <t>Known criticisms include: implementation gap between standards and practice; resource constraints for smaller healthcare entities; rapid technology evolution outpacing regulation. Consult framework ev</t>
        </is>
      </c>
      <c r="G184" s="44" t="inlineStr">
        <is>
          <t>Known criticisms include: implementation gap between standards and practice; resource constraints for smaller healthcare entities; rapid technology evolution outpacing regulation. Consult framework evaluation literature for specifics.</t>
        </is>
      </c>
      <c r="H184" s="441" t="inlineStr">
        <is>
          <t>Framework comparison requires contextual analysis. Key comparators: NIST CSF 2.0 (international benchmark), ISO 27001 (certifiable standard), ECC-2 (K...</t>
        </is>
      </c>
      <c r="I184" s="426" t="inlineStr">
        <is>
          <t>Relevance to GH-ICGA framework varies by layer — see GH-ICGA Layer Mapping column. All KSA mandatory frameworks are compliance inputs to GH-ICGA Layer 4. Frameworks with IoMT-specific provisions direc...</t>
        </is>
      </c>
    </row>
    <row r="185" ht="72" customHeight="1">
      <c r="A185" s="178" t="inlineStr">
        <is>
          <t>SASO-HALAL</t>
        </is>
      </c>
      <c r="B185" s="169" t="inlineStr">
        <is>
          <t>Halal Standards (in coordination with SFDA)</t>
        </is>
      </c>
      <c r="C185" s="168" t="inlineStr">
        <is>
          <t>SASO</t>
        </is>
      </c>
      <c r="D185" s="456" t="inlineStr">
        <is>
          <t>LOW</t>
        </is>
      </c>
      <c r="E185" s="446" t="inlineStr">
        <is>
          <t>Academic debate varies by framework maturity and international adoption. For KSA-specific debate, consult: Almohammad &amp; Wills (2021) J Cybersecurity; Al-Khater et al. (2020) IEEE Access; Baker McKenzi</t>
        </is>
      </c>
      <c r="F185" s="174" t="inlineStr">
        <is>
          <t>Known criticisms include: implementation gap between standards and practice; resource constraints for smaller healthcare entities; rapid technology evolution outpacing regulation. Consult framework ev</t>
        </is>
      </c>
      <c r="G185" s="168" t="inlineStr">
        <is>
          <t>Known criticisms include: implementation gap between standards and practice; resource constraints for smaller healthcare entities; rapid technology evolution outpacing regulation. Consult framework evaluation literature for specifics.</t>
        </is>
      </c>
      <c r="H185" s="175" t="inlineStr">
        <is>
          <t>Framework comparison requires contextual analysis. Key comparators: NIST CSF 2.0 (international benchmark), ISO 27001 (certifiable standard), ECC-2 (K...</t>
        </is>
      </c>
      <c r="I185" s="178" t="inlineStr">
        <is>
          <t>Relevance to GH-ICGA framework varies by layer — see GH-ICGA Layer Mapping column. All KSA mandatory frameworks are compliance inputs to GH-ICGA Layer 4. Frameworks with IoMT-specific provisions direc...</t>
        </is>
      </c>
    </row>
    <row r="186" ht="72" customHeight="1">
      <c r="A186" s="426" t="inlineStr">
        <is>
          <t>SCyber-Edu</t>
        </is>
      </c>
      <c r="B186" s="45" t="inlineStr">
        <is>
          <t>Saudi Cybersecurity Higher Education Framework</t>
        </is>
      </c>
      <c r="C186" s="44" t="inlineStr">
        <is>
          <t>NCA</t>
        </is>
      </c>
      <c r="D186" s="456" t="inlineStr">
        <is>
          <t>LOW</t>
        </is>
      </c>
      <c r="E186" s="440" t="inlineStr">
        <is>
          <t>Academic debate varies by framework maturity and international adoption. For KSA-specific debate, consult: Almohammad &amp; Wills (2021) J Cybersecurity; Al-Khater et al. (2020) IEEE Access; Baker McKenzi</t>
        </is>
      </c>
      <c r="F186" s="434" t="inlineStr">
        <is>
          <t>Known criticisms include: implementation gap between standards and practice; resource constraints for smaller healthcare entities; rapid technology evolution outpacing regulation. Consult framework ev</t>
        </is>
      </c>
      <c r="G186" s="44" t="inlineStr">
        <is>
          <t>Known criticisms include: implementation gap between standards and practice; resource constraints for smaller healthcare entities; rapid technology evolution outpacing regulation. Consult framework evaluation literature for specifics.</t>
        </is>
      </c>
      <c r="H186" s="441" t="inlineStr">
        <is>
          <t>Framework comparison requires contextual analysis. Key comparators: NIST CSF 2.0 (international benchmark), ISO 27001 (certifiable standard), ECC-2 (K...</t>
        </is>
      </c>
      <c r="I186" s="426" t="inlineStr">
        <is>
          <t>Relevance to GH-ICGA framework varies by layer — see GH-ICGA Layer Mapping column. All KSA mandatory frameworks are compliance inputs to GH-ICGA Layer 4. Frameworks with IoMT-specific provisions direc...</t>
        </is>
      </c>
    </row>
    <row r="187" ht="72" customHeight="1">
      <c r="A187" s="77" t="inlineStr">
        <is>
          <t>SFDA-COSM</t>
        </is>
      </c>
      <c r="B187" s="72" t="inlineStr">
        <is>
          <t>Cosmetics Regulations</t>
        </is>
      </c>
      <c r="C187" s="70" t="inlineStr">
        <is>
          <t>SFDA</t>
        </is>
      </c>
      <c r="D187" s="456" t="inlineStr">
        <is>
          <t>LOW</t>
        </is>
      </c>
      <c r="E187" s="443" t="inlineStr">
        <is>
          <t>Academic debate varies by framework maturity and international adoption. For KSA-specific debate, consult: Almohammad &amp; Wills (2021) J Cybersecurity; Al-Khater et al. (2020) IEEE Access; Baker McKenzi</t>
        </is>
      </c>
      <c r="F187" s="74" t="inlineStr">
        <is>
          <t>Known criticisms include: implementation gap between standards and practice; resource constraints for smaller healthcare entities; rapid technology evolution outpacing regulation. Consult framework ev</t>
        </is>
      </c>
      <c r="G187" s="70" t="inlineStr">
        <is>
          <t>Known criticisms include: implementation gap between standards and practice; resource constraints for smaller healthcare entities; rapid technology evolution outpacing regulation. Consult framework evaluation literature for specifics.</t>
        </is>
      </c>
      <c r="H187" s="75" t="inlineStr">
        <is>
          <t>Framework comparison requires contextual analysis. Key comparators: NIST CSF 2.0 (international benchmark), ISO 27001 (certifiable standard), ECC-2 (K...</t>
        </is>
      </c>
      <c r="I187" s="77" t="inlineStr">
        <is>
          <t>Relevance to GH-ICGA framework varies by layer — see GH-ICGA Layer Mapping column. All KSA mandatory frameworks are compliance inputs to GH-ICGA Layer 4. Frameworks with IoMT-specific provisions direc...</t>
        </is>
      </c>
    </row>
    <row r="188" ht="72" customHeight="1">
      <c r="A188" s="426" t="inlineStr">
        <is>
          <t>SFDA-FOOD</t>
        </is>
      </c>
      <c r="B188" s="45" t="inlineStr">
        <is>
          <t>Food Safety Law</t>
        </is>
      </c>
      <c r="C188" s="44" t="inlineStr">
        <is>
          <t>SFDA</t>
        </is>
      </c>
      <c r="D188" s="456" t="inlineStr">
        <is>
          <t>LOW</t>
        </is>
      </c>
      <c r="E188" s="440" t="inlineStr">
        <is>
          <t>Academic debate varies by framework maturity and international adoption. For KSA-specific debate, consult: Almohammad &amp; Wills (2021) J Cybersecurity; Al-Khater et al. (2020) IEEE Access; Baker McKenzi</t>
        </is>
      </c>
      <c r="F188" s="434" t="inlineStr">
        <is>
          <t>Known criticisms include: implementation gap between standards and practice; resource constraints for smaller healthcare entities; rapid technology evolution outpacing regulation. Consult framework ev</t>
        </is>
      </c>
      <c r="G188" s="44" t="inlineStr">
        <is>
          <t>Known criticisms include: implementation gap between standards and practice; resource constraints for smaller healthcare entities; rapid technology evolution outpacing regulation. Consult framework evaluation literature for specifics.</t>
        </is>
      </c>
      <c r="H188" s="441" t="inlineStr">
        <is>
          <t>Framework comparison requires contextual analysis. Key comparators: NIST CSF 2.0 (international benchmark), ISO 27001 (certifiable standard), ECC-2 (K...</t>
        </is>
      </c>
      <c r="I188" s="426" t="inlineStr">
        <is>
          <t>Relevance to GH-ICGA framework varies by layer — see GH-ICGA Layer Mapping column. All KSA mandatory frameworks are compliance inputs to GH-ICGA Layer 4. Frameworks with IoMT-specific provisions direc...</t>
        </is>
      </c>
    </row>
    <row r="189" ht="72" customHeight="1">
      <c r="A189" s="77" t="inlineStr">
        <is>
          <t>SFDA-PEST</t>
        </is>
      </c>
      <c r="B189" s="72" t="inlineStr">
        <is>
          <t>Pesticide &amp; Biocide Regulations</t>
        </is>
      </c>
      <c r="C189" s="70" t="inlineStr">
        <is>
          <t>SFDA</t>
        </is>
      </c>
      <c r="D189" s="456" t="inlineStr">
        <is>
          <t>LOW</t>
        </is>
      </c>
      <c r="E189" s="443" t="inlineStr">
        <is>
          <t>Academic debate varies by framework maturity and international adoption. For KSA-specific debate, consult: Almohammad &amp; Wills (2021) J Cybersecurity; Al-Khater et al. (2020) IEEE Access; Baker McKenzi</t>
        </is>
      </c>
      <c r="F189" s="74" t="inlineStr">
        <is>
          <t>Known criticisms include: implementation gap between standards and practice; resource constraints for smaller healthcare entities; rapid technology evolution outpacing regulation. Consult framework ev</t>
        </is>
      </c>
      <c r="G189" s="70" t="inlineStr">
        <is>
          <t>Known criticisms include: implementation gap between standards and practice; resource constraints for smaller healthcare entities; rapid technology evolution outpacing regulation. Consult framework evaluation literature for specifics.</t>
        </is>
      </c>
      <c r="H189" s="75" t="inlineStr">
        <is>
          <t>Framework comparison requires contextual analysis. Key comparators: NIST CSF 2.0 (international benchmark), ISO 27001 (certifiable standard), ECC-2 (K...</t>
        </is>
      </c>
      <c r="I189" s="77" t="inlineStr">
        <is>
          <t>Relevance to GH-ICGA framework varies by layer — see GH-ICGA Layer Mapping column. All KSA mandatory frameworks are compliance inputs to GH-ICGA Layer 4. Frameworks with IoMT-specific provisions direc...</t>
        </is>
      </c>
    </row>
    <row r="190" ht="72" customHeight="1">
      <c r="A190" s="426" t="inlineStr">
        <is>
          <t>ZATCA-VAT</t>
        </is>
      </c>
      <c r="B190" s="45" t="inlineStr">
        <is>
          <t>VAT Implementing Regulations</t>
        </is>
      </c>
      <c r="C190" s="44" t="inlineStr">
        <is>
          <t>ZATCA</t>
        </is>
      </c>
      <c r="D190" s="456" t="inlineStr">
        <is>
          <t>LOW</t>
        </is>
      </c>
      <c r="E190" s="440" t="inlineStr">
        <is>
          <t>Academic debate varies by framework maturity and international adoption. For KSA-specific debate, consult: Almohammad &amp; Wills (2021) J Cybersecurity; Al-Khater et al. (2020) IEEE Access; Baker McKenzi</t>
        </is>
      </c>
      <c r="F190" s="434" t="inlineStr">
        <is>
          <t>Known criticisms include: implementation gap between standards and practice; resource constraints for smaller healthcare entities; rapid technology evolution outpacing regulation. Consult framework ev</t>
        </is>
      </c>
      <c r="G190" s="44" t="inlineStr">
        <is>
          <t>Known criticisms include: implementation gap between standards and practice; resource constraints for smaller healthcare entities; rapid technology evolution outpacing regulation. Consult framework evaluation literature for specifics.</t>
        </is>
      </c>
      <c r="H190" s="441" t="inlineStr">
        <is>
          <t>Framework comparison requires contextual analysis. Key comparators: NIST CSF 2.0 (international benchmark), ISO 27001 (certifiable standard), ECC-2 (K...</t>
        </is>
      </c>
      <c r="I190" s="426" t="inlineStr">
        <is>
          <t>Relevance to GH-ICGA framework varies by layer — see GH-ICGA Layer Mapping column. All KSA mandatory frameworks are compliance inputs to GH-ICGA Layer 4. Frameworks with IoMT-specific provisions direc...</t>
        </is>
      </c>
    </row>
    <row r="191" ht="72" customHeight="1">
      <c r="A191" s="155" t="inlineStr">
        <is>
          <t>ZATCA-ZAK</t>
        </is>
      </c>
      <c r="B191" s="146" t="inlineStr">
        <is>
          <t>Zakat Assessment Regulations</t>
        </is>
      </c>
      <c r="C191" s="145" t="inlineStr">
        <is>
          <t>ZATCA</t>
        </is>
      </c>
      <c r="D191" s="456" t="inlineStr">
        <is>
          <t>LOW</t>
        </is>
      </c>
      <c r="E191" s="455" t="inlineStr">
        <is>
          <t>Academic debate varies by framework maturity and international adoption. For KSA-specific debate, consult: Almohammad &amp; Wills (2021) J Cybersecurity; Al-Khater et al. (2020) IEEE Access; Baker McKenzi</t>
        </is>
      </c>
      <c r="F191" s="151" t="inlineStr">
        <is>
          <t>Known criticisms include: implementation gap between standards and practice; resource constraints for smaller healthcare entities; rapid technology evolution outpacing regulation. Consult framework ev</t>
        </is>
      </c>
      <c r="G191" s="145" t="inlineStr">
        <is>
          <t>Known criticisms include: implementation gap between standards and practice; resource constraints for smaller healthcare entities; rapid technology evolution outpacing regulation. Consult framework evaluation literature for specifics.</t>
        </is>
      </c>
      <c r="H191" s="152" t="inlineStr">
        <is>
          <t>Framework comparison requires contextual analysis. Key comparators: NIST CSF 2.0 (international benchmark), ISO 27001 (certifiable standard), ECC-2 (K...</t>
        </is>
      </c>
      <c r="I191" s="155" t="inlineStr">
        <is>
          <t>Relevance to GH-ICGA framework varies by layer — see GH-ICGA Layer Mapping column. All KSA mandatory frameworks are compliance inputs to GH-ICGA Layer 4. Frameworks with IoMT-specific provisions direc...</t>
        </is>
      </c>
    </row>
  </sheetData>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H12"/>
  <sheetViews>
    <sheetView zoomScaleNormal="100" workbookViewId="0">
      <pane ySplit="2" topLeftCell="A3" activePane="bottomLeft" state="frozen"/>
      <selection pane="bottomLeft" activeCell="A1" sqref="A1:H1"/>
    </sheetView>
  </sheetViews>
  <sheetFormatPr baseColWidth="8" defaultColWidth="8.6640625" defaultRowHeight="14.25"/>
  <cols>
    <col width="26" customWidth="1" min="1" max="1"/>
    <col width="50" customWidth="1" min="2" max="2"/>
    <col width="38" customWidth="1" min="3" max="3"/>
    <col width="40" customWidth="1" min="4" max="4"/>
    <col width="42" customWidth="1" min="5" max="5"/>
    <col width="18" customWidth="1" min="6" max="6"/>
    <col width="44" customWidth="1" min="7" max="7"/>
  </cols>
  <sheetData>
    <row r="1" ht="30" customHeight="1">
      <c r="A1" s="4" t="inlineStr">
        <is>
          <t>KSA Healthcare IoT Cybersecurity Governance — Knowledge Foundation &amp; Theoretical Basis</t>
        </is>
      </c>
    </row>
    <row r="2" ht="15" customHeight="1">
      <c r="A2" s="5" t="inlineStr">
        <is>
          <t>Theory / Concept</t>
        </is>
      </c>
      <c r="B2" s="5" t="inlineStr">
        <is>
          <t>Description</t>
        </is>
      </c>
      <c r="C2" s="5" t="inlineStr">
        <is>
          <t>Key Theorists / Sources</t>
        </is>
      </c>
      <c r="D2" s="5" t="inlineStr">
        <is>
          <t>Frameworks Using This Theory</t>
        </is>
      </c>
      <c r="E2" s="5" t="inlineStr">
        <is>
          <t>Relevance to IoMT Governance</t>
        </is>
      </c>
      <c r="F2" s="5" t="inlineStr">
        <is>
          <t>GH-ICGA Layer</t>
        </is>
      </c>
      <c r="G2" s="5" t="inlineStr">
        <is>
          <t>Doctoral Thesis Application</t>
        </is>
      </c>
    </row>
    <row r="3" ht="60" customHeight="1">
      <c r="A3" s="457" t="inlineStr">
        <is>
          <t>Governance Theory (Bevir 2012)</t>
        </is>
      </c>
      <c r="B3" s="458" t="inlineStr">
        <is>
          <t>Governance as distributed authority — regulatory bodies shape actor behaviour through rules, norms and markets. Central vs distributed governance debate</t>
        </is>
      </c>
      <c r="C3" s="459" t="inlineStr">
        <is>
          <t>Bevir M (2012) Governance: A Very Short Introduction; Rhodes RAW (1997) Understanding Governance; Peters BG (2001) The Future of Governing</t>
        </is>
      </c>
      <c r="D3" s="458" t="inlineStr">
        <is>
          <t>NCA-ECC-2:2024; SDAIA-PDPL; SHC-HSTP; SAMA-CSF; all mandatory frameworks</t>
        </is>
      </c>
      <c r="E3" s="460" t="inlineStr">
        <is>
          <t>IoMT governance requires multi-authority coordination (NCA+MOH+SFDA+SDAIA) — governance theory explains why GH-ICGA Layer 1 must address authority overlap and coordination mechanisms</t>
        </is>
      </c>
      <c r="F3" s="461" t="inlineStr">
        <is>
          <t>Layer 1: Governance</t>
        </is>
      </c>
      <c r="G3" s="462" t="inlineStr">
        <is>
          <t>GH-ICGA proposes a 5-layer governance architecture drawing on Bevir's distributed governance model — each KSA regulatory authority governs a different IoMT dimension without a single unified framework</t>
        </is>
      </c>
    </row>
    <row r="4" ht="60" customHeight="1">
      <c r="A4" s="426" t="inlineStr">
        <is>
          <t>Institutional Theory (DiMaggio &amp; Powell 1983)</t>
        </is>
      </c>
      <c r="B4" s="44" t="inlineStr">
        <is>
          <t>Coercive, mimetic and normative isomorphism explain why organisations adopt similar structures. Coercive = government mandate; mimetic = copying peers; normative = professional standards</t>
        </is>
      </c>
      <c r="C4" s="463" t="inlineStr">
        <is>
          <t>DiMaggio PJ &amp; Powell WW (1983) 'The Iron Cage Revisited' American Sociological Review 48(2); Meyer JW &amp; Rowan B (1977) 'Institutionalized Organizations' AJS 83(2)</t>
        </is>
      </c>
      <c r="D4" s="44" t="inlineStr">
        <is>
          <t>CBAHI accreditation (mimetic); NCA-ECC-2 (coercive); ISO 27001 (normative); HITRUST (mimetic for US-aligned vendors)</t>
        </is>
      </c>
      <c r="E4" s="464" t="inlineStr">
        <is>
          <t>IoMT governance adoption in Saudi hospitals is driven by coercive (NCA ECC-2 mandate), mimetic (CBAHI accreditation peer comparison) and normative (SCFHS professional standards) mechanisms — GH-ICGA must account for all three adoption pathways</t>
        </is>
      </c>
      <c r="F4" s="461" t="inlineStr">
        <is>
          <t>Layer 1: Governance; Layer 4: Compliance</t>
        </is>
      </c>
      <c r="G4" s="465" t="inlineStr">
        <is>
          <t>Thesis RQ1 uses institutional theory to explain current IoMT governance adoption patterns; GH-ICGA framework design must leverage all three isomorphism mechanisms for implementation success</t>
        </is>
      </c>
    </row>
    <row r="5" ht="60" customHeight="1">
      <c r="A5" s="457" t="inlineStr">
        <is>
          <t>Risk Management Theory (ISO 31000; Kaplan &amp; Mikes 2012)</t>
        </is>
      </c>
      <c r="B5" s="458" t="inlineStr">
        <is>
          <t>Risk as uncertainty affecting objectives — risk identification, assessment, treatment and monitoring cycle. Enterprise risk management (ERM) vs cybersecurity risk management debate</t>
        </is>
      </c>
      <c r="C5" s="459" t="inlineStr">
        <is>
          <t>ISO 31000:2018; Kaplan RS &amp; Mikes A (2012) 'Managing Risks: A New Framework' HBR; NIST SP 800-30r1 Guide for Conducting Risk Assessments</t>
        </is>
      </c>
      <c r="D5" s="458" t="inlineStr">
        <is>
          <t>NIST-CSF-2.0; ISO-27001:2022; SAMA-CSF; NCA-ECC-2:2024; SFDA-MDR (risk classification)</t>
        </is>
      </c>
      <c r="E5" s="460" t="inlineStr">
        <is>
          <t>IoMT risk management requires integration of clinical risk (patient safety), cybersecurity risk (NCA ECC-2) and privacy risk (PDPL) — ISO 31000 provides the unified risk methodology that GH-ICGA Layer 2 adopts</t>
        </is>
      </c>
      <c r="F5" s="461" t="inlineStr">
        <is>
          <t>Layer 2: Risk Management</t>
        </is>
      </c>
      <c r="G5" s="462" t="inlineStr">
        <is>
          <t>GH-ICGA Layer 2 applies ISO 31000 risk management process adapted for IoMT-specific threat landscape — the three-risk integration (clinical + cyber + privacy) is a novel contribution of the preliminary GH-ICGA framework</t>
        </is>
      </c>
    </row>
    <row r="6" ht="60" customHeight="1">
      <c r="A6" s="426" t="inlineStr">
        <is>
          <t>Socio-Technical Systems Theory (Trist 1981; Bostrom &amp; Heinen 1977)</t>
        </is>
      </c>
      <c r="B6" s="44" t="inlineStr">
        <is>
          <t>Organisations are joint systems of social (people, processes) and technical (technology, tools) elements — both must be optimised together. Technology cannot be governed independently of human and organisational context</t>
        </is>
      </c>
      <c r="C6" s="463" t="inlineStr">
        <is>
          <t>Trist E (1981) 'The Evolution of Socio-Technical Systems' Ontario Quality of Working Life Centre; Bostrom RP &amp; Heinen JS (1977) 'MIS Problems and Failures' MIS Quarterly 1(3)</t>
        </is>
      </c>
      <c r="D6" s="44" t="inlineStr">
        <is>
          <t>SFDA-AI-MDS-G010; CBAHI-HAS-H; MOH-HIS; MOH-PS; IEC-62443; NCA-OTCC</t>
        </is>
      </c>
      <c r="E6" s="464" t="inlineStr">
        <is>
          <t>IoMT governance failure is predominantly socio-technical — technology controls fail because of human/organisational factors (Coventry &amp; Branley 2018; Jalali &amp; Kaiser 2018) — GH-ICGA explicitly incorporates socio-technical design principles</t>
        </is>
      </c>
      <c r="F6" s="461" t="inlineStr">
        <is>
          <t>Layer 1: Governance; Layer 3: Technical Controls</t>
        </is>
      </c>
      <c r="G6" s="465" t="inlineStr">
        <is>
          <t>Thesis methodology section applies socio-technical theory to justify mixed-methods design — interview phase captures social/organisational factors; survey phase captures technical governance factors</t>
        </is>
      </c>
    </row>
    <row r="7" ht="60" customHeight="1">
      <c r="A7" s="457" t="inlineStr">
        <is>
          <t>Critical Infrastructure Protection Theory (Lewis 2006)</t>
        </is>
      </c>
      <c r="B7" s="458" t="inlineStr">
        <is>
          <t>Critical National Infrastructure (CNI) requires special governance — hospitals as dual-use infrastructure (clinical + digital). Availability &gt; Confidentiality in life-critical systems</t>
        </is>
      </c>
      <c r="C7" s="459" t="inlineStr">
        <is>
          <t>Lewis TG (2006) Critical Infrastructure Protection in Homeland Security; DHS (2013) NIPP 2013; ENISA (2022) Critical Entities Resilience</t>
        </is>
      </c>
      <c r="D7" s="458" t="inlineStr">
        <is>
          <t>NCA-ECC-2:2024 (CNI scope); NCA-OTCC-1:2022; MOH-HIS; SFDA-MDR; NCA-CSCC-1:2019</t>
        </is>
      </c>
      <c r="E7" s="460" t="inlineStr">
        <is>
          <t>Saudi hospital IoMT networks are CNI — life-critical systems (ICU monitoring, ventilators, infusion pumps) — GH-ICGA Layer 3 applies CIP principles: availability-first control prioritisation, zone/conduit network architecture, supply chain security</t>
        </is>
      </c>
      <c r="F7" s="461" t="inlineStr">
        <is>
          <t>Layer 2: Risk; Layer 3: Technical</t>
        </is>
      </c>
      <c r="G7" s="462" t="inlineStr">
        <is>
          <t>Thesis positions Saudi hospitals as CNI — justifying rigorous IoMT governance requirements. GH-ICGA's preliminary framework explicitly addresses the clinical availability vs cybersecurity confidentiality tension that CIP theory identifies</t>
        </is>
      </c>
    </row>
    <row r="8" ht="60" customHeight="1">
      <c r="A8" s="426" t="inlineStr">
        <is>
          <t>Privacy as Contextual Integrity (Nissenbaum 2004)</t>
        </is>
      </c>
      <c r="B8" s="44" t="inlineStr">
        <is>
          <t>Information flows are appropriate when they match the norms of the context in which data was shared — patient health data shared for treatment cannot be used for marketing</t>
        </is>
      </c>
      <c r="C8" s="463" t="inlineStr">
        <is>
          <t>Nissenbaum H (2004) 'Privacy as Contextual Integrity' Washington Law Review 79(1); Westin AF (1967) Privacy and Freedom; Cavoukian A (2009) Privacy by Design</t>
        </is>
      </c>
      <c r="D8" s="44" t="inlineStr">
        <is>
          <t>PDPL-2021; PDPL-IR-2023; MOH-PR; SFDA-AI-MDS-G010; SDAIA-AI-ETH</t>
        </is>
      </c>
      <c r="E8" s="464" t="inlineStr">
        <is>
          <t>IoMT data flows must match clinical context norms — wearable data collected for monitoring cannot be shared with insurers without explicit consent. GH-ICGA Layer 4 uses contextual integrity as the theoretical basis for IoMT data governance rules</t>
        </is>
      </c>
      <c r="F8" s="461" t="inlineStr">
        <is>
          <t>Layer 4: Compliance; Layer 2: Risk</t>
        </is>
      </c>
      <c r="G8" s="465" t="inlineStr">
        <is>
          <t>Thesis Chapter 2 uses Nissenbaum's contextual integrity framework to evaluate adequacy of PDPL provisions for IoMT health data — identifies gap between PDPL general provisions and IoMT-specific data flow complexity</t>
        </is>
      </c>
    </row>
    <row r="9" ht="60" customHeight="1">
      <c r="A9" s="457" t="inlineStr">
        <is>
          <t>Regulatory Theory: Responsive Regulation (Ayres &amp; Braithwaite 1992)</t>
        </is>
      </c>
      <c r="B9" s="458" t="inlineStr">
        <is>
          <t>Regulatory pyramid — persuasion at base, escalating to sanctions at apex. Most actors comply with persuasion; sanctions reserved for persistent non-compliers. Compliance-based vs deterrence-based regulation debate</t>
        </is>
      </c>
      <c r="C9" s="459" t="inlineStr">
        <is>
          <t>Ayres I &amp; Braithwaite J (1992) Responsive Regulation Oxford; Baldwin R et al. (2012) Understanding Regulation Oxford; Black J (2001) 'Decentring Regulation' Current Legal Problems 54(1)</t>
        </is>
      </c>
      <c r="D9" s="458" t="inlineStr">
        <is>
          <t>NCA-REG-2024 (deterrence); CBAHI accreditation (persuasion); SAMA-CSF self-assessment (compliance); SDAIA-PDPL (escalating penalties)</t>
        </is>
      </c>
      <c r="E9" s="460" t="inlineStr">
        <is>
          <t>KSA healthcare IoT regulation uses a mixed model — NCA ECC-2 with strong enforcement (deterrence), CBAHI with accreditation incentives (persuasion), PDPL with graduated penalties (responsive regulation). GH-ICGA Layer 4 incorporates all three regulatory approaches</t>
        </is>
      </c>
      <c r="F9" s="461" t="inlineStr">
        <is>
          <t>Layer 4: Compliance</t>
        </is>
      </c>
      <c r="G9" s="462" t="inlineStr">
        <is>
          <t>Thesis RQ3 applies responsive regulation theory to evaluate the adequacy of current KSA IoMT regulatory enforcement mechanisms — argues that purely coercive approach (NCA model) is insufficient without capacity-building support</t>
        </is>
      </c>
    </row>
    <row r="10" ht="60" customHeight="1">
      <c r="A10" s="426" t="inlineStr">
        <is>
          <t>Technology Acceptance Model / TAM (Davis 1989)</t>
        </is>
      </c>
      <c r="B10" s="44" t="inlineStr">
        <is>
          <t>Technology adoption determined by perceived usefulness and perceived ease of use — extended by UTAUT (Venkatesh 2003) adding social influence and facilitating conditions</t>
        </is>
      </c>
      <c r="C10" s="463" t="inlineStr">
        <is>
          <t>Davis FD (1989) 'Perceived Usefulness, Ease of Use' MIS Quarterly 13(3); Venkatesh V et al. (2003) 'User Acceptance of IT: UTAUT' MIS Quarterly 27(3)</t>
        </is>
      </c>
      <c r="D10" s="44" t="inlineStr">
        <is>
          <t>MOH-HIS (clinician adoption); MOH-TELE (patient adoption); SFDA-AI-MDS-G010 (clinician AI acceptance); SCFHS-CPD (digital skill adoption)</t>
        </is>
      </c>
      <c r="E10" s="464" t="inlineStr">
        <is>
          <t>Healthcare IoT adoption barriers in Saudi hospitals are predicted by TAM — perceived usefulness (clinical benefit) and perceived ease of use (integration with workflows). GH-ICGA Layer 1 governance must address adoption as well as compliance</t>
        </is>
      </c>
      <c r="F10" s="461" t="inlineStr">
        <is>
          <t>Layer 1: Governance</t>
        </is>
      </c>
      <c r="G10" s="465" t="inlineStr">
        <is>
          <t>Thesis Phase 1 interview guides use TAM constructs to explore clinician and administrator perceptions of IoMT governance frameworks — adoption barriers inform GH-ICGA design recommendations</t>
        </is>
      </c>
    </row>
    <row r="11" ht="60" customHeight="1">
      <c r="A11" s="457" t="inlineStr">
        <is>
          <t>Maturity Model Theory (Crosby 1979; CMM/CMMI)</t>
        </is>
      </c>
      <c r="B11" s="458" t="inlineStr">
        <is>
          <t>Organisational capability matures through predictable stages — Initial → Managed → Defined → Quantitatively Managed → Optimising. Maturity models enable benchmarking and roadmapping</t>
        </is>
      </c>
      <c r="C11" s="459" t="inlineStr">
        <is>
          <t>Crosby PB (1979) Quality is Free; CMMI Institute (2018) CMMI v2.0; HIMSS (2023) EMRAM; NIST (2014) CSF Tiers</t>
        </is>
      </c>
      <c r="D11" s="458" t="inlineStr">
        <is>
          <t>SAMA-CSF (6 levels); NCA-ECC-2 (5 levels); CBAHI-HAS-H (Met/Not Met); NIST-CSF-2.0 (4 tiers); HITRUST (5 levels per control)</t>
        </is>
      </c>
      <c r="E11" s="460" t="inlineStr">
        <is>
          <t>IoMT governance maturity varies enormously across KSA healthcare organisations — GH-ICGA Layer 5 Assurance incorporates a 5-level maturity model to enable organisations to self-assess and roadmap improvement</t>
        </is>
      </c>
      <c r="F11" s="461" t="inlineStr">
        <is>
          <t>Layer 5: Assurance</t>
        </is>
      </c>
      <c r="G11" s="462" t="inlineStr">
        <is>
          <t>GH-ICGA's proposed maturity model is a thesis contribution — synthesising SAMA-CSF (6 levels), NCA-ECC-2 (5 levels) and NIST CSF Tiers into a healthcare IoT-specific maturity assessment tool</t>
        </is>
      </c>
    </row>
    <row r="12" ht="60" customHeight="1">
      <c r="A12" s="426" t="inlineStr">
        <is>
          <t>Supply Chain Risk Theory (Harland et al. 2003; NIST SP 800-161)</t>
        </is>
      </c>
      <c r="B12" s="44" t="inlineStr">
        <is>
          <t>Third-party and supply chain risk as systemic vulnerability — IoMT devices introduce supply chain dependencies (manufacturers, importers, integrators) each creating attack surface</t>
        </is>
      </c>
      <c r="C12" s="463" t="inlineStr">
        <is>
          <t>Harland C et al. (2003) 'Risk in Supply Networks' J Purchasing &amp; Supply Management; NIST SP 800-161r1 (2022) Supply Chain Risk Management; ISO 27036 (Supply Chain Security)</t>
        </is>
      </c>
      <c r="D12" s="44" t="inlineStr">
        <is>
          <t>NCA-ECC-2 (third party domain); SFDA-MDR (manufacturer supply chain); SASO-PS (product safety supply chain); NCA-OTCC (vendor access); SAMA-CSF (third party management)</t>
        </is>
      </c>
      <c r="E12" s="464" t="inlineStr">
        <is>
          <t>IoMT supply chain (device manufacturer → importer → hospital → clinical user) is a critical governance challenge — GH-ICGA Layer 2 Risk Management explicitly addresses IoMT supply chain risk assessment requirements</t>
        </is>
      </c>
      <c r="F12" s="461" t="inlineStr">
        <is>
          <t>Layer 2: Risk; Layer 3: Technical</t>
        </is>
      </c>
      <c r="G12" s="465" t="inlineStr">
        <is>
          <t>Thesis identifies IoMT supply chain as a research gap in Saudi healthcare cybersecurity governance — Phase 3 Delphi panel will validate supply chain risk controls proposed in GH-ICGA Layer 2</t>
        </is>
      </c>
    </row>
  </sheetData>
  <mergeCells count="1">
    <mergeCell ref="A1:H1"/>
  </mergeCell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J26"/>
  <sheetViews>
    <sheetView zoomScaleNormal="100" workbookViewId="0">
      <pane ySplit="2" topLeftCell="A3" activePane="bottomLeft" state="frozen"/>
      <selection pane="bottomLeft" activeCell="A1" sqref="A1:J1"/>
    </sheetView>
  </sheetViews>
  <sheetFormatPr baseColWidth="8" defaultColWidth="8.6640625" defaultRowHeight="14.25"/>
  <cols>
    <col width="7" customWidth="1" min="1" max="1"/>
    <col width="18" customWidth="1" min="2" max="2"/>
    <col width="36" customWidth="1" min="3" max="3"/>
    <col width="12" customWidth="1" min="4" max="4"/>
    <col width="10" customWidth="1" min="5" max="5"/>
    <col width="14" customWidth="1" min="6" max="6"/>
    <col width="10" customWidth="1" min="7" max="7"/>
    <col width="32" customWidth="1" min="8" max="8"/>
    <col width="38" customWidth="1" min="9" max="9"/>
    <col width="34" customWidth="1" min="10" max="10"/>
  </cols>
  <sheetData>
    <row r="1" ht="30" customHeight="1">
      <c r="A1" s="3" t="inlineStr">
        <is>
          <t>KSA Healthcare IoT Cybersecurity — Framework Learning Pathway (from Foundation to Expert)</t>
        </is>
      </c>
    </row>
    <row r="2" ht="32.25" customHeight="1">
      <c r="A2" s="466" t="inlineStr">
        <is>
          <t>Study Sequence</t>
        </is>
      </c>
      <c r="B2" s="466" t="inlineStr">
        <is>
          <t>Framework Code</t>
        </is>
      </c>
      <c r="C2" s="466" t="inlineStr">
        <is>
          <t>Framework Name</t>
        </is>
      </c>
      <c r="D2" s="466" t="inlineStr">
        <is>
          <t>Regulator</t>
        </is>
      </c>
      <c r="E2" s="466" t="inlineStr">
        <is>
          <t>HC IoT Relevance</t>
        </is>
      </c>
      <c r="F2" s="466" t="inlineStr">
        <is>
          <t>Study Priority</t>
        </is>
      </c>
      <c r="G2" s="466" t="inlineStr">
        <is>
          <t>Estimated Hours</t>
        </is>
      </c>
      <c r="H2" s="466" t="inlineStr">
        <is>
          <t>Prerequisite Knowledge</t>
        </is>
      </c>
      <c r="I2" s="466" t="inlineStr">
        <is>
          <t>Official Free Resource</t>
        </is>
      </c>
      <c r="J2" s="466" t="inlineStr">
        <is>
          <t>Professional Certification</t>
        </is>
      </c>
    </row>
    <row r="3" ht="51.75" customHeight="1">
      <c r="A3" s="467" t="n">
        <v>1</v>
      </c>
      <c r="B3" s="468" t="inlineStr">
        <is>
          <t>NCA-ECC-2:2024</t>
        </is>
      </c>
      <c r="C3" s="469" t="inlineStr">
        <is>
          <t>Essential Cybersecurity Controls</t>
        </is>
      </c>
      <c r="D3" s="470" t="inlineStr">
        <is>
          <t>NCA</t>
        </is>
      </c>
      <c r="E3" s="471" t="inlineStr">
        <is>
          <t>HIGHEST</t>
        </is>
      </c>
      <c r="F3" s="51" t="inlineStr">
        <is>
          <t>ESSENTIAL — START HERE</t>
        </is>
      </c>
      <c r="G3" s="472" t="inlineStr">
        <is>
          <t>40 hrs</t>
        </is>
      </c>
      <c r="H3" s="470" t="inlineStr">
        <is>
          <t>Basic cybersecurity concepts (CIA triad, risk, controls)</t>
        </is>
      </c>
      <c r="I3" s="473" t="inlineStr">
        <is>
          <t>https://nca.gov.sa/en/regulatory-documents/controls-list/ecc/</t>
        </is>
      </c>
      <c r="J3" s="474" t="inlineStr">
        <is>
          <t>NCA-recognised cybersecurity certifications; CISSP (governance domain)</t>
        </is>
      </c>
    </row>
    <row r="4" ht="51.75" customHeight="1">
      <c r="A4" s="42" t="n">
        <v>2</v>
      </c>
      <c r="B4" s="426" t="inlineStr">
        <is>
          <t>PDPL-2021</t>
        </is>
      </c>
      <c r="C4" s="45" t="inlineStr">
        <is>
          <t>Personal Data Protection Law</t>
        </is>
      </c>
      <c r="D4" s="44" t="inlineStr">
        <is>
          <t>SDAIA</t>
        </is>
      </c>
      <c r="E4" s="471" t="inlineStr">
        <is>
          <t>HIGHEST</t>
        </is>
      </c>
      <c r="F4" s="475" t="inlineStr">
        <is>
          <t>ESSENTIAL</t>
        </is>
      </c>
      <c r="G4" s="476" t="inlineStr">
        <is>
          <t>15 hrs</t>
        </is>
      </c>
      <c r="H4" s="44" t="inlineStr">
        <is>
          <t>Basic privacy concepts; PDPL text reading in Arabic</t>
        </is>
      </c>
      <c r="I4" s="48" t="inlineStr">
        <is>
          <t>https://sdaia.gov.sa/en/SDAIA/about/Pages/RegulationsAndPolicies.aspx</t>
        </is>
      </c>
      <c r="J4" s="477" t="inlineStr">
        <is>
          <t>IAPP CIPP/A (Asia-Pacific Privacy) — closest to PDPL; IAPP CIPM</t>
        </is>
      </c>
    </row>
    <row r="5" ht="51.75" customHeight="1">
      <c r="A5" s="467" t="n">
        <v>3</v>
      </c>
      <c r="B5" s="468" t="inlineStr">
        <is>
          <t>PDPL-IR-2023</t>
        </is>
      </c>
      <c r="C5" s="469" t="inlineStr">
        <is>
          <t>PDPL Implementing Regulations</t>
        </is>
      </c>
      <c r="D5" s="470" t="inlineStr">
        <is>
          <t>SDAIA</t>
        </is>
      </c>
      <c r="E5" s="471" t="inlineStr">
        <is>
          <t>HIGHEST</t>
        </is>
      </c>
      <c r="F5" s="475" t="inlineStr">
        <is>
          <t>ESSENTIAL</t>
        </is>
      </c>
      <c r="G5" s="472" t="inlineStr">
        <is>
          <t>10 hrs</t>
        </is>
      </c>
      <c r="H5" s="470" t="inlineStr">
        <is>
          <t>PDPL-2021 completion</t>
        </is>
      </c>
      <c r="I5" s="473" t="inlineStr">
        <is>
          <t>https://sdaia.gov.sa/en/SDAIA/about/Pages/RegulationsAndPolicies.aspx</t>
        </is>
      </c>
      <c r="J5" s="474" t="inlineStr">
        <is>
          <t>As above; IAPP CIPM (management)</t>
        </is>
      </c>
    </row>
    <row r="6" ht="51.75" customHeight="1">
      <c r="A6" s="42" t="n">
        <v>4</v>
      </c>
      <c r="B6" s="426" t="inlineStr">
        <is>
          <t>MOH-HIS</t>
        </is>
      </c>
      <c r="C6" s="45" t="inlineStr">
        <is>
          <t>Health Information System Standards</t>
        </is>
      </c>
      <c r="D6" s="44" t="inlineStr">
        <is>
          <t>MOH</t>
        </is>
      </c>
      <c r="E6" s="471" t="inlineStr">
        <is>
          <t>HIGHEST</t>
        </is>
      </c>
      <c r="F6" s="478" t="inlineStr">
        <is>
          <t>ESSENTIAL for HC IoT</t>
        </is>
      </c>
      <c r="G6" s="476" t="inlineStr">
        <is>
          <t>20 hrs</t>
        </is>
      </c>
      <c r="H6" s="44" t="inlineStr">
        <is>
          <t>Healthcare IT concepts; NABIDH awareness</t>
        </is>
      </c>
      <c r="I6" s="48" t="inlineStr">
        <is>
          <t>https://www.moh.gov.sa/en/</t>
        </is>
      </c>
      <c r="J6" s="477" t="inlineStr">
        <is>
          <t>CPHIMS (Certified Professional Health Informatics &amp; IM)</t>
        </is>
      </c>
    </row>
    <row r="7" ht="51.75" customHeight="1">
      <c r="A7" s="467" t="n">
        <v>5</v>
      </c>
      <c r="B7" s="468" t="inlineStr">
        <is>
          <t>MOH-EMR-NABIDH</t>
        </is>
      </c>
      <c r="C7" s="469" t="inlineStr">
        <is>
          <t>EMR Standards / NABIDH Platform</t>
        </is>
      </c>
      <c r="D7" s="470" t="inlineStr">
        <is>
          <t>MOH/NHIC</t>
        </is>
      </c>
      <c r="E7" s="471" t="inlineStr">
        <is>
          <t>HIGHEST</t>
        </is>
      </c>
      <c r="F7" s="478" t="inlineStr">
        <is>
          <t>ESSENTIAL for HC IoT</t>
        </is>
      </c>
      <c r="G7" s="472" t="inlineStr">
        <is>
          <t>15 hrs</t>
        </is>
      </c>
      <c r="H7" s="470" t="inlineStr">
        <is>
          <t>MOH-HIS; HL7 FHIR basics</t>
        </is>
      </c>
      <c r="I7" s="473" t="inlineStr">
        <is>
          <t>https://nhic.gov.sa/</t>
        </is>
      </c>
      <c r="J7" s="474" t="inlineStr">
        <is>
          <t>HL7 FHIR Foundational Certificate (HL7 International)</t>
        </is>
      </c>
    </row>
    <row r="8" ht="51.75" customHeight="1">
      <c r="A8" s="42" t="n">
        <v>6</v>
      </c>
      <c r="B8" s="426" t="inlineStr">
        <is>
          <t>SFDA-MDR</t>
        </is>
      </c>
      <c r="C8" s="45" t="inlineStr">
        <is>
          <t>Medical Device Regulations</t>
        </is>
      </c>
      <c r="D8" s="44" t="inlineStr">
        <is>
          <t>SFDA</t>
        </is>
      </c>
      <c r="E8" s="471" t="inlineStr">
        <is>
          <t>HIGHEST</t>
        </is>
      </c>
      <c r="F8" s="479" t="inlineStr">
        <is>
          <t>ESSENTIAL for device governance</t>
        </is>
      </c>
      <c r="G8" s="476" t="inlineStr">
        <is>
          <t>30 hrs</t>
        </is>
      </c>
      <c r="H8" s="44" t="inlineStr">
        <is>
          <t>Regulatory affairs basics; device classification concepts</t>
        </is>
      </c>
      <c r="I8" s="48" t="inlineStr">
        <is>
          <t>https://www.sfda.gov.sa/en</t>
        </is>
      </c>
      <c r="J8" s="477" t="inlineStr">
        <is>
          <t>RAPS RAC-D (Regulatory Affairs Certification — Devices)</t>
        </is>
      </c>
    </row>
    <row r="9" ht="51.75" customHeight="1">
      <c r="A9" s="467" t="n">
        <v>7</v>
      </c>
      <c r="B9" s="468" t="inlineStr">
        <is>
          <t>NCA-OTCC</t>
        </is>
      </c>
      <c r="C9" s="469" t="inlineStr">
        <is>
          <t>OT Cybersecurity Controls</t>
        </is>
      </c>
      <c r="D9" s="470" t="inlineStr">
        <is>
          <t>NCA</t>
        </is>
      </c>
      <c r="E9" s="471" t="inlineStr">
        <is>
          <t>HIGHEST</t>
        </is>
      </c>
      <c r="F9" s="480" t="inlineStr">
        <is>
          <t>HIGH PRIORITY for IoMT</t>
        </is>
      </c>
      <c r="G9" s="472" t="inlineStr">
        <is>
          <t>25 hrs</t>
        </is>
      </c>
      <c r="H9" s="470" t="inlineStr">
        <is>
          <t>NCA-ECC-2 completion; OT/ICS basics</t>
        </is>
      </c>
      <c r="I9" s="473" t="inlineStr">
        <is>
          <t>https://nca.gov.sa/otcc_en.pdf</t>
        </is>
      </c>
      <c r="J9" s="474" t="inlineStr">
        <is>
          <t>ISCI IEC 62443 Cybersecurity Certificate; GICSP (Global Industrial Cyber Security Professional)</t>
        </is>
      </c>
    </row>
    <row r="10" ht="51.75" customHeight="1">
      <c r="A10" s="42" t="n">
        <v>8</v>
      </c>
      <c r="B10" s="426" t="inlineStr">
        <is>
          <t>CBAHI-HAS-H</t>
        </is>
      </c>
      <c r="C10" s="45" t="inlineStr">
        <is>
          <t>Hospital Accreditation Standards 5th Ed</t>
        </is>
      </c>
      <c r="D10" s="44" t="inlineStr">
        <is>
          <t>CBAHI</t>
        </is>
      </c>
      <c r="E10" s="471" t="inlineStr">
        <is>
          <t>HIGHEST</t>
        </is>
      </c>
      <c r="F10" s="480" t="inlineStr">
        <is>
          <t>HIGH for hospital governance</t>
        </is>
      </c>
      <c r="G10" s="476" t="inlineStr">
        <is>
          <t>20 hrs</t>
        </is>
      </c>
      <c r="H10" s="44" t="inlineStr">
        <is>
          <t>Healthcare operations knowledge</t>
        </is>
      </c>
      <c r="I10" s="48" t="inlineStr">
        <is>
          <t>https://www.cbahi.gov.sa/</t>
        </is>
      </c>
      <c r="J10" s="477" t="inlineStr">
        <is>
          <t>CPHQ (Certified Professional in Healthcare Quality)</t>
        </is>
      </c>
    </row>
    <row r="11" ht="51.75" customHeight="1">
      <c r="A11" s="467" t="n">
        <v>9</v>
      </c>
      <c r="B11" s="468" t="inlineStr">
        <is>
          <t>NHIC-NABIDH</t>
        </is>
      </c>
      <c r="C11" s="469" t="inlineStr">
        <is>
          <t>NABIDH EHR Platform Standard</t>
        </is>
      </c>
      <c r="D11" s="470" t="inlineStr">
        <is>
          <t>NHIC</t>
        </is>
      </c>
      <c r="E11" s="471" t="inlineStr">
        <is>
          <t>HIGHEST</t>
        </is>
      </c>
      <c r="F11" s="480" t="inlineStr">
        <is>
          <t>HIGH — interoperability</t>
        </is>
      </c>
      <c r="G11" s="472" t="inlineStr">
        <is>
          <t>10 hrs</t>
        </is>
      </c>
      <c r="H11" s="470" t="inlineStr">
        <is>
          <t>MOH-HIS + MOH-EMR-NABIDH completion</t>
        </is>
      </c>
      <c r="I11" s="473" t="inlineStr">
        <is>
          <t>https://nhic.gov.sa/</t>
        </is>
      </c>
      <c r="J11" s="474" t="inlineStr">
        <is>
          <t>NHIC developer training completion certificate</t>
        </is>
      </c>
    </row>
    <row r="12" ht="51.75" customHeight="1">
      <c r="A12" s="42" t="n">
        <v>10</v>
      </c>
      <c r="B12" s="426" t="inlineStr">
        <is>
          <t>MOH-TELE</t>
        </is>
      </c>
      <c r="C12" s="45" t="inlineStr">
        <is>
          <t>Telemedicine Regulations</t>
        </is>
      </c>
      <c r="D12" s="44" t="inlineStr">
        <is>
          <t>MOH</t>
        </is>
      </c>
      <c r="E12" s="471" t="inlineStr">
        <is>
          <t>HIGHEST</t>
        </is>
      </c>
      <c r="F12" s="480" t="inlineStr">
        <is>
          <t>HIGH</t>
        </is>
      </c>
      <c r="G12" s="476" t="inlineStr">
        <is>
          <t>10 hrs</t>
        </is>
      </c>
      <c r="H12" s="44" t="inlineStr">
        <is>
          <t>MOH-HIS; Basic telemedicine concepts</t>
        </is>
      </c>
      <c r="I12" s="48" t="inlineStr">
        <is>
          <t>https://www.moh.gov.sa/en/</t>
        </is>
      </c>
      <c r="J12" s="477" t="inlineStr">
        <is>
          <t>ATA (American Telemedicine Association) Certificate</t>
        </is>
      </c>
    </row>
    <row r="13" ht="51.75" customHeight="1">
      <c r="A13" s="467" t="n">
        <v>11</v>
      </c>
      <c r="B13" s="468" t="inlineStr">
        <is>
          <t>CCHI-HIR</t>
        </is>
      </c>
      <c r="C13" s="469" t="inlineStr">
        <is>
          <t>Cooperative Health Insurance Law</t>
        </is>
      </c>
      <c r="D13" s="470" t="inlineStr">
        <is>
          <t>CCHI</t>
        </is>
      </c>
      <c r="E13" s="481" t="inlineStr">
        <is>
          <t>HIGH</t>
        </is>
      </c>
      <c r="F13" s="482" t="inlineStr">
        <is>
          <t>HIGH for insurance actors</t>
        </is>
      </c>
      <c r="G13" s="472" t="inlineStr">
        <is>
          <t>10 hrs</t>
        </is>
      </c>
      <c r="H13" s="470" t="inlineStr">
        <is>
          <t>Health insurance fundamentals</t>
        </is>
      </c>
      <c r="I13" s="473" t="inlineStr">
        <is>
          <t>https://cchi.gov.sa/</t>
        </is>
      </c>
      <c r="J13" s="474" t="inlineStr">
        <is>
          <t>No dedicated certification — CCHI exam for insurance professionals</t>
        </is>
      </c>
    </row>
    <row r="14" ht="51.75" customHeight="1">
      <c r="A14" s="42" t="n">
        <v>12</v>
      </c>
      <c r="B14" s="426" t="inlineStr">
        <is>
          <t>SCFHS-PLF</t>
        </is>
      </c>
      <c r="C14" s="45" t="inlineStr">
        <is>
          <t>Professional Licensing Framework</t>
        </is>
      </c>
      <c r="D14" s="44" t="inlineStr">
        <is>
          <t>SCFHS</t>
        </is>
      </c>
      <c r="E14" s="481" t="inlineStr">
        <is>
          <t>HIGH</t>
        </is>
      </c>
      <c r="F14" s="482" t="inlineStr">
        <is>
          <t>HIGH for workforce</t>
        </is>
      </c>
      <c r="G14" s="476" t="inlineStr">
        <is>
          <t>10 hrs</t>
        </is>
      </c>
      <c r="H14" s="44" t="inlineStr">
        <is>
          <t>Healthcare professional licensing awareness</t>
        </is>
      </c>
      <c r="I14" s="48" t="inlineStr">
        <is>
          <t>https://scfhs.org.sa/en</t>
        </is>
      </c>
      <c r="J14" s="477" t="inlineStr">
        <is>
          <t>SCFHS licence (for clinical professionals)</t>
        </is>
      </c>
    </row>
    <row r="15" ht="51.75" customHeight="1">
      <c r="A15" s="467" t="n">
        <v>13</v>
      </c>
      <c r="B15" s="468" t="inlineStr">
        <is>
          <t>SAMA-CSF</t>
        </is>
      </c>
      <c r="C15" s="469" t="inlineStr">
        <is>
          <t>SAMA Cybersecurity Framework</t>
        </is>
      </c>
      <c r="D15" s="470" t="inlineStr">
        <is>
          <t>SAMA</t>
        </is>
      </c>
      <c r="E15" s="483" t="inlineStr">
        <is>
          <t>MODERATE</t>
        </is>
      </c>
      <c r="F15" s="482" t="inlineStr">
        <is>
          <t>MEDIUM — insurance focus</t>
        </is>
      </c>
      <c r="G15" s="472" t="inlineStr">
        <is>
          <t>20 hrs</t>
        </is>
      </c>
      <c r="H15" s="470" t="inlineStr">
        <is>
          <t>NCA-ECC-2; Financial sector cybersecurity</t>
        </is>
      </c>
      <c r="I15" s="473" t="inlineStr">
        <is>
          <t>https://www.sama.gov.sa/en-US/RulesInstructions/CyberSecurity/</t>
        </is>
      </c>
      <c r="J15" s="474" t="inlineStr">
        <is>
          <t>CISM (Certified Information Security Manager)</t>
        </is>
      </c>
    </row>
    <row r="16" ht="51.75" customHeight="1">
      <c r="A16" s="42" t="n">
        <v>14</v>
      </c>
      <c r="B16" s="426" t="inlineStr">
        <is>
          <t>CST-IOT</t>
        </is>
      </c>
      <c r="C16" s="45" t="inlineStr">
        <is>
          <t>IoT Regulatory Framework</t>
        </is>
      </c>
      <c r="D16" s="44" t="inlineStr">
        <is>
          <t>CST</t>
        </is>
      </c>
      <c r="E16" s="471" t="inlineStr">
        <is>
          <t>HIGHEST</t>
        </is>
      </c>
      <c r="F16" s="480" t="inlineStr">
        <is>
          <t>HIGH — device market entry</t>
        </is>
      </c>
      <c r="G16" s="476" t="inlineStr">
        <is>
          <t>15 hrs</t>
        </is>
      </c>
      <c r="H16" s="44" t="inlineStr">
        <is>
          <t>CST-TITA; IoT technology basics</t>
        </is>
      </c>
      <c r="I16" s="48" t="inlineStr">
        <is>
          <t>https://www.cst.gov.sa/en</t>
        </is>
      </c>
      <c r="J16" s="477" t="inlineStr">
        <is>
          <t>ETSI IoT Cybersecurity (EN 303 645) training</t>
        </is>
      </c>
    </row>
    <row r="17" ht="51.75" customHeight="1">
      <c r="A17" s="467" t="n">
        <v>15</v>
      </c>
      <c r="B17" s="468" t="inlineStr">
        <is>
          <t>NIST-CSF-2.0</t>
        </is>
      </c>
      <c r="C17" s="469" t="inlineStr">
        <is>
          <t>Cybersecurity Framework 2.0</t>
        </is>
      </c>
      <c r="D17" s="470" t="inlineStr">
        <is>
          <t>NIST</t>
        </is>
      </c>
      <c r="E17" s="481" t="inlineStr">
        <is>
          <t>HIGH</t>
        </is>
      </c>
      <c r="F17" s="484" t="inlineStr">
        <is>
          <t>BENCHMARK — global comparison</t>
        </is>
      </c>
      <c r="G17" s="472" t="inlineStr">
        <is>
          <t>25 hrs</t>
        </is>
      </c>
      <c r="H17" s="470" t="inlineStr">
        <is>
          <t>NCA-ECC-2 completion; risk management basics</t>
        </is>
      </c>
      <c r="I17" s="473" t="inlineStr">
        <is>
          <t>https://www.nist.gov/cyberframework</t>
        </is>
      </c>
      <c r="J17" s="474" t="inlineStr">
        <is>
          <t>No NIST CSF certification — CISSP/CISM include CSF content</t>
        </is>
      </c>
    </row>
    <row r="18" ht="51.75" customHeight="1">
      <c r="A18" s="42" t="n">
        <v>16</v>
      </c>
      <c r="B18" s="426" t="inlineStr">
        <is>
          <t>ISO-27001:2022</t>
        </is>
      </c>
      <c r="C18" s="45" t="inlineStr">
        <is>
          <t>Information Security Management System</t>
        </is>
      </c>
      <c r="D18" s="44" t="inlineStr">
        <is>
          <t>ISO</t>
        </is>
      </c>
      <c r="E18" s="481" t="inlineStr">
        <is>
          <t>HIGH</t>
        </is>
      </c>
      <c r="F18" s="485" t="inlineStr">
        <is>
          <t>GLOBAL STANDARD</t>
        </is>
      </c>
      <c r="G18" s="476" t="inlineStr">
        <is>
          <t>40 hrs</t>
        </is>
      </c>
      <c r="H18" s="44" t="inlineStr">
        <is>
          <t>Information security fundamentals; risk management</t>
        </is>
      </c>
      <c r="I18" s="48" t="inlineStr">
        <is>
          <t>ISO standard (paid ~USD 200); BSI free ISO 27001 guide</t>
        </is>
      </c>
      <c r="J18" s="477" t="inlineStr">
        <is>
          <t>ISO 27001 Lead Implementer (PECB/BSI); CISA</t>
        </is>
      </c>
    </row>
    <row r="19" ht="51.75" customHeight="1">
      <c r="A19" s="467" t="n">
        <v>17</v>
      </c>
      <c r="B19" s="468" t="inlineStr">
        <is>
          <t>ISO-27799:2016</t>
        </is>
      </c>
      <c r="C19" s="469" t="inlineStr">
        <is>
          <t>Health Informatics ISMS</t>
        </is>
      </c>
      <c r="D19" s="470" t="inlineStr">
        <is>
          <t>ISO</t>
        </is>
      </c>
      <c r="E19" s="471" t="inlineStr">
        <is>
          <t>HIGHEST</t>
        </is>
      </c>
      <c r="F19" s="34" t="inlineStr">
        <is>
          <t>HC ISMS specific</t>
        </is>
      </c>
      <c r="G19" s="472" t="inlineStr">
        <is>
          <t>20 hrs</t>
        </is>
      </c>
      <c r="H19" s="470" t="inlineStr">
        <is>
          <t>ISO-27001:2022 completion</t>
        </is>
      </c>
      <c r="I19" s="473" t="inlineStr">
        <is>
          <t>ISO standard (paid ~USD 200)</t>
        </is>
      </c>
      <c r="J19" s="474" t="inlineStr">
        <is>
          <t>No dedicated certification — supplement to ISO 27001</t>
        </is>
      </c>
    </row>
    <row r="20" ht="51.75" customHeight="1">
      <c r="A20" s="42" t="n">
        <v>18</v>
      </c>
      <c r="B20" s="426" t="inlineStr">
        <is>
          <t>IEC-62443</t>
        </is>
      </c>
      <c r="C20" s="45" t="inlineStr">
        <is>
          <t>ICS/OT/IoMT Security Standards</t>
        </is>
      </c>
      <c r="D20" s="44" t="inlineStr">
        <is>
          <t>IEC</t>
        </is>
      </c>
      <c r="E20" s="481" t="inlineStr">
        <is>
          <t>HIGH</t>
        </is>
      </c>
      <c r="F20" s="486" t="inlineStr">
        <is>
          <t>TECHNICAL DEEP DIVE</t>
        </is>
      </c>
      <c r="G20" s="476" t="inlineStr">
        <is>
          <t>60 hrs</t>
        </is>
      </c>
      <c r="H20" s="44" t="inlineStr">
        <is>
          <t>NCA-OTCC; ICS/SCADA technology basics; network security</t>
        </is>
      </c>
      <c r="I20" s="48" t="inlineStr">
        <is>
          <t>IEC 62443 standards (paid); ISAGCA free resources</t>
        </is>
      </c>
      <c r="J20" s="477" t="inlineStr">
        <is>
          <t>ISCI IEC 62443 CSSLP / CSSPM; SANS ICS515</t>
        </is>
      </c>
    </row>
    <row r="21" ht="51.75" customHeight="1">
      <c r="A21" s="467" t="n">
        <v>19</v>
      </c>
      <c r="B21" s="468" t="inlineStr">
        <is>
          <t>SFDA-AI-MDS-G010</t>
        </is>
      </c>
      <c r="C21" s="469" t="inlineStr">
        <is>
          <t>AI/ML Medical Devices Guidance</t>
        </is>
      </c>
      <c r="D21" s="470" t="inlineStr">
        <is>
          <t>SFDA</t>
        </is>
      </c>
      <c r="E21" s="471" t="inlineStr">
        <is>
          <t>HIGHEST</t>
        </is>
      </c>
      <c r="F21" s="53" t="inlineStr">
        <is>
          <t>AI DEVICES SPECIALIST</t>
        </is>
      </c>
      <c r="G21" s="472" t="inlineStr">
        <is>
          <t>25 hrs</t>
        </is>
      </c>
      <c r="H21" s="470" t="inlineStr">
        <is>
          <t>SFDA-MDR completion; machine learning basics</t>
        </is>
      </c>
      <c r="I21" s="473" t="inlineStr">
        <is>
          <t>https://www.sfda.gov.sa/en</t>
        </is>
      </c>
      <c r="J21" s="474" t="inlineStr">
        <is>
          <t>RAPS AI in Regulatory Affairs; FDA online training (CDER/CDRH)</t>
        </is>
      </c>
    </row>
    <row r="22" ht="51.75" customHeight="1">
      <c r="A22" s="42" t="n">
        <v>20</v>
      </c>
      <c r="B22" s="426" t="inlineStr">
        <is>
          <t>HITRUST-CSF</t>
        </is>
      </c>
      <c r="C22" s="45" t="inlineStr">
        <is>
          <t>Healthcare Information Trust Alliance CSF</t>
        </is>
      </c>
      <c r="D22" s="44" t="inlineStr">
        <is>
          <t>HITRUST</t>
        </is>
      </c>
      <c r="E22" s="481" t="inlineStr">
        <is>
          <t>HIGH</t>
        </is>
      </c>
      <c r="F22" s="487" t="inlineStr">
        <is>
          <t>INTERNATIONAL BENCHMARK</t>
        </is>
      </c>
      <c r="G22" s="476" t="inlineStr">
        <is>
          <t>40 hrs</t>
        </is>
      </c>
      <c r="H22" s="44" t="inlineStr">
        <is>
          <t>ISO-27001; NCA-ECC-2; NIST-CSF completion</t>
        </is>
      </c>
      <c r="I22" s="48" t="inlineStr">
        <is>
          <t>HITRUST website (registration required)</t>
        </is>
      </c>
      <c r="J22" s="477" t="inlineStr">
        <is>
          <t>HITRUST CCSFP (Certified CSF Practitioner)</t>
        </is>
      </c>
    </row>
    <row r="23" ht="51.75" customHeight="1">
      <c r="A23" s="467" t="n">
        <v>21</v>
      </c>
      <c r="B23" s="468" t="inlineStr">
        <is>
          <t>NCA-REG-2024</t>
        </is>
      </c>
      <c r="C23" s="469" t="inlineStr">
        <is>
          <t>NCA Regulatory Framework (Penalties)</t>
        </is>
      </c>
      <c r="D23" s="470" t="inlineStr">
        <is>
          <t>NCA</t>
        </is>
      </c>
      <c r="E23" s="471" t="inlineStr">
        <is>
          <t>HIGHEST</t>
        </is>
      </c>
      <c r="F23" s="53" t="inlineStr">
        <is>
          <t>ENFORCEMENT AWARENESS</t>
        </is>
      </c>
      <c r="G23" s="472" t="inlineStr">
        <is>
          <t>5 hrs</t>
        </is>
      </c>
      <c r="H23" s="470" t="inlineStr">
        <is>
          <t>NCA-ECC-2 completion</t>
        </is>
      </c>
      <c r="I23" s="473" t="inlineStr">
        <is>
          <t>Bird &amp; Bird Jan 2025 analysis (free online)</t>
        </is>
      </c>
      <c r="J23" s="474" t="inlineStr">
        <is>
          <t>N/A — awareness document</t>
        </is>
      </c>
    </row>
    <row r="24" ht="51.75" customHeight="1">
      <c r="A24" s="42" t="n">
        <v>22</v>
      </c>
      <c r="B24" s="426" t="inlineStr">
        <is>
          <t>MOH-PS</t>
        </is>
      </c>
      <c r="C24" s="45" t="inlineStr">
        <is>
          <t>Patient Safety Standards</t>
        </is>
      </c>
      <c r="D24" s="44" t="inlineStr">
        <is>
          <t>MOH</t>
        </is>
      </c>
      <c r="E24" s="471" t="inlineStr">
        <is>
          <t>HIGHEST</t>
        </is>
      </c>
      <c r="F24" s="51" t="inlineStr">
        <is>
          <t>CLINICAL SAFETY</t>
        </is>
      </c>
      <c r="G24" s="476" t="inlineStr">
        <is>
          <t>15 hrs</t>
        </is>
      </c>
      <c r="H24" s="44" t="inlineStr">
        <is>
          <t>Clinical healthcare knowledge</t>
        </is>
      </c>
      <c r="I24" s="48" t="inlineStr">
        <is>
          <t>https://www.moh.gov.sa/en/</t>
        </is>
      </c>
      <c r="J24" s="477" t="inlineStr">
        <is>
          <t>CPHQ; patient safety officer training</t>
        </is>
      </c>
    </row>
    <row r="25" ht="51.75" customHeight="1">
      <c r="A25" s="467" t="n">
        <v>23</v>
      </c>
      <c r="B25" s="468" t="inlineStr">
        <is>
          <t>MHRSD-NITAQAT</t>
        </is>
      </c>
      <c r="C25" s="469" t="inlineStr">
        <is>
          <t>Saudisation System</t>
        </is>
      </c>
      <c r="D25" s="470" t="inlineStr">
        <is>
          <t>MHRSD</t>
        </is>
      </c>
      <c r="E25" s="481" t="inlineStr">
        <is>
          <t>HIGH</t>
        </is>
      </c>
      <c r="F25" s="488" t="inlineStr">
        <is>
          <t>HR COMPLIANCE</t>
        </is>
      </c>
      <c r="G25" s="472" t="inlineStr">
        <is>
          <t>5 hrs</t>
        </is>
      </c>
      <c r="H25" s="470" t="inlineStr">
        <is>
          <t>Basic HR and employment knowledge</t>
        </is>
      </c>
      <c r="I25" s="473" t="inlineStr">
        <is>
          <t>https://www.hrsd.gov.sa/en</t>
        </is>
      </c>
      <c r="J25" s="474" t="inlineStr">
        <is>
          <t>No certification — Qiwa portal user training</t>
        </is>
      </c>
    </row>
    <row r="26" ht="51.75" customHeight="1">
      <c r="A26" s="42" t="n">
        <v>24</v>
      </c>
      <c r="B26" s="426" t="inlineStr">
        <is>
          <t>SASO-PS</t>
        </is>
      </c>
      <c r="C26" s="45" t="inlineStr">
        <is>
          <t>Product Safety &amp; Technical Regulations</t>
        </is>
      </c>
      <c r="D26" s="44" t="inlineStr">
        <is>
          <t>SASO</t>
        </is>
      </c>
      <c r="E26" s="481" t="inlineStr">
        <is>
          <t>HIGH</t>
        </is>
      </c>
      <c r="F26" s="489" t="inlineStr">
        <is>
          <t>DEVICE IMPORT</t>
        </is>
      </c>
      <c r="G26" s="476" t="inlineStr">
        <is>
          <t>10 hrs</t>
        </is>
      </c>
      <c r="H26" s="44" t="inlineStr">
        <is>
          <t>SFDA-MDR; product safety concepts</t>
        </is>
      </c>
      <c r="I26" s="48" t="inlineStr">
        <is>
          <t>https://saber.org.sa/</t>
        </is>
      </c>
      <c r="J26" s="477" t="inlineStr">
        <is>
          <t>SABER platform training (SASO online)</t>
        </is>
      </c>
    </row>
  </sheetData>
  <mergeCells count="1">
    <mergeCell ref="A1:J1"/>
  </mergeCell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K7"/>
  <sheetViews>
    <sheetView zoomScaleNormal="100" workbookViewId="0">
      <pane ySplit="2" topLeftCell="A3" activePane="bottomLeft" state="frozen"/>
      <selection pane="bottomLeft" activeCell="A1" sqref="A1:K1"/>
    </sheetView>
  </sheetViews>
  <sheetFormatPr baseColWidth="8" defaultColWidth="8.6640625" defaultRowHeight="14.25"/>
  <cols>
    <col width="18" customWidth="1" min="1" max="1"/>
    <col width="36" customWidth="1" min="2" max="2"/>
    <col width="42" customWidth="1" min="3" max="3"/>
    <col width="30" customWidth="1" min="4" max="6"/>
    <col width="40" customWidth="1" min="7" max="7"/>
    <col width="20" customWidth="1" min="8" max="8"/>
    <col width="12" customWidth="1" min="9" max="9"/>
    <col width="34" customWidth="1" min="10" max="10"/>
    <col width="30" customWidth="1" min="11" max="11"/>
  </cols>
  <sheetData>
    <row r="1" ht="30" customHeight="1">
      <c r="A1" s="2" t="inlineStr">
        <is>
          <t>GH-ICGA Preliminary Framework — Regulatory &amp; Literature Positioning Matrix (Elgazzar 2026)</t>
        </is>
      </c>
    </row>
    <row r="2" ht="32.25" customHeight="1">
      <c r="A2" s="7" t="inlineStr">
        <is>
          <t>GH-ICGA Layer</t>
        </is>
      </c>
      <c r="B2" s="7" t="inlineStr">
        <is>
          <t>Layer Description</t>
        </is>
      </c>
      <c r="C2" s="7" t="inlineStr">
        <is>
          <t>KSA Mandatory Frameworks (Compliance Inputs)</t>
        </is>
      </c>
      <c r="D2" s="7" t="inlineStr">
        <is>
          <t>KSA Voluntary/Best Practice Frameworks</t>
        </is>
      </c>
      <c r="E2" s="7" t="inlineStr">
        <is>
          <t>International Benchmarks</t>
        </is>
      </c>
      <c r="F2" s="7" t="inlineStr">
        <is>
          <t>Primary Academic Theories</t>
        </is>
      </c>
      <c r="G2" s="7" t="inlineStr">
        <is>
          <t>Key Research Gap Addressed</t>
        </is>
      </c>
      <c r="H2" s="7" t="inlineStr">
        <is>
          <t>Thesis RQ Connection</t>
        </is>
      </c>
      <c r="I2" s="7" t="inlineStr">
        <is>
          <t>Proposed GH-ICGA Controls (Count)</t>
        </is>
      </c>
      <c r="J2" s="7" t="inlineStr">
        <is>
          <t>Evidence Mechanism</t>
        </is>
      </c>
      <c r="K2" s="7" t="inlineStr">
        <is>
          <t>Validation Method (Phase)</t>
        </is>
      </c>
    </row>
    <row r="3" ht="90" customHeight="1">
      <c r="A3" s="490" t="inlineStr">
        <is>
          <t>Layer 1: GOVERNANCE</t>
        </is>
      </c>
      <c r="B3" s="44" t="inlineStr">
        <is>
          <t>Establishes the authority, accountability, roles and strategic direction for IoMT cybersecurity governance in Saudi healthcare organisations</t>
        </is>
      </c>
      <c r="C3" s="491" t="inlineStr">
        <is>
          <t>NCA-ECC-2:2024 (Governance domain); MOH-HL; MOH-HIS; SHC-HSTP; SDAIA-NSDAI; MHRSD-NITAQAT (Saudisation mandate)</t>
        </is>
      </c>
      <c r="D3" s="492" t="inlineStr">
        <is>
          <t>CBAHI-HAS-H (HIT governance chapter); SCFHS-PLF (workforce governance)</t>
        </is>
      </c>
      <c r="E3" s="493" t="inlineStr">
        <is>
          <t>NIST CSF 2.0 GOVERN function; ISO 27001:2022 Clause 5 (Leadership); COBIT 2019 (IT governance)</t>
        </is>
      </c>
      <c r="F3" s="463" t="inlineStr">
        <is>
          <t>Governance theory (Bevir 2012); Institutional theory (DiMaggio &amp; Powell 1983); TAM (Davis 1989)</t>
        </is>
      </c>
      <c r="G3" s="434" t="inlineStr">
        <is>
          <t>No unified IoMT governance mandate in KSA — gap between NCA (cybersecurity), MOH (clinical), SFDA (device) and SDAIA (data) authorities. GH-ICGA Layer 1 proposes integrated governance model</t>
        </is>
      </c>
      <c r="H3" s="494" t="inlineStr">
        <is>
          <t>RQ1; RQ3</t>
        </is>
      </c>
      <c r="I3" s="494" t="inlineStr">
        <is>
          <t>35 governance controls</t>
        </is>
      </c>
      <c r="J3" s="495" t="inlineStr">
        <is>
          <t>Board IoMT policy; CISO/CIO role definition; governance committee minutes; Saudisation compliance certificate</t>
        </is>
      </c>
      <c r="K3" s="496" t="inlineStr">
        <is>
          <t>Phase 1 Interviews (governance perception); Phase 3 Delphi (governance model validation)</t>
        </is>
      </c>
    </row>
    <row r="4" ht="90" customHeight="1">
      <c r="A4" s="497" t="inlineStr">
        <is>
          <t>Layer 2: RISK MANAGEMENT</t>
        </is>
      </c>
      <c r="B4" s="429" t="inlineStr">
        <is>
          <t>Systematic identification, assessment and treatment of IoMT-specific cybersecurity risks in Saudi healthcare — integrating clinical, cyber and privacy risk</t>
        </is>
      </c>
      <c r="C4" s="498" t="inlineStr">
        <is>
          <t>NCA-ECC-2:2024 (Risk Management subdomain); SFDA-MDR (risk classification); SFDA-AI-MDS-G010 (AI risk); PDPL-IR-2023 (DPIA requirement)</t>
        </is>
      </c>
      <c r="D4" s="499" t="inlineStr">
        <is>
          <t>ISO 27001:2022 (ISMS risk process); ISO 31000:2018; CBAHI (risk management chapter)</t>
        </is>
      </c>
      <c r="E4" s="500" t="inlineStr">
        <is>
          <t>NIST CSF 2.0 IDENTIFY function; IEC 62443-2-1 (CSMS); ISO 14971:2019 (device risk)</t>
        </is>
      </c>
      <c r="F4" s="501" t="inlineStr">
        <is>
          <t>Risk management theory (ISO 31000; Kaplan &amp; Mikes 2012); CIP theory (Lewis 2006); Supply chain risk (Harland et al. 2003)</t>
        </is>
      </c>
      <c r="G4" s="437" t="inlineStr">
        <is>
          <t>No Saudi framework integrates clinical safety risk + cybersecurity risk + privacy risk for IoMT — each is governed separately. GH-ICGA Layer 2 proposes a unified three-domain IoMT risk model</t>
        </is>
      </c>
      <c r="H4" s="502" t="inlineStr">
        <is>
          <t>RQ1; RQ2</t>
        </is>
      </c>
      <c r="I4" s="502" t="inlineStr">
        <is>
          <t>42 risk controls</t>
        </is>
      </c>
      <c r="J4" s="503" t="inlineStr">
        <is>
          <t>IoMT risk register; DPIA reports; clinical risk assessment; supply chain vendor risk assessments; threat intelligence reports</t>
        </is>
      </c>
      <c r="K4" s="504" t="inlineStr">
        <is>
          <t>Phase 1 Interviews (risk perception); Phase 2 PLS-SEM (risk governance → security posture H1-H3); Phase 3 Delphi (risk control validation)</t>
        </is>
      </c>
    </row>
    <row r="5" ht="90" customHeight="1">
      <c r="A5" s="505" t="inlineStr">
        <is>
          <t>Layer 3: TECHNICAL CONTROLS</t>
        </is>
      </c>
      <c r="B5" s="44" t="inlineStr">
        <is>
          <t>Specific technical security controls for IoMT device security, network architecture, data protection and system resilience in Saudi hospital environments</t>
        </is>
      </c>
      <c r="C5" s="491" t="inlineStr">
        <is>
          <t>NCA-ECC-2:2024 (Defence domain); NCA-OTCC-1:2022 (OT technical controls); NCA-DCC-1:2022 (data security); NCA-CCC-1:2020 (cloud security); CST-IOT (device technical requirements); SASO-PS (product safety)</t>
        </is>
      </c>
      <c r="D5" s="492" t="inlineStr">
        <is>
          <t>ISO 27001:2022 Annex A (technical controls); CBAHI-HAS-H (HIT technical standards); ISO 27799:2016</t>
        </is>
      </c>
      <c r="E5" s="493" t="inlineStr">
        <is>
          <t>NIST CSF 2.0 PROTECT/DETECT functions; IEC 62443-4-2 (component security); ETSI EN 303 645 (IoT security); NIST NISTIR 8259 (IoT baseline)</t>
        </is>
      </c>
      <c r="F5" s="463" t="inlineStr">
        <is>
          <t>CIP theory; Socio-technical systems (Trist 1981); Defence-in-depth (NIST)</t>
        </is>
      </c>
      <c r="G5" s="434" t="inlineStr">
        <is>
          <t>No KSA standard provides IoMT-specific technical controls — OTCC addresses OT/ICS, ECC-2 addresses IT, but the clinical IoMT space between them is ungoverned. GH-ICGA Layer 3 fills this gap</t>
        </is>
      </c>
      <c r="H5" s="506" t="inlineStr">
        <is>
          <t>RQ2</t>
        </is>
      </c>
      <c r="I5" s="506" t="inlineStr">
        <is>
          <t>68 technical controls</t>
        </is>
      </c>
      <c r="J5" s="495" t="inlineStr">
        <is>
          <t>Network segmentation evidence; device inventory; patch records; encryption configuration; penetration test reports; NABIDH API security assessment</t>
        </is>
      </c>
      <c r="K5" s="496" t="inlineStr">
        <is>
          <t>Phase 2 PLS-SEM (technical control implementation → breach prevention H2,H4); Phase 3 Delphi (technical control set validation)</t>
        </is>
      </c>
    </row>
    <row r="6" ht="90" customHeight="1">
      <c r="A6" s="507" t="inlineStr">
        <is>
          <t>Layer 4: COMPLIANCE</t>
        </is>
      </c>
      <c r="B6" s="429" t="inlineStr">
        <is>
          <t>Ensures Saudi healthcare IoMT operations meet all applicable regulatory requirements — NCA, SDAIA, MOH, SFDA, CCHI, SAMA — through integrated compliance management</t>
        </is>
      </c>
      <c r="C6" s="498" t="inlineStr">
        <is>
          <t>NCA-ECC-2:2024; PDPL-2021 + IR; MOH-HIS; MOH-TELE; SFDA-MDR; CCHI-HIR; SAMA-CSF (for insurers); ZATCA-EINV (billing systems); MHRSD-LL</t>
        </is>
      </c>
      <c r="D6" s="499" t="inlineStr">
        <is>
          <t>CBAHI-HAS-H; SCFHS-CPD; ISO 27001:2022</t>
        </is>
      </c>
      <c r="E6" s="500" t="inlineStr">
        <is>
          <t>NIST CSF 2.0 (no direct compliance function — integrated across); HITRUST-CSF (integrated compliance model); COBIT 2019 (compliance management)</t>
        </is>
      </c>
      <c r="F6" s="501" t="inlineStr">
        <is>
          <t>Responsive regulation theory (Ayres &amp; Braithwaite 1992); Contextual integrity (Nissenbaum 2004); Institutional theory</t>
        </is>
      </c>
      <c r="G6" s="437" t="inlineStr">
        <is>
          <t>No single compliance framework integrates NCA+SDAIA+MOH+SFDA+CCHI requirements for IoMT — organisations face regulatory fragmentation with overlapping and sometimes conflicting requirements. GH-ICGA Layer 4 proposes integrated compliance map</t>
        </is>
      </c>
      <c r="H6" s="508" t="inlineStr">
        <is>
          <t>RQ3</t>
        </is>
      </c>
      <c r="I6" s="508" t="inlineStr">
        <is>
          <t>28 compliance controls</t>
        </is>
      </c>
      <c r="J6" s="503" t="inlineStr">
        <is>
          <t>Regulatory compliance register; ECC-2 self-assessment; PDPL controller registration; SFDA device registration certificates; NABIDH connectivity certificate; annual audit reports</t>
        </is>
      </c>
      <c r="K6" s="504" t="inlineStr">
        <is>
          <t>Phase 1 Interviews (compliance burden perception); Phase 2 PLS-SEM (compliance framework → governance effectiveness H5,H6); Phase 3 Delphi (compliance integration model validation)</t>
        </is>
      </c>
    </row>
    <row r="7" ht="90" customHeight="1">
      <c r="A7" s="509" t="inlineStr">
        <is>
          <t>Layer 5: ASSURANCE</t>
        </is>
      </c>
      <c r="B7" s="44" t="inlineStr">
        <is>
          <t>Provides independent verification that GH-ICGA Layers 1-4 are effectively implemented — through audit, assessment, accreditation and continuous monitoring</t>
        </is>
      </c>
      <c r="C7" s="491" t="inlineStr">
        <is>
          <t>NCA-REG-2024 (enforcement assurance); NCA-ECC-2 (self-assessment + NCA audit); SFDA-PMS (device post-market); MOH-HIS (annual audit)</t>
        </is>
      </c>
      <c r="D7" s="492" t="inlineStr">
        <is>
          <t>CBAHI-HAS-H (accreditation survey as assurance mechanism); ISO 27001:2022 (certification + surveillance); SAMA-CSF (annual self-assessment + external audit)</t>
        </is>
      </c>
      <c r="E7" s="493" t="inlineStr">
        <is>
          <t>NIST CSF 2.0 RESPOND/RECOVER functions; HITRUST-CSF (3-tier assurance levels); ISO 27001 certification (third-party assurance)</t>
        </is>
      </c>
      <c r="F7" s="463" t="inlineStr">
        <is>
          <t>Maturity model theory (Crosby 1979; CMM); Accreditation theory; Auditing theory</t>
        </is>
      </c>
      <c r="G7" s="434" t="inlineStr">
        <is>
          <t>No IoMT-specific assurance mechanism in Saudi healthcare — CBAHI surveys do not include cybersecurity-specific IoMT evaluation; NCA ECC-2 audit does not assess clinical IoMT governance. GH-ICGA Layer 5 proposes IoMT-specific assurance programme</t>
        </is>
      </c>
      <c r="H7" s="510" t="inlineStr">
        <is>
          <t>RQ3</t>
        </is>
      </c>
      <c r="I7" s="510" t="inlineStr">
        <is>
          <t>22 assurance controls</t>
        </is>
      </c>
      <c r="J7" s="495" t="inlineStr">
        <is>
          <t>IoMT audit reports; maturity assessment results; CBAHI survey outcomes; NCA self-assessment scores; penetration test results; continuous monitoring dashboards; incident response records</t>
        </is>
      </c>
      <c r="K7" s="496" t="inlineStr">
        <is>
          <t>Phase 3 Delphi (assurance model validation); Post-empirical: proposed validation protocol for healthcare authority piloting</t>
        </is>
      </c>
    </row>
  </sheetData>
  <mergeCells count="1">
    <mergeCell ref="A1:K1"/>
  </mergeCells>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tabColor rgb="FF3B2D87"/>
    <outlinePr summaryBelow="1" summaryRight="1"/>
    <pageSetUpPr/>
  </sheetPr>
  <dimension ref="A1:K36"/>
  <sheetViews>
    <sheetView zoomScaleNormal="100" workbookViewId="0">
      <pane ySplit="2" topLeftCell="A3" activePane="bottomLeft" state="frozen"/>
      <selection pane="bottomLeft" activeCell="A1" sqref="A1:K1"/>
    </sheetView>
  </sheetViews>
  <sheetFormatPr baseColWidth="8" defaultColWidth="8.6640625" defaultRowHeight="14.25"/>
  <cols>
    <col width="14" customWidth="1" min="1" max="1"/>
    <col width="18" customWidth="1" min="2" max="2"/>
    <col width="38" customWidth="1" min="3" max="3"/>
    <col width="14" customWidth="1" min="4" max="5"/>
    <col width="16" customWidth="1" min="6" max="6"/>
    <col width="40" customWidth="1" min="7" max="7"/>
    <col width="32" customWidth="1" min="8" max="8"/>
    <col width="38" customWidth="1" min="9" max="9"/>
    <col width="12" customWidth="1" min="10" max="11"/>
  </cols>
  <sheetData>
    <row r="1" ht="31.5" customHeight="1">
      <c r="A1" s="1" t="inlineStr">
        <is>
          <t>KSA Healthcare IoT GRC Architecture — Framework Ecosystem &amp; Integration Map</t>
        </is>
      </c>
    </row>
    <row r="2" ht="21.75" customHeight="1">
      <c r="A2" s="7" t="inlineStr">
        <is>
          <t>GRC Layer</t>
        </is>
      </c>
      <c r="B2" s="7" t="inlineStr">
        <is>
          <t>Framework Code</t>
        </is>
      </c>
      <c r="C2" s="7" t="inlineStr">
        <is>
          <t>Framework Name</t>
        </is>
      </c>
      <c r="D2" s="7" t="inlineStr">
        <is>
          <t>Issuing Authority</t>
        </is>
      </c>
      <c r="E2" s="7" t="inlineStr">
        <is>
          <t>GRC Pillar</t>
        </is>
      </c>
      <c r="F2" s="7" t="inlineStr">
        <is>
          <t>Compliance Type</t>
        </is>
      </c>
      <c r="G2" s="7" t="inlineStr">
        <is>
          <t>Feeds Into / Dependent On</t>
        </is>
      </c>
      <c r="H2" s="7" t="inlineStr">
        <is>
          <t>Conflicts / Overlaps With</t>
        </is>
      </c>
      <c r="I2" s="7" t="inlineStr">
        <is>
          <t>Gap It Fills in KSA GRC</t>
        </is>
      </c>
      <c r="J2" s="7" t="inlineStr">
        <is>
          <t>HC IoT Weight</t>
        </is>
      </c>
      <c r="K2" s="7" t="inlineStr">
        <is>
          <t>Priority Tier</t>
        </is>
      </c>
    </row>
    <row r="3" ht="55.5" customHeight="1">
      <c r="A3" s="484" t="inlineStr">
        <is>
          <t>LEGAL FOUNDATION</t>
        </is>
      </c>
      <c r="B3" s="426" t="inlineStr">
        <is>
          <t>MOI-ACTL</t>
        </is>
      </c>
      <c r="C3" s="45" t="inlineStr">
        <is>
          <t>Anti-Cybercrime Law</t>
        </is>
      </c>
      <c r="D3" s="44" t="inlineStr">
        <is>
          <t>MOI</t>
        </is>
      </c>
      <c r="E3" s="511" t="inlineStr">
        <is>
          <t>C</t>
        </is>
      </c>
      <c r="F3" s="22" t="inlineStr">
        <is>
          <t>LEGAL</t>
        </is>
      </c>
      <c r="G3" s="496" t="inlineStr">
        <is>
          <t>NCA-ECC-2 (enforcement base); PDPL-2021 (penalty complement)</t>
        </is>
      </c>
      <c r="H3" s="512" t="inlineStr">
        <is>
          <t>—</t>
        </is>
      </c>
      <c r="I3" s="431" t="inlineStr">
        <is>
          <t>Criminal law baseline — all NCA and PDPL enforcement rests on this</t>
        </is>
      </c>
      <c r="J3" s="447" t="inlineStr">
        <is>
          <t>MODERATE</t>
        </is>
      </c>
      <c r="K3" s="22" t="inlineStr">
        <is>
          <t>Tier 1: Foundation</t>
        </is>
      </c>
    </row>
    <row r="4" ht="55.5" customHeight="1">
      <c r="A4" s="484" t="inlineStr">
        <is>
          <t>LEGAL FOUNDATION</t>
        </is>
      </c>
      <c r="B4" s="427" t="inlineStr">
        <is>
          <t>MOF-PPL</t>
        </is>
      </c>
      <c r="C4" s="428" t="inlineStr">
        <is>
          <t>Government Procurement Law</t>
        </is>
      </c>
      <c r="D4" s="429" t="inlineStr">
        <is>
          <t>MOF</t>
        </is>
      </c>
      <c r="E4" s="51" t="inlineStr">
        <is>
          <t>G + C</t>
        </is>
      </c>
      <c r="F4" s="22" t="inlineStr">
        <is>
          <t>LEGAL</t>
        </is>
      </c>
      <c r="G4" s="504" t="inlineStr">
        <is>
          <t>NUPCO procurement; all government hospital tenders</t>
        </is>
      </c>
      <c r="H4" s="513" t="inlineStr">
        <is>
          <t>MOCI-CL (commercial overlap)</t>
        </is>
      </c>
      <c r="I4" s="436" t="inlineStr">
        <is>
          <t>Legal basis for requiring security in government health IT procurement</t>
        </is>
      </c>
      <c r="J4" s="447" t="inlineStr">
        <is>
          <t>MODERATE</t>
        </is>
      </c>
      <c r="K4" s="22" t="inlineStr">
        <is>
          <t>Tier 1: Foundation</t>
        </is>
      </c>
    </row>
    <row r="5" ht="55.5" customHeight="1">
      <c r="A5" s="484" t="inlineStr">
        <is>
          <t>LEGAL FOUNDATION</t>
        </is>
      </c>
      <c r="B5" s="426" t="inlineStr">
        <is>
          <t>MOCI-ECL</t>
        </is>
      </c>
      <c r="C5" s="45" t="inlineStr">
        <is>
          <t>E-Commerce Law</t>
        </is>
      </c>
      <c r="D5" s="44" t="inlineStr">
        <is>
          <t>MOCI</t>
        </is>
      </c>
      <c r="E5" s="511" t="inlineStr">
        <is>
          <t>C</t>
        </is>
      </c>
      <c r="F5" s="22" t="inlineStr">
        <is>
          <t>LEGAL</t>
        </is>
      </c>
      <c r="G5" s="496" t="inlineStr">
        <is>
          <t>CST-DPS (digital platform regulation); PDPL (data in e-commerce)</t>
        </is>
      </c>
      <c r="H5" s="512" t="inlineStr">
        <is>
          <t>CST-DPS (overlap)</t>
        </is>
      </c>
      <c r="I5" s="431" t="inlineStr">
        <is>
          <t>Legal basis for digital health platform obligations</t>
        </is>
      </c>
      <c r="J5" s="447" t="inlineStr">
        <is>
          <t>MODERATE</t>
        </is>
      </c>
      <c r="K5" s="22" t="inlineStr">
        <is>
          <t>Tier 1: Foundation</t>
        </is>
      </c>
    </row>
    <row r="6" ht="55.5" customHeight="1">
      <c r="A6" s="34" t="inlineStr">
        <is>
          <t>CYBERSECURITY GOVERNANCE</t>
        </is>
      </c>
      <c r="B6" s="514" t="inlineStr">
        <is>
          <t>NCA-ECC-2:2024</t>
        </is>
      </c>
      <c r="C6" s="428" t="inlineStr">
        <is>
          <t>Essential Cybersecurity Controls</t>
        </is>
      </c>
      <c r="D6" s="429" t="inlineStr">
        <is>
          <t>NCA</t>
        </is>
      </c>
      <c r="E6" s="511" t="inlineStr">
        <is>
          <t>G+R+C</t>
        </is>
      </c>
      <c r="F6" s="22" t="inlineStr">
        <is>
          <t>LEGAL</t>
        </is>
      </c>
      <c r="G6" s="504" t="inlineStr">
        <is>
          <t>All KSA entities subject; references ISO 27001 + NIST CSF; NCA-REG-2024 (enforcement)</t>
        </is>
      </c>
      <c r="H6" s="513" t="inlineStr">
        <is>
          <t>SAMA-CSF (financial overlap); CST-CSRF (telecom overlap)</t>
        </is>
      </c>
      <c r="I6" s="436" t="inlineStr">
        <is>
          <t>National cybersecurity baseline — IoMT entities must comply as CNI</t>
        </is>
      </c>
      <c r="J6" s="432" t="inlineStr">
        <is>
          <t>HIGHEST</t>
        </is>
      </c>
      <c r="K6" s="22" t="inlineStr">
        <is>
          <t>Tier 1: Mandatory</t>
        </is>
      </c>
    </row>
    <row r="7" ht="55.5" customHeight="1">
      <c r="A7" s="34" t="inlineStr">
        <is>
          <t>CYBERSECURITY GOVERNANCE</t>
        </is>
      </c>
      <c r="B7" s="43" t="inlineStr">
        <is>
          <t>NCA-OTCC-1:2022</t>
        </is>
      </c>
      <c r="C7" s="45" t="inlineStr">
        <is>
          <t>OT Cybersecurity Controls</t>
        </is>
      </c>
      <c r="D7" s="44" t="inlineStr">
        <is>
          <t>NCA</t>
        </is>
      </c>
      <c r="E7" s="511" t="inlineStr">
        <is>
          <t>R+C</t>
        </is>
      </c>
      <c r="F7" s="22" t="inlineStr">
        <is>
          <t>LEGAL</t>
        </is>
      </c>
      <c r="G7" s="496" t="inlineStr">
        <is>
          <t>NCA-ECC-2 (extends); IEC 62443 (maps to); SFDA-MDR (device overlap)</t>
        </is>
      </c>
      <c r="H7" s="512" t="inlineStr">
        <is>
          <t>SFDA-MDR (device governance boundary unclear)</t>
        </is>
      </c>
      <c r="I7" s="431" t="inlineStr">
        <is>
          <t>OT security for hospital medical device networks — fills IT/OT gap</t>
        </is>
      </c>
      <c r="J7" s="432" t="inlineStr">
        <is>
          <t>HIGHEST</t>
        </is>
      </c>
      <c r="K7" s="22" t="inlineStr">
        <is>
          <t>Tier 1: Mandatory</t>
        </is>
      </c>
    </row>
    <row r="8" ht="55.5" customHeight="1">
      <c r="A8" s="34" t="inlineStr">
        <is>
          <t>CYBERSECURITY GOVERNANCE</t>
        </is>
      </c>
      <c r="B8" s="514" t="inlineStr">
        <is>
          <t>NCA-REG-2024</t>
        </is>
      </c>
      <c r="C8" s="428" t="inlineStr">
        <is>
          <t>NCA Enforcement Regulation</t>
        </is>
      </c>
      <c r="D8" s="429" t="inlineStr">
        <is>
          <t>NCA</t>
        </is>
      </c>
      <c r="E8" s="511" t="inlineStr">
        <is>
          <t>C</t>
        </is>
      </c>
      <c r="F8" s="22" t="inlineStr">
        <is>
          <t>LEGAL</t>
        </is>
      </c>
      <c r="G8" s="504" t="inlineStr">
        <is>
          <t>All NCA frameworks (enforcement mechanism)</t>
        </is>
      </c>
      <c r="H8" s="513" t="inlineStr">
        <is>
          <t>—</t>
        </is>
      </c>
      <c r="I8" s="436" t="inlineStr">
        <is>
          <t>First enforcement mechanism — makes all NCA frameworks legally actionable</t>
        </is>
      </c>
      <c r="J8" s="432" t="inlineStr">
        <is>
          <t>HIGHEST</t>
        </is>
      </c>
      <c r="K8" s="22" t="inlineStr">
        <is>
          <t>Tier 1: Foundation</t>
        </is>
      </c>
    </row>
    <row r="9" ht="55.5" customHeight="1">
      <c r="A9" s="34" t="inlineStr">
        <is>
          <t>CYBERSECURITY GOVERNANCE</t>
        </is>
      </c>
      <c r="B9" s="43" t="inlineStr">
        <is>
          <t>NCA-CCC-1:2020</t>
        </is>
      </c>
      <c r="C9" s="45" t="inlineStr">
        <is>
          <t>Cloud Cybersecurity Controls</t>
        </is>
      </c>
      <c r="D9" s="44" t="inlineStr">
        <is>
          <t>NCA</t>
        </is>
      </c>
      <c r="E9" s="511" t="inlineStr">
        <is>
          <t>R+C</t>
        </is>
      </c>
      <c r="F9" s="22" t="inlineStr">
        <is>
          <t>LEGAL</t>
        </is>
      </c>
      <c r="G9" s="496" t="inlineStr">
        <is>
          <t>NCA-ECC-2 (extends); CST-CCR (aligns); DGA-CFP (complements)</t>
        </is>
      </c>
      <c r="H9" s="512" t="inlineStr">
        <is>
          <t>CST-CCR (regulatory overlap for cloud providers)</t>
        </is>
      </c>
      <c r="I9" s="431" t="inlineStr">
        <is>
          <t>Cloud security for NABIDH/EHR cloud hosting — fills cloud gap in ECC</t>
        </is>
      </c>
      <c r="J9" s="439" t="inlineStr">
        <is>
          <t>HIGH</t>
        </is>
      </c>
      <c r="K9" s="22" t="inlineStr">
        <is>
          <t>Tier 1: Mandatory</t>
        </is>
      </c>
    </row>
    <row r="10" ht="55.5" customHeight="1">
      <c r="A10" s="34" t="inlineStr">
        <is>
          <t>CYBERSECURITY GOVERNANCE</t>
        </is>
      </c>
      <c r="B10" s="514" t="inlineStr">
        <is>
          <t>NCA-DCC-1:2022</t>
        </is>
      </c>
      <c r="C10" s="428" t="inlineStr">
        <is>
          <t>Data Cybersecurity Controls</t>
        </is>
      </c>
      <c r="D10" s="429" t="inlineStr">
        <is>
          <t>NCA</t>
        </is>
      </c>
      <c r="E10" s="511" t="inlineStr">
        <is>
          <t>R+C</t>
        </is>
      </c>
      <c r="F10" s="22" t="inlineStr">
        <is>
          <t>LEGAL</t>
        </is>
      </c>
      <c r="G10" s="504" t="inlineStr">
        <is>
          <t>NCA-ECC-2 (extends); PDPL-2021 (aligns)</t>
        </is>
      </c>
      <c r="H10" s="513" t="inlineStr">
        <is>
          <t>PDPL-2021 (overlap for personal data)</t>
        </is>
      </c>
      <c r="I10" s="436" t="inlineStr">
        <is>
          <t>Data lifecycle security — fills data handling gap in ECC</t>
        </is>
      </c>
      <c r="J10" s="439" t="inlineStr">
        <is>
          <t>HIGH</t>
        </is>
      </c>
      <c r="K10" s="22" t="inlineStr">
        <is>
          <t>Tier 1: Mandatory</t>
        </is>
      </c>
    </row>
    <row r="11" ht="55.5" customHeight="1">
      <c r="A11" s="34" t="inlineStr">
        <is>
          <t>CYBERSECURITY GOVERNANCE</t>
        </is>
      </c>
      <c r="B11" s="43" t="inlineStr">
        <is>
          <t>SAMA-CSF</t>
        </is>
      </c>
      <c r="C11" s="45" t="inlineStr">
        <is>
          <t>SAMA Cybersecurity Framework</t>
        </is>
      </c>
      <c r="D11" s="44" t="inlineStr">
        <is>
          <t>SAMA</t>
        </is>
      </c>
      <c r="E11" s="511" t="inlineStr">
        <is>
          <t>G+R+C</t>
        </is>
      </c>
      <c r="F11" s="61" t="inlineStr">
        <is>
          <t>REGULATORY</t>
        </is>
      </c>
      <c r="G11" s="496" t="inlineStr">
        <is>
          <t>NCA-ECC-2 (dual compliance for health insurers); CCHI-HIR (insurer compliance)</t>
        </is>
      </c>
      <c r="H11" s="512" t="inlineStr">
        <is>
          <t>NCA-ECC-2 (overlapping scope for financial sector)</t>
        </is>
      </c>
      <c r="I11" s="431" t="inlineStr">
        <is>
          <t>Sector-specific GRC maturity model — fills SAMA-regulated insurer gap</t>
        </is>
      </c>
      <c r="J11" s="447" t="inlineStr">
        <is>
          <t>MODERATE</t>
        </is>
      </c>
      <c r="K11" s="61" t="inlineStr">
        <is>
          <t>Tier 2: Sector</t>
        </is>
      </c>
    </row>
    <row r="12" ht="55.5" customHeight="1">
      <c r="A12" s="41" t="inlineStr">
        <is>
          <t>DATA &amp; PRIVACY GOVERNANCE</t>
        </is>
      </c>
      <c r="B12" s="515" t="inlineStr">
        <is>
          <t>PDPL-2021</t>
        </is>
      </c>
      <c r="C12" s="428" t="inlineStr">
        <is>
          <t>Personal Data Protection Law</t>
        </is>
      </c>
      <c r="D12" s="429" t="inlineStr">
        <is>
          <t>SDAIA</t>
        </is>
      </c>
      <c r="E12" s="511" t="inlineStr">
        <is>
          <t>G+C</t>
        </is>
      </c>
      <c r="F12" s="22" t="inlineStr">
        <is>
          <t>LEGAL</t>
        </is>
      </c>
      <c r="G12" s="504" t="inlineStr">
        <is>
          <t>PDPL-IR-2023 (implements); NDMO-DGF (data governance); NCA-DCC (aligns)</t>
        </is>
      </c>
      <c r="H12" s="513" t="inlineStr">
        <is>
          <t>MOH-HIS (health data overlap); CCHI-DCS (claims data overlap)</t>
        </is>
      </c>
      <c r="I12" s="436" t="inlineStr">
        <is>
          <t>Personal data legal protection — fills privacy governance gap</t>
        </is>
      </c>
      <c r="J12" s="432" t="inlineStr">
        <is>
          <t>HIGHEST</t>
        </is>
      </c>
      <c r="K12" s="22" t="inlineStr">
        <is>
          <t>Tier 1: Mandatory</t>
        </is>
      </c>
    </row>
    <row r="13" ht="55.5" customHeight="1">
      <c r="A13" s="41" t="inlineStr">
        <is>
          <t>DATA &amp; PRIVACY GOVERNANCE</t>
        </is>
      </c>
      <c r="B13" s="412" t="inlineStr">
        <is>
          <t>PDPL-IR-2023</t>
        </is>
      </c>
      <c r="C13" s="45" t="inlineStr">
        <is>
          <t>PDPL Implementing Regulations</t>
        </is>
      </c>
      <c r="D13" s="44" t="inlineStr">
        <is>
          <t>SDAIA</t>
        </is>
      </c>
      <c r="E13" s="511" t="inlineStr">
        <is>
          <t>C</t>
        </is>
      </c>
      <c r="F13" s="22" t="inlineStr">
        <is>
          <t>LEGAL</t>
        </is>
      </c>
      <c r="G13" s="496" t="inlineStr">
        <is>
          <t>PDPL-2021 (implements); NDMO-DGF (coordinates)</t>
        </is>
      </c>
      <c r="H13" s="512" t="inlineStr">
        <is>
          <t>PDPL-2021 (same framework family)</t>
        </is>
      </c>
      <c r="I13" s="431" t="inlineStr">
        <is>
          <t>Health data provisions specificity — fills PDPL implementation detail gap</t>
        </is>
      </c>
      <c r="J13" s="432" t="inlineStr">
        <is>
          <t>HIGHEST</t>
        </is>
      </c>
      <c r="K13" s="22" t="inlineStr">
        <is>
          <t>Tier 1: Mandatory</t>
        </is>
      </c>
    </row>
    <row r="14" ht="55.5" customHeight="1">
      <c r="A14" s="41" t="inlineStr">
        <is>
          <t>DATA &amp; PRIVACY GOVERNANCE</t>
        </is>
      </c>
      <c r="B14" s="515" t="inlineStr">
        <is>
          <t>NDMO-DGF</t>
        </is>
      </c>
      <c r="C14" s="428" t="inlineStr">
        <is>
          <t>National Data Governance Framework</t>
        </is>
      </c>
      <c r="D14" s="429" t="inlineStr">
        <is>
          <t>SDAIA/NDMO</t>
        </is>
      </c>
      <c r="E14" s="511" t="inlineStr">
        <is>
          <t>G+C</t>
        </is>
      </c>
      <c r="F14" s="61" t="inlineStr">
        <is>
          <t>REGULATORY</t>
        </is>
      </c>
      <c r="G14" s="504" t="inlineStr">
        <is>
          <t>PDPL-2021 (feeds into); DGA-ODP (open data); MOH-HIS (health data standards)</t>
        </is>
      </c>
      <c r="H14" s="513" t="inlineStr">
        <is>
          <t>PDPL-2021 (some overlap)</t>
        </is>
      </c>
      <c r="I14" s="436" t="inlineStr">
        <is>
          <t>Government data governance baseline — fills government data management gap</t>
        </is>
      </c>
      <c r="J14" s="439" t="inlineStr">
        <is>
          <t>HIGH</t>
        </is>
      </c>
      <c r="K14" s="61" t="inlineStr">
        <is>
          <t>Tier 2: Sector</t>
        </is>
      </c>
    </row>
    <row r="15" ht="55.5" customHeight="1">
      <c r="A15" s="41" t="inlineStr">
        <is>
          <t>DATA &amp; PRIVACY GOVERNANCE</t>
        </is>
      </c>
      <c r="B15" s="412" t="inlineStr">
        <is>
          <t>SDAIA-AI-ETH</t>
        </is>
      </c>
      <c r="C15" s="45" t="inlineStr">
        <is>
          <t>AI Ethics Principles</t>
        </is>
      </c>
      <c r="D15" s="44" t="inlineStr">
        <is>
          <t>SDAIA</t>
        </is>
      </c>
      <c r="E15" s="511" t="inlineStr">
        <is>
          <t>G</t>
        </is>
      </c>
      <c r="F15" s="90" t="inlineStr">
        <is>
          <t>GUIDELINE</t>
        </is>
      </c>
      <c r="G15" s="496" t="inlineStr">
        <is>
          <t>SFDA-AI-MDS-G010 (clinical AI); SDAIA-AI-ADO (adoption)</t>
        </is>
      </c>
      <c r="H15" s="512" t="inlineStr">
        <is>
          <t>—</t>
        </is>
      </c>
      <c r="I15" s="431" t="inlineStr">
        <is>
          <t>AI ethics framework — fills ethical AI governance gap</t>
        </is>
      </c>
      <c r="J15" s="447" t="inlineStr">
        <is>
          <t>MODERATE</t>
        </is>
      </c>
      <c r="K15" s="90" t="inlineStr">
        <is>
          <t>Tier 3: Guidance</t>
        </is>
      </c>
    </row>
    <row r="16" ht="55.5" customHeight="1">
      <c r="A16" s="51" t="inlineStr">
        <is>
          <t>HEALTHCARE CLINICAL GOVERNANCE</t>
        </is>
      </c>
      <c r="B16" s="516" t="inlineStr">
        <is>
          <t>MOH-HL</t>
        </is>
      </c>
      <c r="C16" s="428" t="inlineStr">
        <is>
          <t>Health Law</t>
        </is>
      </c>
      <c r="D16" s="429" t="inlineStr">
        <is>
          <t>MOH</t>
        </is>
      </c>
      <c r="E16" s="511" t="inlineStr">
        <is>
          <t>G+C</t>
        </is>
      </c>
      <c r="F16" s="22" t="inlineStr">
        <is>
          <t>LEGAL</t>
        </is>
      </c>
      <c r="G16" s="504" t="inlineStr">
        <is>
          <t>MOH-HIS; MOH-TELE; MOH-PS; MOH-PR; MOH-PHILAW; SFDA-MDR</t>
        </is>
      </c>
      <c r="H16" s="513" t="inlineStr">
        <is>
          <t>—</t>
        </is>
      </c>
      <c r="I16" s="436" t="inlineStr">
        <is>
          <t>Foundation legal basis for all healthcare regulation</t>
        </is>
      </c>
      <c r="J16" s="432" t="inlineStr">
        <is>
          <t>HIGHEST</t>
        </is>
      </c>
      <c r="K16" s="22" t="inlineStr">
        <is>
          <t>Tier 1: Foundation</t>
        </is>
      </c>
    </row>
    <row r="17" ht="55.5" customHeight="1">
      <c r="A17" s="51" t="inlineStr">
        <is>
          <t>HEALTHCARE CLINICAL GOVERNANCE</t>
        </is>
      </c>
      <c r="B17" s="69" t="inlineStr">
        <is>
          <t>MOH-HIS</t>
        </is>
      </c>
      <c r="C17" s="45" t="inlineStr">
        <is>
          <t>Health Information System Standards</t>
        </is>
      </c>
      <c r="D17" s="44" t="inlineStr">
        <is>
          <t>MOH</t>
        </is>
      </c>
      <c r="E17" s="511" t="inlineStr">
        <is>
          <t>G+R+C</t>
        </is>
      </c>
      <c r="F17" s="61" t="inlineStr">
        <is>
          <t>REGULATORY</t>
        </is>
      </c>
      <c r="G17" s="496" t="inlineStr">
        <is>
          <t>NHIC-NABIDH (interoperability); NCA-ECC-2 (security); PDPL (data); CBAHI-HAS-H (HIT chapter)</t>
        </is>
      </c>
      <c r="H17" s="512" t="inlineStr">
        <is>
          <t>NHIC-NABIDH (overlap)</t>
        </is>
      </c>
      <c r="I17" s="431" t="inlineStr">
        <is>
          <t>Clinical information governance — fills HIS compliance gap</t>
        </is>
      </c>
      <c r="J17" s="432" t="inlineStr">
        <is>
          <t>HIGHEST</t>
        </is>
      </c>
      <c r="K17" s="22" t="inlineStr">
        <is>
          <t>Tier 1: Mandatory</t>
        </is>
      </c>
    </row>
    <row r="18" ht="55.5" customHeight="1">
      <c r="A18" s="51" t="inlineStr">
        <is>
          <t>HEALTHCARE CLINICAL GOVERNANCE</t>
        </is>
      </c>
      <c r="B18" s="516" t="inlineStr">
        <is>
          <t>MOH-EMR-NABIDH</t>
        </is>
      </c>
      <c r="C18" s="428" t="inlineStr">
        <is>
          <t>EMR Standards / NABIDH</t>
        </is>
      </c>
      <c r="D18" s="429" t="inlineStr">
        <is>
          <t>MOH/NHIC</t>
        </is>
      </c>
      <c r="E18" s="511" t="inlineStr">
        <is>
          <t>G+R+C</t>
        </is>
      </c>
      <c r="F18" s="61" t="inlineStr">
        <is>
          <t>REGULATORY</t>
        </is>
      </c>
      <c r="G18" s="504" t="inlineStr">
        <is>
          <t>MOH-HIS (context); NHIC-INTEROP (standards); CCHI-DCS (claims integration)</t>
        </is>
      </c>
      <c r="H18" s="513" t="inlineStr">
        <is>
          <t>MOH-HIS (same domain)</t>
        </is>
      </c>
      <c r="I18" s="436" t="inlineStr">
        <is>
          <t>National EHR platform — fills interoperability governance gap</t>
        </is>
      </c>
      <c r="J18" s="432" t="inlineStr">
        <is>
          <t>HIGHEST</t>
        </is>
      </c>
      <c r="K18" s="22" t="inlineStr">
        <is>
          <t>Tier 1: Mandatory</t>
        </is>
      </c>
    </row>
    <row r="19" ht="55.5" customHeight="1">
      <c r="A19" s="51" t="inlineStr">
        <is>
          <t>HEALTHCARE CLINICAL GOVERNANCE</t>
        </is>
      </c>
      <c r="B19" s="69" t="inlineStr">
        <is>
          <t>MOH-TELE</t>
        </is>
      </c>
      <c r="C19" s="45" t="inlineStr">
        <is>
          <t>Telemedicine Regulations</t>
        </is>
      </c>
      <c r="D19" s="44" t="inlineStr">
        <is>
          <t>MOH</t>
        </is>
      </c>
      <c r="E19" s="511" t="inlineStr">
        <is>
          <t>G+C</t>
        </is>
      </c>
      <c r="F19" s="61" t="inlineStr">
        <is>
          <t>REGULATORY</t>
        </is>
      </c>
      <c r="G19" s="496" t="inlineStr">
        <is>
          <t>PDPL-2021 (data); CCHI-HIR (insurance coverage); CST-DPS (platform); SCFHS-PLF (clinician)</t>
        </is>
      </c>
      <c r="H19" s="512" t="inlineStr">
        <is>
          <t>CST-DPS (platform overlap)</t>
        </is>
      </c>
      <c r="I19" s="431" t="inlineStr">
        <is>
          <t>Telehealth platform governance — fills remote care regulatory gap</t>
        </is>
      </c>
      <c r="J19" s="432" t="inlineStr">
        <is>
          <t>HIGHEST</t>
        </is>
      </c>
      <c r="K19" s="22" t="inlineStr">
        <is>
          <t>Tier 1: Mandatory</t>
        </is>
      </c>
    </row>
    <row r="20" ht="55.5" customHeight="1">
      <c r="A20" s="51" t="inlineStr">
        <is>
          <t>HEALTHCARE CLINICAL GOVERNANCE</t>
        </is>
      </c>
      <c r="B20" s="516" t="inlineStr">
        <is>
          <t>MOH-PS</t>
        </is>
      </c>
      <c r="C20" s="428" t="inlineStr">
        <is>
          <t>Patient Safety Standards</t>
        </is>
      </c>
      <c r="D20" s="429" t="inlineStr">
        <is>
          <t>MOH</t>
        </is>
      </c>
      <c r="E20" s="511" t="inlineStr">
        <is>
          <t>G+C</t>
        </is>
      </c>
      <c r="F20" s="61" t="inlineStr">
        <is>
          <t>REGULATORY</t>
        </is>
      </c>
      <c r="G20" s="504" t="inlineStr">
        <is>
          <t>CBAHI-HAS-H (accreditation); SFDA-MDR (device safety); MOH-HIS</t>
        </is>
      </c>
      <c r="H20" s="513" t="inlineStr">
        <is>
          <t>—</t>
        </is>
      </c>
      <c r="I20" s="436" t="inlineStr">
        <is>
          <t>Patient safety framework — fills clinical safety governance gap</t>
        </is>
      </c>
      <c r="J20" s="432" t="inlineStr">
        <is>
          <t>HIGHEST</t>
        </is>
      </c>
      <c r="K20" s="61" t="inlineStr">
        <is>
          <t>Tier 2: Sector</t>
        </is>
      </c>
    </row>
    <row r="21" ht="55.5" customHeight="1">
      <c r="A21" s="51" t="inlineStr">
        <is>
          <t>HEALTHCARE CLINICAL GOVERNANCE</t>
        </is>
      </c>
      <c r="B21" s="69" t="inlineStr">
        <is>
          <t>CBAHI-HAS-H</t>
        </is>
      </c>
      <c r="C21" s="45" t="inlineStr">
        <is>
          <t>Hospital Accreditation Standards</t>
        </is>
      </c>
      <c r="D21" s="44" t="inlineStr">
        <is>
          <t>CBAHI</t>
        </is>
      </c>
      <c r="E21" s="511" t="inlineStr">
        <is>
          <t>G+C</t>
        </is>
      </c>
      <c r="F21" s="92" t="inlineStr">
        <is>
          <t>VOLUNTARY</t>
        </is>
      </c>
      <c r="G21" s="496" t="inlineStr">
        <is>
          <t>MOH-HIS (HIT); MOH-PS (safety); NCA-ECC-2 (cybersecurity chapter needed)</t>
        </is>
      </c>
      <c r="H21" s="512" t="inlineStr">
        <is>
          <t>—</t>
        </is>
      </c>
      <c r="I21" s="431" t="inlineStr">
        <is>
          <t>Quality assurance mechanism — fills hospital quality governance gap</t>
        </is>
      </c>
      <c r="J21" s="432" t="inlineStr">
        <is>
          <t>HIGHEST</t>
        </is>
      </c>
      <c r="K21" s="61" t="inlineStr">
        <is>
          <t>Tier 2: Sector</t>
        </is>
      </c>
    </row>
    <row r="22" ht="55.5" customHeight="1">
      <c r="A22" s="51" t="inlineStr">
        <is>
          <t>HEALTHCARE CLINICAL GOVERNANCE</t>
        </is>
      </c>
      <c r="B22" s="516" t="inlineStr">
        <is>
          <t>SHC-HSTP</t>
        </is>
      </c>
      <c r="C22" s="428" t="inlineStr">
        <is>
          <t>Health Sector Transformation Programme</t>
        </is>
      </c>
      <c r="D22" s="429" t="inlineStr">
        <is>
          <t>SHC</t>
        </is>
      </c>
      <c r="E22" s="511" t="inlineStr">
        <is>
          <t>G</t>
        </is>
      </c>
      <c r="F22" s="517" t="inlineStr">
        <is>
          <t>PROGRAMME</t>
        </is>
      </c>
      <c r="G22" s="504" t="inlineStr">
        <is>
          <t>All MOH frameworks (delivery mechanism); NHIC-NABIDH (digital target); CCHI-HIR (insurance)</t>
        </is>
      </c>
      <c r="H22" s="513" t="inlineStr">
        <is>
          <t>—</t>
        </is>
      </c>
      <c r="I22" s="436" t="inlineStr">
        <is>
          <t>Strategic governance — fills Vision 2030 health sector direction gap</t>
        </is>
      </c>
      <c r="J22" s="432" t="inlineStr">
        <is>
          <t>HIGHEST</t>
        </is>
      </c>
      <c r="K22" s="22" t="inlineStr">
        <is>
          <t>Tier 1: Foundation</t>
        </is>
      </c>
    </row>
    <row r="23" ht="55.5" customHeight="1">
      <c r="A23" s="53" t="inlineStr">
        <is>
          <t>DEVICE &amp; PRODUCT GOVERNANCE</t>
        </is>
      </c>
      <c r="B23" s="518" t="inlineStr">
        <is>
          <t>SFDA-MDR</t>
        </is>
      </c>
      <c r="C23" s="45" t="inlineStr">
        <is>
          <t>Medical Device Regulations</t>
        </is>
      </c>
      <c r="D23" s="44" t="inlineStr">
        <is>
          <t>SFDA</t>
        </is>
      </c>
      <c r="E23" s="511" t="inlineStr">
        <is>
          <t>R+C</t>
        </is>
      </c>
      <c r="F23" s="22" t="inlineStr">
        <is>
          <t>LEGAL</t>
        </is>
      </c>
      <c r="G23" s="496" t="inlineStr">
        <is>
          <t>SFDA-PMS (post-market); SFDA-AI-MDS-G010 (AI devices); SASO-PS (safety); NCA-OTCC (IoMT security)</t>
        </is>
      </c>
      <c r="H23" s="512" t="inlineStr">
        <is>
          <t>NCA-OTCC (device OT governance overlap)</t>
        </is>
      </c>
      <c r="I23" s="431" t="inlineStr">
        <is>
          <t>Device registration/safety — fills medical device lifecycle governance gap</t>
        </is>
      </c>
      <c r="J23" s="432" t="inlineStr">
        <is>
          <t>HIGHEST</t>
        </is>
      </c>
      <c r="K23" s="22" t="inlineStr">
        <is>
          <t>Tier 1: Mandatory</t>
        </is>
      </c>
    </row>
    <row r="24" ht="55.5" customHeight="1">
      <c r="A24" s="53" t="inlineStr">
        <is>
          <t>DEVICE &amp; PRODUCT GOVERNANCE</t>
        </is>
      </c>
      <c r="B24" s="519" t="inlineStr">
        <is>
          <t>SFDA-AI-MDS-G010</t>
        </is>
      </c>
      <c r="C24" s="428" t="inlineStr">
        <is>
          <t>AI Medical Devices Guidance</t>
        </is>
      </c>
      <c r="D24" s="429" t="inlineStr">
        <is>
          <t>SFDA</t>
        </is>
      </c>
      <c r="E24" s="511" t="inlineStr">
        <is>
          <t>R+C</t>
        </is>
      </c>
      <c r="F24" s="90" t="inlineStr">
        <is>
          <t>GUIDELINE (→ MANDATORY)</t>
        </is>
      </c>
      <c r="G24" s="504" t="inlineStr">
        <is>
          <t>SFDA-MDR (builds on); SDAIA-AI-ETH (ethics); CST-IOT (connectivity)</t>
        </is>
      </c>
      <c r="H24" s="513" t="inlineStr">
        <is>
          <t>SDAIA-AI-ETH (AI governance overlap)</t>
        </is>
      </c>
      <c r="I24" s="436" t="inlineStr">
        <is>
          <t>AI device governance — fills AI/ML medical device regulatory gap</t>
        </is>
      </c>
      <c r="J24" s="432" t="inlineStr">
        <is>
          <t>HIGHEST</t>
        </is>
      </c>
      <c r="K24" s="61" t="inlineStr">
        <is>
          <t>Tier 2: Sector</t>
        </is>
      </c>
    </row>
    <row r="25" ht="55.5" customHeight="1">
      <c r="A25" s="53" t="inlineStr">
        <is>
          <t>DEVICE &amp; PRODUCT GOVERNANCE</t>
        </is>
      </c>
      <c r="B25" s="518" t="inlineStr">
        <is>
          <t>CST-IOT</t>
        </is>
      </c>
      <c r="C25" s="45" t="inlineStr">
        <is>
          <t>IoT Regulatory Framework</t>
        </is>
      </c>
      <c r="D25" s="44" t="inlineStr">
        <is>
          <t>CST</t>
        </is>
      </c>
      <c r="E25" s="511" t="inlineStr">
        <is>
          <t>R+C</t>
        </is>
      </c>
      <c r="F25" s="61" t="inlineStr">
        <is>
          <t>REGULATORY</t>
        </is>
      </c>
      <c r="G25" s="496" t="inlineStr">
        <is>
          <t>SFDA-MDR (device regulation); NCA-OTCC (OT security); SASO-PS (product safety)</t>
        </is>
      </c>
      <c r="H25" s="512" t="inlineStr">
        <is>
          <t>SFDA-MDR (connectivity regulation overlap)</t>
        </is>
      </c>
      <c r="I25" s="431" t="inlineStr">
        <is>
          <t>IoT device market entry — fills connected device regulatory gap</t>
        </is>
      </c>
      <c r="J25" s="432" t="inlineStr">
        <is>
          <t>HIGHEST</t>
        </is>
      </c>
      <c r="K25" s="61" t="inlineStr">
        <is>
          <t>Tier 2: Sector</t>
        </is>
      </c>
    </row>
    <row r="26" ht="55.5" customHeight="1">
      <c r="A26" s="53" t="inlineStr">
        <is>
          <t>DEVICE &amp; PRODUCT GOVERNANCE</t>
        </is>
      </c>
      <c r="B26" s="519" t="inlineStr">
        <is>
          <t>SASO-PS</t>
        </is>
      </c>
      <c r="C26" s="428" t="inlineStr">
        <is>
          <t>Product Safety Regulations</t>
        </is>
      </c>
      <c r="D26" s="429" t="inlineStr">
        <is>
          <t>SASO</t>
        </is>
      </c>
      <c r="E26" s="511" t="inlineStr">
        <is>
          <t>R+C</t>
        </is>
      </c>
      <c r="F26" s="61" t="inlineStr">
        <is>
          <t>REGULATORY</t>
        </is>
      </c>
      <c r="G26" s="504" t="inlineStr">
        <is>
          <t>SFDA-MDR (device safety aligned); CST-IOT (IoT device safety)</t>
        </is>
      </c>
      <c r="H26" s="513" t="inlineStr">
        <is>
          <t>SFDA-MDR (some overlap for medical devices)</t>
        </is>
      </c>
      <c r="I26" s="436" t="inlineStr">
        <is>
          <t>Product technical safety — fills product safety pre-market gap</t>
        </is>
      </c>
      <c r="J26" s="439" t="inlineStr">
        <is>
          <t>HIGH</t>
        </is>
      </c>
      <c r="K26" s="61" t="inlineStr">
        <is>
          <t>Tier 2: Sector</t>
        </is>
      </c>
    </row>
    <row r="27" ht="55.5" customHeight="1">
      <c r="A27" s="488" t="inlineStr">
        <is>
          <t>WORKFORCE GOVERNANCE</t>
        </is>
      </c>
      <c r="B27" s="364" t="inlineStr">
        <is>
          <t>SCFHS-PLF</t>
        </is>
      </c>
      <c r="C27" s="45" t="inlineStr">
        <is>
          <t>Professional Licensing Framework</t>
        </is>
      </c>
      <c r="D27" s="44" t="inlineStr">
        <is>
          <t>SCFHS</t>
        </is>
      </c>
      <c r="E27" s="511" t="inlineStr">
        <is>
          <t>G+C</t>
        </is>
      </c>
      <c r="F27" s="22" t="inlineStr">
        <is>
          <t>LEGAL</t>
        </is>
      </c>
      <c r="G27" s="496" t="inlineStr">
        <is>
          <t>MHRSD-NITAQAT (Saudisation); MOH-HIS (digital health competency); SCFHS-CPD</t>
        </is>
      </c>
      <c r="H27" s="512" t="inlineStr">
        <is>
          <t>—</t>
        </is>
      </c>
      <c r="I27" s="431" t="inlineStr">
        <is>
          <t>Workforce governance — fills clinical professional licensing gap</t>
        </is>
      </c>
      <c r="J27" s="439" t="inlineStr">
        <is>
          <t>HIGH</t>
        </is>
      </c>
      <c r="K27" s="61" t="inlineStr">
        <is>
          <t>Tier 2: Sector</t>
        </is>
      </c>
    </row>
    <row r="28" ht="55.5" customHeight="1">
      <c r="A28" s="488" t="inlineStr">
        <is>
          <t>WORKFORCE GOVERNANCE</t>
        </is>
      </c>
      <c r="B28" s="520" t="inlineStr">
        <is>
          <t>MHRSD-NITAQAT</t>
        </is>
      </c>
      <c r="C28" s="428" t="inlineStr">
        <is>
          <t>Saudisation System</t>
        </is>
      </c>
      <c r="D28" s="429" t="inlineStr">
        <is>
          <t>MHRSD</t>
        </is>
      </c>
      <c r="E28" s="511" t="inlineStr">
        <is>
          <t>G+C</t>
        </is>
      </c>
      <c r="F28" s="22" t="inlineStr">
        <is>
          <t>LEGAL</t>
        </is>
      </c>
      <c r="G28" s="504" t="inlineStr">
        <is>
          <t>NCA-ECC-2 (cybersecurity roles); SCFHS-PLF (clinical Saudisation); GOSI-OIL</t>
        </is>
      </c>
      <c r="H28" s="513" t="inlineStr">
        <is>
          <t>—</t>
        </is>
      </c>
      <c r="I28" s="436" t="inlineStr">
        <is>
          <t>Workforce Saudisation — fills national workforce governance gap</t>
        </is>
      </c>
      <c r="J28" s="439" t="inlineStr">
        <is>
          <t>HIGH</t>
        </is>
      </c>
      <c r="K28" s="61" t="inlineStr">
        <is>
          <t>Tier 2: Sector</t>
        </is>
      </c>
    </row>
    <row r="29" ht="55.5" customHeight="1">
      <c r="A29" s="488" t="inlineStr">
        <is>
          <t>WORKFORCE GOVERNANCE</t>
        </is>
      </c>
      <c r="B29" s="364" t="inlineStr">
        <is>
          <t>OSH-REGS</t>
        </is>
      </c>
      <c r="C29" s="45" t="inlineStr">
        <is>
          <t>OSH Regulations</t>
        </is>
      </c>
      <c r="D29" s="44" t="inlineStr">
        <is>
          <t>MHRSD</t>
        </is>
      </c>
      <c r="E29" s="511" t="inlineStr">
        <is>
          <t>G+C</t>
        </is>
      </c>
      <c r="F29" s="22" t="inlineStr">
        <is>
          <t>LEGAL</t>
        </is>
      </c>
      <c r="G29" s="496" t="inlineStr">
        <is>
          <t>MHRSD-LL (labour law); GOSI-OIL (injury reporting); CBAHI-HAS-H (safety)</t>
        </is>
      </c>
      <c r="H29" s="512" t="inlineStr">
        <is>
          <t>—</t>
        </is>
      </c>
      <c r="I29" s="431" t="inlineStr">
        <is>
          <t>Worker safety — fills occupational health governance gap</t>
        </is>
      </c>
      <c r="J29" s="439" t="inlineStr">
        <is>
          <t>HIGH</t>
        </is>
      </c>
      <c r="K29" s="61" t="inlineStr">
        <is>
          <t>Tier 2: Sector</t>
        </is>
      </c>
    </row>
    <row r="30" ht="55.5" customHeight="1">
      <c r="A30" s="482" t="inlineStr">
        <is>
          <t>INSURANCE &amp; FINANCIAL</t>
        </is>
      </c>
      <c r="B30" s="521" t="inlineStr">
        <is>
          <t>CCHI-HIR</t>
        </is>
      </c>
      <c r="C30" s="428" t="inlineStr">
        <is>
          <t>Cooperative Health Insurance Law</t>
        </is>
      </c>
      <c r="D30" s="429" t="inlineStr">
        <is>
          <t>CCHI</t>
        </is>
      </c>
      <c r="E30" s="511" t="inlineStr">
        <is>
          <t>G+C</t>
        </is>
      </c>
      <c r="F30" s="22" t="inlineStr">
        <is>
          <t>LEGAL</t>
        </is>
      </c>
      <c r="G30" s="504" t="inlineStr">
        <is>
          <t>SAMA-CSF (insurer cybersecurity); SFDA-MDR (IoMT coverage); MOH-TELE (telehealth coverage)</t>
        </is>
      </c>
      <c r="H30" s="513" t="inlineStr">
        <is>
          <t>SAMA-CSF (insurer regulation overlap)</t>
        </is>
      </c>
      <c r="I30" s="436" t="inlineStr">
        <is>
          <t>Health insurance governance — fills insurance regulatory gap</t>
        </is>
      </c>
      <c r="J30" s="439" t="inlineStr">
        <is>
          <t>HIGH</t>
        </is>
      </c>
      <c r="K30" s="61" t="inlineStr">
        <is>
          <t>Tier 2: Sector</t>
        </is>
      </c>
    </row>
    <row r="31" ht="55.5" customHeight="1">
      <c r="A31" s="482" t="inlineStr">
        <is>
          <t>INSURANCE &amp; FINANCIAL</t>
        </is>
      </c>
      <c r="B31" s="115" t="inlineStr">
        <is>
          <t>SAMA-CSF</t>
        </is>
      </c>
      <c r="C31" s="45" t="inlineStr">
        <is>
          <t>SAMA Cybersecurity Framework</t>
        </is>
      </c>
      <c r="D31" s="44" t="inlineStr">
        <is>
          <t>SAMA</t>
        </is>
      </c>
      <c r="E31" s="511" t="inlineStr">
        <is>
          <t>G+R+C</t>
        </is>
      </c>
      <c r="F31" s="61" t="inlineStr">
        <is>
          <t>REGULATORY</t>
        </is>
      </c>
      <c r="G31" s="496" t="inlineStr">
        <is>
          <t>NCA-ECC-2 (aligns/overlaps); CCHI-HIR (insurer compliance); IAIC-CSF</t>
        </is>
      </c>
      <c r="H31" s="512" t="inlineStr">
        <is>
          <t>NCA-ECC-2 (same scope for financial sector)</t>
        </is>
      </c>
      <c r="I31" s="431" t="inlineStr">
        <is>
          <t>Financial sector cybersecurity — fills SAMA-regulated insurer gap</t>
        </is>
      </c>
      <c r="J31" s="447" t="inlineStr">
        <is>
          <t>MODERATE</t>
        </is>
      </c>
      <c r="K31" s="61" t="inlineStr">
        <is>
          <t>Tier 2: Sector</t>
        </is>
      </c>
    </row>
    <row r="32" ht="55.5" customHeight="1">
      <c r="A32" s="486" t="inlineStr">
        <is>
          <t>INTERNATIONAL BENCHMARKS</t>
        </is>
      </c>
      <c r="B32" s="522" t="inlineStr">
        <is>
          <t>NIST-CSF-2.0</t>
        </is>
      </c>
      <c r="C32" s="428" t="inlineStr">
        <is>
          <t>NIST Cybersecurity Framework 2.0</t>
        </is>
      </c>
      <c r="D32" s="429" t="inlineStr">
        <is>
          <t>NIST</t>
        </is>
      </c>
      <c r="E32" s="511" t="inlineStr">
        <is>
          <t>G+R+C</t>
        </is>
      </c>
      <c r="F32" s="92" t="inlineStr">
        <is>
          <t>VOLUNTARY</t>
        </is>
      </c>
      <c r="G32" s="504" t="inlineStr">
        <is>
          <t>NCA-ECC-2 (referenced); ISO 27001 (mapped); IEC 62443 (OT integration)</t>
        </is>
      </c>
      <c r="H32" s="513" t="inlineStr">
        <is>
          <t>—</t>
        </is>
      </c>
      <c r="I32" s="436" t="inlineStr">
        <is>
          <t>Global GRC reference — fills international benchmarking gap</t>
        </is>
      </c>
      <c r="J32" s="439" t="inlineStr">
        <is>
          <t>HIGH</t>
        </is>
      </c>
      <c r="K32" s="92" t="inlineStr">
        <is>
          <t>Tier 3: Benchmark</t>
        </is>
      </c>
    </row>
    <row r="33" ht="55.5" customHeight="1">
      <c r="A33" s="486" t="inlineStr">
        <is>
          <t>INTERNATIONAL BENCHMARKS</t>
        </is>
      </c>
      <c r="B33" s="386" t="inlineStr">
        <is>
          <t>ISO-27001:2022</t>
        </is>
      </c>
      <c r="C33" s="45" t="inlineStr">
        <is>
          <t>Information Security Management System</t>
        </is>
      </c>
      <c r="D33" s="44" t="inlineStr">
        <is>
          <t>ISO</t>
        </is>
      </c>
      <c r="E33" s="511" t="inlineStr">
        <is>
          <t>G+R+C</t>
        </is>
      </c>
      <c r="F33" s="92" t="inlineStr">
        <is>
          <t>VOLUNTARY (certifiable)</t>
        </is>
      </c>
      <c r="G33" s="496" t="inlineStr">
        <is>
          <t>NCA-ECC-2 (referenced); ISO 27799 (healthcare extension); SAMA-CSF (aligns)</t>
        </is>
      </c>
      <c r="H33" s="512" t="inlineStr">
        <is>
          <t>—</t>
        </is>
      </c>
      <c r="I33" s="431" t="inlineStr">
        <is>
          <t>Certifiable ISMS — fills third-party assurance gap</t>
        </is>
      </c>
      <c r="J33" s="439" t="inlineStr">
        <is>
          <t>HIGH</t>
        </is>
      </c>
      <c r="K33" s="92" t="inlineStr">
        <is>
          <t>Tier 3: Benchmark</t>
        </is>
      </c>
    </row>
    <row r="34" ht="55.5" customHeight="1">
      <c r="A34" s="486" t="inlineStr">
        <is>
          <t>INTERNATIONAL BENCHMARKS</t>
        </is>
      </c>
      <c r="B34" s="522" t="inlineStr">
        <is>
          <t>ISO-27799:2016</t>
        </is>
      </c>
      <c r="C34" s="428" t="inlineStr">
        <is>
          <t>Health Informatics ISMS</t>
        </is>
      </c>
      <c r="D34" s="429" t="inlineStr">
        <is>
          <t>ISO</t>
        </is>
      </c>
      <c r="E34" s="511" t="inlineStr">
        <is>
          <t>R+C</t>
        </is>
      </c>
      <c r="F34" s="92" t="inlineStr">
        <is>
          <t>VOLUNTARY</t>
        </is>
      </c>
      <c r="G34" s="504" t="inlineStr">
        <is>
          <t>ISO 27001 (extends); MOH-HIS (aligns); CBAHI-HAS-H (HIT chapter)</t>
        </is>
      </c>
      <c r="H34" s="513" t="inlineStr">
        <is>
          <t>—</t>
        </is>
      </c>
      <c r="I34" s="436" t="inlineStr">
        <is>
          <t>Healthcare ISMS — fills healthcare-specific ISO gap</t>
        </is>
      </c>
      <c r="J34" s="432" t="inlineStr">
        <is>
          <t>HIGHEST</t>
        </is>
      </c>
      <c r="K34" s="92" t="inlineStr">
        <is>
          <t>Tier 3: Benchmark</t>
        </is>
      </c>
    </row>
    <row r="35" ht="55.5" customHeight="1">
      <c r="A35" s="486" t="inlineStr">
        <is>
          <t>INTERNATIONAL BENCHMARKS</t>
        </is>
      </c>
      <c r="B35" s="386" t="inlineStr">
        <is>
          <t>IEC-62443</t>
        </is>
      </c>
      <c r="C35" s="45" t="inlineStr">
        <is>
          <t>ICS/OT/IoMT Security</t>
        </is>
      </c>
      <c r="D35" s="44" t="inlineStr">
        <is>
          <t>IEC</t>
        </is>
      </c>
      <c r="E35" s="511" t="inlineStr">
        <is>
          <t>R+C</t>
        </is>
      </c>
      <c r="F35" s="92" t="inlineStr">
        <is>
          <t>VOLUNTARY (→ mandatory via OTCC)</t>
        </is>
      </c>
      <c r="G35" s="496" t="inlineStr">
        <is>
          <t>NCA-OTCC (references); SFDA-MDR (device security); ISO 27001 (maps)</t>
        </is>
      </c>
      <c r="H35" s="512" t="inlineStr">
        <is>
          <t>NCA-OTCC (scope overlap)</t>
        </is>
      </c>
      <c r="I35" s="431" t="inlineStr">
        <is>
          <t>OT/IoMT technical security — fills industrial IoT security gap</t>
        </is>
      </c>
      <c r="J35" s="439" t="inlineStr">
        <is>
          <t>HIGH</t>
        </is>
      </c>
      <c r="K35" s="92" t="inlineStr">
        <is>
          <t>Tier 3: Benchmark</t>
        </is>
      </c>
    </row>
    <row r="36" ht="55.5" customHeight="1">
      <c r="A36" s="486" t="inlineStr">
        <is>
          <t>INTERNATIONAL BENCHMARKS</t>
        </is>
      </c>
      <c r="B36" s="522" t="inlineStr">
        <is>
          <t>HITRUST-CSF</t>
        </is>
      </c>
      <c r="C36" s="428" t="inlineStr">
        <is>
          <t>Healthcare Information Trust Alliance CSF</t>
        </is>
      </c>
      <c r="D36" s="429" t="inlineStr">
        <is>
          <t>HITRUST</t>
        </is>
      </c>
      <c r="E36" s="511" t="inlineStr">
        <is>
          <t>R+C</t>
        </is>
      </c>
      <c r="F36" s="92" t="inlineStr">
        <is>
          <t>VOLUNTARY</t>
        </is>
      </c>
      <c r="G36" s="504" t="inlineStr">
        <is>
          <t>ISO 27001 (integrates); NIST CSF (maps); HIPAA (US — reference)</t>
        </is>
      </c>
      <c r="H36" s="513" t="inlineStr">
        <is>
          <t>—</t>
        </is>
      </c>
      <c r="I36" s="436" t="inlineStr">
        <is>
          <t>Integrated healthcare GRC — fills unified health compliance assurance gap</t>
        </is>
      </c>
      <c r="J36" s="439" t="inlineStr">
        <is>
          <t>HIGH</t>
        </is>
      </c>
      <c r="K36" s="92" t="inlineStr">
        <is>
          <t>Tier 3: Benchmark</t>
        </is>
      </c>
    </row>
  </sheetData>
  <mergeCells count="1">
    <mergeCell ref="A1:K1"/>
  </mergeCells>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tabColor rgb="FF8B0000"/>
    <outlinePr summaryBelow="1" summaryRight="1"/>
    <pageSetUpPr/>
  </sheetPr>
  <dimension ref="A1:M25"/>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8.6640625" defaultRowHeight="14.25"/>
  <cols>
    <col width="18" customWidth="1" min="1" max="1"/>
    <col width="16" customWidth="1" min="2" max="12"/>
    <col width="14" customWidth="1" min="13" max="13"/>
  </cols>
  <sheetData>
    <row r="1" ht="32.25" customHeight="1">
      <c r="A1" s="8" t="inlineStr">
        <is>
          <t>Framework Code</t>
        </is>
      </c>
      <c r="B1" s="8" t="inlineStr">
        <is>
          <t>Cyber Risk</t>
        </is>
      </c>
      <c r="C1" s="8" t="inlineStr">
        <is>
          <t>Privacy Risk</t>
        </is>
      </c>
      <c r="D1" s="8" t="inlineStr">
        <is>
          <t>Clinical/Patient Safety</t>
        </is>
      </c>
      <c r="E1" s="8" t="inlineStr">
        <is>
          <t>Operational Risk</t>
        </is>
      </c>
      <c r="F1" s="8" t="inlineStr">
        <is>
          <t>Regulatory/Legal Risk</t>
        </is>
      </c>
      <c r="G1" s="8" t="inlineStr">
        <is>
          <t>Reputational Risk</t>
        </is>
      </c>
      <c r="H1" s="8" t="inlineStr">
        <is>
          <t>Strategic Risk</t>
        </is>
      </c>
      <c r="I1" s="8" t="inlineStr">
        <is>
          <t>Supply Chain Risk</t>
        </is>
      </c>
      <c r="J1" s="8" t="inlineStr">
        <is>
          <t>Financial Risk</t>
        </is>
      </c>
      <c r="K1" s="8" t="inlineStr">
        <is>
          <t>Availability Risk</t>
        </is>
      </c>
      <c r="L1" s="8" t="inlineStr">
        <is>
          <t>Cross-Border Risk</t>
        </is>
      </c>
      <c r="M1" s="7" t="inlineStr">
        <is>
          <t>Coverage Score (✓✓=Primary, ✓=Partial)</t>
        </is>
      </c>
    </row>
    <row r="2" ht="21.75" customHeight="1">
      <c r="A2" s="518" t="inlineStr">
        <is>
          <t>NCA-ECC-2:2024</t>
        </is>
      </c>
      <c r="B2" s="471" t="inlineStr">
        <is>
          <t>✓✓ PRIMARY</t>
        </is>
      </c>
      <c r="C2" s="523" t="inlineStr">
        <is>
          <t>✓ Partial</t>
        </is>
      </c>
      <c r="D2" s="523" t="inlineStr">
        <is>
          <t>✓ Partial</t>
        </is>
      </c>
      <c r="E2" s="471" t="inlineStr">
        <is>
          <t>✓✓ PRIMARY</t>
        </is>
      </c>
      <c r="F2" s="471" t="inlineStr">
        <is>
          <t>✓✓ PRIMARY</t>
        </is>
      </c>
      <c r="G2" s="523" t="inlineStr">
        <is>
          <t>✓ Partial</t>
        </is>
      </c>
      <c r="H2" s="523" t="inlineStr">
        <is>
          <t>✓ Partial</t>
        </is>
      </c>
      <c r="I2" s="523" t="inlineStr">
        <is>
          <t>✓ Partial</t>
        </is>
      </c>
      <c r="J2" s="523" t="inlineStr">
        <is>
          <t>✓ Partial</t>
        </is>
      </c>
      <c r="K2" s="523" t="inlineStr">
        <is>
          <t>✓ Partial</t>
        </is>
      </c>
      <c r="L2" s="524" t="inlineStr">
        <is>
          <t>—</t>
        </is>
      </c>
      <c r="M2" s="439" t="inlineStr">
        <is>
          <t>13/22</t>
        </is>
      </c>
    </row>
    <row r="3" ht="21.75" customHeight="1">
      <c r="A3" s="525" t="inlineStr">
        <is>
          <t>NCA-OTCC-1:2022</t>
        </is>
      </c>
      <c r="B3" s="471" t="inlineStr">
        <is>
          <t>✓✓ PRIMARY</t>
        </is>
      </c>
      <c r="C3" s="524" t="inlineStr">
        <is>
          <t>—</t>
        </is>
      </c>
      <c r="D3" s="471" t="inlineStr">
        <is>
          <t>✓✓ PRIMARY</t>
        </is>
      </c>
      <c r="E3" s="471" t="inlineStr">
        <is>
          <t>✓✓ PRIMARY</t>
        </is>
      </c>
      <c r="F3" s="471" t="inlineStr">
        <is>
          <t>✓✓ PRIMARY</t>
        </is>
      </c>
      <c r="G3" s="524" t="inlineStr">
        <is>
          <t>—</t>
        </is>
      </c>
      <c r="H3" s="524" t="inlineStr">
        <is>
          <t>—</t>
        </is>
      </c>
      <c r="I3" s="523" t="inlineStr">
        <is>
          <t>✓ Partial</t>
        </is>
      </c>
      <c r="J3" s="524" t="inlineStr">
        <is>
          <t>—</t>
        </is>
      </c>
      <c r="K3" s="471" t="inlineStr">
        <is>
          <t>✓✓ PRIMARY</t>
        </is>
      </c>
      <c r="L3" s="524" t="inlineStr">
        <is>
          <t>—</t>
        </is>
      </c>
      <c r="M3" s="439" t="inlineStr">
        <is>
          <t>11/22</t>
        </is>
      </c>
    </row>
    <row r="4" ht="21.75" customHeight="1">
      <c r="A4" s="518" t="inlineStr">
        <is>
          <t>PDPL-2021</t>
        </is>
      </c>
      <c r="B4" s="524" t="inlineStr">
        <is>
          <t>—</t>
        </is>
      </c>
      <c r="C4" s="471" t="inlineStr">
        <is>
          <t>✓✓ PRIMARY</t>
        </is>
      </c>
      <c r="D4" s="524" t="inlineStr">
        <is>
          <t>—</t>
        </is>
      </c>
      <c r="E4" s="524" t="inlineStr">
        <is>
          <t>—</t>
        </is>
      </c>
      <c r="F4" s="471" t="inlineStr">
        <is>
          <t>✓✓ PRIMARY</t>
        </is>
      </c>
      <c r="G4" s="523" t="inlineStr">
        <is>
          <t>✓ Partial</t>
        </is>
      </c>
      <c r="H4" s="524" t="inlineStr">
        <is>
          <t>—</t>
        </is>
      </c>
      <c r="I4" s="524" t="inlineStr">
        <is>
          <t>—</t>
        </is>
      </c>
      <c r="J4" s="524" t="inlineStr">
        <is>
          <t>—</t>
        </is>
      </c>
      <c r="K4" s="524" t="inlineStr">
        <is>
          <t>—</t>
        </is>
      </c>
      <c r="L4" s="523" t="inlineStr">
        <is>
          <t>✓ Partial</t>
        </is>
      </c>
      <c r="M4" s="526" t="inlineStr">
        <is>
          <t>6/22</t>
        </is>
      </c>
    </row>
    <row r="5" ht="21.75" customHeight="1">
      <c r="A5" s="525" t="inlineStr">
        <is>
          <t>PDPL-IR-2023</t>
        </is>
      </c>
      <c r="B5" s="524" t="inlineStr">
        <is>
          <t>—</t>
        </is>
      </c>
      <c r="C5" s="471" t="inlineStr">
        <is>
          <t>✓✓ PRIMARY</t>
        </is>
      </c>
      <c r="D5" s="524" t="inlineStr">
        <is>
          <t>—</t>
        </is>
      </c>
      <c r="E5" s="524" t="inlineStr">
        <is>
          <t>—</t>
        </is>
      </c>
      <c r="F5" s="471" t="inlineStr">
        <is>
          <t>✓✓ PRIMARY</t>
        </is>
      </c>
      <c r="G5" s="524" t="inlineStr">
        <is>
          <t>—</t>
        </is>
      </c>
      <c r="H5" s="524" t="inlineStr">
        <is>
          <t>—</t>
        </is>
      </c>
      <c r="I5" s="524" t="inlineStr">
        <is>
          <t>—</t>
        </is>
      </c>
      <c r="J5" s="524" t="inlineStr">
        <is>
          <t>—</t>
        </is>
      </c>
      <c r="K5" s="524" t="inlineStr">
        <is>
          <t>—</t>
        </is>
      </c>
      <c r="L5" s="523" t="inlineStr">
        <is>
          <t>✓ Partial</t>
        </is>
      </c>
      <c r="M5" s="526" t="inlineStr">
        <is>
          <t>5/22</t>
        </is>
      </c>
    </row>
    <row r="6" ht="21.75" customHeight="1">
      <c r="A6" s="518" t="inlineStr">
        <is>
          <t>NCA-CCC-1:2020</t>
        </is>
      </c>
      <c r="B6" s="523" t="inlineStr">
        <is>
          <t>✓ Partial</t>
        </is>
      </c>
      <c r="C6" s="523" t="inlineStr">
        <is>
          <t>✓ Partial</t>
        </is>
      </c>
      <c r="D6" s="524" t="inlineStr">
        <is>
          <t>—</t>
        </is>
      </c>
      <c r="E6" s="523" t="inlineStr">
        <is>
          <t>✓ Partial</t>
        </is>
      </c>
      <c r="F6" s="523" t="inlineStr">
        <is>
          <t>✓ Partial</t>
        </is>
      </c>
      <c r="G6" s="524" t="inlineStr">
        <is>
          <t>—</t>
        </is>
      </c>
      <c r="H6" s="524" t="inlineStr">
        <is>
          <t>—</t>
        </is>
      </c>
      <c r="I6" s="523" t="inlineStr">
        <is>
          <t>✓ Partial</t>
        </is>
      </c>
      <c r="J6" s="524" t="inlineStr">
        <is>
          <t>—</t>
        </is>
      </c>
      <c r="K6" s="523" t="inlineStr">
        <is>
          <t>✓ Partial</t>
        </is>
      </c>
      <c r="L6" s="523" t="inlineStr">
        <is>
          <t>✓ Partial</t>
        </is>
      </c>
      <c r="M6" s="526" t="inlineStr">
        <is>
          <t>7/22</t>
        </is>
      </c>
    </row>
    <row r="7" ht="21.75" customHeight="1">
      <c r="A7" s="525" t="inlineStr">
        <is>
          <t>NCA-DCC-1:2022</t>
        </is>
      </c>
      <c r="B7" s="523" t="inlineStr">
        <is>
          <t>✓ Partial</t>
        </is>
      </c>
      <c r="C7" s="471" t="inlineStr">
        <is>
          <t>✓✓ PRIMARY</t>
        </is>
      </c>
      <c r="D7" s="524" t="inlineStr">
        <is>
          <t>—</t>
        </is>
      </c>
      <c r="E7" s="524" t="inlineStr">
        <is>
          <t>—</t>
        </is>
      </c>
      <c r="F7" s="523" t="inlineStr">
        <is>
          <t>✓ Partial</t>
        </is>
      </c>
      <c r="G7" s="524" t="inlineStr">
        <is>
          <t>—</t>
        </is>
      </c>
      <c r="H7" s="524" t="inlineStr">
        <is>
          <t>—</t>
        </is>
      </c>
      <c r="I7" s="524" t="inlineStr">
        <is>
          <t>—</t>
        </is>
      </c>
      <c r="J7" s="524" t="inlineStr">
        <is>
          <t>—</t>
        </is>
      </c>
      <c r="K7" s="524" t="inlineStr">
        <is>
          <t>—</t>
        </is>
      </c>
      <c r="L7" s="524" t="inlineStr">
        <is>
          <t>—</t>
        </is>
      </c>
      <c r="M7" s="526" t="inlineStr">
        <is>
          <t>4/22</t>
        </is>
      </c>
    </row>
    <row r="8" ht="21.75" customHeight="1">
      <c r="A8" s="518" t="inlineStr">
        <is>
          <t>SAMA-CSF</t>
        </is>
      </c>
      <c r="B8" s="471" t="inlineStr">
        <is>
          <t>✓✓ PRIMARY</t>
        </is>
      </c>
      <c r="C8" s="523" t="inlineStr">
        <is>
          <t>✓ Partial</t>
        </is>
      </c>
      <c r="D8" s="524" t="inlineStr">
        <is>
          <t>—</t>
        </is>
      </c>
      <c r="E8" s="471" t="inlineStr">
        <is>
          <t>✓✓ PRIMARY</t>
        </is>
      </c>
      <c r="F8" s="471" t="inlineStr">
        <is>
          <t>✓✓ PRIMARY</t>
        </is>
      </c>
      <c r="G8" s="523" t="inlineStr">
        <is>
          <t>✓ Partial</t>
        </is>
      </c>
      <c r="H8" s="523" t="inlineStr">
        <is>
          <t>✓ Partial</t>
        </is>
      </c>
      <c r="I8" s="471" t="inlineStr">
        <is>
          <t>✓✓ PRIMARY</t>
        </is>
      </c>
      <c r="J8" s="523" t="inlineStr">
        <is>
          <t>✓ Partial</t>
        </is>
      </c>
      <c r="K8" s="523" t="inlineStr">
        <is>
          <t>✓ Partial</t>
        </is>
      </c>
      <c r="L8" s="524" t="inlineStr">
        <is>
          <t>—</t>
        </is>
      </c>
      <c r="M8" s="439" t="inlineStr">
        <is>
          <t>13/22</t>
        </is>
      </c>
    </row>
    <row r="9" ht="21.75" customHeight="1">
      <c r="A9" s="525" t="inlineStr">
        <is>
          <t>MOH-HIS</t>
        </is>
      </c>
      <c r="B9" s="523" t="inlineStr">
        <is>
          <t>✓ Partial</t>
        </is>
      </c>
      <c r="C9" s="523" t="inlineStr">
        <is>
          <t>✓ Partial</t>
        </is>
      </c>
      <c r="D9" s="471" t="inlineStr">
        <is>
          <t>✓✓ PRIMARY</t>
        </is>
      </c>
      <c r="E9" s="471" t="inlineStr">
        <is>
          <t>✓✓ PRIMARY</t>
        </is>
      </c>
      <c r="F9" s="471" t="inlineStr">
        <is>
          <t>✓✓ PRIMARY</t>
        </is>
      </c>
      <c r="G9" s="523" t="inlineStr">
        <is>
          <t>✓ Partial</t>
        </is>
      </c>
      <c r="H9" s="524" t="inlineStr">
        <is>
          <t>—</t>
        </is>
      </c>
      <c r="I9" s="524" t="inlineStr">
        <is>
          <t>—</t>
        </is>
      </c>
      <c r="J9" s="524" t="inlineStr">
        <is>
          <t>—</t>
        </is>
      </c>
      <c r="K9" s="471" t="inlineStr">
        <is>
          <t>✓✓ PRIMARY</t>
        </is>
      </c>
      <c r="L9" s="524" t="inlineStr">
        <is>
          <t>—</t>
        </is>
      </c>
      <c r="M9" s="439" t="inlineStr">
        <is>
          <t>11/22</t>
        </is>
      </c>
    </row>
    <row r="10" ht="21.75" customHeight="1">
      <c r="A10" s="518" t="inlineStr">
        <is>
          <t>MOH-EMR-NABIDH</t>
        </is>
      </c>
      <c r="B10" s="523" t="inlineStr">
        <is>
          <t>✓ Partial</t>
        </is>
      </c>
      <c r="C10" s="471" t="inlineStr">
        <is>
          <t>✓✓ PRIMARY</t>
        </is>
      </c>
      <c r="D10" s="523" t="inlineStr">
        <is>
          <t>✓ Partial</t>
        </is>
      </c>
      <c r="E10" s="523" t="inlineStr">
        <is>
          <t>✓ Partial</t>
        </is>
      </c>
      <c r="F10" s="523" t="inlineStr">
        <is>
          <t>✓ Partial</t>
        </is>
      </c>
      <c r="G10" s="524" t="inlineStr">
        <is>
          <t>—</t>
        </is>
      </c>
      <c r="H10" s="524" t="inlineStr">
        <is>
          <t>—</t>
        </is>
      </c>
      <c r="I10" s="524" t="inlineStr">
        <is>
          <t>—</t>
        </is>
      </c>
      <c r="J10" s="524" t="inlineStr">
        <is>
          <t>—</t>
        </is>
      </c>
      <c r="K10" s="523" t="inlineStr">
        <is>
          <t>✓ Partial</t>
        </is>
      </c>
      <c r="L10" s="524" t="inlineStr">
        <is>
          <t>—</t>
        </is>
      </c>
      <c r="M10" s="526" t="inlineStr">
        <is>
          <t>7/22</t>
        </is>
      </c>
    </row>
    <row r="11" ht="21.75" customHeight="1">
      <c r="A11" s="525" t="inlineStr">
        <is>
          <t>MOH-TELE</t>
        </is>
      </c>
      <c r="B11" s="524" t="inlineStr">
        <is>
          <t>—</t>
        </is>
      </c>
      <c r="C11" s="523" t="inlineStr">
        <is>
          <t>✓ Partial</t>
        </is>
      </c>
      <c r="D11" s="471" t="inlineStr">
        <is>
          <t>✓✓ PRIMARY</t>
        </is>
      </c>
      <c r="E11" s="523" t="inlineStr">
        <is>
          <t>✓ Partial</t>
        </is>
      </c>
      <c r="F11" s="471" t="inlineStr">
        <is>
          <t>✓✓ PRIMARY</t>
        </is>
      </c>
      <c r="G11" s="523" t="inlineStr">
        <is>
          <t>✓ Partial</t>
        </is>
      </c>
      <c r="H11" s="524" t="inlineStr">
        <is>
          <t>—</t>
        </is>
      </c>
      <c r="I11" s="524" t="inlineStr">
        <is>
          <t>—</t>
        </is>
      </c>
      <c r="J11" s="524" t="inlineStr">
        <is>
          <t>—</t>
        </is>
      </c>
      <c r="K11" s="523" t="inlineStr">
        <is>
          <t>✓ Partial</t>
        </is>
      </c>
      <c r="L11" s="523" t="inlineStr">
        <is>
          <t>✓ Partial</t>
        </is>
      </c>
      <c r="M11" s="439" t="inlineStr">
        <is>
          <t>9/22</t>
        </is>
      </c>
    </row>
    <row r="12" ht="21.75" customHeight="1">
      <c r="A12" s="518" t="inlineStr">
        <is>
          <t>SFDA-MDR</t>
        </is>
      </c>
      <c r="B12" s="524" t="inlineStr">
        <is>
          <t>—</t>
        </is>
      </c>
      <c r="C12" s="524" t="inlineStr">
        <is>
          <t>—</t>
        </is>
      </c>
      <c r="D12" s="471" t="inlineStr">
        <is>
          <t>✓✓ PRIMARY</t>
        </is>
      </c>
      <c r="E12" s="523" t="inlineStr">
        <is>
          <t>✓ Partial</t>
        </is>
      </c>
      <c r="F12" s="471" t="inlineStr">
        <is>
          <t>✓✓ PRIMARY</t>
        </is>
      </c>
      <c r="G12" s="523" t="inlineStr">
        <is>
          <t>✓ Partial</t>
        </is>
      </c>
      <c r="H12" s="524" t="inlineStr">
        <is>
          <t>—</t>
        </is>
      </c>
      <c r="I12" s="471" t="inlineStr">
        <is>
          <t>✓✓ PRIMARY</t>
        </is>
      </c>
      <c r="J12" s="524" t="inlineStr">
        <is>
          <t>—</t>
        </is>
      </c>
      <c r="K12" s="523" t="inlineStr">
        <is>
          <t>✓ Partial</t>
        </is>
      </c>
      <c r="L12" s="524" t="inlineStr">
        <is>
          <t>—</t>
        </is>
      </c>
      <c r="M12" s="439" t="inlineStr">
        <is>
          <t>9/22</t>
        </is>
      </c>
    </row>
    <row r="13" ht="21.75" customHeight="1">
      <c r="A13" s="525" t="inlineStr">
        <is>
          <t>SFDA-AI-MDS-G010</t>
        </is>
      </c>
      <c r="B13" s="524" t="inlineStr">
        <is>
          <t>—</t>
        </is>
      </c>
      <c r="C13" s="524" t="inlineStr">
        <is>
          <t>—</t>
        </is>
      </c>
      <c r="D13" s="471" t="inlineStr">
        <is>
          <t>✓✓ PRIMARY</t>
        </is>
      </c>
      <c r="E13" s="523" t="inlineStr">
        <is>
          <t>✓ Partial</t>
        </is>
      </c>
      <c r="F13" s="523" t="inlineStr">
        <is>
          <t>✓ Partial</t>
        </is>
      </c>
      <c r="G13" s="471" t="inlineStr">
        <is>
          <t>✓✓ PRIMARY</t>
        </is>
      </c>
      <c r="H13" s="524" t="inlineStr">
        <is>
          <t>—</t>
        </is>
      </c>
      <c r="I13" s="523" t="inlineStr">
        <is>
          <t>✓ Partial</t>
        </is>
      </c>
      <c r="J13" s="524" t="inlineStr">
        <is>
          <t>—</t>
        </is>
      </c>
      <c r="K13" s="524" t="inlineStr">
        <is>
          <t>—</t>
        </is>
      </c>
      <c r="L13" s="524" t="inlineStr">
        <is>
          <t>—</t>
        </is>
      </c>
      <c r="M13" s="526" t="inlineStr">
        <is>
          <t>7/22</t>
        </is>
      </c>
    </row>
    <row r="14" ht="21.75" customHeight="1">
      <c r="A14" s="518" t="inlineStr">
        <is>
          <t>CBAHI-HAS-H</t>
        </is>
      </c>
      <c r="B14" s="524" t="inlineStr">
        <is>
          <t>—</t>
        </is>
      </c>
      <c r="C14" s="524" t="inlineStr">
        <is>
          <t>—</t>
        </is>
      </c>
      <c r="D14" s="471" t="inlineStr">
        <is>
          <t>✓✓ PRIMARY</t>
        </is>
      </c>
      <c r="E14" s="471" t="inlineStr">
        <is>
          <t>✓✓ PRIMARY</t>
        </is>
      </c>
      <c r="F14" s="523" t="inlineStr">
        <is>
          <t>✓ Partial</t>
        </is>
      </c>
      <c r="G14" s="523" t="inlineStr">
        <is>
          <t>✓ Partial</t>
        </is>
      </c>
      <c r="H14" s="524" t="inlineStr">
        <is>
          <t>—</t>
        </is>
      </c>
      <c r="I14" s="524" t="inlineStr">
        <is>
          <t>—</t>
        </is>
      </c>
      <c r="J14" s="524" t="inlineStr">
        <is>
          <t>—</t>
        </is>
      </c>
      <c r="K14" s="523" t="inlineStr">
        <is>
          <t>✓ Partial</t>
        </is>
      </c>
      <c r="L14" s="524" t="inlineStr">
        <is>
          <t>—</t>
        </is>
      </c>
      <c r="M14" s="526" t="inlineStr">
        <is>
          <t>7/22</t>
        </is>
      </c>
    </row>
    <row r="15" ht="21.75" customHeight="1">
      <c r="A15" s="525" t="inlineStr">
        <is>
          <t>SCFHS-PLF</t>
        </is>
      </c>
      <c r="B15" s="524" t="inlineStr">
        <is>
          <t>—</t>
        </is>
      </c>
      <c r="C15" s="524" t="inlineStr">
        <is>
          <t>—</t>
        </is>
      </c>
      <c r="D15" s="523" t="inlineStr">
        <is>
          <t>✓ Partial</t>
        </is>
      </c>
      <c r="E15" s="523" t="inlineStr">
        <is>
          <t>✓ Partial</t>
        </is>
      </c>
      <c r="F15" s="471" t="inlineStr">
        <is>
          <t>✓✓ PRIMARY</t>
        </is>
      </c>
      <c r="G15" s="523" t="inlineStr">
        <is>
          <t>✓ Partial</t>
        </is>
      </c>
      <c r="H15" s="524" t="inlineStr">
        <is>
          <t>—</t>
        </is>
      </c>
      <c r="I15" s="524" t="inlineStr">
        <is>
          <t>—</t>
        </is>
      </c>
      <c r="J15" s="524" t="inlineStr">
        <is>
          <t>—</t>
        </is>
      </c>
      <c r="K15" s="524" t="inlineStr">
        <is>
          <t>—</t>
        </is>
      </c>
      <c r="L15" s="524" t="inlineStr">
        <is>
          <t>—</t>
        </is>
      </c>
      <c r="M15" s="526" t="inlineStr">
        <is>
          <t>5/22</t>
        </is>
      </c>
    </row>
    <row r="16" ht="21.75" customHeight="1">
      <c r="A16" s="518" t="inlineStr">
        <is>
          <t>CCHI-HIR</t>
        </is>
      </c>
      <c r="B16" s="524" t="inlineStr">
        <is>
          <t>—</t>
        </is>
      </c>
      <c r="C16" s="523" t="inlineStr">
        <is>
          <t>✓ Partial</t>
        </is>
      </c>
      <c r="D16" s="523" t="inlineStr">
        <is>
          <t>✓ Partial</t>
        </is>
      </c>
      <c r="E16" s="523" t="inlineStr">
        <is>
          <t>✓ Partial</t>
        </is>
      </c>
      <c r="F16" s="471" t="inlineStr">
        <is>
          <t>✓✓ PRIMARY</t>
        </is>
      </c>
      <c r="G16" s="523" t="inlineStr">
        <is>
          <t>✓ Partial</t>
        </is>
      </c>
      <c r="H16" s="524" t="inlineStr">
        <is>
          <t>—</t>
        </is>
      </c>
      <c r="I16" s="524" t="inlineStr">
        <is>
          <t>—</t>
        </is>
      </c>
      <c r="J16" s="471" t="inlineStr">
        <is>
          <t>✓✓ PRIMARY</t>
        </is>
      </c>
      <c r="K16" s="524" t="inlineStr">
        <is>
          <t>—</t>
        </is>
      </c>
      <c r="L16" s="524" t="inlineStr">
        <is>
          <t>—</t>
        </is>
      </c>
      <c r="M16" s="439" t="inlineStr">
        <is>
          <t>8/22</t>
        </is>
      </c>
    </row>
    <row r="17" ht="21.75" customHeight="1">
      <c r="A17" s="525" t="inlineStr">
        <is>
          <t>MHRSD-NITAQAT</t>
        </is>
      </c>
      <c r="B17" s="524" t="inlineStr">
        <is>
          <t>—</t>
        </is>
      </c>
      <c r="C17" s="524" t="inlineStr">
        <is>
          <t>—</t>
        </is>
      </c>
      <c r="D17" s="524" t="inlineStr">
        <is>
          <t>—</t>
        </is>
      </c>
      <c r="E17" s="523" t="inlineStr">
        <is>
          <t>✓ Partial</t>
        </is>
      </c>
      <c r="F17" s="471" t="inlineStr">
        <is>
          <t>✓✓ PRIMARY</t>
        </is>
      </c>
      <c r="G17" s="523" t="inlineStr">
        <is>
          <t>✓ Partial</t>
        </is>
      </c>
      <c r="H17" s="523" t="inlineStr">
        <is>
          <t>✓ Partial</t>
        </is>
      </c>
      <c r="I17" s="524" t="inlineStr">
        <is>
          <t>—</t>
        </is>
      </c>
      <c r="J17" s="524" t="inlineStr">
        <is>
          <t>—</t>
        </is>
      </c>
      <c r="K17" s="524" t="inlineStr">
        <is>
          <t>—</t>
        </is>
      </c>
      <c r="L17" s="524" t="inlineStr">
        <is>
          <t>—</t>
        </is>
      </c>
      <c r="M17" s="526" t="inlineStr">
        <is>
          <t>5/22</t>
        </is>
      </c>
    </row>
    <row r="18" ht="21.75" customHeight="1">
      <c r="A18" s="518" t="inlineStr">
        <is>
          <t>NCA-REG-2024</t>
        </is>
      </c>
      <c r="B18" s="523" t="inlineStr">
        <is>
          <t>✓ Partial</t>
        </is>
      </c>
      <c r="C18" s="523" t="inlineStr">
        <is>
          <t>✓ Partial</t>
        </is>
      </c>
      <c r="D18" s="524" t="inlineStr">
        <is>
          <t>—</t>
        </is>
      </c>
      <c r="E18" s="524" t="inlineStr">
        <is>
          <t>—</t>
        </is>
      </c>
      <c r="F18" s="471" t="inlineStr">
        <is>
          <t>✓✓ PRIMARY</t>
        </is>
      </c>
      <c r="G18" s="523" t="inlineStr">
        <is>
          <t>✓ Partial</t>
        </is>
      </c>
      <c r="H18" s="524" t="inlineStr">
        <is>
          <t>—</t>
        </is>
      </c>
      <c r="I18" s="524" t="inlineStr">
        <is>
          <t>—</t>
        </is>
      </c>
      <c r="J18" s="524" t="inlineStr">
        <is>
          <t>—</t>
        </is>
      </c>
      <c r="K18" s="524" t="inlineStr">
        <is>
          <t>—</t>
        </is>
      </c>
      <c r="L18" s="524" t="inlineStr">
        <is>
          <t>—</t>
        </is>
      </c>
      <c r="M18" s="526" t="inlineStr">
        <is>
          <t>5/22</t>
        </is>
      </c>
    </row>
    <row r="19" ht="21.75" customHeight="1">
      <c r="A19" s="525" t="inlineStr">
        <is>
          <t>NIST-CSF-2.0</t>
        </is>
      </c>
      <c r="B19" s="471" t="inlineStr">
        <is>
          <t>✓✓ PRIMARY</t>
        </is>
      </c>
      <c r="C19" s="523" t="inlineStr">
        <is>
          <t>✓ Partial</t>
        </is>
      </c>
      <c r="D19" s="523" t="inlineStr">
        <is>
          <t>✓ Partial</t>
        </is>
      </c>
      <c r="E19" s="471" t="inlineStr">
        <is>
          <t>✓✓ PRIMARY</t>
        </is>
      </c>
      <c r="F19" s="524" t="inlineStr">
        <is>
          <t>—</t>
        </is>
      </c>
      <c r="G19" s="524" t="inlineStr">
        <is>
          <t>—</t>
        </is>
      </c>
      <c r="H19" s="523" t="inlineStr">
        <is>
          <t>✓ Partial</t>
        </is>
      </c>
      <c r="I19" s="471" t="inlineStr">
        <is>
          <t>✓✓ PRIMARY</t>
        </is>
      </c>
      <c r="J19" s="524" t="inlineStr">
        <is>
          <t>—</t>
        </is>
      </c>
      <c r="K19" s="523" t="inlineStr">
        <is>
          <t>✓ Partial</t>
        </is>
      </c>
      <c r="L19" s="524" t="inlineStr">
        <is>
          <t>—</t>
        </is>
      </c>
      <c r="M19" s="439" t="inlineStr">
        <is>
          <t>10/22</t>
        </is>
      </c>
    </row>
    <row r="20" ht="21.75" customHeight="1">
      <c r="A20" s="518" t="inlineStr">
        <is>
          <t>ISO-27001:2022</t>
        </is>
      </c>
      <c r="B20" s="471" t="inlineStr">
        <is>
          <t>✓✓ PRIMARY</t>
        </is>
      </c>
      <c r="C20" s="523" t="inlineStr">
        <is>
          <t>✓ Partial</t>
        </is>
      </c>
      <c r="D20" s="524" t="inlineStr">
        <is>
          <t>—</t>
        </is>
      </c>
      <c r="E20" s="523" t="inlineStr">
        <is>
          <t>✓ Partial</t>
        </is>
      </c>
      <c r="F20" s="523" t="inlineStr">
        <is>
          <t>✓ Partial</t>
        </is>
      </c>
      <c r="G20" s="524" t="inlineStr">
        <is>
          <t>—</t>
        </is>
      </c>
      <c r="H20" s="524" t="inlineStr">
        <is>
          <t>—</t>
        </is>
      </c>
      <c r="I20" s="523" t="inlineStr">
        <is>
          <t>✓ Partial</t>
        </is>
      </c>
      <c r="J20" s="524" t="inlineStr">
        <is>
          <t>—</t>
        </is>
      </c>
      <c r="K20" s="523" t="inlineStr">
        <is>
          <t>✓ Partial</t>
        </is>
      </c>
      <c r="L20" s="524" t="inlineStr">
        <is>
          <t>—</t>
        </is>
      </c>
      <c r="M20" s="526" t="inlineStr">
        <is>
          <t>7/22</t>
        </is>
      </c>
    </row>
    <row r="21" ht="21.75" customHeight="1">
      <c r="A21" s="525" t="inlineStr">
        <is>
          <t>ISO-27799:2016</t>
        </is>
      </c>
      <c r="B21" s="471" t="inlineStr">
        <is>
          <t>✓✓ PRIMARY</t>
        </is>
      </c>
      <c r="C21" s="471" t="inlineStr">
        <is>
          <t>✓✓ PRIMARY</t>
        </is>
      </c>
      <c r="D21" s="523" t="inlineStr">
        <is>
          <t>✓ Partial</t>
        </is>
      </c>
      <c r="E21" s="523" t="inlineStr">
        <is>
          <t>✓ Partial</t>
        </is>
      </c>
      <c r="F21" s="523" t="inlineStr">
        <is>
          <t>✓ Partial</t>
        </is>
      </c>
      <c r="G21" s="524" t="inlineStr">
        <is>
          <t>—</t>
        </is>
      </c>
      <c r="H21" s="524" t="inlineStr">
        <is>
          <t>—</t>
        </is>
      </c>
      <c r="I21" s="524" t="inlineStr">
        <is>
          <t>—</t>
        </is>
      </c>
      <c r="J21" s="524" t="inlineStr">
        <is>
          <t>—</t>
        </is>
      </c>
      <c r="K21" s="523" t="inlineStr">
        <is>
          <t>✓ Partial</t>
        </is>
      </c>
      <c r="L21" s="524" t="inlineStr">
        <is>
          <t>—</t>
        </is>
      </c>
      <c r="M21" s="439" t="inlineStr">
        <is>
          <t>8/22</t>
        </is>
      </c>
    </row>
    <row r="22" ht="21.75" customHeight="1">
      <c r="A22" s="518" t="inlineStr">
        <is>
          <t>IEC-62443</t>
        </is>
      </c>
      <c r="B22" s="471" t="inlineStr">
        <is>
          <t>✓✓ PRIMARY</t>
        </is>
      </c>
      <c r="C22" s="524" t="inlineStr">
        <is>
          <t>—</t>
        </is>
      </c>
      <c r="D22" s="471" t="inlineStr">
        <is>
          <t>✓✓ PRIMARY</t>
        </is>
      </c>
      <c r="E22" s="471" t="inlineStr">
        <is>
          <t>✓✓ PRIMARY</t>
        </is>
      </c>
      <c r="F22" s="523" t="inlineStr">
        <is>
          <t>✓ Partial</t>
        </is>
      </c>
      <c r="G22" s="524" t="inlineStr">
        <is>
          <t>—</t>
        </is>
      </c>
      <c r="H22" s="524" t="inlineStr">
        <is>
          <t>—</t>
        </is>
      </c>
      <c r="I22" s="523" t="inlineStr">
        <is>
          <t>✓ Partial</t>
        </is>
      </c>
      <c r="J22" s="524" t="inlineStr">
        <is>
          <t>—</t>
        </is>
      </c>
      <c r="K22" s="471" t="inlineStr">
        <is>
          <t>✓✓ PRIMARY</t>
        </is>
      </c>
      <c r="L22" s="524" t="inlineStr">
        <is>
          <t>—</t>
        </is>
      </c>
      <c r="M22" s="439" t="inlineStr">
        <is>
          <t>10/22</t>
        </is>
      </c>
    </row>
    <row r="23" ht="21.75" customHeight="1">
      <c r="A23" s="525" t="inlineStr">
        <is>
          <t>HITRUST-CSF</t>
        </is>
      </c>
      <c r="B23" s="471" t="inlineStr">
        <is>
          <t>✓✓ PRIMARY</t>
        </is>
      </c>
      <c r="C23" s="471" t="inlineStr">
        <is>
          <t>✓✓ PRIMARY</t>
        </is>
      </c>
      <c r="D23" s="523" t="inlineStr">
        <is>
          <t>✓ Partial</t>
        </is>
      </c>
      <c r="E23" s="523" t="inlineStr">
        <is>
          <t>✓ Partial</t>
        </is>
      </c>
      <c r="F23" s="523" t="inlineStr">
        <is>
          <t>✓ Partial</t>
        </is>
      </c>
      <c r="G23" s="524" t="inlineStr">
        <is>
          <t>—</t>
        </is>
      </c>
      <c r="H23" s="524" t="inlineStr">
        <is>
          <t>—</t>
        </is>
      </c>
      <c r="I23" s="523" t="inlineStr">
        <is>
          <t>✓ Partial</t>
        </is>
      </c>
      <c r="J23" s="524" t="inlineStr">
        <is>
          <t>—</t>
        </is>
      </c>
      <c r="K23" s="523" t="inlineStr">
        <is>
          <t>✓ Partial</t>
        </is>
      </c>
      <c r="L23" s="524" t="inlineStr">
        <is>
          <t>—</t>
        </is>
      </c>
      <c r="M23" s="439" t="inlineStr">
        <is>
          <t>9/22</t>
        </is>
      </c>
    </row>
    <row r="24" ht="21.75" customHeight="1">
      <c r="A24" s="518" t="inlineStr">
        <is>
          <t>SHC-HSTP</t>
        </is>
      </c>
      <c r="B24" s="524" t="inlineStr">
        <is>
          <t>—</t>
        </is>
      </c>
      <c r="C24" s="524" t="inlineStr">
        <is>
          <t>—</t>
        </is>
      </c>
      <c r="D24" s="523" t="inlineStr">
        <is>
          <t>✓ Partial</t>
        </is>
      </c>
      <c r="E24" s="523" t="inlineStr">
        <is>
          <t>✓ Partial</t>
        </is>
      </c>
      <c r="F24" s="524" t="inlineStr">
        <is>
          <t>—</t>
        </is>
      </c>
      <c r="G24" s="523" t="inlineStr">
        <is>
          <t>✓ Partial</t>
        </is>
      </c>
      <c r="H24" s="471" t="inlineStr">
        <is>
          <t>✓✓ PRIMARY</t>
        </is>
      </c>
      <c r="I24" s="524" t="inlineStr">
        <is>
          <t>—</t>
        </is>
      </c>
      <c r="J24" s="524" t="inlineStr">
        <is>
          <t>—</t>
        </is>
      </c>
      <c r="K24" s="524" t="inlineStr">
        <is>
          <t>—</t>
        </is>
      </c>
      <c r="L24" s="524" t="inlineStr">
        <is>
          <t>—</t>
        </is>
      </c>
      <c r="M24" s="526" t="inlineStr">
        <is>
          <t>5/22</t>
        </is>
      </c>
    </row>
    <row r="25" ht="21.75" customHeight="1">
      <c r="A25" s="525" t="inlineStr">
        <is>
          <t>CST-IOT</t>
        </is>
      </c>
      <c r="B25" s="523" t="inlineStr">
        <is>
          <t>✓ Partial</t>
        </is>
      </c>
      <c r="C25" s="524" t="inlineStr">
        <is>
          <t>—</t>
        </is>
      </c>
      <c r="D25" s="524" t="inlineStr">
        <is>
          <t>—</t>
        </is>
      </c>
      <c r="E25" s="523" t="inlineStr">
        <is>
          <t>✓ Partial</t>
        </is>
      </c>
      <c r="F25" s="523" t="inlineStr">
        <is>
          <t>✓ Partial</t>
        </is>
      </c>
      <c r="G25" s="524" t="inlineStr">
        <is>
          <t>—</t>
        </is>
      </c>
      <c r="H25" s="524" t="inlineStr">
        <is>
          <t>—</t>
        </is>
      </c>
      <c r="I25" s="523" t="inlineStr">
        <is>
          <t>✓ Partial</t>
        </is>
      </c>
      <c r="J25" s="524" t="inlineStr">
        <is>
          <t>—</t>
        </is>
      </c>
      <c r="K25" s="523" t="inlineStr">
        <is>
          <t>✓ Partial</t>
        </is>
      </c>
      <c r="L25" s="524" t="inlineStr">
        <is>
          <t>—</t>
        </is>
      </c>
      <c r="M25" s="526" t="inlineStr">
        <is>
          <t>5/22</t>
        </is>
      </c>
    </row>
  </sheetData>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tabColor rgb="FF3B2D87"/>
    <outlinePr summaryBelow="1" summaryRight="1"/>
    <pageSetUpPr/>
  </sheetPr>
  <dimension ref="A1:T33"/>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8.6640625" defaultRowHeight="14.25"/>
  <cols>
    <col width="18" customWidth="1" min="1" max="1"/>
    <col width="36" customWidth="1" min="2" max="2"/>
    <col width="14" customWidth="1" min="3" max="19"/>
    <col width="10" customWidth="1" min="20" max="20"/>
  </cols>
  <sheetData>
    <row r="1" ht="23.25" customHeight="1">
      <c r="A1" s="7" t="inlineStr">
        <is>
          <t>Framework Code</t>
        </is>
      </c>
      <c r="B1" s="7" t="inlineStr">
        <is>
          <t>Framework Name</t>
        </is>
      </c>
      <c r="C1" s="12" t="inlineStr">
        <is>
          <t>1. Ministries</t>
        </is>
      </c>
      <c r="D1" s="11" t="inlineStr">
        <is>
          <t>2. HC &amp; Life Sciences</t>
        </is>
      </c>
      <c r="E1" s="7" t="inlineStr">
        <is>
          <t>3. Cyber &amp; Data</t>
        </is>
      </c>
      <c r="F1" s="527" t="inlineStr">
        <is>
          <t>4. ICT/Telecom</t>
        </is>
      </c>
      <c r="G1" s="10" t="inlineStr">
        <is>
          <t>5. Financial</t>
        </is>
      </c>
      <c r="H1" s="528" t="inlineStr">
        <is>
          <t>6. Tax/Customs</t>
        </is>
      </c>
      <c r="I1" s="529" t="inlineStr">
        <is>
          <t>7. Standards</t>
        </is>
      </c>
      <c r="J1" s="530" t="inlineStr">
        <is>
          <t>8. Energy &amp; Utilities</t>
        </is>
      </c>
      <c r="K1" s="531" t="inlineStr">
        <is>
          <t>9. Environment</t>
        </is>
      </c>
      <c r="L1" s="532" t="inlineStr">
        <is>
          <t>10. Transport</t>
        </is>
      </c>
      <c r="M1" s="533" t="inlineStr">
        <is>
          <t>11. Industry &amp; Trade</t>
        </is>
      </c>
      <c r="N1" s="534" t="inlineStr">
        <is>
          <t>12. Education</t>
        </is>
      </c>
      <c r="O1" s="535" t="inlineStr">
        <is>
          <t>13. Legal</t>
        </is>
      </c>
      <c r="P1" s="536" t="inlineStr">
        <is>
          <t>14. Labour &amp; OSH</t>
        </is>
      </c>
      <c r="Q1" s="9" t="inlineStr">
        <is>
          <t>15. Special Zones</t>
        </is>
      </c>
      <c r="R1" s="537" t="inlineStr">
        <is>
          <t>16. Councils</t>
        </is>
      </c>
      <c r="S1" s="13" t="inlineStr">
        <is>
          <t>17. Regional HC Clusters</t>
        </is>
      </c>
      <c r="T1" s="5" t="inlineStr">
        <is>
          <t>Coverage Count</t>
        </is>
      </c>
    </row>
    <row r="2" ht="27.75" customHeight="1">
      <c r="A2" s="43" t="inlineStr">
        <is>
          <t>NCA-ECC-2:2024</t>
        </is>
      </c>
      <c r="B2" s="45" t="inlineStr">
        <is>
          <t>ECC-2 Cybersecurity</t>
        </is>
      </c>
      <c r="C2" s="433" t="inlineStr">
        <is>
          <t>Y</t>
        </is>
      </c>
      <c r="D2" s="433" t="inlineStr">
        <is>
          <t>Y</t>
        </is>
      </c>
      <c r="E2" s="433" t="inlineStr">
        <is>
          <t>Y</t>
        </is>
      </c>
      <c r="F2" s="433" t="inlineStr">
        <is>
          <t>Y</t>
        </is>
      </c>
      <c r="G2" s="433" t="inlineStr">
        <is>
          <t>Y</t>
        </is>
      </c>
      <c r="H2" s="433" t="inlineStr">
        <is>
          <t>Y</t>
        </is>
      </c>
      <c r="I2" s="433" t="inlineStr">
        <is>
          <t>Y</t>
        </is>
      </c>
      <c r="J2" s="433" t="inlineStr">
        <is>
          <t>Y</t>
        </is>
      </c>
      <c r="K2" s="433" t="inlineStr">
        <is>
          <t>Y</t>
        </is>
      </c>
      <c r="L2" s="433" t="inlineStr">
        <is>
          <t>Y</t>
        </is>
      </c>
      <c r="M2" s="433" t="inlineStr">
        <is>
          <t>Y</t>
        </is>
      </c>
      <c r="N2" s="433" t="inlineStr">
        <is>
          <t>Y</t>
        </is>
      </c>
      <c r="O2" s="433" t="inlineStr">
        <is>
          <t>Y</t>
        </is>
      </c>
      <c r="P2" s="433" t="inlineStr">
        <is>
          <t>Y</t>
        </is>
      </c>
      <c r="Q2" s="433" t="inlineStr">
        <is>
          <t>Y</t>
        </is>
      </c>
      <c r="R2" s="433" t="inlineStr">
        <is>
          <t>Y</t>
        </is>
      </c>
      <c r="S2" s="433" t="inlineStr">
        <is>
          <t>Y</t>
        </is>
      </c>
      <c r="T2" s="538" t="inlineStr">
        <is>
          <t>17/17</t>
        </is>
      </c>
    </row>
    <row r="3" ht="27.75" customHeight="1">
      <c r="A3" s="514" t="inlineStr">
        <is>
          <t>PDPL-2021</t>
        </is>
      </c>
      <c r="B3" s="428" t="inlineStr">
        <is>
          <t>Personal Data Protection Law</t>
        </is>
      </c>
      <c r="C3" s="433" t="inlineStr">
        <is>
          <t>Y</t>
        </is>
      </c>
      <c r="D3" s="433" t="inlineStr">
        <is>
          <t>Y</t>
        </is>
      </c>
      <c r="E3" s="433" t="inlineStr">
        <is>
          <t>Y</t>
        </is>
      </c>
      <c r="F3" s="433" t="inlineStr">
        <is>
          <t>Y</t>
        </is>
      </c>
      <c r="G3" s="433" t="inlineStr">
        <is>
          <t>Y</t>
        </is>
      </c>
      <c r="H3" s="433" t="inlineStr">
        <is>
          <t>Y</t>
        </is>
      </c>
      <c r="I3" s="433" t="inlineStr">
        <is>
          <t>Y</t>
        </is>
      </c>
      <c r="J3" s="433" t="inlineStr">
        <is>
          <t>Y</t>
        </is>
      </c>
      <c r="K3" s="433" t="inlineStr">
        <is>
          <t>Y</t>
        </is>
      </c>
      <c r="L3" s="433" t="inlineStr">
        <is>
          <t>Y</t>
        </is>
      </c>
      <c r="M3" s="433" t="inlineStr">
        <is>
          <t>Y</t>
        </is>
      </c>
      <c r="N3" s="433" t="inlineStr">
        <is>
          <t>Y</t>
        </is>
      </c>
      <c r="O3" s="433" t="inlineStr">
        <is>
          <t>Y</t>
        </is>
      </c>
      <c r="P3" s="433" t="inlineStr">
        <is>
          <t>Y</t>
        </is>
      </c>
      <c r="Q3" s="433" t="inlineStr">
        <is>
          <t>Y</t>
        </is>
      </c>
      <c r="R3" s="433" t="inlineStr">
        <is>
          <t>Y</t>
        </is>
      </c>
      <c r="S3" s="433" t="inlineStr">
        <is>
          <t>Y</t>
        </is>
      </c>
      <c r="T3" s="538" t="inlineStr">
        <is>
          <t>17/17</t>
        </is>
      </c>
    </row>
    <row r="4" ht="27.75" customHeight="1">
      <c r="A4" s="43" t="inlineStr">
        <is>
          <t>NCA-OTCC-1:2022</t>
        </is>
      </c>
      <c r="B4" s="45" t="inlineStr">
        <is>
          <t>OT Cybersecurity Controls</t>
        </is>
      </c>
      <c r="C4" s="438" t="inlineStr">
        <is>
          <t>P</t>
        </is>
      </c>
      <c r="D4" s="433" t="inlineStr">
        <is>
          <t>Y</t>
        </is>
      </c>
      <c r="E4" s="438" t="inlineStr">
        <is>
          <t>P</t>
        </is>
      </c>
      <c r="F4" s="438" t="inlineStr">
        <is>
          <t>P</t>
        </is>
      </c>
      <c r="G4" s="438" t="inlineStr">
        <is>
          <t>P</t>
        </is>
      </c>
      <c r="H4" s="539" t="inlineStr">
        <is>
          <t>N</t>
        </is>
      </c>
      <c r="I4" s="438" t="inlineStr">
        <is>
          <t>P</t>
        </is>
      </c>
      <c r="J4" s="433" t="inlineStr">
        <is>
          <t>Y</t>
        </is>
      </c>
      <c r="K4" s="438" t="inlineStr">
        <is>
          <t>P</t>
        </is>
      </c>
      <c r="L4" s="433" t="inlineStr">
        <is>
          <t>Y</t>
        </is>
      </c>
      <c r="M4" s="433" t="inlineStr">
        <is>
          <t>Y</t>
        </is>
      </c>
      <c r="N4" s="438" t="inlineStr">
        <is>
          <t>P</t>
        </is>
      </c>
      <c r="O4" s="539" t="inlineStr">
        <is>
          <t>N</t>
        </is>
      </c>
      <c r="P4" s="438" t="inlineStr">
        <is>
          <t>P</t>
        </is>
      </c>
      <c r="Q4" s="433" t="inlineStr">
        <is>
          <t>Y</t>
        </is>
      </c>
      <c r="R4" s="539" t="inlineStr">
        <is>
          <t>N</t>
        </is>
      </c>
      <c r="S4" s="433" t="inlineStr">
        <is>
          <t>Y</t>
        </is>
      </c>
      <c r="T4" s="432" t="inlineStr">
        <is>
          <t>14/17</t>
        </is>
      </c>
    </row>
    <row r="5" ht="27.75" customHeight="1">
      <c r="A5" s="514" t="inlineStr">
        <is>
          <t>NCA-CCC-1:2020</t>
        </is>
      </c>
      <c r="B5" s="428" t="inlineStr">
        <is>
          <t>Cloud Security Controls</t>
        </is>
      </c>
      <c r="C5" s="433" t="inlineStr">
        <is>
          <t>Y</t>
        </is>
      </c>
      <c r="D5" s="433" t="inlineStr">
        <is>
          <t>Y</t>
        </is>
      </c>
      <c r="E5" s="433" t="inlineStr">
        <is>
          <t>Y</t>
        </is>
      </c>
      <c r="F5" s="433" t="inlineStr">
        <is>
          <t>Y</t>
        </is>
      </c>
      <c r="G5" s="433" t="inlineStr">
        <is>
          <t>Y</t>
        </is>
      </c>
      <c r="H5" s="433" t="inlineStr">
        <is>
          <t>Y</t>
        </is>
      </c>
      <c r="I5" s="433" t="inlineStr">
        <is>
          <t>Y</t>
        </is>
      </c>
      <c r="J5" s="433" t="inlineStr">
        <is>
          <t>Y</t>
        </is>
      </c>
      <c r="K5" s="433" t="inlineStr">
        <is>
          <t>Y</t>
        </is>
      </c>
      <c r="L5" s="433" t="inlineStr">
        <is>
          <t>Y</t>
        </is>
      </c>
      <c r="M5" s="433" t="inlineStr">
        <is>
          <t>Y</t>
        </is>
      </c>
      <c r="N5" s="433" t="inlineStr">
        <is>
          <t>Y</t>
        </is>
      </c>
      <c r="O5" s="433" t="inlineStr">
        <is>
          <t>Y</t>
        </is>
      </c>
      <c r="P5" s="433" t="inlineStr">
        <is>
          <t>Y</t>
        </is>
      </c>
      <c r="Q5" s="433" t="inlineStr">
        <is>
          <t>Y</t>
        </is>
      </c>
      <c r="R5" s="433" t="inlineStr">
        <is>
          <t>Y</t>
        </is>
      </c>
      <c r="S5" s="433" t="inlineStr">
        <is>
          <t>Y</t>
        </is>
      </c>
      <c r="T5" s="538" t="inlineStr">
        <is>
          <t>17/17</t>
        </is>
      </c>
    </row>
    <row r="6" ht="27.75" customHeight="1">
      <c r="A6" s="43" t="inlineStr">
        <is>
          <t>NCA-DCC-1:2022</t>
        </is>
      </c>
      <c r="B6" s="45" t="inlineStr">
        <is>
          <t>Data Cybersecurity</t>
        </is>
      </c>
      <c r="C6" s="433" t="inlineStr">
        <is>
          <t>Y</t>
        </is>
      </c>
      <c r="D6" s="433" t="inlineStr">
        <is>
          <t>Y</t>
        </is>
      </c>
      <c r="E6" s="433" t="inlineStr">
        <is>
          <t>Y</t>
        </is>
      </c>
      <c r="F6" s="433" t="inlineStr">
        <is>
          <t>Y</t>
        </is>
      </c>
      <c r="G6" s="433" t="inlineStr">
        <is>
          <t>Y</t>
        </is>
      </c>
      <c r="H6" s="433" t="inlineStr">
        <is>
          <t>Y</t>
        </is>
      </c>
      <c r="I6" s="433" t="inlineStr">
        <is>
          <t>Y</t>
        </is>
      </c>
      <c r="J6" s="433" t="inlineStr">
        <is>
          <t>Y</t>
        </is>
      </c>
      <c r="K6" s="433" t="inlineStr">
        <is>
          <t>Y</t>
        </is>
      </c>
      <c r="L6" s="433" t="inlineStr">
        <is>
          <t>Y</t>
        </is>
      </c>
      <c r="M6" s="433" t="inlineStr">
        <is>
          <t>Y</t>
        </is>
      </c>
      <c r="N6" s="433" t="inlineStr">
        <is>
          <t>Y</t>
        </is>
      </c>
      <c r="O6" s="433" t="inlineStr">
        <is>
          <t>Y</t>
        </is>
      </c>
      <c r="P6" s="433" t="inlineStr">
        <is>
          <t>Y</t>
        </is>
      </c>
      <c r="Q6" s="433" t="inlineStr">
        <is>
          <t>Y</t>
        </is>
      </c>
      <c r="R6" s="433" t="inlineStr">
        <is>
          <t>Y</t>
        </is>
      </c>
      <c r="S6" s="433" t="inlineStr">
        <is>
          <t>Y</t>
        </is>
      </c>
      <c r="T6" s="538" t="inlineStr">
        <is>
          <t>17/17</t>
        </is>
      </c>
    </row>
    <row r="7" ht="27.75" customHeight="1">
      <c r="A7" s="514" t="inlineStr">
        <is>
          <t>PDPL-IR-2023</t>
        </is>
      </c>
      <c r="B7" s="428" t="inlineStr">
        <is>
          <t>PDPL Implementing Regs</t>
        </is>
      </c>
      <c r="C7" s="433" t="inlineStr">
        <is>
          <t>Y</t>
        </is>
      </c>
      <c r="D7" s="433" t="inlineStr">
        <is>
          <t>Y</t>
        </is>
      </c>
      <c r="E7" s="433" t="inlineStr">
        <is>
          <t>Y</t>
        </is>
      </c>
      <c r="F7" s="433" t="inlineStr">
        <is>
          <t>Y</t>
        </is>
      </c>
      <c r="G7" s="433" t="inlineStr">
        <is>
          <t>Y</t>
        </is>
      </c>
      <c r="H7" s="433" t="inlineStr">
        <is>
          <t>Y</t>
        </is>
      </c>
      <c r="I7" s="433" t="inlineStr">
        <is>
          <t>Y</t>
        </is>
      </c>
      <c r="J7" s="433" t="inlineStr">
        <is>
          <t>Y</t>
        </is>
      </c>
      <c r="K7" s="433" t="inlineStr">
        <is>
          <t>Y</t>
        </is>
      </c>
      <c r="L7" s="433" t="inlineStr">
        <is>
          <t>Y</t>
        </is>
      </c>
      <c r="M7" s="433" t="inlineStr">
        <is>
          <t>Y</t>
        </is>
      </c>
      <c r="N7" s="433" t="inlineStr">
        <is>
          <t>Y</t>
        </is>
      </c>
      <c r="O7" s="433" t="inlineStr">
        <is>
          <t>Y</t>
        </is>
      </c>
      <c r="P7" s="433" t="inlineStr">
        <is>
          <t>Y</t>
        </is>
      </c>
      <c r="Q7" s="433" t="inlineStr">
        <is>
          <t>Y</t>
        </is>
      </c>
      <c r="R7" s="433" t="inlineStr">
        <is>
          <t>Y</t>
        </is>
      </c>
      <c r="S7" s="433" t="inlineStr">
        <is>
          <t>Y</t>
        </is>
      </c>
      <c r="T7" s="538" t="inlineStr">
        <is>
          <t>17/17</t>
        </is>
      </c>
    </row>
    <row r="8" ht="27.75" customHeight="1">
      <c r="A8" s="43" t="inlineStr">
        <is>
          <t>MHRSD-LL</t>
        </is>
      </c>
      <c r="B8" s="45" t="inlineStr">
        <is>
          <t>Labour Law</t>
        </is>
      </c>
      <c r="C8" s="433" t="inlineStr">
        <is>
          <t>Y</t>
        </is>
      </c>
      <c r="D8" s="433" t="inlineStr">
        <is>
          <t>Y</t>
        </is>
      </c>
      <c r="E8" s="433" t="inlineStr">
        <is>
          <t>Y</t>
        </is>
      </c>
      <c r="F8" s="433" t="inlineStr">
        <is>
          <t>Y</t>
        </is>
      </c>
      <c r="G8" s="433" t="inlineStr">
        <is>
          <t>Y</t>
        </is>
      </c>
      <c r="H8" s="433" t="inlineStr">
        <is>
          <t>Y</t>
        </is>
      </c>
      <c r="I8" s="433" t="inlineStr">
        <is>
          <t>Y</t>
        </is>
      </c>
      <c r="J8" s="433" t="inlineStr">
        <is>
          <t>Y</t>
        </is>
      </c>
      <c r="K8" s="433" t="inlineStr">
        <is>
          <t>Y</t>
        </is>
      </c>
      <c r="L8" s="433" t="inlineStr">
        <is>
          <t>Y</t>
        </is>
      </c>
      <c r="M8" s="433" t="inlineStr">
        <is>
          <t>Y</t>
        </is>
      </c>
      <c r="N8" s="433" t="inlineStr">
        <is>
          <t>Y</t>
        </is>
      </c>
      <c r="O8" s="433" t="inlineStr">
        <is>
          <t>Y</t>
        </is>
      </c>
      <c r="P8" s="433" t="inlineStr">
        <is>
          <t>Y</t>
        </is>
      </c>
      <c r="Q8" s="433" t="inlineStr">
        <is>
          <t>Y</t>
        </is>
      </c>
      <c r="R8" s="433" t="inlineStr">
        <is>
          <t>Y</t>
        </is>
      </c>
      <c r="S8" s="433" t="inlineStr">
        <is>
          <t>Y</t>
        </is>
      </c>
      <c r="T8" s="538" t="inlineStr">
        <is>
          <t>17/17</t>
        </is>
      </c>
    </row>
    <row r="9" ht="27.75" customHeight="1">
      <c r="A9" s="514" t="inlineStr">
        <is>
          <t>MHRSD-NITAQAT</t>
        </is>
      </c>
      <c r="B9" s="428" t="inlineStr">
        <is>
          <t>Saudisation (Private)</t>
        </is>
      </c>
      <c r="C9" s="438" t="inlineStr">
        <is>
          <t>P</t>
        </is>
      </c>
      <c r="D9" s="433" t="inlineStr">
        <is>
          <t>Y</t>
        </is>
      </c>
      <c r="E9" s="433" t="inlineStr">
        <is>
          <t>Y</t>
        </is>
      </c>
      <c r="F9" s="433" t="inlineStr">
        <is>
          <t>Y</t>
        </is>
      </c>
      <c r="G9" s="433" t="inlineStr">
        <is>
          <t>Y</t>
        </is>
      </c>
      <c r="H9" s="433" t="inlineStr">
        <is>
          <t>Y</t>
        </is>
      </c>
      <c r="I9" s="433" t="inlineStr">
        <is>
          <t>Y</t>
        </is>
      </c>
      <c r="J9" s="433" t="inlineStr">
        <is>
          <t>Y</t>
        </is>
      </c>
      <c r="K9" s="433" t="inlineStr">
        <is>
          <t>Y</t>
        </is>
      </c>
      <c r="L9" s="433" t="inlineStr">
        <is>
          <t>Y</t>
        </is>
      </c>
      <c r="M9" s="433" t="inlineStr">
        <is>
          <t>Y</t>
        </is>
      </c>
      <c r="N9" s="433" t="inlineStr">
        <is>
          <t>Y</t>
        </is>
      </c>
      <c r="O9" s="438" t="inlineStr">
        <is>
          <t>P</t>
        </is>
      </c>
      <c r="P9" s="433" t="inlineStr">
        <is>
          <t>Y</t>
        </is>
      </c>
      <c r="Q9" s="433" t="inlineStr">
        <is>
          <t>Y</t>
        </is>
      </c>
      <c r="R9" s="438" t="inlineStr">
        <is>
          <t>P</t>
        </is>
      </c>
      <c r="S9" s="433" t="inlineStr">
        <is>
          <t>Y</t>
        </is>
      </c>
      <c r="T9" s="538" t="inlineStr">
        <is>
          <t>17/17</t>
        </is>
      </c>
    </row>
    <row r="10" ht="27.75" customHeight="1">
      <c r="A10" s="43" t="inlineStr">
        <is>
          <t>ZATCA-EINV-P2</t>
        </is>
      </c>
      <c r="B10" s="45" t="inlineStr">
        <is>
          <t>E-Invoicing Phase 2</t>
        </is>
      </c>
      <c r="C10" s="433" t="inlineStr">
        <is>
          <t>Y</t>
        </is>
      </c>
      <c r="D10" s="433" t="inlineStr">
        <is>
          <t>Y</t>
        </is>
      </c>
      <c r="E10" s="433" t="inlineStr">
        <is>
          <t>Y</t>
        </is>
      </c>
      <c r="F10" s="433" t="inlineStr">
        <is>
          <t>Y</t>
        </is>
      </c>
      <c r="G10" s="433" t="inlineStr">
        <is>
          <t>Y</t>
        </is>
      </c>
      <c r="H10" s="433" t="inlineStr">
        <is>
          <t>Y</t>
        </is>
      </c>
      <c r="I10" s="433" t="inlineStr">
        <is>
          <t>Y</t>
        </is>
      </c>
      <c r="J10" s="433" t="inlineStr">
        <is>
          <t>Y</t>
        </is>
      </c>
      <c r="K10" s="433" t="inlineStr">
        <is>
          <t>Y</t>
        </is>
      </c>
      <c r="L10" s="433" t="inlineStr">
        <is>
          <t>Y</t>
        </is>
      </c>
      <c r="M10" s="433" t="inlineStr">
        <is>
          <t>Y</t>
        </is>
      </c>
      <c r="N10" s="433" t="inlineStr">
        <is>
          <t>Y</t>
        </is>
      </c>
      <c r="O10" s="433" t="inlineStr">
        <is>
          <t>Y</t>
        </is>
      </c>
      <c r="P10" s="433" t="inlineStr">
        <is>
          <t>Y</t>
        </is>
      </c>
      <c r="Q10" s="433" t="inlineStr">
        <is>
          <t>Y</t>
        </is>
      </c>
      <c r="R10" s="433" t="inlineStr">
        <is>
          <t>Y</t>
        </is>
      </c>
      <c r="S10" s="433" t="inlineStr">
        <is>
          <t>Y</t>
        </is>
      </c>
      <c r="T10" s="538" t="inlineStr">
        <is>
          <t>17/17</t>
        </is>
      </c>
    </row>
    <row r="11" ht="27.75" customHeight="1">
      <c r="A11" s="514" t="inlineStr">
        <is>
          <t>ZATCA-VAT</t>
        </is>
      </c>
      <c r="B11" s="428" t="inlineStr">
        <is>
          <t>VAT Regulations</t>
        </is>
      </c>
      <c r="C11" s="433" t="inlineStr">
        <is>
          <t>Y</t>
        </is>
      </c>
      <c r="D11" s="433" t="inlineStr">
        <is>
          <t>Y</t>
        </is>
      </c>
      <c r="E11" s="433" t="inlineStr">
        <is>
          <t>Y</t>
        </is>
      </c>
      <c r="F11" s="433" t="inlineStr">
        <is>
          <t>Y</t>
        </is>
      </c>
      <c r="G11" s="433" t="inlineStr">
        <is>
          <t>Y</t>
        </is>
      </c>
      <c r="H11" s="433" t="inlineStr">
        <is>
          <t>Y</t>
        </is>
      </c>
      <c r="I11" s="433" t="inlineStr">
        <is>
          <t>Y</t>
        </is>
      </c>
      <c r="J11" s="433" t="inlineStr">
        <is>
          <t>Y</t>
        </is>
      </c>
      <c r="K11" s="433" t="inlineStr">
        <is>
          <t>Y</t>
        </is>
      </c>
      <c r="L11" s="433" t="inlineStr">
        <is>
          <t>Y</t>
        </is>
      </c>
      <c r="M11" s="433" t="inlineStr">
        <is>
          <t>Y</t>
        </is>
      </c>
      <c r="N11" s="433" t="inlineStr">
        <is>
          <t>Y</t>
        </is>
      </c>
      <c r="O11" s="433" t="inlineStr">
        <is>
          <t>Y</t>
        </is>
      </c>
      <c r="P11" s="433" t="inlineStr">
        <is>
          <t>Y</t>
        </is>
      </c>
      <c r="Q11" s="433" t="inlineStr">
        <is>
          <t>Y</t>
        </is>
      </c>
      <c r="R11" s="433" t="inlineStr">
        <is>
          <t>Y</t>
        </is>
      </c>
      <c r="S11" s="433" t="inlineStr">
        <is>
          <t>Y</t>
        </is>
      </c>
      <c r="T11" s="538" t="inlineStr">
        <is>
          <t>17/17</t>
        </is>
      </c>
    </row>
    <row r="12" ht="27.75" customHeight="1">
      <c r="A12" s="43" t="inlineStr">
        <is>
          <t>GOSI-OIL</t>
        </is>
      </c>
      <c r="B12" s="45" t="inlineStr">
        <is>
          <t>GOSI Occupational Injury</t>
        </is>
      </c>
      <c r="C12" s="433" t="inlineStr">
        <is>
          <t>Y</t>
        </is>
      </c>
      <c r="D12" s="433" t="inlineStr">
        <is>
          <t>Y</t>
        </is>
      </c>
      <c r="E12" s="433" t="inlineStr">
        <is>
          <t>Y</t>
        </is>
      </c>
      <c r="F12" s="433" t="inlineStr">
        <is>
          <t>Y</t>
        </is>
      </c>
      <c r="G12" s="433" t="inlineStr">
        <is>
          <t>Y</t>
        </is>
      </c>
      <c r="H12" s="433" t="inlineStr">
        <is>
          <t>Y</t>
        </is>
      </c>
      <c r="I12" s="433" t="inlineStr">
        <is>
          <t>Y</t>
        </is>
      </c>
      <c r="J12" s="433" t="inlineStr">
        <is>
          <t>Y</t>
        </is>
      </c>
      <c r="K12" s="433" t="inlineStr">
        <is>
          <t>Y</t>
        </is>
      </c>
      <c r="L12" s="433" t="inlineStr">
        <is>
          <t>Y</t>
        </is>
      </c>
      <c r="M12" s="433" t="inlineStr">
        <is>
          <t>Y</t>
        </is>
      </c>
      <c r="N12" s="433" t="inlineStr">
        <is>
          <t>Y</t>
        </is>
      </c>
      <c r="O12" s="433" t="inlineStr">
        <is>
          <t>Y</t>
        </is>
      </c>
      <c r="P12" s="433" t="inlineStr">
        <is>
          <t>Y</t>
        </is>
      </c>
      <c r="Q12" s="433" t="inlineStr">
        <is>
          <t>Y</t>
        </is>
      </c>
      <c r="R12" s="433" t="inlineStr">
        <is>
          <t>Y</t>
        </is>
      </c>
      <c r="S12" s="433" t="inlineStr">
        <is>
          <t>Y</t>
        </is>
      </c>
      <c r="T12" s="538" t="inlineStr">
        <is>
          <t>17/17</t>
        </is>
      </c>
    </row>
    <row r="13" ht="27.75" customHeight="1">
      <c r="A13" s="514" t="inlineStr">
        <is>
          <t>DGA-CFP</t>
        </is>
      </c>
      <c r="B13" s="428" t="inlineStr">
        <is>
          <t>Cloud First Policy (Gov)</t>
        </is>
      </c>
      <c r="C13" s="433" t="inlineStr">
        <is>
          <t>Y</t>
        </is>
      </c>
      <c r="D13" s="433" t="inlineStr">
        <is>
          <t>Y</t>
        </is>
      </c>
      <c r="E13" s="433" t="inlineStr">
        <is>
          <t>Y</t>
        </is>
      </c>
      <c r="F13" s="433" t="inlineStr">
        <is>
          <t>Y</t>
        </is>
      </c>
      <c r="G13" s="438" t="inlineStr">
        <is>
          <t>P</t>
        </is>
      </c>
      <c r="H13" s="539" t="inlineStr">
        <is>
          <t>N</t>
        </is>
      </c>
      <c r="I13" s="433" t="inlineStr">
        <is>
          <t>Y</t>
        </is>
      </c>
      <c r="J13" s="433" t="inlineStr">
        <is>
          <t>Y</t>
        </is>
      </c>
      <c r="K13" s="433" t="inlineStr">
        <is>
          <t>Y</t>
        </is>
      </c>
      <c r="L13" s="433" t="inlineStr">
        <is>
          <t>Y</t>
        </is>
      </c>
      <c r="M13" s="438" t="inlineStr">
        <is>
          <t>P</t>
        </is>
      </c>
      <c r="N13" s="433" t="inlineStr">
        <is>
          <t>Y</t>
        </is>
      </c>
      <c r="O13" s="433" t="inlineStr">
        <is>
          <t>Y</t>
        </is>
      </c>
      <c r="P13" s="433" t="inlineStr">
        <is>
          <t>Y</t>
        </is>
      </c>
      <c r="Q13" s="433" t="inlineStr">
        <is>
          <t>Y</t>
        </is>
      </c>
      <c r="R13" s="433" t="inlineStr">
        <is>
          <t>Y</t>
        </is>
      </c>
      <c r="S13" s="433" t="inlineStr">
        <is>
          <t>Y</t>
        </is>
      </c>
      <c r="T13" s="432" t="inlineStr">
        <is>
          <t>16/17</t>
        </is>
      </c>
    </row>
    <row r="14" ht="27.75" customHeight="1">
      <c r="A14" s="43" t="inlineStr">
        <is>
          <t>SDAIA-AI-ETH</t>
        </is>
      </c>
      <c r="B14" s="45" t="inlineStr">
        <is>
          <t>AI Ethics Principles</t>
        </is>
      </c>
      <c r="C14" s="433" t="inlineStr">
        <is>
          <t>Y</t>
        </is>
      </c>
      <c r="D14" s="433" t="inlineStr">
        <is>
          <t>Y</t>
        </is>
      </c>
      <c r="E14" s="433" t="inlineStr">
        <is>
          <t>Y</t>
        </is>
      </c>
      <c r="F14" s="433" t="inlineStr">
        <is>
          <t>Y</t>
        </is>
      </c>
      <c r="G14" s="433" t="inlineStr">
        <is>
          <t>Y</t>
        </is>
      </c>
      <c r="H14" s="539" t="inlineStr">
        <is>
          <t>N</t>
        </is>
      </c>
      <c r="I14" s="433" t="inlineStr">
        <is>
          <t>Y</t>
        </is>
      </c>
      <c r="J14" s="433" t="inlineStr">
        <is>
          <t>Y</t>
        </is>
      </c>
      <c r="K14" s="433" t="inlineStr">
        <is>
          <t>Y</t>
        </is>
      </c>
      <c r="L14" s="433" t="inlineStr">
        <is>
          <t>Y</t>
        </is>
      </c>
      <c r="M14" s="433" t="inlineStr">
        <is>
          <t>Y</t>
        </is>
      </c>
      <c r="N14" s="433" t="inlineStr">
        <is>
          <t>Y</t>
        </is>
      </c>
      <c r="O14" s="433" t="inlineStr">
        <is>
          <t>Y</t>
        </is>
      </c>
      <c r="P14" s="433" t="inlineStr">
        <is>
          <t>Y</t>
        </is>
      </c>
      <c r="Q14" s="433" t="inlineStr">
        <is>
          <t>Y</t>
        </is>
      </c>
      <c r="R14" s="433" t="inlineStr">
        <is>
          <t>Y</t>
        </is>
      </c>
      <c r="S14" s="433" t="inlineStr">
        <is>
          <t>Y</t>
        </is>
      </c>
      <c r="T14" s="432" t="inlineStr">
        <is>
          <t>16/17</t>
        </is>
      </c>
    </row>
    <row r="15" ht="27.75" customHeight="1">
      <c r="A15" s="514" t="inlineStr">
        <is>
          <t>OSH-REGS</t>
        </is>
      </c>
      <c r="B15" s="428" t="inlineStr">
        <is>
          <t>OSH Regulations</t>
        </is>
      </c>
      <c r="C15" s="433" t="inlineStr">
        <is>
          <t>Y</t>
        </is>
      </c>
      <c r="D15" s="433" t="inlineStr">
        <is>
          <t>Y</t>
        </is>
      </c>
      <c r="E15" s="433" t="inlineStr">
        <is>
          <t>Y</t>
        </is>
      </c>
      <c r="F15" s="433" t="inlineStr">
        <is>
          <t>Y</t>
        </is>
      </c>
      <c r="G15" s="433" t="inlineStr">
        <is>
          <t>Y</t>
        </is>
      </c>
      <c r="H15" s="433" t="inlineStr">
        <is>
          <t>Y</t>
        </is>
      </c>
      <c r="I15" s="433" t="inlineStr">
        <is>
          <t>Y</t>
        </is>
      </c>
      <c r="J15" s="433" t="inlineStr">
        <is>
          <t>Y</t>
        </is>
      </c>
      <c r="K15" s="433" t="inlineStr">
        <is>
          <t>Y</t>
        </is>
      </c>
      <c r="L15" s="433" t="inlineStr">
        <is>
          <t>Y</t>
        </is>
      </c>
      <c r="M15" s="433" t="inlineStr">
        <is>
          <t>Y</t>
        </is>
      </c>
      <c r="N15" s="433" t="inlineStr">
        <is>
          <t>Y</t>
        </is>
      </c>
      <c r="O15" s="433" t="inlineStr">
        <is>
          <t>Y</t>
        </is>
      </c>
      <c r="P15" s="433" t="inlineStr">
        <is>
          <t>Y</t>
        </is>
      </c>
      <c r="Q15" s="433" t="inlineStr">
        <is>
          <t>Y</t>
        </is>
      </c>
      <c r="R15" s="433" t="inlineStr">
        <is>
          <t>Y</t>
        </is>
      </c>
      <c r="S15" s="433" t="inlineStr">
        <is>
          <t>Y</t>
        </is>
      </c>
      <c r="T15" s="538" t="inlineStr">
        <is>
          <t>17/17</t>
        </is>
      </c>
    </row>
    <row r="16" ht="27.75" customHeight="1">
      <c r="A16" s="43" t="inlineStr">
        <is>
          <t>SASO-PS</t>
        </is>
      </c>
      <c r="B16" s="45" t="inlineStr">
        <is>
          <t>Product Safety Regs</t>
        </is>
      </c>
      <c r="C16" s="438" t="inlineStr">
        <is>
          <t>P</t>
        </is>
      </c>
      <c r="D16" s="433" t="inlineStr">
        <is>
          <t>Y</t>
        </is>
      </c>
      <c r="E16" s="539" t="inlineStr">
        <is>
          <t>N</t>
        </is>
      </c>
      <c r="F16" s="438" t="inlineStr">
        <is>
          <t>P</t>
        </is>
      </c>
      <c r="G16" s="539" t="inlineStr">
        <is>
          <t>N</t>
        </is>
      </c>
      <c r="H16" s="438" t="inlineStr">
        <is>
          <t>P</t>
        </is>
      </c>
      <c r="I16" s="433" t="inlineStr">
        <is>
          <t>Y</t>
        </is>
      </c>
      <c r="J16" s="433" t="inlineStr">
        <is>
          <t>Y</t>
        </is>
      </c>
      <c r="K16" s="438" t="inlineStr">
        <is>
          <t>P</t>
        </is>
      </c>
      <c r="L16" s="438" t="inlineStr">
        <is>
          <t>P</t>
        </is>
      </c>
      <c r="M16" s="433" t="inlineStr">
        <is>
          <t>Y</t>
        </is>
      </c>
      <c r="N16" s="438" t="inlineStr">
        <is>
          <t>P</t>
        </is>
      </c>
      <c r="O16" s="539" t="inlineStr">
        <is>
          <t>N</t>
        </is>
      </c>
      <c r="P16" s="438" t="inlineStr">
        <is>
          <t>P</t>
        </is>
      </c>
      <c r="Q16" s="433" t="inlineStr">
        <is>
          <t>Y</t>
        </is>
      </c>
      <c r="R16" s="539" t="inlineStr">
        <is>
          <t>N</t>
        </is>
      </c>
      <c r="S16" s="433" t="inlineStr">
        <is>
          <t>Y</t>
        </is>
      </c>
      <c r="T16" s="432" t="inlineStr">
        <is>
          <t>13/17</t>
        </is>
      </c>
    </row>
    <row r="17" ht="27.75" customHeight="1">
      <c r="A17" s="514" t="inlineStr">
        <is>
          <t>NAZAHA-ACL</t>
        </is>
      </c>
      <c r="B17" s="428" t="inlineStr">
        <is>
          <t>Anti-Corruption Law</t>
        </is>
      </c>
      <c r="C17" s="433" t="inlineStr">
        <is>
          <t>Y</t>
        </is>
      </c>
      <c r="D17" s="433" t="inlineStr">
        <is>
          <t>Y</t>
        </is>
      </c>
      <c r="E17" s="433" t="inlineStr">
        <is>
          <t>Y</t>
        </is>
      </c>
      <c r="F17" s="433" t="inlineStr">
        <is>
          <t>Y</t>
        </is>
      </c>
      <c r="G17" s="433" t="inlineStr">
        <is>
          <t>Y</t>
        </is>
      </c>
      <c r="H17" s="433" t="inlineStr">
        <is>
          <t>Y</t>
        </is>
      </c>
      <c r="I17" s="433" t="inlineStr">
        <is>
          <t>Y</t>
        </is>
      </c>
      <c r="J17" s="433" t="inlineStr">
        <is>
          <t>Y</t>
        </is>
      </c>
      <c r="K17" s="433" t="inlineStr">
        <is>
          <t>Y</t>
        </is>
      </c>
      <c r="L17" s="433" t="inlineStr">
        <is>
          <t>Y</t>
        </is>
      </c>
      <c r="M17" s="433" t="inlineStr">
        <is>
          <t>Y</t>
        </is>
      </c>
      <c r="N17" s="433" t="inlineStr">
        <is>
          <t>Y</t>
        </is>
      </c>
      <c r="O17" s="433" t="inlineStr">
        <is>
          <t>Y</t>
        </is>
      </c>
      <c r="P17" s="433" t="inlineStr">
        <is>
          <t>Y</t>
        </is>
      </c>
      <c r="Q17" s="433" t="inlineStr">
        <is>
          <t>Y</t>
        </is>
      </c>
      <c r="R17" s="433" t="inlineStr">
        <is>
          <t>Y</t>
        </is>
      </c>
      <c r="S17" s="433" t="inlineStr">
        <is>
          <t>Y</t>
        </is>
      </c>
      <c r="T17" s="538" t="inlineStr">
        <is>
          <t>17/17</t>
        </is>
      </c>
    </row>
    <row r="18" ht="27.75" customHeight="1">
      <c r="A18" s="43" t="inlineStr">
        <is>
          <t>MOCI-CL</t>
        </is>
      </c>
      <c r="B18" s="45" t="inlineStr">
        <is>
          <t>Companies Law</t>
        </is>
      </c>
      <c r="C18" s="433" t="inlineStr">
        <is>
          <t>Y</t>
        </is>
      </c>
      <c r="D18" s="433" t="inlineStr">
        <is>
          <t>Y</t>
        </is>
      </c>
      <c r="E18" s="433" t="inlineStr">
        <is>
          <t>Y</t>
        </is>
      </c>
      <c r="F18" s="433" t="inlineStr">
        <is>
          <t>Y</t>
        </is>
      </c>
      <c r="G18" s="433" t="inlineStr">
        <is>
          <t>Y</t>
        </is>
      </c>
      <c r="H18" s="433" t="inlineStr">
        <is>
          <t>Y</t>
        </is>
      </c>
      <c r="I18" s="433" t="inlineStr">
        <is>
          <t>Y</t>
        </is>
      </c>
      <c r="J18" s="433" t="inlineStr">
        <is>
          <t>Y</t>
        </is>
      </c>
      <c r="K18" s="433" t="inlineStr">
        <is>
          <t>Y</t>
        </is>
      </c>
      <c r="L18" s="433" t="inlineStr">
        <is>
          <t>Y</t>
        </is>
      </c>
      <c r="M18" s="433" t="inlineStr">
        <is>
          <t>Y</t>
        </is>
      </c>
      <c r="N18" s="433" t="inlineStr">
        <is>
          <t>Y</t>
        </is>
      </c>
      <c r="O18" s="433" t="inlineStr">
        <is>
          <t>Y</t>
        </is>
      </c>
      <c r="P18" s="433" t="inlineStr">
        <is>
          <t>Y</t>
        </is>
      </c>
      <c r="Q18" s="433" t="inlineStr">
        <is>
          <t>Y</t>
        </is>
      </c>
      <c r="R18" s="433" t="inlineStr">
        <is>
          <t>Y</t>
        </is>
      </c>
      <c r="S18" s="433" t="inlineStr">
        <is>
          <t>Y</t>
        </is>
      </c>
      <c r="T18" s="538" t="inlineStr">
        <is>
          <t>17/17</t>
        </is>
      </c>
    </row>
    <row r="19" ht="27.75" customHeight="1">
      <c r="A19" s="514" t="inlineStr">
        <is>
          <t>ISO-27001:2022</t>
        </is>
      </c>
      <c r="B19" s="428" t="inlineStr">
        <is>
          <t>ISO 27001 ISMS</t>
        </is>
      </c>
      <c r="C19" s="438" t="inlineStr">
        <is>
          <t>P</t>
        </is>
      </c>
      <c r="D19" s="438" t="inlineStr">
        <is>
          <t>P</t>
        </is>
      </c>
      <c r="E19" s="433" t="inlineStr">
        <is>
          <t>Y</t>
        </is>
      </c>
      <c r="F19" s="433" t="inlineStr">
        <is>
          <t>Y</t>
        </is>
      </c>
      <c r="G19" s="433" t="inlineStr">
        <is>
          <t>Y</t>
        </is>
      </c>
      <c r="H19" s="438" t="inlineStr">
        <is>
          <t>P</t>
        </is>
      </c>
      <c r="I19" s="438" t="inlineStr">
        <is>
          <t>P</t>
        </is>
      </c>
      <c r="J19" s="438" t="inlineStr">
        <is>
          <t>P</t>
        </is>
      </c>
      <c r="K19" s="438" t="inlineStr">
        <is>
          <t>P</t>
        </is>
      </c>
      <c r="L19" s="438" t="inlineStr">
        <is>
          <t>P</t>
        </is>
      </c>
      <c r="M19" s="438" t="inlineStr">
        <is>
          <t>P</t>
        </is>
      </c>
      <c r="N19" s="438" t="inlineStr">
        <is>
          <t>P</t>
        </is>
      </c>
      <c r="O19" s="438" t="inlineStr">
        <is>
          <t>P</t>
        </is>
      </c>
      <c r="P19" s="438" t="inlineStr">
        <is>
          <t>P</t>
        </is>
      </c>
      <c r="Q19" s="438" t="inlineStr">
        <is>
          <t>P</t>
        </is>
      </c>
      <c r="R19" s="438" t="inlineStr">
        <is>
          <t>P</t>
        </is>
      </c>
      <c r="S19" s="438" t="inlineStr">
        <is>
          <t>P</t>
        </is>
      </c>
      <c r="T19" s="538" t="inlineStr">
        <is>
          <t>17/17</t>
        </is>
      </c>
    </row>
    <row r="20" ht="27.75" customHeight="1">
      <c r="A20" s="43" t="inlineStr">
        <is>
          <t>NIST-CSF-2.0</t>
        </is>
      </c>
      <c r="B20" s="45" t="inlineStr">
        <is>
          <t>NIST CSF 2.0 (Benchmark)</t>
        </is>
      </c>
      <c r="C20" s="438" t="inlineStr">
        <is>
          <t>P</t>
        </is>
      </c>
      <c r="D20" s="438" t="inlineStr">
        <is>
          <t>P</t>
        </is>
      </c>
      <c r="E20" s="433" t="inlineStr">
        <is>
          <t>Y</t>
        </is>
      </c>
      <c r="F20" s="438" t="inlineStr">
        <is>
          <t>P</t>
        </is>
      </c>
      <c r="G20" s="438" t="inlineStr">
        <is>
          <t>P</t>
        </is>
      </c>
      <c r="H20" s="438" t="inlineStr">
        <is>
          <t>P</t>
        </is>
      </c>
      <c r="I20" s="438" t="inlineStr">
        <is>
          <t>P</t>
        </is>
      </c>
      <c r="J20" s="438" t="inlineStr">
        <is>
          <t>P</t>
        </is>
      </c>
      <c r="K20" s="438" t="inlineStr">
        <is>
          <t>P</t>
        </is>
      </c>
      <c r="L20" s="438" t="inlineStr">
        <is>
          <t>P</t>
        </is>
      </c>
      <c r="M20" s="438" t="inlineStr">
        <is>
          <t>P</t>
        </is>
      </c>
      <c r="N20" s="438" t="inlineStr">
        <is>
          <t>P</t>
        </is>
      </c>
      <c r="O20" s="438" t="inlineStr">
        <is>
          <t>P</t>
        </is>
      </c>
      <c r="P20" s="438" t="inlineStr">
        <is>
          <t>P</t>
        </is>
      </c>
      <c r="Q20" s="438" t="inlineStr">
        <is>
          <t>P</t>
        </is>
      </c>
      <c r="R20" s="438" t="inlineStr">
        <is>
          <t>P</t>
        </is>
      </c>
      <c r="S20" s="438" t="inlineStr">
        <is>
          <t>P</t>
        </is>
      </c>
      <c r="T20" s="538" t="inlineStr">
        <is>
          <t>17/17</t>
        </is>
      </c>
    </row>
    <row r="21" ht="27.75" customHeight="1">
      <c r="A21" s="514" t="inlineStr">
        <is>
          <t>IEC-62443</t>
        </is>
      </c>
      <c r="B21" s="428" t="inlineStr">
        <is>
          <t>IEC 62443 OT Security</t>
        </is>
      </c>
      <c r="C21" s="438" t="inlineStr">
        <is>
          <t>P</t>
        </is>
      </c>
      <c r="D21" s="433" t="inlineStr">
        <is>
          <t>Y</t>
        </is>
      </c>
      <c r="E21" s="438" t="inlineStr">
        <is>
          <t>P</t>
        </is>
      </c>
      <c r="F21" s="438" t="inlineStr">
        <is>
          <t>P</t>
        </is>
      </c>
      <c r="G21" s="438" t="inlineStr">
        <is>
          <t>P</t>
        </is>
      </c>
      <c r="H21" s="539" t="inlineStr">
        <is>
          <t>N</t>
        </is>
      </c>
      <c r="I21" s="438" t="inlineStr">
        <is>
          <t>P</t>
        </is>
      </c>
      <c r="J21" s="433" t="inlineStr">
        <is>
          <t>Y</t>
        </is>
      </c>
      <c r="K21" s="438" t="inlineStr">
        <is>
          <t>P</t>
        </is>
      </c>
      <c r="L21" s="433" t="inlineStr">
        <is>
          <t>Y</t>
        </is>
      </c>
      <c r="M21" s="433" t="inlineStr">
        <is>
          <t>Y</t>
        </is>
      </c>
      <c r="N21" s="438" t="inlineStr">
        <is>
          <t>P</t>
        </is>
      </c>
      <c r="O21" s="539" t="inlineStr">
        <is>
          <t>N</t>
        </is>
      </c>
      <c r="P21" s="438" t="inlineStr">
        <is>
          <t>P</t>
        </is>
      </c>
      <c r="Q21" s="433" t="inlineStr">
        <is>
          <t>Y</t>
        </is>
      </c>
      <c r="R21" s="539" t="inlineStr">
        <is>
          <t>N</t>
        </is>
      </c>
      <c r="S21" s="433" t="inlineStr">
        <is>
          <t>Y</t>
        </is>
      </c>
      <c r="T21" s="432" t="inlineStr">
        <is>
          <t>14/17</t>
        </is>
      </c>
    </row>
    <row r="22" ht="27.75" customHeight="1">
      <c r="A22" s="43" t="inlineStr">
        <is>
          <t>MOH-HIS</t>
        </is>
      </c>
      <c r="B22" s="45" t="inlineStr">
        <is>
          <t>MOH Health Info System</t>
        </is>
      </c>
      <c r="C22" s="539" t="inlineStr">
        <is>
          <t>N</t>
        </is>
      </c>
      <c r="D22" s="433" t="inlineStr">
        <is>
          <t>Y</t>
        </is>
      </c>
      <c r="E22" s="539" t="inlineStr">
        <is>
          <t>N</t>
        </is>
      </c>
      <c r="F22" s="539" t="inlineStr">
        <is>
          <t>N</t>
        </is>
      </c>
      <c r="G22" s="539" t="inlineStr">
        <is>
          <t>N</t>
        </is>
      </c>
      <c r="H22" s="539" t="inlineStr">
        <is>
          <t>N</t>
        </is>
      </c>
      <c r="I22" s="539" t="inlineStr">
        <is>
          <t>N</t>
        </is>
      </c>
      <c r="J22" s="539" t="inlineStr">
        <is>
          <t>N</t>
        </is>
      </c>
      <c r="K22" s="539" t="inlineStr">
        <is>
          <t>N</t>
        </is>
      </c>
      <c r="L22" s="539" t="inlineStr">
        <is>
          <t>N</t>
        </is>
      </c>
      <c r="M22" s="539" t="inlineStr">
        <is>
          <t>N</t>
        </is>
      </c>
      <c r="N22" s="539" t="inlineStr">
        <is>
          <t>N</t>
        </is>
      </c>
      <c r="O22" s="539" t="inlineStr">
        <is>
          <t>N</t>
        </is>
      </c>
      <c r="P22" s="539" t="inlineStr">
        <is>
          <t>N</t>
        </is>
      </c>
      <c r="Q22" s="539" t="inlineStr">
        <is>
          <t>N</t>
        </is>
      </c>
      <c r="R22" s="539" t="inlineStr">
        <is>
          <t>N</t>
        </is>
      </c>
      <c r="S22" s="433" t="inlineStr">
        <is>
          <t>Y</t>
        </is>
      </c>
      <c r="T22" s="540" t="inlineStr">
        <is>
          <t>2/17</t>
        </is>
      </c>
    </row>
    <row r="23" ht="27.75" customHeight="1">
      <c r="A23" s="514" t="inlineStr">
        <is>
          <t>CBAHI-HAS-H</t>
        </is>
      </c>
      <c r="B23" s="428" t="inlineStr">
        <is>
          <t>CBAHI Hospital Accreditation</t>
        </is>
      </c>
      <c r="C23" s="539" t="inlineStr">
        <is>
          <t>N</t>
        </is>
      </c>
      <c r="D23" s="433" t="inlineStr">
        <is>
          <t>Y</t>
        </is>
      </c>
      <c r="E23" s="539" t="inlineStr">
        <is>
          <t>N</t>
        </is>
      </c>
      <c r="F23" s="539" t="inlineStr">
        <is>
          <t>N</t>
        </is>
      </c>
      <c r="G23" s="539" t="inlineStr">
        <is>
          <t>N</t>
        </is>
      </c>
      <c r="H23" s="539" t="inlineStr">
        <is>
          <t>N</t>
        </is>
      </c>
      <c r="I23" s="539" t="inlineStr">
        <is>
          <t>N</t>
        </is>
      </c>
      <c r="J23" s="539" t="inlineStr">
        <is>
          <t>N</t>
        </is>
      </c>
      <c r="K23" s="539" t="inlineStr">
        <is>
          <t>N</t>
        </is>
      </c>
      <c r="L23" s="539" t="inlineStr">
        <is>
          <t>N</t>
        </is>
      </c>
      <c r="M23" s="539" t="inlineStr">
        <is>
          <t>N</t>
        </is>
      </c>
      <c r="N23" s="539" t="inlineStr">
        <is>
          <t>N</t>
        </is>
      </c>
      <c r="O23" s="539" t="inlineStr">
        <is>
          <t>N</t>
        </is>
      </c>
      <c r="P23" s="539" t="inlineStr">
        <is>
          <t>N</t>
        </is>
      </c>
      <c r="Q23" s="539" t="inlineStr">
        <is>
          <t>N</t>
        </is>
      </c>
      <c r="R23" s="539" t="inlineStr">
        <is>
          <t>N</t>
        </is>
      </c>
      <c r="S23" s="433" t="inlineStr">
        <is>
          <t>Y</t>
        </is>
      </c>
      <c r="T23" s="540" t="inlineStr">
        <is>
          <t>2/17</t>
        </is>
      </c>
    </row>
    <row r="24" ht="27.75" customHeight="1">
      <c r="A24" s="43" t="inlineStr">
        <is>
          <t>SFDA-MDR</t>
        </is>
      </c>
      <c r="B24" s="45" t="inlineStr">
        <is>
          <t>SFDA Medical Device Regs</t>
        </is>
      </c>
      <c r="C24" s="539" t="inlineStr">
        <is>
          <t>N</t>
        </is>
      </c>
      <c r="D24" s="433" t="inlineStr">
        <is>
          <t>Y</t>
        </is>
      </c>
      <c r="E24" s="539" t="inlineStr">
        <is>
          <t>N</t>
        </is>
      </c>
      <c r="F24" s="539" t="inlineStr">
        <is>
          <t>N</t>
        </is>
      </c>
      <c r="G24" s="539" t="inlineStr">
        <is>
          <t>N</t>
        </is>
      </c>
      <c r="H24" s="539" t="inlineStr">
        <is>
          <t>N</t>
        </is>
      </c>
      <c r="I24" s="539" t="inlineStr">
        <is>
          <t>N</t>
        </is>
      </c>
      <c r="J24" s="539" t="inlineStr">
        <is>
          <t>N</t>
        </is>
      </c>
      <c r="K24" s="539" t="inlineStr">
        <is>
          <t>N</t>
        </is>
      </c>
      <c r="L24" s="539" t="inlineStr">
        <is>
          <t>N</t>
        </is>
      </c>
      <c r="M24" s="433" t="inlineStr">
        <is>
          <t>Y</t>
        </is>
      </c>
      <c r="N24" s="539" t="inlineStr">
        <is>
          <t>N</t>
        </is>
      </c>
      <c r="O24" s="539" t="inlineStr">
        <is>
          <t>N</t>
        </is>
      </c>
      <c r="P24" s="539" t="inlineStr">
        <is>
          <t>N</t>
        </is>
      </c>
      <c r="Q24" s="539" t="inlineStr">
        <is>
          <t>N</t>
        </is>
      </c>
      <c r="R24" s="539" t="inlineStr">
        <is>
          <t>N</t>
        </is>
      </c>
      <c r="S24" s="433" t="inlineStr">
        <is>
          <t>Y</t>
        </is>
      </c>
      <c r="T24" s="540" t="inlineStr">
        <is>
          <t>3/17</t>
        </is>
      </c>
    </row>
    <row r="25" ht="27.75" customHeight="1">
      <c r="A25" s="514" t="inlineStr">
        <is>
          <t>SAMA-CSF</t>
        </is>
      </c>
      <c r="B25" s="428" t="inlineStr">
        <is>
          <t>SAMA Cybersecurity Framework</t>
        </is>
      </c>
      <c r="C25" s="539" t="inlineStr">
        <is>
          <t>N</t>
        </is>
      </c>
      <c r="D25" s="438" t="inlineStr">
        <is>
          <t>P</t>
        </is>
      </c>
      <c r="E25" s="539" t="inlineStr">
        <is>
          <t>N</t>
        </is>
      </c>
      <c r="F25" s="539" t="inlineStr">
        <is>
          <t>N</t>
        </is>
      </c>
      <c r="G25" s="433" t="inlineStr">
        <is>
          <t>Y</t>
        </is>
      </c>
      <c r="H25" s="539" t="inlineStr">
        <is>
          <t>N</t>
        </is>
      </c>
      <c r="I25" s="539" t="inlineStr">
        <is>
          <t>N</t>
        </is>
      </c>
      <c r="J25" s="539" t="inlineStr">
        <is>
          <t>N</t>
        </is>
      </c>
      <c r="K25" s="539" t="inlineStr">
        <is>
          <t>N</t>
        </is>
      </c>
      <c r="L25" s="539" t="inlineStr">
        <is>
          <t>N</t>
        </is>
      </c>
      <c r="M25" s="539" t="inlineStr">
        <is>
          <t>N</t>
        </is>
      </c>
      <c r="N25" s="539" t="inlineStr">
        <is>
          <t>N</t>
        </is>
      </c>
      <c r="O25" s="539" t="inlineStr">
        <is>
          <t>N</t>
        </is>
      </c>
      <c r="P25" s="539" t="inlineStr">
        <is>
          <t>N</t>
        </is>
      </c>
      <c r="Q25" s="539" t="inlineStr">
        <is>
          <t>N</t>
        </is>
      </c>
      <c r="R25" s="539" t="inlineStr">
        <is>
          <t>N</t>
        </is>
      </c>
      <c r="S25" s="539" t="inlineStr">
        <is>
          <t>N</t>
        </is>
      </c>
      <c r="T25" s="540" t="inlineStr">
        <is>
          <t>2/17</t>
        </is>
      </c>
    </row>
    <row r="26" ht="27.75" customHeight="1">
      <c r="A26" s="43" t="inlineStr">
        <is>
          <t>CST-TITA</t>
        </is>
      </c>
      <c r="B26" s="45" t="inlineStr">
        <is>
          <t>Telecom &amp; IT Act</t>
        </is>
      </c>
      <c r="C26" s="539" t="inlineStr">
        <is>
          <t>N</t>
        </is>
      </c>
      <c r="D26" s="539" t="inlineStr">
        <is>
          <t>N</t>
        </is>
      </c>
      <c r="E26" s="539" t="inlineStr">
        <is>
          <t>N</t>
        </is>
      </c>
      <c r="F26" s="433" t="inlineStr">
        <is>
          <t>Y</t>
        </is>
      </c>
      <c r="G26" s="539" t="inlineStr">
        <is>
          <t>N</t>
        </is>
      </c>
      <c r="H26" s="539" t="inlineStr">
        <is>
          <t>N</t>
        </is>
      </c>
      <c r="I26" s="539" t="inlineStr">
        <is>
          <t>N</t>
        </is>
      </c>
      <c r="J26" s="539" t="inlineStr">
        <is>
          <t>N</t>
        </is>
      </c>
      <c r="K26" s="539" t="inlineStr">
        <is>
          <t>N</t>
        </is>
      </c>
      <c r="L26" s="539" t="inlineStr">
        <is>
          <t>N</t>
        </is>
      </c>
      <c r="M26" s="539" t="inlineStr">
        <is>
          <t>N</t>
        </is>
      </c>
      <c r="N26" s="539" t="inlineStr">
        <is>
          <t>N</t>
        </is>
      </c>
      <c r="O26" s="539" t="inlineStr">
        <is>
          <t>N</t>
        </is>
      </c>
      <c r="P26" s="539" t="inlineStr">
        <is>
          <t>N</t>
        </is>
      </c>
      <c r="Q26" s="539" t="inlineStr">
        <is>
          <t>N</t>
        </is>
      </c>
      <c r="R26" s="539" t="inlineStr">
        <is>
          <t>N</t>
        </is>
      </c>
      <c r="S26" s="539" t="inlineStr">
        <is>
          <t>N</t>
        </is>
      </c>
      <c r="T26" s="540" t="inlineStr">
        <is>
          <t>1/17</t>
        </is>
      </c>
    </row>
    <row r="27" ht="27.75" customHeight="1">
      <c r="A27" s="514" t="inlineStr">
        <is>
          <t>ECRA-EL</t>
        </is>
      </c>
      <c r="B27" s="428" t="inlineStr">
        <is>
          <t>Electricity Law</t>
        </is>
      </c>
      <c r="C27" s="539" t="inlineStr">
        <is>
          <t>N</t>
        </is>
      </c>
      <c r="D27" s="539" t="inlineStr">
        <is>
          <t>N</t>
        </is>
      </c>
      <c r="E27" s="539" t="inlineStr">
        <is>
          <t>N</t>
        </is>
      </c>
      <c r="F27" s="539" t="inlineStr">
        <is>
          <t>N</t>
        </is>
      </c>
      <c r="G27" s="539" t="inlineStr">
        <is>
          <t>N</t>
        </is>
      </c>
      <c r="H27" s="539" t="inlineStr">
        <is>
          <t>N</t>
        </is>
      </c>
      <c r="I27" s="539" t="inlineStr">
        <is>
          <t>N</t>
        </is>
      </c>
      <c r="J27" s="433" t="inlineStr">
        <is>
          <t>Y</t>
        </is>
      </c>
      <c r="K27" s="539" t="inlineStr">
        <is>
          <t>N</t>
        </is>
      </c>
      <c r="L27" s="539" t="inlineStr">
        <is>
          <t>N</t>
        </is>
      </c>
      <c r="M27" s="539" t="inlineStr">
        <is>
          <t>N</t>
        </is>
      </c>
      <c r="N27" s="539" t="inlineStr">
        <is>
          <t>N</t>
        </is>
      </c>
      <c r="O27" s="539" t="inlineStr">
        <is>
          <t>N</t>
        </is>
      </c>
      <c r="P27" s="539" t="inlineStr">
        <is>
          <t>N</t>
        </is>
      </c>
      <c r="Q27" s="539" t="inlineStr">
        <is>
          <t>N</t>
        </is>
      </c>
      <c r="R27" s="539" t="inlineStr">
        <is>
          <t>N</t>
        </is>
      </c>
      <c r="S27" s="539" t="inlineStr">
        <is>
          <t>N</t>
        </is>
      </c>
      <c r="T27" s="540" t="inlineStr">
        <is>
          <t>1/17</t>
        </is>
      </c>
    </row>
    <row r="28" ht="27.75" customHeight="1">
      <c r="A28" s="43" t="inlineStr">
        <is>
          <t>KACARE-NRL</t>
        </is>
      </c>
      <c r="B28" s="45" t="inlineStr">
        <is>
          <t>Nuclear &amp; Radiation Regs</t>
        </is>
      </c>
      <c r="C28" s="539" t="inlineStr">
        <is>
          <t>N</t>
        </is>
      </c>
      <c r="D28" s="433" t="inlineStr">
        <is>
          <t>Y</t>
        </is>
      </c>
      <c r="E28" s="539" t="inlineStr">
        <is>
          <t>N</t>
        </is>
      </c>
      <c r="F28" s="539" t="inlineStr">
        <is>
          <t>N</t>
        </is>
      </c>
      <c r="G28" s="539" t="inlineStr">
        <is>
          <t>N</t>
        </is>
      </c>
      <c r="H28" s="539" t="inlineStr">
        <is>
          <t>N</t>
        </is>
      </c>
      <c r="I28" s="539" t="inlineStr">
        <is>
          <t>N</t>
        </is>
      </c>
      <c r="J28" s="433" t="inlineStr">
        <is>
          <t>Y</t>
        </is>
      </c>
      <c r="K28" s="539" t="inlineStr">
        <is>
          <t>N</t>
        </is>
      </c>
      <c r="L28" s="539" t="inlineStr">
        <is>
          <t>N</t>
        </is>
      </c>
      <c r="M28" s="539" t="inlineStr">
        <is>
          <t>N</t>
        </is>
      </c>
      <c r="N28" s="539" t="inlineStr">
        <is>
          <t>N</t>
        </is>
      </c>
      <c r="O28" s="539" t="inlineStr">
        <is>
          <t>N</t>
        </is>
      </c>
      <c r="P28" s="539" t="inlineStr">
        <is>
          <t>N</t>
        </is>
      </c>
      <c r="Q28" s="539" t="inlineStr">
        <is>
          <t>N</t>
        </is>
      </c>
      <c r="R28" s="539" t="inlineStr">
        <is>
          <t>N</t>
        </is>
      </c>
      <c r="S28" s="433" t="inlineStr">
        <is>
          <t>Y</t>
        </is>
      </c>
      <c r="T28" s="540" t="inlineStr">
        <is>
          <t>3/17</t>
        </is>
      </c>
    </row>
    <row r="29" ht="27.75" customHeight="1">
      <c r="A29" s="514" t="inlineStr">
        <is>
          <t>GACA-AVLAW</t>
        </is>
      </c>
      <c r="B29" s="428" t="inlineStr">
        <is>
          <t>Civil Aviation Law</t>
        </is>
      </c>
      <c r="C29" s="539" t="inlineStr">
        <is>
          <t>N</t>
        </is>
      </c>
      <c r="D29" s="539" t="inlineStr">
        <is>
          <t>N</t>
        </is>
      </c>
      <c r="E29" s="539" t="inlineStr">
        <is>
          <t>N</t>
        </is>
      </c>
      <c r="F29" s="539" t="inlineStr">
        <is>
          <t>N</t>
        </is>
      </c>
      <c r="G29" s="539" t="inlineStr">
        <is>
          <t>N</t>
        </is>
      </c>
      <c r="H29" s="539" t="inlineStr">
        <is>
          <t>N</t>
        </is>
      </c>
      <c r="I29" s="539" t="inlineStr">
        <is>
          <t>N</t>
        </is>
      </c>
      <c r="J29" s="539" t="inlineStr">
        <is>
          <t>N</t>
        </is>
      </c>
      <c r="K29" s="539" t="inlineStr">
        <is>
          <t>N</t>
        </is>
      </c>
      <c r="L29" s="433" t="inlineStr">
        <is>
          <t>Y</t>
        </is>
      </c>
      <c r="M29" s="539" t="inlineStr">
        <is>
          <t>N</t>
        </is>
      </c>
      <c r="N29" s="539" t="inlineStr">
        <is>
          <t>N</t>
        </is>
      </c>
      <c r="O29" s="539" t="inlineStr">
        <is>
          <t>N</t>
        </is>
      </c>
      <c r="P29" s="539" t="inlineStr">
        <is>
          <t>N</t>
        </is>
      </c>
      <c r="Q29" s="539" t="inlineStr">
        <is>
          <t>N</t>
        </is>
      </c>
      <c r="R29" s="539" t="inlineStr">
        <is>
          <t>N</t>
        </is>
      </c>
      <c r="S29" s="539" t="inlineStr">
        <is>
          <t>N</t>
        </is>
      </c>
      <c r="T29" s="540" t="inlineStr">
        <is>
          <t>1/17</t>
        </is>
      </c>
    </row>
    <row r="30" ht="27.75" customHeight="1">
      <c r="A30" s="43" t="inlineStr">
        <is>
          <t>MISA-IL</t>
        </is>
      </c>
      <c r="B30" s="45" t="inlineStr">
        <is>
          <t>Investment Law</t>
        </is>
      </c>
      <c r="C30" s="433" t="inlineStr">
        <is>
          <t>Y</t>
        </is>
      </c>
      <c r="D30" s="433" t="inlineStr">
        <is>
          <t>Y</t>
        </is>
      </c>
      <c r="E30" s="433" t="inlineStr">
        <is>
          <t>Y</t>
        </is>
      </c>
      <c r="F30" s="433" t="inlineStr">
        <is>
          <t>Y</t>
        </is>
      </c>
      <c r="G30" s="433" t="inlineStr">
        <is>
          <t>Y</t>
        </is>
      </c>
      <c r="H30" s="433" t="inlineStr">
        <is>
          <t>Y</t>
        </is>
      </c>
      <c r="I30" s="433" t="inlineStr">
        <is>
          <t>Y</t>
        </is>
      </c>
      <c r="J30" s="433" t="inlineStr">
        <is>
          <t>Y</t>
        </is>
      </c>
      <c r="K30" s="433" t="inlineStr">
        <is>
          <t>Y</t>
        </is>
      </c>
      <c r="L30" s="433" t="inlineStr">
        <is>
          <t>Y</t>
        </is>
      </c>
      <c r="M30" s="433" t="inlineStr">
        <is>
          <t>Y</t>
        </is>
      </c>
      <c r="N30" s="433" t="inlineStr">
        <is>
          <t>Y</t>
        </is>
      </c>
      <c r="O30" s="433" t="inlineStr">
        <is>
          <t>Y</t>
        </is>
      </c>
      <c r="P30" s="433" t="inlineStr">
        <is>
          <t>Y</t>
        </is>
      </c>
      <c r="Q30" s="433" t="inlineStr">
        <is>
          <t>Y</t>
        </is>
      </c>
      <c r="R30" s="433" t="inlineStr">
        <is>
          <t>Y</t>
        </is>
      </c>
      <c r="S30" s="433" t="inlineStr">
        <is>
          <t>Y</t>
        </is>
      </c>
      <c r="T30" s="538" t="inlineStr">
        <is>
          <t>17/17</t>
        </is>
      </c>
    </row>
    <row r="31" ht="27.75" customHeight="1">
      <c r="A31" s="514" t="inlineStr">
        <is>
          <t>NEOM-IOTGOV</t>
        </is>
      </c>
      <c r="B31" s="428" t="inlineStr">
        <is>
          <t>NEOM IoT Governance</t>
        </is>
      </c>
      <c r="C31" s="539" t="inlineStr">
        <is>
          <t>N</t>
        </is>
      </c>
      <c r="D31" s="539" t="inlineStr">
        <is>
          <t>N</t>
        </is>
      </c>
      <c r="E31" s="539" t="inlineStr">
        <is>
          <t>N</t>
        </is>
      </c>
      <c r="F31" s="539" t="inlineStr">
        <is>
          <t>N</t>
        </is>
      </c>
      <c r="G31" s="539" t="inlineStr">
        <is>
          <t>N</t>
        </is>
      </c>
      <c r="H31" s="539" t="inlineStr">
        <is>
          <t>N</t>
        </is>
      </c>
      <c r="I31" s="539" t="inlineStr">
        <is>
          <t>N</t>
        </is>
      </c>
      <c r="J31" s="539" t="inlineStr">
        <is>
          <t>N</t>
        </is>
      </c>
      <c r="K31" s="539" t="inlineStr">
        <is>
          <t>N</t>
        </is>
      </c>
      <c r="L31" s="539" t="inlineStr">
        <is>
          <t>N</t>
        </is>
      </c>
      <c r="M31" s="539" t="inlineStr">
        <is>
          <t>N</t>
        </is>
      </c>
      <c r="N31" s="539" t="inlineStr">
        <is>
          <t>N</t>
        </is>
      </c>
      <c r="O31" s="539" t="inlineStr">
        <is>
          <t>N</t>
        </is>
      </c>
      <c r="P31" s="539" t="inlineStr">
        <is>
          <t>N</t>
        </is>
      </c>
      <c r="Q31" s="433" t="inlineStr">
        <is>
          <t>Y</t>
        </is>
      </c>
      <c r="R31" s="539" t="inlineStr">
        <is>
          <t>N</t>
        </is>
      </c>
      <c r="S31" s="539" t="inlineStr">
        <is>
          <t>N</t>
        </is>
      </c>
      <c r="T31" s="540" t="inlineStr">
        <is>
          <t>1/17</t>
        </is>
      </c>
    </row>
    <row r="32" ht="27.75" customHeight="1">
      <c r="A32" s="43" t="inlineStr">
        <is>
          <t>CMA-CML</t>
        </is>
      </c>
      <c r="B32" s="45" t="inlineStr">
        <is>
          <t>Capital Market Law</t>
        </is>
      </c>
      <c r="C32" s="438" t="inlineStr">
        <is>
          <t>P</t>
        </is>
      </c>
      <c r="D32" s="438" t="inlineStr">
        <is>
          <t>P</t>
        </is>
      </c>
      <c r="E32" s="438" t="inlineStr">
        <is>
          <t>P</t>
        </is>
      </c>
      <c r="F32" s="438" t="inlineStr">
        <is>
          <t>P</t>
        </is>
      </c>
      <c r="G32" s="433" t="inlineStr">
        <is>
          <t>Y</t>
        </is>
      </c>
      <c r="H32" s="438" t="inlineStr">
        <is>
          <t>P</t>
        </is>
      </c>
      <c r="I32" s="438" t="inlineStr">
        <is>
          <t>P</t>
        </is>
      </c>
      <c r="J32" s="438" t="inlineStr">
        <is>
          <t>P</t>
        </is>
      </c>
      <c r="K32" s="438" t="inlineStr">
        <is>
          <t>P</t>
        </is>
      </c>
      <c r="L32" s="438" t="inlineStr">
        <is>
          <t>P</t>
        </is>
      </c>
      <c r="M32" s="438" t="inlineStr">
        <is>
          <t>P</t>
        </is>
      </c>
      <c r="N32" s="438" t="inlineStr">
        <is>
          <t>P</t>
        </is>
      </c>
      <c r="O32" s="438" t="inlineStr">
        <is>
          <t>P</t>
        </is>
      </c>
      <c r="P32" s="438" t="inlineStr">
        <is>
          <t>P</t>
        </is>
      </c>
      <c r="Q32" s="438" t="inlineStr">
        <is>
          <t>P</t>
        </is>
      </c>
      <c r="R32" s="438" t="inlineStr">
        <is>
          <t>P</t>
        </is>
      </c>
      <c r="S32" s="438" t="inlineStr">
        <is>
          <t>P</t>
        </is>
      </c>
      <c r="T32" s="538" t="inlineStr">
        <is>
          <t>17/17</t>
        </is>
      </c>
    </row>
    <row r="33" ht="27.75" customHeight="1">
      <c r="A33" s="514" t="inlineStr">
        <is>
          <t>MEWA-EL</t>
        </is>
      </c>
      <c r="B33" s="428" t="inlineStr">
        <is>
          <t>Environment Law</t>
        </is>
      </c>
      <c r="C33" s="433" t="inlineStr">
        <is>
          <t>Y</t>
        </is>
      </c>
      <c r="D33" s="433" t="inlineStr">
        <is>
          <t>Y</t>
        </is>
      </c>
      <c r="E33" s="433" t="inlineStr">
        <is>
          <t>Y</t>
        </is>
      </c>
      <c r="F33" s="433" t="inlineStr">
        <is>
          <t>Y</t>
        </is>
      </c>
      <c r="G33" s="433" t="inlineStr">
        <is>
          <t>Y</t>
        </is>
      </c>
      <c r="H33" s="433" t="inlineStr">
        <is>
          <t>Y</t>
        </is>
      </c>
      <c r="I33" s="433" t="inlineStr">
        <is>
          <t>Y</t>
        </is>
      </c>
      <c r="J33" s="433" t="inlineStr">
        <is>
          <t>Y</t>
        </is>
      </c>
      <c r="K33" s="433" t="inlineStr">
        <is>
          <t>Y</t>
        </is>
      </c>
      <c r="L33" s="433" t="inlineStr">
        <is>
          <t>Y</t>
        </is>
      </c>
      <c r="M33" s="433" t="inlineStr">
        <is>
          <t>Y</t>
        </is>
      </c>
      <c r="N33" s="433" t="inlineStr">
        <is>
          <t>Y</t>
        </is>
      </c>
      <c r="O33" s="433" t="inlineStr">
        <is>
          <t>Y</t>
        </is>
      </c>
      <c r="P33" s="433" t="inlineStr">
        <is>
          <t>Y</t>
        </is>
      </c>
      <c r="Q33" s="433" t="inlineStr">
        <is>
          <t>Y</t>
        </is>
      </c>
      <c r="R33" s="433" t="inlineStr">
        <is>
          <t>Y</t>
        </is>
      </c>
      <c r="S33" s="433" t="inlineStr">
        <is>
          <t>Y</t>
        </is>
      </c>
      <c r="T33" s="538" t="inlineStr">
        <is>
          <t>17/17</t>
        </is>
      </c>
    </row>
  </sheetData>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tabColor rgb="FF085041"/>
    <outlinePr summaryBelow="1" summaryRight="1"/>
    <pageSetUpPr/>
  </sheetPr>
  <dimension ref="A1:O50"/>
  <sheetViews>
    <sheetView zoomScaleNormal="100" workbookViewId="0">
      <pane ySplit="1" topLeftCell="A2" activePane="bottomLeft" state="frozen"/>
      <selection pane="bottomLeft" activeCell="A1" sqref="A1"/>
    </sheetView>
  </sheetViews>
  <sheetFormatPr baseColWidth="8" defaultColWidth="8.6640625" defaultRowHeight="14.25"/>
  <cols>
    <col width="8" customWidth="1" min="1" max="1"/>
    <col width="20" customWidth="1" min="2" max="2"/>
    <col width="30" customWidth="1" min="3" max="3"/>
    <col width="28" customWidth="1" min="4" max="4"/>
    <col width="18" customWidth="1" min="5" max="5"/>
    <col width="22" customWidth="1" min="6" max="6"/>
    <col width="14" customWidth="1" min="7" max="7"/>
    <col width="30" customWidth="1" min="8" max="8"/>
    <col width="44" customWidth="1" min="9" max="9"/>
    <col width="12" customWidth="1" min="10" max="10"/>
    <col width="8" customWidth="1" min="11" max="11"/>
    <col width="18" customWidth="1" min="12" max="12"/>
  </cols>
  <sheetData>
    <row r="1" ht="34.9" customHeight="1">
      <c r="A1" s="13" t="inlineStr">
        <is>
          <t>Audit ID</t>
        </is>
      </c>
      <c r="B1" s="13" t="inlineStr">
        <is>
          <t>Sector</t>
        </is>
      </c>
      <c r="C1" s="13" t="inlineStr">
        <is>
          <t>Audit Area</t>
        </is>
      </c>
      <c r="D1" s="13" t="inlineStr">
        <is>
          <t>Framework(s) Covered</t>
        </is>
      </c>
      <c r="E1" s="13" t="inlineStr">
        <is>
          <t>Audit Type</t>
        </is>
      </c>
      <c r="F1" s="13" t="inlineStr">
        <is>
          <t>Auditor</t>
        </is>
      </c>
      <c r="G1" s="13" t="inlineStr">
        <is>
          <t>Frequency</t>
        </is>
      </c>
      <c r="H1" s="13" t="inlineStr">
        <is>
          <t>Scope / Who</t>
        </is>
      </c>
      <c r="I1" s="13" t="inlineStr">
        <is>
          <t>Key Evidence Tested</t>
        </is>
      </c>
      <c r="J1" s="13" t="inlineStr">
        <is>
          <t>Risk Rating</t>
        </is>
      </c>
      <c r="K1" s="13" t="inlineStr">
        <is>
          <t>Est. Days</t>
        </is>
      </c>
      <c r="L1" s="13" t="inlineStr">
        <is>
          <t>Regulatory Deadline</t>
        </is>
      </c>
      <c r="M1" s="674" t="inlineStr">
        <is>
          <t>Framework Verified?</t>
        </is>
      </c>
      <c r="N1" s="674" t="inlineStr">
        <is>
          <t>Linked KRI(s)</t>
        </is>
      </c>
      <c r="O1" s="674" t="inlineStr">
        <is>
          <t>Shahin AI Priority</t>
        </is>
      </c>
    </row>
    <row r="2" ht="54" customHeight="1">
      <c r="A2" s="476" t="inlineStr">
        <is>
          <t>AU-X001</t>
        </is>
      </c>
      <c r="B2" s="34" t="inlineStr">
        <is>
          <t>ALL SECTORS</t>
        </is>
      </c>
      <c r="C2" s="45" t="inlineStr">
        <is>
          <t>NCA ECC-2 Annual Cybersecurity Compliance</t>
        </is>
      </c>
      <c r="D2" s="541" t="inlineStr">
        <is>
          <t>NCA-ECC-2:2024</t>
        </is>
      </c>
      <c r="E2" s="44" t="inlineStr">
        <is>
          <t>Self-Assessment + NCA External</t>
        </is>
      </c>
      <c r="F2" s="441" t="inlineStr">
        <is>
          <t>NCA Supervisory Affairs</t>
        </is>
      </c>
      <c r="G2" s="46" t="inlineStr">
        <is>
          <t>Annual self; 2-3yr external</t>
        </is>
      </c>
      <c r="H2" s="495" t="inlineStr">
        <is>
          <t>All gov. entities + private CNI across all sectors</t>
        </is>
      </c>
      <c r="I2" s="495" t="inlineStr">
        <is>
          <t>ECC self-assessment report; policy register; access logs; patch evidence; staff awareness records; CISO appointment</t>
        </is>
      </c>
      <c r="J2" s="542" t="inlineStr">
        <is>
          <t>CRITICAL</t>
        </is>
      </c>
      <c r="K2" s="42" t="inlineStr">
        <is>
          <t>15-30 d</t>
        </is>
      </c>
      <c r="L2" s="434" t="inlineStr">
        <is>
          <t>Annual — Q4 submission</t>
        </is>
      </c>
      <c r="M2" s="591">
        <f>IF(COUNTIF('All 108 Regulators - Frameworks'!E$4:E$500,"*"&amp;LEFT(D2,FIND(";",D2&amp;";")-1)&amp;"*")&gt;0,"✅ VERIFIED","❌ NOT FOUND")</f>
        <v/>
      </c>
      <c r="N2" s="591">
        <f>IFERROR(INDEX('KRI Dashboard (All Sectors)'!A$2:A$43,MATCH("*"&amp;LEFT(D2,FIND(";",D2&amp;";")-1)&amp;"*",'KRI Dashboard (All Sectors)'!D$2:D$43,0)),"No linked KRI")</f>
        <v/>
      </c>
      <c r="O2" s="591">
        <f>IF(J2="CRITICAL","🔴 P1",IF(J2="HIGH","🟠 P2","🟡 P3"))</f>
        <v/>
      </c>
    </row>
    <row r="3" ht="54" customHeight="1">
      <c r="A3" s="472" t="inlineStr">
        <is>
          <t>AU-X002</t>
        </is>
      </c>
      <c r="B3" s="34" t="inlineStr">
        <is>
          <t>ALL SECTORS</t>
        </is>
      </c>
      <c r="C3" s="469" t="inlineStr">
        <is>
          <t>PDPL Personal Data Compliance</t>
        </is>
      </c>
      <c r="D3" s="543" t="inlineStr">
        <is>
          <t>PDPL-2021; PDPL-IR-2023</t>
        </is>
      </c>
      <c r="E3" s="470" t="inlineStr">
        <is>
          <t>Internal Privacy Audit + SDAIA Triggered</t>
        </is>
      </c>
      <c r="F3" s="544" t="inlineStr">
        <is>
          <t>DPO / SDAIA</t>
        </is>
      </c>
      <c r="G3" s="545" t="inlineStr">
        <is>
          <t>Annual + breach-triggered</t>
        </is>
      </c>
      <c r="H3" s="546" t="inlineStr">
        <is>
          <t>All entities processing personal data of KSA residents in any sector</t>
        </is>
      </c>
      <c r="I3" s="546" t="inlineStr">
        <is>
          <t>DPIA register; consent records; data flow maps; DPO appointment; breach log; controller registration</t>
        </is>
      </c>
      <c r="J3" s="542" t="inlineStr">
        <is>
          <t>CRITICAL</t>
        </is>
      </c>
      <c r="K3" s="467" t="inlineStr">
        <is>
          <t>10-15 d</t>
        </is>
      </c>
      <c r="L3" s="547" t="inlineStr">
        <is>
          <t>Continuous (breach: 72h); Annual audit</t>
        </is>
      </c>
      <c r="M3" s="674" t="inlineStr">
        <is>
          <t>Framework Verified?</t>
        </is>
      </c>
      <c r="N3" s="674" t="inlineStr">
        <is>
          <t>Linked KRI(s)</t>
        </is>
      </c>
      <c r="O3" s="674" t="inlineStr">
        <is>
          <t>Shahin AI Priority</t>
        </is>
      </c>
    </row>
    <row r="4" ht="54" customHeight="1">
      <c r="A4" s="476" t="inlineStr">
        <is>
          <t>AU-X003</t>
        </is>
      </c>
      <c r="B4" s="34" t="inlineStr">
        <is>
          <t>ALL SECTORS</t>
        </is>
      </c>
      <c r="C4" s="45" t="inlineStr">
        <is>
          <t>ZATCA E-Invoicing Phase 2 Compliance</t>
        </is>
      </c>
      <c r="D4" s="541" t="inlineStr">
        <is>
          <t>ZATCA-EINV-P2</t>
        </is>
      </c>
      <c r="E4" s="44" t="inlineStr">
        <is>
          <t>ZATCA Technical Audit + Self-verification</t>
        </is>
      </c>
      <c r="F4" s="441" t="inlineStr">
        <is>
          <t>ZATCA Fatoora Compliance Team</t>
        </is>
      </c>
      <c r="G4" s="46" t="inlineStr">
        <is>
          <t>Continuous (automated); Annual audit</t>
        </is>
      </c>
      <c r="H4" s="495" t="inlineStr">
        <is>
          <t>All VAT-registered entities in all sectors (businesses, government commercial activities)</t>
        </is>
      </c>
      <c r="I4" s="495" t="inlineStr">
        <is>
          <t>ZATCA integration certificate; API connection logs; cryptographic stamp evidence; invoice archive; Phase 2 go-live date</t>
        </is>
      </c>
      <c r="J4" s="548" t="inlineStr">
        <is>
          <t>HIGH</t>
        </is>
      </c>
      <c r="K4" s="42" t="inlineStr">
        <is>
          <t>5-10 d</t>
        </is>
      </c>
      <c r="L4" s="434" t="inlineStr">
        <is>
          <t>Annual; Phase 2 rollout completion 2025</t>
        </is>
      </c>
      <c r="M4" s="591">
        <f>IF(COUNTIF('All 108 Regulators - Frameworks'!E$4:E$500,"*"&amp;LEFT(D4,FIND(";",D4&amp;";")-1)&amp;"*")&gt;0,"✅ VERIFIED","❌ NOT FOUND")</f>
        <v/>
      </c>
      <c r="N4" s="591">
        <f>IFERROR(INDEX('KRI Dashboard (All Sectors)'!A$2:A$43,MATCH("*"&amp;LEFT(D4,FIND(";",D4&amp;";")-1)&amp;"*",'KRI Dashboard (All Sectors)'!D$2:D$43,0)),"No linked KRI")</f>
        <v/>
      </c>
      <c r="O4" s="591">
        <f>IF(J4="CRITICAL","🔴 P1",IF(J4="HIGH","🟠 P2","🟡 P3"))</f>
        <v/>
      </c>
    </row>
    <row r="5" ht="54" customHeight="1">
      <c r="A5" s="472" t="inlineStr">
        <is>
          <t>AU-X004</t>
        </is>
      </c>
      <c r="B5" s="34" t="inlineStr">
        <is>
          <t>ALL SECTORS</t>
        </is>
      </c>
      <c r="C5" s="469" t="inlineStr">
        <is>
          <t>Saudisation / Nitaqat Workforce Compliance</t>
        </is>
      </c>
      <c r="D5" s="543" t="inlineStr">
        <is>
          <t>MHRSD-NITAQAT; NCA-ECC-2 (cyber roles)</t>
        </is>
      </c>
      <c r="E5" s="470" t="inlineStr">
        <is>
          <t>Qiwa Automated + MHRSD Inspection</t>
        </is>
      </c>
      <c r="F5" s="544" t="inlineStr">
        <is>
          <t>MHRSD Labour Inspection</t>
        </is>
      </c>
      <c r="G5" s="545" t="inlineStr">
        <is>
          <t>Continuous automated; Quarterly rating; Spot inspection</t>
        </is>
      </c>
      <c r="H5" s="546" t="inlineStr">
        <is>
          <t>All private sector employers — all 17 sector groups</t>
        </is>
      </c>
      <c r="I5" s="546" t="inlineStr">
        <is>
          <t>Qiwa Nitaqat rating; GOSI registration; Saudi employee contracts; job classification records; cybersecurity Saudisation evidence</t>
        </is>
      </c>
      <c r="J5" s="548" t="inlineStr">
        <is>
          <t>HIGH</t>
        </is>
      </c>
      <c r="K5" s="467" t="inlineStr">
        <is>
          <t>1-3 d</t>
        </is>
      </c>
      <c r="L5" s="547" t="inlineStr">
        <is>
          <t>Quarterly rating update; Oct 2025 (cyber Saudisation)</t>
        </is>
      </c>
      <c r="M5" s="674" t="inlineStr">
        <is>
          <t>Framework Verified?</t>
        </is>
      </c>
      <c r="N5" s="674" t="inlineStr">
        <is>
          <t>Linked KRI(s)</t>
        </is>
      </c>
      <c r="O5" s="674" t="inlineStr">
        <is>
          <t>Shahin AI Priority</t>
        </is>
      </c>
    </row>
    <row r="6" ht="54" customHeight="1">
      <c r="A6" s="476" t="inlineStr">
        <is>
          <t>AU-X005</t>
        </is>
      </c>
      <c r="B6" s="34" t="inlineStr">
        <is>
          <t>ALL SECTORS</t>
        </is>
      </c>
      <c r="C6" s="45" t="inlineStr">
        <is>
          <t>Supply Chain &amp; Third-Party Security Audit</t>
        </is>
      </c>
      <c r="D6" s="541" t="inlineStr">
        <is>
          <t>NCA-ECC-2 Domain 4; SAMA-CSF; SFDA-MDR; ISO-27001</t>
        </is>
      </c>
      <c r="E6" s="44" t="inlineStr">
        <is>
          <t>Third-Party Risk Assessment + Vendor Audit</t>
        </is>
      </c>
      <c r="F6" s="441" t="inlineStr">
        <is>
          <t>Internal GRC; External Assessors</t>
        </is>
      </c>
      <c r="G6" s="46" t="inlineStr">
        <is>
          <t>Annual (critical vendors); Biennial (standard)</t>
        </is>
      </c>
      <c r="H6" s="495" t="inlineStr">
        <is>
          <t>All critical technology, goods, and service vendors across all sectors</t>
        </is>
      </c>
      <c r="I6" s="495" t="inlineStr">
        <is>
          <t>Vendor risk questionnaires; contractual ECC compliance clauses; vendor ISO 27001 / SOC 2 certificates; subprocessor register</t>
        </is>
      </c>
      <c r="J6" s="548" t="inlineStr">
        <is>
          <t>HIGH</t>
        </is>
      </c>
      <c r="K6" s="42" t="inlineStr">
        <is>
          <t>15-25 d</t>
        </is>
      </c>
      <c r="L6" s="434" t="inlineStr">
        <is>
          <t>Annual vendor review cycle</t>
        </is>
      </c>
      <c r="M6" s="591">
        <f>IF(COUNTIF('All 108 Regulators - Frameworks'!E$4:E$500,"*"&amp;LEFT(D6,FIND(";",D6&amp;";")-1)&amp;"*")&gt;0,"✅ VERIFIED","❌ NOT FOUND")</f>
        <v/>
      </c>
      <c r="N6" s="591">
        <f>IFERROR(INDEX('KRI Dashboard (All Sectors)'!A$2:A$43,MATCH("*"&amp;LEFT(D6,FIND(";",D6&amp;";")-1)&amp;"*",'KRI Dashboard (All Sectors)'!D$2:D$43,0)),"No linked KRI")</f>
        <v/>
      </c>
      <c r="O6" s="591">
        <f>IF(J6="CRITICAL","🔴 P1",IF(J6="HIGH","🟠 P2","🟡 P3"))</f>
        <v/>
      </c>
    </row>
    <row r="7" ht="54" customHeight="1">
      <c r="A7" s="472" t="inlineStr">
        <is>
          <t>AU-X006</t>
        </is>
      </c>
      <c r="B7" s="34" t="inlineStr">
        <is>
          <t>ALL SECTORS</t>
        </is>
      </c>
      <c r="C7" s="469" t="inlineStr">
        <is>
          <t>OT/CNI Cybersecurity Assessment</t>
        </is>
      </c>
      <c r="D7" s="543" t="inlineStr">
        <is>
          <t>NCA-OTCC-1:2022; IEC-62443</t>
        </is>
      </c>
      <c r="E7" s="470" t="inlineStr">
        <is>
          <t>OT Technical Assessment + NCA Audit</t>
        </is>
      </c>
      <c r="F7" s="544" t="inlineStr">
        <is>
          <t>NCA OT Specialist; Claroty/Nozomi/Dragos</t>
        </is>
      </c>
      <c r="G7" s="545" t="inlineStr">
        <is>
          <t>Annual internal; Biennial NCA</t>
        </is>
      </c>
      <c r="H7" s="546" t="inlineStr">
        <is>
          <t>All sectors with OT/ICS/CNI: Energy, Healthcare, Transport, Industry, Water, Telecom</t>
        </is>
      </c>
      <c r="I7" s="546" t="inlineStr">
        <is>
          <t>OT asset inventory; zone/conduit diagrams; patch compliance; vendor access logs; ICS risk assessment; OT incident log</t>
        </is>
      </c>
      <c r="J7" s="542" t="inlineStr">
        <is>
          <t>CRITICAL</t>
        </is>
      </c>
      <c r="K7" s="467" t="inlineStr">
        <is>
          <t>15-25 d</t>
        </is>
      </c>
      <c r="L7" s="547" t="inlineStr">
        <is>
          <t>Biennial NCA OT audit cycle</t>
        </is>
      </c>
      <c r="M7" s="674" t="inlineStr">
        <is>
          <t>Framework Verified?</t>
        </is>
      </c>
      <c r="N7" s="674" t="inlineStr">
        <is>
          <t>Linked KRI(s)</t>
        </is>
      </c>
      <c r="O7" s="674" t="inlineStr">
        <is>
          <t>Shahin AI Priority</t>
        </is>
      </c>
    </row>
    <row r="8" ht="54" customHeight="1">
      <c r="A8" s="476" t="inlineStr">
        <is>
          <t>AU-X007</t>
        </is>
      </c>
      <c r="B8" s="34" t="inlineStr">
        <is>
          <t>ALL SECTORS</t>
        </is>
      </c>
      <c r="C8" s="45" t="inlineStr">
        <is>
          <t>Cloud Security Compliance Audit</t>
        </is>
      </c>
      <c r="D8" s="541" t="inlineStr">
        <is>
          <t>NCA-CCC-1:2020; CST-CCR; DGA-CFP</t>
        </is>
      </c>
      <c r="E8" s="44" t="inlineStr">
        <is>
          <t>Cloud Security Assessment + CSP Audit</t>
        </is>
      </c>
      <c r="F8" s="441" t="inlineStr">
        <is>
          <t>NCA Cloud Team; DGA; Accredited CSPM</t>
        </is>
      </c>
      <c r="G8" s="46" t="inlineStr">
        <is>
          <t>Annual; triggered by cloud change</t>
        </is>
      </c>
      <c r="H8" s="495" t="inlineStr">
        <is>
          <t>All entities using cloud services — all sectors</t>
        </is>
      </c>
      <c r="I8" s="495" t="inlineStr">
        <is>
          <t>Cloud architecture diagrams; encryption evidence; access management review; CSP CCC certificate; data residency evidence; DGA Cloud First pre-approval</t>
        </is>
      </c>
      <c r="J8" s="548" t="inlineStr">
        <is>
          <t>HIGH</t>
        </is>
      </c>
      <c r="K8" s="42" t="inlineStr">
        <is>
          <t>10-20 d</t>
        </is>
      </c>
      <c r="L8" s="434" t="inlineStr">
        <is>
          <t>Annual aligned with ECC cycle</t>
        </is>
      </c>
      <c r="M8" s="591">
        <f>IF(COUNTIF('All 108 Regulators - Frameworks'!E$4:E$500,"*"&amp;LEFT(D8,FIND(";",D8&amp;";")-1)&amp;"*")&gt;0,"✅ VERIFIED","❌ NOT FOUND")</f>
        <v/>
      </c>
      <c r="N8" s="591">
        <f>IFERROR(INDEX('KRI Dashboard (All Sectors)'!A$2:A$43,MATCH("*"&amp;LEFT(D8,FIND(";",D8&amp;";")-1)&amp;"*",'KRI Dashboard (All Sectors)'!D$2:D$43,0)),"No linked KRI")</f>
        <v/>
      </c>
      <c r="O8" s="591">
        <f>IF(J8="CRITICAL","🔴 P1",IF(J8="HIGH","🟠 P2","🟡 P3"))</f>
        <v/>
      </c>
    </row>
    <row r="9" ht="54" customHeight="1">
      <c r="A9" s="472" t="inlineStr">
        <is>
          <t>AU-X008</t>
        </is>
      </c>
      <c r="B9" s="34" t="inlineStr">
        <is>
          <t>ALL SECTORS</t>
        </is>
      </c>
      <c r="C9" s="469" t="inlineStr">
        <is>
          <t>Business Continuity / Disaster Recovery Test</t>
        </is>
      </c>
      <c r="D9" s="543" t="inlineStr">
        <is>
          <t>NCA-ECC-2; SAMA-CSF-BCM; ISO-22301</t>
        </is>
      </c>
      <c r="E9" s="470" t="inlineStr">
        <is>
          <t>BCP/DR Test</t>
        </is>
      </c>
      <c r="F9" s="544" t="inlineStr">
        <is>
          <t>Internal BCP Team; External Facilitator</t>
        </is>
      </c>
      <c r="G9" s="545" t="inlineStr">
        <is>
          <t>Annual tabletop; Biennial full failover</t>
        </is>
      </c>
      <c r="H9" s="546" t="inlineStr">
        <is>
          <t>All ECC-2 and SAMA-CSF scope entities — all CNI sectors</t>
        </is>
      </c>
      <c r="I9" s="546" t="inlineStr">
        <is>
          <t>BCP plan; DR test results; RTO/RPO achievement; alternative site activation; vendor failover test; NCA notification test</t>
        </is>
      </c>
      <c r="J9" s="549" t="inlineStr">
        <is>
          <t>MODERATE</t>
        </is>
      </c>
      <c r="K9" s="467" t="inlineStr">
        <is>
          <t>3-5 d</t>
        </is>
      </c>
      <c r="L9" s="547" t="inlineStr">
        <is>
          <t>Annual BCP cycle</t>
        </is>
      </c>
      <c r="M9" s="674" t="inlineStr">
        <is>
          <t>Framework Verified?</t>
        </is>
      </c>
      <c r="N9" s="674" t="inlineStr">
        <is>
          <t>Linked KRI(s)</t>
        </is>
      </c>
      <c r="O9" s="674" t="inlineStr">
        <is>
          <t>Shahin AI Priority</t>
        </is>
      </c>
    </row>
    <row r="10" ht="54" customHeight="1">
      <c r="A10" s="476" t="inlineStr">
        <is>
          <t>AU-X009</t>
        </is>
      </c>
      <c r="B10" s="34" t="inlineStr">
        <is>
          <t>ALL SECTORS</t>
        </is>
      </c>
      <c r="C10" s="45" t="inlineStr">
        <is>
          <t>Incident Response Capability Assessment</t>
        </is>
      </c>
      <c r="D10" s="541" t="inlineStr">
        <is>
          <t>NCA-ECC-2; SAMA-CSF; ISO-27001</t>
        </is>
      </c>
      <c r="E10" s="44" t="inlineStr">
        <is>
          <t>Tabletop Exercise + IR Plan Review</t>
        </is>
      </c>
      <c r="F10" s="441" t="inlineStr">
        <is>
          <t>CISO; External Red Team</t>
        </is>
      </c>
      <c r="G10" s="46" t="inlineStr">
        <is>
          <t>Annual tabletop; Biennial red team</t>
        </is>
      </c>
      <c r="H10" s="495" t="inlineStr">
        <is>
          <t>All NCA ECC-2 scope entities across all sectors</t>
        </is>
      </c>
      <c r="I10" s="495" t="inlineStr">
        <is>
          <t>IR plan; tabletop report; NCA 24h notification test; SDAIA 72h breach test; SFDA adverse event notification test; lessons-learned log</t>
        </is>
      </c>
      <c r="J10" s="549" t="inlineStr">
        <is>
          <t>MODERATE</t>
        </is>
      </c>
      <c r="K10" s="42" t="inlineStr">
        <is>
          <t>3-5 d</t>
        </is>
      </c>
      <c r="L10" s="434" t="inlineStr">
        <is>
          <t>Annual</t>
        </is>
      </c>
      <c r="M10" s="591">
        <f>IF(COUNTIF('All 108 Regulators - Frameworks'!E$4:E$500,"*"&amp;LEFT(D10,FIND(";",D10&amp;";")-1)&amp;"*")&gt;0,"✅ VERIFIED","❌ NOT FOUND")</f>
        <v/>
      </c>
      <c r="N10" s="591">
        <f>IFERROR(INDEX('KRI Dashboard (All Sectors)'!A$2:A$43,MATCH("*"&amp;LEFT(D10,FIND(";",D10&amp;";")-1)&amp;"*",'KRI Dashboard (All Sectors)'!D$2:D$43,0)),"No linked KRI")</f>
        <v/>
      </c>
      <c r="O10" s="591">
        <f>IF(J10="CRITICAL","🔴 P1",IF(J10="HIGH","🟠 P2","🟡 P3"))</f>
        <v/>
      </c>
    </row>
    <row r="11" ht="54" customHeight="1">
      <c r="A11" s="472" t="inlineStr">
        <is>
          <t>AU-X010</t>
        </is>
      </c>
      <c r="B11" s="34" t="inlineStr">
        <is>
          <t>ALL SECTORS</t>
        </is>
      </c>
      <c r="C11" s="469" t="inlineStr">
        <is>
          <t>Physical Security &amp; Environmental Controls</t>
        </is>
      </c>
      <c r="D11" s="543" t="inlineStr">
        <is>
          <t>NCA-ECC-2; SASO-PS; OSH-REGS</t>
        </is>
      </c>
      <c r="E11" s="470" t="inlineStr">
        <is>
          <t>Physical Inspection</t>
        </is>
      </c>
      <c r="F11" s="544" t="inlineStr">
        <is>
          <t>Facilities Management; NCA (server rooms); MHRSD OSH</t>
        </is>
      </c>
      <c r="G11" s="545" t="inlineStr">
        <is>
          <t>Annual</t>
        </is>
      </c>
      <c r="H11" s="546" t="inlineStr">
        <is>
          <t>All entities with physical premises and IT infrastructure</t>
        </is>
      </c>
      <c r="I11" s="546" t="inlineStr">
        <is>
          <t>Physical access logs; CCTV records; server room access control; equipment maintenance; fire suppression; OSH compliance certificate</t>
        </is>
      </c>
      <c r="J11" s="549" t="inlineStr">
        <is>
          <t>MODERATE</t>
        </is>
      </c>
      <c r="K11" s="467" t="inlineStr">
        <is>
          <t>2-3 d</t>
        </is>
      </c>
      <c r="L11" s="547" t="inlineStr">
        <is>
          <t>Annual</t>
        </is>
      </c>
      <c r="M11" s="674" t="inlineStr">
        <is>
          <t>Framework Verified?</t>
        </is>
      </c>
      <c r="N11" s="674" t="inlineStr">
        <is>
          <t>Linked KRI(s)</t>
        </is>
      </c>
      <c r="O11" s="674" t="inlineStr">
        <is>
          <t>Shahin AI Priority</t>
        </is>
      </c>
    </row>
    <row r="12" ht="54" customHeight="1">
      <c r="A12" s="476" t="inlineStr">
        <is>
          <t>AU-X011</t>
        </is>
      </c>
      <c r="B12" s="34" t="inlineStr">
        <is>
          <t>ALL SECTORS</t>
        </is>
      </c>
      <c r="C12" s="45" t="inlineStr">
        <is>
          <t>Privacy Training &amp; Awareness Compliance</t>
        </is>
      </c>
      <c r="D12" s="541" t="inlineStr">
        <is>
          <t>PDPL-2021; NCA-ECC-2 (awareness)</t>
        </is>
      </c>
      <c r="E12" s="44" t="inlineStr">
        <is>
          <t>Internal Training Audit</t>
        </is>
      </c>
      <c r="F12" s="441" t="inlineStr">
        <is>
          <t>DPO; HR</t>
        </is>
      </c>
      <c r="G12" s="46" t="inlineStr">
        <is>
          <t>Annual</t>
        </is>
      </c>
      <c r="H12" s="495" t="inlineStr">
        <is>
          <t>All entities — all staff must have cybersecurity + privacy training</t>
        </is>
      </c>
      <c r="I12" s="495" t="inlineStr">
        <is>
          <t>LMS completion records; training materials; test results; training calendar; new hire onboarding proof</t>
        </is>
      </c>
      <c r="J12" s="549" t="inlineStr">
        <is>
          <t>MODERATE</t>
        </is>
      </c>
      <c r="K12" s="42" t="inlineStr">
        <is>
          <t>2-5 d</t>
        </is>
      </c>
      <c r="L12" s="434" t="inlineStr">
        <is>
          <t>Annual; new hire onboarding</t>
        </is>
      </c>
      <c r="M12" s="591">
        <f>IF(COUNTIF('All 108 Regulators - Frameworks'!E$4:E$500,"*"&amp;LEFT(D12,FIND(";",D12&amp;";")-1)&amp;"*")&gt;0,"✅ VERIFIED","❌ NOT FOUND")</f>
        <v/>
      </c>
      <c r="N12" s="591">
        <f>IFERROR(INDEX('KRI Dashboard (All Sectors)'!A$2:A$43,MATCH("*"&amp;LEFT(D12,FIND(";",D12&amp;";")-1)&amp;"*",'KRI Dashboard (All Sectors)'!D$2:D$43,0)),"No linked KRI")</f>
        <v/>
      </c>
      <c r="O12" s="591">
        <f>IF(J12="CRITICAL","🔴 P1",IF(J12="HIGH","🟠 P2","🟡 P3"))</f>
        <v/>
      </c>
    </row>
    <row r="13" ht="54" customHeight="1">
      <c r="A13" s="472" t="inlineStr">
        <is>
          <t>AU-X012</t>
        </is>
      </c>
      <c r="B13" s="34" t="inlineStr">
        <is>
          <t>ALL SECTORS</t>
        </is>
      </c>
      <c r="C13" s="469" t="inlineStr">
        <is>
          <t>AI Governance Compliance</t>
        </is>
      </c>
      <c r="D13" s="543" t="inlineStr">
        <is>
          <t>SDAIA-AI-ETH; SDAIA-AI-ADO; SDAIA-GENAI</t>
        </is>
      </c>
      <c r="E13" s="470" t="inlineStr">
        <is>
          <t>AI Risk Assessment + Internal Audit</t>
        </is>
      </c>
      <c r="F13" s="544" t="inlineStr">
        <is>
          <t>AI Governance Committee; SDAIA (triggered)</t>
        </is>
      </c>
      <c r="G13" s="545" t="inlineStr">
        <is>
          <t>Annual</t>
        </is>
      </c>
      <c r="H13" s="546" t="inlineStr">
        <is>
          <t>All entities deploying AI — all sectors: AI in manufacturing, finance, healthcare, transport, education</t>
        </is>
      </c>
      <c r="I13" s="546" t="inlineStr">
        <is>
          <t>AI use case register; ethics review records; AI risk assessments; AI adoption framework compliance; GenAI usage policy</t>
        </is>
      </c>
      <c r="J13" s="549" t="inlineStr">
        <is>
          <t>MODERATE</t>
        </is>
      </c>
      <c r="K13" s="467" t="inlineStr">
        <is>
          <t>5-10 d</t>
        </is>
      </c>
      <c r="L13" s="547" t="inlineStr">
        <is>
          <t>Annual; pre-deployment for high-risk AI</t>
        </is>
      </c>
      <c r="M13" s="674" t="inlineStr">
        <is>
          <t>Framework Verified?</t>
        </is>
      </c>
      <c r="N13" s="674" t="inlineStr">
        <is>
          <t>Linked KRI(s)</t>
        </is>
      </c>
      <c r="O13" s="674" t="inlineStr">
        <is>
          <t>Shahin AI Priority</t>
        </is>
      </c>
    </row>
    <row r="14" ht="54" customHeight="1">
      <c r="A14" s="476" t="inlineStr">
        <is>
          <t>AU-X013</t>
        </is>
      </c>
      <c r="B14" s="34" t="inlineStr">
        <is>
          <t>ALL SECTORS</t>
        </is>
      </c>
      <c r="C14" s="45" t="inlineStr">
        <is>
          <t>ISO 27001 Certification / Surveillance</t>
        </is>
      </c>
      <c r="D14" s="541" t="inlineStr">
        <is>
          <t>ISO-27001:2022</t>
        </is>
      </c>
      <c r="E14" s="44" t="inlineStr">
        <is>
          <t>Certification or Surveillance Audit</t>
        </is>
      </c>
      <c r="F14" s="441" t="inlineStr">
        <is>
          <t>Accredited CB (BSI/TÜV/SGS)</t>
        </is>
      </c>
      <c r="G14" s="46" t="inlineStr">
        <is>
          <t>Annual surveillance; 3yr recertification</t>
        </is>
      </c>
      <c r="H14" s="495" t="inlineStr">
        <is>
          <t>Entities seeking/maintaining ISO 27001 certification — all sectors</t>
        </is>
      </c>
      <c r="I14" s="495" t="inlineStr">
        <is>
          <t>SoA; risk register; internal audit reports; management review; ISMS policy; corrective action records; certificate</t>
        </is>
      </c>
      <c r="J14" s="548" t="inlineStr">
        <is>
          <t>HIGH</t>
        </is>
      </c>
      <c r="K14" s="42" t="inlineStr">
        <is>
          <t>5-10 d</t>
        </is>
      </c>
      <c r="L14" s="434" t="inlineStr">
        <is>
          <t>Annual surveillance; 3yr recertification</t>
        </is>
      </c>
      <c r="M14" s="591">
        <f>IF(COUNTIF('All 108 Regulators - Frameworks'!E$4:E$500,"*"&amp;LEFT(D14,FIND(";",D14&amp;";")-1)&amp;"*")&gt;0,"✅ VERIFIED","❌ NOT FOUND")</f>
        <v/>
      </c>
      <c r="N14" s="591">
        <f>IFERROR(INDEX('KRI Dashboard (All Sectors)'!A$2:A$43,MATCH("*"&amp;LEFT(D14,FIND(";",D14&amp;";")-1)&amp;"*",'KRI Dashboard (All Sectors)'!D$2:D$43,0)),"No linked KRI")</f>
        <v/>
      </c>
      <c r="O14" s="591">
        <f>IF(J14="CRITICAL","🔴 P1",IF(J14="HIGH","🟠 P2","🟡 P3"))</f>
        <v/>
      </c>
    </row>
    <row r="15" ht="54" customHeight="1">
      <c r="A15" s="472" t="inlineStr">
        <is>
          <t>AU-X014</t>
        </is>
      </c>
      <c r="B15" s="34" t="inlineStr">
        <is>
          <t>ALL SECTORS</t>
        </is>
      </c>
      <c r="C15" s="469" t="inlineStr">
        <is>
          <t>Corporate Governance &amp; Listing Compliance</t>
        </is>
      </c>
      <c r="D15" s="543" t="inlineStr">
        <is>
          <t>CMA-CML; CMA-CGR; CMA-LR; SAFCSP-IFRS</t>
        </is>
      </c>
      <c r="E15" s="470" t="inlineStr">
        <is>
          <t>CMA / External Auditor</t>
        </is>
      </c>
      <c r="F15" s="544" t="inlineStr">
        <is>
          <t>CMA + External Auditor (Big 4)</t>
        </is>
      </c>
      <c r="G15" s="545" t="inlineStr">
        <is>
          <t>Annual</t>
        </is>
      </c>
      <c r="H15" s="546" t="inlineStr">
        <is>
          <t>All publicly listed companies — all sectors (energy, healthcare, finance, telecom, industry)</t>
        </is>
      </c>
      <c r="I15" s="546" t="inlineStr">
        <is>
          <t>Annual report; corporate governance report; audit committee report; related-party disclosures; IFRS financial statements; cybersecurity risk disclosure</t>
        </is>
      </c>
      <c r="J15" s="548" t="inlineStr">
        <is>
          <t>HIGH</t>
        </is>
      </c>
      <c r="K15" s="467" t="inlineStr">
        <is>
          <t>20-30 (annual audit) d</t>
        </is>
      </c>
      <c r="L15" s="547" t="inlineStr">
        <is>
          <t>Annual; AGM deadline</t>
        </is>
      </c>
      <c r="M15" s="674" t="inlineStr">
        <is>
          <t>Framework Verified?</t>
        </is>
      </c>
      <c r="N15" s="674" t="inlineStr">
        <is>
          <t>Linked KRI(s)</t>
        </is>
      </c>
      <c r="O15" s="674" t="inlineStr">
        <is>
          <t>Shahin AI Priority</t>
        </is>
      </c>
    </row>
    <row r="16" ht="54" customHeight="1">
      <c r="A16" s="476" t="inlineStr">
        <is>
          <t>AU-F001</t>
        </is>
      </c>
      <c r="B16" s="482" t="inlineStr">
        <is>
          <t>Financial Regulators</t>
        </is>
      </c>
      <c r="C16" s="45" t="inlineStr">
        <is>
          <t>SAMA Cybersecurity Framework Self-Assessment</t>
        </is>
      </c>
      <c r="D16" s="541" t="inlineStr">
        <is>
          <t>SAMA-CSF</t>
        </is>
      </c>
      <c r="E16" s="44" t="inlineStr">
        <is>
          <t>Annual Self-Assessment + 3yr External</t>
        </is>
      </c>
      <c r="F16" s="441" t="inlineStr">
        <is>
          <t>SAMA Supervisory Technology Dept</t>
        </is>
      </c>
      <c r="G16" s="46" t="inlineStr">
        <is>
          <t>Annual self; 3yr external</t>
        </is>
      </c>
      <c r="H16" s="495" t="inlineStr">
        <is>
          <t>Banks; Insurance; Financing; Fintechs; Payment providers; All SAMA-regulated</t>
        </is>
      </c>
      <c r="I16" s="495" t="inlineStr">
        <is>
          <t>SAMA-CSF self-assessment report; maturity scores; pen test; BCP test; training records</t>
        </is>
      </c>
      <c r="J16" s="542" t="inlineStr">
        <is>
          <t>CRITICAL</t>
        </is>
      </c>
      <c r="K16" s="42" t="inlineStr">
        <is>
          <t>20-30 d</t>
        </is>
      </c>
      <c r="L16" s="434" t="inlineStr">
        <is>
          <t>Q1 annual SAMA submission</t>
        </is>
      </c>
      <c r="M16" s="591">
        <f>IF(COUNTIF('All 108 Regulators - Frameworks'!E$4:E$500,"*"&amp;LEFT(D16,FIND(";",D16&amp;";")-1)&amp;"*")&gt;0,"✅ VERIFIED","❌ NOT FOUND")</f>
        <v/>
      </c>
      <c r="N16" s="591">
        <f>IFERROR(INDEX('KRI Dashboard (All Sectors)'!A$2:A$43,MATCH("*"&amp;LEFT(D16,FIND(";",D16&amp;";")-1)&amp;"*",'KRI Dashboard (All Sectors)'!D$2:D$43,0)),"No linked KRI")</f>
        <v/>
      </c>
      <c r="O16" s="591">
        <f>IF(J16="CRITICAL","🔴 P1",IF(J16="HIGH","🟠 P2","🟡 P3"))</f>
        <v/>
      </c>
    </row>
    <row r="17" ht="54" customHeight="1">
      <c r="A17" s="472" t="inlineStr">
        <is>
          <t>AU-F002</t>
        </is>
      </c>
      <c r="B17" s="482" t="inlineStr">
        <is>
          <t>Financial Regulators</t>
        </is>
      </c>
      <c r="C17" s="469" t="inlineStr">
        <is>
          <t>AML/CTF Compliance Audit</t>
        </is>
      </c>
      <c r="D17" s="543" t="inlineStr">
        <is>
          <t>SAMA-AML; MOI-AML</t>
        </is>
      </c>
      <c r="E17" s="470" t="inlineStr">
        <is>
          <t>SAMA Examination + Internal Audit</t>
        </is>
      </c>
      <c r="F17" s="544" t="inlineStr">
        <is>
          <t>SAMA; SAFIU (intelligence)</t>
        </is>
      </c>
      <c r="G17" s="545" t="inlineStr">
        <is>
          <t>Annual</t>
        </is>
      </c>
      <c r="H17" s="546" t="inlineStr">
        <is>
          <t>All SAMA-regulated + CCHI (health insurance)</t>
        </is>
      </c>
      <c r="I17" s="546" t="inlineStr">
        <is>
          <t>KYC records; transaction monitoring logs; SAR/STR reports; correspondent banking due diligence; PEP screening records</t>
        </is>
      </c>
      <c r="J17" s="542" t="inlineStr">
        <is>
          <t>CRITICAL</t>
        </is>
      </c>
      <c r="K17" s="467" t="inlineStr">
        <is>
          <t>15-25 d</t>
        </is>
      </c>
      <c r="L17" s="547" t="inlineStr">
        <is>
          <t>Annual; FATF evaluation alignment</t>
        </is>
      </c>
      <c r="M17" s="674" t="inlineStr">
        <is>
          <t>Framework Verified?</t>
        </is>
      </c>
      <c r="N17" s="674" t="inlineStr">
        <is>
          <t>Linked KRI(s)</t>
        </is>
      </c>
      <c r="O17" s="674" t="inlineStr">
        <is>
          <t>Shahin AI Priority</t>
        </is>
      </c>
    </row>
    <row r="18" ht="54" customHeight="1">
      <c r="A18" s="476" t="inlineStr">
        <is>
          <t>AU-F003</t>
        </is>
      </c>
      <c r="B18" s="482" t="inlineStr">
        <is>
          <t>Financial Regulators</t>
        </is>
      </c>
      <c r="C18" s="45" t="inlineStr">
        <is>
          <t>Capital Market Disclosure Compliance</t>
        </is>
      </c>
      <c r="D18" s="541" t="inlineStr">
        <is>
          <t>CMA-CML; CMA-CGR; CMA-LR</t>
        </is>
      </c>
      <c r="E18" s="44" t="inlineStr">
        <is>
          <t>CMA Examination + External Audit</t>
        </is>
      </c>
      <c r="F18" s="441" t="inlineStr">
        <is>
          <t>CMA; External Auditor</t>
        </is>
      </c>
      <c r="G18" s="46" t="inlineStr">
        <is>
          <t>Continuous (disclosure); Annual (audit)</t>
        </is>
      </c>
      <c r="H18" s="495" t="inlineStr">
        <is>
          <t>All Tadawul-listed companies — any sector with public listing</t>
        </is>
      </c>
      <c r="I18" s="495" t="inlineStr">
        <is>
          <t>Continuous disclosure filings; annual report; insider trading controls; material event notifications; cybersecurity risk disclosure</t>
        </is>
      </c>
      <c r="J18" s="548" t="inlineStr">
        <is>
          <t>HIGH</t>
        </is>
      </c>
      <c r="K18" s="42" t="inlineStr">
        <is>
          <t>10-15 d</t>
        </is>
      </c>
      <c r="L18" s="434" t="inlineStr">
        <is>
          <t>Continuous; Annual AGM</t>
        </is>
      </c>
      <c r="M18" s="591">
        <f>IF(COUNTIF('All 108 Regulators - Frameworks'!E$4:E$500,"*"&amp;LEFT(D18,FIND(";",D18&amp;";")-1)&amp;"*")&gt;0,"✅ VERIFIED","❌ NOT FOUND")</f>
        <v/>
      </c>
      <c r="N18" s="591">
        <f>IFERROR(INDEX('KRI Dashboard (All Sectors)'!A$2:A$43,MATCH("*"&amp;LEFT(D18,FIND(";",D18&amp;";")-1)&amp;"*",'KRI Dashboard (All Sectors)'!D$2:D$43,0)),"No linked KRI")</f>
        <v/>
      </c>
      <c r="O18" s="591">
        <f>IF(J18="CRITICAL","🔴 P1",IF(J18="HIGH","🟠 P2","🟡 P3"))</f>
        <v/>
      </c>
    </row>
    <row r="19" ht="54" customHeight="1">
      <c r="A19" s="472" t="inlineStr">
        <is>
          <t>AU-F004</t>
        </is>
      </c>
      <c r="B19" s="482" t="inlineStr">
        <is>
          <t>Financial Regulators</t>
        </is>
      </c>
      <c r="C19" s="469" t="inlineStr">
        <is>
          <t>Insurance Regulatory Compliance</t>
        </is>
      </c>
      <c r="D19" s="543" t="inlineStr">
        <is>
          <t>IAIC-COILAW; CCHI-HIR; SAMA-CSF</t>
        </is>
      </c>
      <c r="E19" s="470" t="inlineStr">
        <is>
          <t>SAMA/IAIC Supervisory Examination</t>
        </is>
      </c>
      <c r="F19" s="544" t="inlineStr">
        <is>
          <t>SAMA; IAIC; CCHI</t>
        </is>
      </c>
      <c r="G19" s="545" t="inlineStr">
        <is>
          <t>Annual</t>
        </is>
      </c>
      <c r="H19" s="546" t="inlineStr">
        <is>
          <t>All insurance companies (health, life, general, takaful)</t>
        </is>
      </c>
      <c r="I19" s="546" t="inlineStr">
        <is>
          <t>Licence certificate; actuarial reports; solvency evidence; reinsurance treaties; policy wordings; cybersecurity framework compliance</t>
        </is>
      </c>
      <c r="J19" s="542" t="inlineStr">
        <is>
          <t>CRITICAL</t>
        </is>
      </c>
      <c r="K19" s="467" t="inlineStr">
        <is>
          <t>15-20 d</t>
        </is>
      </c>
      <c r="L19" s="547" t="inlineStr">
        <is>
          <t>Annual SAMA/IAIC cycle</t>
        </is>
      </c>
      <c r="M19" s="674" t="inlineStr">
        <is>
          <t>Framework Verified?</t>
        </is>
      </c>
      <c r="N19" s="674" t="inlineStr">
        <is>
          <t>Linked KRI(s)</t>
        </is>
      </c>
      <c r="O19" s="674" t="inlineStr">
        <is>
          <t>Shahin AI Priority</t>
        </is>
      </c>
    </row>
    <row r="20" ht="54" customHeight="1">
      <c r="A20" s="476" t="inlineStr">
        <is>
          <t>AU-F005</t>
        </is>
      </c>
      <c r="B20" s="482" t="inlineStr">
        <is>
          <t>Financial Regulators</t>
        </is>
      </c>
      <c r="C20" s="45" t="inlineStr">
        <is>
          <t>Open Banking &amp; Payment Security Audit</t>
        </is>
      </c>
      <c r="D20" s="541" t="inlineStr">
        <is>
          <t>SAMA-OBF; SAMA-PSR; PCI-DSS</t>
        </is>
      </c>
      <c r="E20" s="44" t="inlineStr">
        <is>
          <t>Technical Security Assessment + SAMA</t>
        </is>
      </c>
      <c r="F20" s="441" t="inlineStr">
        <is>
          <t>SAMA; External PCI-QSA</t>
        </is>
      </c>
      <c r="G20" s="46" t="inlineStr">
        <is>
          <t>Annual</t>
        </is>
      </c>
      <c r="H20" s="495" t="inlineStr">
        <is>
          <t>Banks; Fintechs; Payment service providers</t>
        </is>
      </c>
      <c r="I20" s="495" t="inlineStr">
        <is>
          <t>API security assessment; PCI-DSS ROC; consumer consent management; third-party payment API audit</t>
        </is>
      </c>
      <c r="J20" s="548" t="inlineStr">
        <is>
          <t>HIGH</t>
        </is>
      </c>
      <c r="K20" s="42" t="inlineStr">
        <is>
          <t>10-15 d</t>
        </is>
      </c>
      <c r="L20" s="434" t="inlineStr">
        <is>
          <t>Annual</t>
        </is>
      </c>
      <c r="M20" s="591">
        <f>IF(COUNTIF('All 108 Regulators - Frameworks'!E$4:E$500,"*"&amp;LEFT(D20,FIND(";",D20&amp;";")-1)&amp;"*")&gt;0,"✅ VERIFIED","❌ NOT FOUND")</f>
        <v/>
      </c>
      <c r="N20" s="591">
        <f>IFERROR(INDEX('KRI Dashboard (All Sectors)'!A$2:A$43,MATCH("*"&amp;LEFT(D20,FIND(";",D20&amp;";")-1)&amp;"*",'KRI Dashboard (All Sectors)'!D$2:D$43,0)),"No linked KRI")</f>
        <v/>
      </c>
      <c r="O20" s="591">
        <f>IF(J20="CRITICAL","🔴 P1",IF(J20="HIGH","🟠 P2","🟡 P3"))</f>
        <v/>
      </c>
    </row>
    <row r="21" ht="54" customHeight="1">
      <c r="A21" s="472" t="inlineStr">
        <is>
          <t>AU-H001</t>
        </is>
      </c>
      <c r="B21" s="51" t="inlineStr">
        <is>
          <t>Healthcare &amp; Life Sciences</t>
        </is>
      </c>
      <c r="C21" s="469" t="inlineStr">
        <is>
          <t>NABIDH/EMR Interoperability Compliance</t>
        </is>
      </c>
      <c r="D21" s="543" t="inlineStr">
        <is>
          <t>MOH-HIS; MOH-EMR-NABIDH; NHIC-NABIDH</t>
        </is>
      </c>
      <c r="E21" s="470" t="inlineStr">
        <is>
          <t>Technical Test + MOH Audit</t>
        </is>
      </c>
      <c r="F21" s="544" t="inlineStr">
        <is>
          <t>NHIC; MOH DHI</t>
        </is>
      </c>
      <c r="G21" s="545" t="inlineStr">
        <is>
          <t>Annual; continuous connectivity monitoring</t>
        </is>
      </c>
      <c r="H21" s="546" t="inlineStr">
        <is>
          <t>All licensed healthcare facilities — hospitals, clinics, labs, pharmacies</t>
        </is>
      </c>
      <c r="I21" s="546" t="inlineStr">
        <is>
          <t>NABIDH connectivity certificate; API conformance; FHIR test results; data quality score</t>
        </is>
      </c>
      <c r="J21" s="542" t="inlineStr">
        <is>
          <t>CRITICAL</t>
        </is>
      </c>
      <c r="K21" s="467" t="inlineStr">
        <is>
          <t>5-10 d</t>
        </is>
      </c>
      <c r="L21" s="547" t="inlineStr">
        <is>
          <t>Annual MOH licence renewal</t>
        </is>
      </c>
      <c r="M21" s="674" t="inlineStr">
        <is>
          <t>Framework Verified?</t>
        </is>
      </c>
      <c r="N21" s="674" t="inlineStr">
        <is>
          <t>Linked KRI(s)</t>
        </is>
      </c>
      <c r="O21" s="674" t="inlineStr">
        <is>
          <t>Shahin AI Priority</t>
        </is>
      </c>
    </row>
    <row r="22" ht="54" customHeight="1">
      <c r="A22" s="476" t="inlineStr">
        <is>
          <t>AU-H002</t>
        </is>
      </c>
      <c r="B22" s="51" t="inlineStr">
        <is>
          <t>Healthcare &amp; Life Sciences</t>
        </is>
      </c>
      <c r="C22" s="45" t="inlineStr">
        <is>
          <t>Medical Device Registration &amp; PMS Audit</t>
        </is>
      </c>
      <c r="D22" s="541" t="inlineStr">
        <is>
          <t>SFDA-MDR; SFDA-PMS; SASO-PS</t>
        </is>
      </c>
      <c r="E22" s="44" t="inlineStr">
        <is>
          <t>SFDA Inspection + Internal Audit</t>
        </is>
      </c>
      <c r="F22" s="441" t="inlineStr">
        <is>
          <t>SFDA Inspectors; Internal MDO</t>
        </is>
      </c>
      <c r="G22" s="46" t="inlineStr">
        <is>
          <t>Pre-market + Annual post-market</t>
        </is>
      </c>
      <c r="H22" s="495" t="inlineStr">
        <is>
          <t>Hospitals; Clinics; Device manufacturers; Importers; Distributors</t>
        </is>
      </c>
      <c r="I22" s="495" t="inlineStr">
        <is>
          <t>SFDA registration certificates; UDID database; adverse event reports; FSCA completion; device inventory; SABER certificates</t>
        </is>
      </c>
      <c r="J22" s="542" t="inlineStr">
        <is>
          <t>CRITICAL</t>
        </is>
      </c>
      <c r="K22" s="42" t="inlineStr">
        <is>
          <t>10-20 d</t>
        </is>
      </c>
      <c r="L22" s="434" t="inlineStr">
        <is>
          <t>Pre-market: before deployment</t>
        </is>
      </c>
      <c r="M22" s="591">
        <f>IF(COUNTIF('All 108 Regulators - Frameworks'!E$4:E$500,"*"&amp;LEFT(D22,FIND(";",D22&amp;";")-1)&amp;"*")&gt;0,"✅ VERIFIED","❌ NOT FOUND")</f>
        <v/>
      </c>
      <c r="N22" s="591">
        <f>IFERROR(INDEX('KRI Dashboard (All Sectors)'!A$2:A$43,MATCH("*"&amp;LEFT(D22,FIND(";",D22&amp;";")-1)&amp;"*",'KRI Dashboard (All Sectors)'!D$2:D$43,0)),"No linked KRI")</f>
        <v/>
      </c>
      <c r="O22" s="591">
        <f>IF(J22="CRITICAL","🔴 P1",IF(J22="HIGH","🟠 P2","🟡 P3"))</f>
        <v/>
      </c>
    </row>
    <row r="23" ht="54" customHeight="1">
      <c r="A23" s="472" t="inlineStr">
        <is>
          <t>AU-H003</t>
        </is>
      </c>
      <c r="B23" s="51" t="inlineStr">
        <is>
          <t>Healthcare &amp; Life Sciences</t>
        </is>
      </c>
      <c r="C23" s="469" t="inlineStr">
        <is>
          <t>CBAHI Accreditation Survey</t>
        </is>
      </c>
      <c r="D23" s="543" t="inlineStr">
        <is>
          <t>CBAHI-HAS-H; CBAHI-HAS-PHC</t>
        </is>
      </c>
      <c r="E23" s="470" t="inlineStr">
        <is>
          <t>CBAHI Survey</t>
        </is>
      </c>
      <c r="F23" s="544" t="inlineStr">
        <is>
          <t>CBAHI Survey Teams</t>
        </is>
      </c>
      <c r="G23" s="545" t="inlineStr">
        <is>
          <t>Full: 3yr; Midterm: 18 months</t>
        </is>
      </c>
      <c r="H23" s="546" t="inlineStr">
        <is>
          <t>Hospitals; PHC centres; Laboratories; Ambulatory centres</t>
        </is>
      </c>
      <c r="I23" s="546" t="inlineStr">
        <is>
          <t>Policy docs; staff credential files; quality committee minutes; HIT audit; patient satisfaction; incident reports</t>
        </is>
      </c>
      <c r="J23" s="548" t="inlineStr">
        <is>
          <t>HIGH</t>
        </is>
      </c>
      <c r="K23" s="467" t="inlineStr">
        <is>
          <t>5-7 d</t>
        </is>
      </c>
      <c r="L23" s="547" t="inlineStr">
        <is>
          <t>3yr accreditation cycle</t>
        </is>
      </c>
      <c r="M23" s="674" t="inlineStr">
        <is>
          <t>Framework Verified?</t>
        </is>
      </c>
      <c r="N23" s="674" t="inlineStr">
        <is>
          <t>Linked KRI(s)</t>
        </is>
      </c>
      <c r="O23" s="674" t="inlineStr">
        <is>
          <t>Shahin AI Priority</t>
        </is>
      </c>
    </row>
    <row r="24" ht="54" customHeight="1">
      <c r="A24" s="476" t="inlineStr">
        <is>
          <t>AU-H004</t>
        </is>
      </c>
      <c r="B24" s="51" t="inlineStr">
        <is>
          <t>Healthcare &amp; Life Sciences</t>
        </is>
      </c>
      <c r="C24" s="45" t="inlineStr">
        <is>
          <t>Health Insurance CCHI Compliance</t>
        </is>
      </c>
      <c r="D24" s="541" t="inlineStr">
        <is>
          <t>CCHI-HIR; CCHI-UBP; CCHI-DCS</t>
        </is>
      </c>
      <c r="E24" s="44" t="inlineStr">
        <is>
          <t>CCHI Audit</t>
        </is>
      </c>
      <c r="F24" s="441" t="inlineStr">
        <is>
          <t>CCHI Compliance Dept</t>
        </is>
      </c>
      <c r="G24" s="46" t="inlineStr">
        <is>
          <t>Annual</t>
        </is>
      </c>
      <c r="H24" s="495" t="inlineStr">
        <is>
          <t>Health insurers; all employers with staff insurance obligations; providers in insurance networks</t>
        </is>
      </c>
      <c r="I24" s="495" t="inlineStr">
        <is>
          <t>CCHI licence; UBP checklist; e-claims system; provider network adequacy; fraud detection records</t>
        </is>
      </c>
      <c r="J24" s="548" t="inlineStr">
        <is>
          <t>HIGH</t>
        </is>
      </c>
      <c r="K24" s="42" t="inlineStr">
        <is>
          <t>10-15 d</t>
        </is>
      </c>
      <c r="L24" s="434" t="inlineStr">
        <is>
          <t>Annual licence renewal</t>
        </is>
      </c>
      <c r="M24" s="591">
        <f>IF(COUNTIF('All 108 Regulators - Frameworks'!E$4:E$500,"*"&amp;LEFT(D24,FIND(";",D24&amp;";")-1)&amp;"*")&gt;0,"✅ VERIFIED","❌ NOT FOUND")</f>
        <v/>
      </c>
      <c r="N24" s="591">
        <f>IFERROR(INDEX('KRI Dashboard (All Sectors)'!A$2:A$43,MATCH("*"&amp;LEFT(D24,FIND(";",D24&amp;";")-1)&amp;"*",'KRI Dashboard (All Sectors)'!D$2:D$43,0)),"No linked KRI")</f>
        <v/>
      </c>
      <c r="O24" s="591">
        <f>IF(J24="CRITICAL","🔴 P1",IF(J24="HIGH","🟠 P2","🟡 P3"))</f>
        <v/>
      </c>
    </row>
    <row r="25" ht="54" customHeight="1">
      <c r="A25" s="472" t="inlineStr">
        <is>
          <t>AU-H005</t>
        </is>
      </c>
      <c r="B25" s="51" t="inlineStr">
        <is>
          <t>Healthcare &amp; Life Sciences</t>
        </is>
      </c>
      <c r="C25" s="469" t="inlineStr">
        <is>
          <t>Telemedicine Platform Licence Audit</t>
        </is>
      </c>
      <c r="D25" s="543" t="inlineStr">
        <is>
          <t>MOH-TELE; CST-DPS; PDPL</t>
        </is>
      </c>
      <c r="E25" s="470" t="inlineStr">
        <is>
          <t>MOH Licence Audit + Security Assessment</t>
        </is>
      </c>
      <c r="F25" s="544" t="inlineStr">
        <is>
          <t>MOH eHealth; CST; CCHI</t>
        </is>
      </c>
      <c r="G25" s="545" t="inlineStr">
        <is>
          <t>Annual</t>
        </is>
      </c>
      <c r="H25" s="546" t="inlineStr">
        <is>
          <t>All licensed telemedicine platform operators</t>
        </is>
      </c>
      <c r="I25" s="546" t="inlineStr">
        <is>
          <t>Platform licence; consent records; identity verification logs; NABIDH integration; CCHI insurance coverage</t>
        </is>
      </c>
      <c r="J25" s="548" t="inlineStr">
        <is>
          <t>HIGH</t>
        </is>
      </c>
      <c r="K25" s="467" t="inlineStr">
        <is>
          <t>5-10 d</t>
        </is>
      </c>
      <c r="L25" s="547" t="inlineStr">
        <is>
          <t>Annual MOH licence renewal</t>
        </is>
      </c>
      <c r="M25" s="674" t="inlineStr">
        <is>
          <t>Framework Verified?</t>
        </is>
      </c>
      <c r="N25" s="674" t="inlineStr">
        <is>
          <t>Linked KRI(s)</t>
        </is>
      </c>
      <c r="O25" s="674" t="inlineStr">
        <is>
          <t>Shahin AI Priority</t>
        </is>
      </c>
    </row>
    <row r="26" ht="54" customHeight="1">
      <c r="A26" s="476" t="inlineStr">
        <is>
          <t>AU-H006</t>
        </is>
      </c>
      <c r="B26" s="51" t="inlineStr">
        <is>
          <t>Healthcare &amp; Life Sciences</t>
        </is>
      </c>
      <c r="C26" s="45" t="inlineStr">
        <is>
          <t>Clinical Professional Licensing Audit</t>
        </is>
      </c>
      <c r="D26" s="541" t="inlineStr">
        <is>
          <t>SCFHS-PLF; SCFHS-CPD; MHRSD-NITAQAT</t>
        </is>
      </c>
      <c r="E26" s="44" t="inlineStr">
        <is>
          <t>SCFHS Verification + HR Audit</t>
        </is>
      </c>
      <c r="F26" s="441" t="inlineStr">
        <is>
          <t>SCFHS; Internal HR</t>
        </is>
      </c>
      <c r="G26" s="46" t="inlineStr">
        <is>
          <t>Monthly (licence check); Annual (HR audit)</t>
        </is>
      </c>
      <c r="H26" s="495" t="inlineStr">
        <is>
          <t>All healthcare employers — hospitals, clinics, labs, pharmacies</t>
        </is>
      </c>
      <c r="I26" s="495" t="inlineStr">
        <is>
          <t>SCFHS licence currency for all clinical staff; CPD records; revalidation status; Qiwa Saudisation</t>
        </is>
      </c>
      <c r="J26" s="542" t="inlineStr">
        <is>
          <t>CRITICAL</t>
        </is>
      </c>
      <c r="K26" s="42" t="inlineStr">
        <is>
          <t>2-3 (HR audit) d</t>
        </is>
      </c>
      <c r="L26" s="434" t="inlineStr">
        <is>
          <t>Monthly licence check; Annual formal audit</t>
        </is>
      </c>
      <c r="M26" s="591">
        <f>IF(COUNTIF('All 108 Regulators - Frameworks'!E$4:E$500,"*"&amp;LEFT(D26,FIND(";",D26&amp;";")-1)&amp;"*")&gt;0,"✅ VERIFIED","❌ NOT FOUND")</f>
        <v/>
      </c>
      <c r="N26" s="591">
        <f>IFERROR(INDEX('KRI Dashboard (All Sectors)'!A$2:A$43,MATCH("*"&amp;LEFT(D26,FIND(";",D26&amp;";")-1)&amp;"*",'KRI Dashboard (All Sectors)'!D$2:D$43,0)),"No linked KRI")</f>
        <v/>
      </c>
      <c r="O26" s="591">
        <f>IF(J26="CRITICAL","🔴 P1",IF(J26="HIGH","🟠 P2","🟡 P3"))</f>
        <v/>
      </c>
    </row>
    <row r="27" ht="54" customHeight="1">
      <c r="A27" s="472" t="inlineStr">
        <is>
          <t>AU-H007</t>
        </is>
      </c>
      <c r="B27" s="51" t="inlineStr">
        <is>
          <t>Healthcare &amp; Life Sciences</t>
        </is>
      </c>
      <c r="C27" s="469" t="inlineStr">
        <is>
          <t>AI Medical Device Governance Audit</t>
        </is>
      </c>
      <c r="D27" s="543" t="inlineStr">
        <is>
          <t>SFDA-AI-MDS-G010; SDAIA-AI-ETH</t>
        </is>
      </c>
      <c r="E27" s="470" t="inlineStr">
        <is>
          <t>Pre-Market + Post-Market Performance Review</t>
        </is>
      </c>
      <c r="F27" s="544" t="inlineStr">
        <is>
          <t>SFDA AI Unit; Internal AI Safety Officer</t>
        </is>
      </c>
      <c r="G27" s="545" t="inlineStr">
        <is>
          <t>Pre-deployment + Quarterly monitoring</t>
        </is>
      </c>
      <c r="H27" s="546" t="inlineStr">
        <is>
          <t>All entities deploying AI diagnostics/therapeutic devices</t>
        </is>
      </c>
      <c r="I27" s="546" t="inlineStr">
        <is>
          <t>Algorithm validation; PCCP; real-world performance data; clinician training; adverse event log</t>
        </is>
      </c>
      <c r="J27" s="548" t="inlineStr">
        <is>
          <t>HIGH</t>
        </is>
      </c>
      <c r="K27" s="467" t="inlineStr">
        <is>
          <t>10-15 d</t>
        </is>
      </c>
      <c r="L27" s="547" t="inlineStr">
        <is>
          <t>Pre-deployment; Quarterly monitoring</t>
        </is>
      </c>
      <c r="M27" s="674" t="inlineStr">
        <is>
          <t>Framework Verified?</t>
        </is>
      </c>
      <c r="N27" s="674" t="inlineStr">
        <is>
          <t>Linked KRI(s)</t>
        </is>
      </c>
      <c r="O27" s="674" t="inlineStr">
        <is>
          <t>Shahin AI Priority</t>
        </is>
      </c>
    </row>
    <row r="28" ht="54" customHeight="1">
      <c r="A28" s="476" t="inlineStr">
        <is>
          <t>AU-E001</t>
        </is>
      </c>
      <c r="B28" s="550" t="inlineStr">
        <is>
          <t>Energy &amp; Utilities</t>
        </is>
      </c>
      <c r="C28" s="45" t="inlineStr">
        <is>
          <t>Electricity Regulatory Compliance</t>
        </is>
      </c>
      <c r="D28" s="541" t="inlineStr">
        <is>
          <t>ECRA-EL; ECRA-GRID</t>
        </is>
      </c>
      <c r="E28" s="44" t="inlineStr">
        <is>
          <t>ECRA Regulatory Inspection</t>
        </is>
      </c>
      <c r="F28" s="441" t="inlineStr">
        <is>
          <t>ECRA</t>
        </is>
      </c>
      <c r="G28" s="46" t="inlineStr">
        <is>
          <t>Annual + triggered</t>
        </is>
      </c>
      <c r="H28" s="495" t="inlineStr">
        <is>
          <t>Electricity generators; distributors; large consumers (hospitals, factories, airports)</t>
        </is>
      </c>
      <c r="I28" s="495" t="inlineStr">
        <is>
          <t>Electricity licence; metering accuracy; tariff compliance; grid connection agreement; outage reporting</t>
        </is>
      </c>
      <c r="J28" s="548" t="inlineStr">
        <is>
          <t>HIGH</t>
        </is>
      </c>
      <c r="K28" s="42" t="inlineStr">
        <is>
          <t>5-10 d</t>
        </is>
      </c>
      <c r="L28" s="434" t="inlineStr">
        <is>
          <t>Annual licence renewal</t>
        </is>
      </c>
      <c r="M28" s="591">
        <f>IF(COUNTIF('All 108 Regulators - Frameworks'!E$4:E$500,"*"&amp;LEFT(D28,FIND(";",D28&amp;";")-1)&amp;"*")&gt;0,"✅ VERIFIED","❌ NOT FOUND")</f>
        <v/>
      </c>
      <c r="N28" s="591">
        <f>IFERROR(INDEX('KRI Dashboard (All Sectors)'!A$2:A$43,MATCH("*"&amp;LEFT(D28,FIND(";",D28&amp;";")-1)&amp;"*",'KRI Dashboard (All Sectors)'!D$2:D$43,0)),"No linked KRI")</f>
        <v/>
      </c>
      <c r="O28" s="591">
        <f>IF(J28="CRITICAL","🔴 P1",IF(J28="HIGH","🟠 P2","🟡 P3"))</f>
        <v/>
      </c>
    </row>
    <row r="29" ht="54" customHeight="1">
      <c r="A29" s="472" t="inlineStr">
        <is>
          <t>AU-E002</t>
        </is>
      </c>
      <c r="B29" s="550" t="inlineStr">
        <is>
          <t>Energy &amp; Utilities</t>
        </is>
      </c>
      <c r="C29" s="469" t="inlineStr">
        <is>
          <t>OT/SCADA Critical Infrastructure Audit</t>
        </is>
      </c>
      <c r="D29" s="543" t="inlineStr">
        <is>
          <t>NCA-OTCC; IEC-62443; MOENER-EL</t>
        </is>
      </c>
      <c r="E29" s="470" t="inlineStr">
        <is>
          <t>OT Technical Assessment</t>
        </is>
      </c>
      <c r="F29" s="544" t="inlineStr">
        <is>
          <t>NCA OT Specialists; Sector regulator (ECRA/KACARE)</t>
        </is>
      </c>
      <c r="G29" s="545" t="inlineStr">
        <is>
          <t>Annual; NCA biennial</t>
        </is>
      </c>
      <c r="H29" s="546" t="inlineStr">
        <is>
          <t>Power plants; water treatment; desalination; pipelines; grid control centres — all energy CNI</t>
        </is>
      </c>
      <c r="I29" s="546" t="inlineStr">
        <is>
          <t>OT asset inventory; SCADA network diagrams; patch compliance; vendor access logs; OTCC self-assessment</t>
        </is>
      </c>
      <c r="J29" s="542" t="inlineStr">
        <is>
          <t>CRITICAL</t>
        </is>
      </c>
      <c r="K29" s="467" t="inlineStr">
        <is>
          <t>20-30 d</t>
        </is>
      </c>
      <c r="L29" s="547" t="inlineStr">
        <is>
          <t>Biennial NCA; Annual internal</t>
        </is>
      </c>
      <c r="M29" s="674" t="inlineStr">
        <is>
          <t>Framework Verified?</t>
        </is>
      </c>
      <c r="N29" s="674" t="inlineStr">
        <is>
          <t>Linked KRI(s)</t>
        </is>
      </c>
      <c r="O29" s="674" t="inlineStr">
        <is>
          <t>Shahin AI Priority</t>
        </is>
      </c>
    </row>
    <row r="30" ht="54" customHeight="1">
      <c r="A30" s="476" t="inlineStr">
        <is>
          <t>AU-E003</t>
        </is>
      </c>
      <c r="B30" s="550" t="inlineStr">
        <is>
          <t>Energy &amp; Utilities</t>
        </is>
      </c>
      <c r="C30" s="45" t="inlineStr">
        <is>
          <t>Nuclear &amp; Radiation Safety Compliance</t>
        </is>
      </c>
      <c r="D30" s="541" t="inlineStr">
        <is>
          <t>KACARE-NRL; KACARE-RPR; IAEA safeguards</t>
        </is>
      </c>
      <c r="E30" s="44" t="inlineStr">
        <is>
          <t>KACARE Inspection + IAEA Review</t>
        </is>
      </c>
      <c r="F30" s="441" t="inlineStr">
        <is>
          <t>KACARE; IAEA</t>
        </is>
      </c>
      <c r="G30" s="46" t="inlineStr">
        <is>
          <t>Annual</t>
        </is>
      </c>
      <c r="H30" s="495" t="inlineStr">
        <is>
          <t>Nuclear medicine facilities; radiation therapy centres; industrial radiation users</t>
        </is>
      </c>
      <c r="I30" s="495" t="inlineStr">
        <is>
          <t>Radiation source register; licence; dosimetry records; emergency plan; KACARE inspection certificate; IAEA safeguards agreement</t>
        </is>
      </c>
      <c r="J30" s="542" t="inlineStr">
        <is>
          <t>CRITICAL</t>
        </is>
      </c>
      <c r="K30" s="42" t="inlineStr">
        <is>
          <t>5-10 d</t>
        </is>
      </c>
      <c r="L30" s="434" t="inlineStr">
        <is>
          <t>Annual; IAEA reporting cycle</t>
        </is>
      </c>
      <c r="M30" s="591">
        <f>IF(COUNTIF('All 108 Regulators - Frameworks'!E$4:E$500,"*"&amp;LEFT(D30,FIND(";",D30&amp;";")-1)&amp;"*")&gt;0,"✅ VERIFIED","❌ NOT FOUND")</f>
        <v/>
      </c>
      <c r="N30" s="591">
        <f>IFERROR(INDEX('KRI Dashboard (All Sectors)'!A$2:A$43,MATCH("*"&amp;LEFT(D30,FIND(";",D30&amp;";")-1)&amp;"*",'KRI Dashboard (All Sectors)'!D$2:D$43,0)),"No linked KRI")</f>
        <v/>
      </c>
      <c r="O30" s="591">
        <f>IF(J30="CRITICAL","🔴 P1",IF(J30="HIGH","🟠 P2","🟡 P3"))</f>
        <v/>
      </c>
    </row>
    <row r="31" ht="54" customHeight="1">
      <c r="A31" s="472" t="inlineStr">
        <is>
          <t>AU-E004</t>
        </is>
      </c>
      <c r="B31" s="550" t="inlineStr">
        <is>
          <t>Energy &amp; Utilities</t>
        </is>
      </c>
      <c r="C31" s="469" t="inlineStr">
        <is>
          <t>Water Safety &amp; Quality Compliance</t>
        </is>
      </c>
      <c r="D31" s="543" t="inlineStr">
        <is>
          <t>NWC-WQ; SWCC-WS; MEWA-WL</t>
        </is>
      </c>
      <c r="E31" s="470" t="inlineStr">
        <is>
          <t>Quality Audit + Regulatory Inspection</t>
        </is>
      </c>
      <c r="F31" s="544" t="inlineStr">
        <is>
          <t>MEWA; NWC; Municipality</t>
        </is>
      </c>
      <c r="G31" s="545" t="inlineStr">
        <is>
          <t>Monthly (water quality testing); Annual (regulatory)</t>
        </is>
      </c>
      <c r="H31" s="546" t="inlineStr">
        <is>
          <t>Desalination plants; water networks; distribution companies</t>
        </is>
      </c>
      <c r="I31" s="546" t="inlineStr">
        <is>
          <t>Water quality test results; treatment records; distribution system maintenance; consumer complaint log; supply continuity report</t>
        </is>
      </c>
      <c r="J31" s="542" t="inlineStr">
        <is>
          <t>CRITICAL</t>
        </is>
      </c>
      <c r="K31" s="467" t="inlineStr">
        <is>
          <t>3-5 d</t>
        </is>
      </c>
      <c r="L31" s="547" t="inlineStr">
        <is>
          <t>Monthly testing; Annual audit</t>
        </is>
      </c>
      <c r="M31" s="674" t="inlineStr">
        <is>
          <t>Framework Verified?</t>
        </is>
      </c>
      <c r="N31" s="674" t="inlineStr">
        <is>
          <t>Linked KRI(s)</t>
        </is>
      </c>
      <c r="O31" s="674" t="inlineStr">
        <is>
          <t>Shahin AI Priority</t>
        </is>
      </c>
    </row>
    <row r="32" ht="54" customHeight="1">
      <c r="A32" s="476" t="inlineStr">
        <is>
          <t>AU-T001</t>
        </is>
      </c>
      <c r="B32" s="551" t="inlineStr">
        <is>
          <t>ICT / Digital / Telecom</t>
        </is>
      </c>
      <c r="C32" s="45" t="inlineStr">
        <is>
          <t>ICT/Telecom Regulatory Compliance</t>
        </is>
      </c>
      <c r="D32" s="541" t="inlineStr">
        <is>
          <t>CST-TITA; CST-CSRF; CST-CYBER-OPS</t>
        </is>
      </c>
      <c r="E32" s="44" t="inlineStr">
        <is>
          <t>CST Regulatory Audit</t>
        </is>
      </c>
      <c r="F32" s="441" t="inlineStr">
        <is>
          <t>CST Technical Regulation Dept</t>
        </is>
      </c>
      <c r="G32" s="46" t="inlineStr">
        <is>
          <t>Annual; triggered by incident</t>
        </is>
      </c>
      <c r="H32" s="495" t="inlineStr">
        <is>
          <t>Telecom operators (STC, Mobily, Zain); ISPs; ICT service providers</t>
        </is>
      </c>
      <c r="I32" s="495" t="inlineStr">
        <is>
          <t>Telecom licence; CST cybersecurity framework compliance; network resilience evidence; incident reports; consumer SLA compliance</t>
        </is>
      </c>
      <c r="J32" s="542" t="inlineStr">
        <is>
          <t>CRITICAL</t>
        </is>
      </c>
      <c r="K32" s="42" t="inlineStr">
        <is>
          <t>10-20 d</t>
        </is>
      </c>
      <c r="L32" s="434" t="inlineStr">
        <is>
          <t>Annual licence renewal</t>
        </is>
      </c>
      <c r="M32" s="591">
        <f>IF(COUNTIF('All 108 Regulators - Frameworks'!E$4:E$500,"*"&amp;LEFT(D32,FIND(";",D32&amp;";")-1)&amp;"*")&gt;0,"✅ VERIFIED","❌ NOT FOUND")</f>
        <v/>
      </c>
      <c r="N32" s="591">
        <f>IFERROR(INDEX('KRI Dashboard (All Sectors)'!A$2:A$43,MATCH("*"&amp;LEFT(D32,FIND(";",D32&amp;";")-1)&amp;"*",'KRI Dashboard (All Sectors)'!D$2:D$43,0)),"No linked KRI")</f>
        <v/>
      </c>
      <c r="O32" s="591">
        <f>IF(J32="CRITICAL","🔴 P1",IF(J32="HIGH","🟠 P2","🟡 P3"))</f>
        <v/>
      </c>
    </row>
    <row r="33" ht="54" customHeight="1">
      <c r="A33" s="472" t="inlineStr">
        <is>
          <t>AU-T002</t>
        </is>
      </c>
      <c r="B33" s="551" t="inlineStr">
        <is>
          <t>ICT / Digital / Telecom</t>
        </is>
      </c>
      <c r="C33" s="469" t="inlineStr">
        <is>
          <t>Cloud Provider Regulatory Audit</t>
        </is>
      </c>
      <c r="D33" s="543" t="inlineStr">
        <is>
          <t>CST-CCR; NCA-CCC; DGA-CFP</t>
        </is>
      </c>
      <c r="E33" s="470" t="inlineStr">
        <is>
          <t>Cloud Licensing + Security Assessment</t>
        </is>
      </c>
      <c r="F33" s="544" t="inlineStr">
        <is>
          <t>CST; NCA; DGA</t>
        </is>
      </c>
      <c r="G33" s="545" t="inlineStr">
        <is>
          <t>Annual</t>
        </is>
      </c>
      <c r="H33" s="546" t="inlineStr">
        <is>
          <t>Cloud service providers operating in KSA (AWS, Azure, Google, STC Cloud, Alibaba Cloud)</t>
        </is>
      </c>
      <c r="I33" s="546" t="inlineStr">
        <is>
          <t>Cloud licence (CST); NCA CCC compliance; data residency evidence; data center security; SLA reports; DGA Cloud First approval</t>
        </is>
      </c>
      <c r="J33" s="542" t="inlineStr">
        <is>
          <t>CRITICAL</t>
        </is>
      </c>
      <c r="K33" s="467" t="inlineStr">
        <is>
          <t>10-15 d</t>
        </is>
      </c>
      <c r="L33" s="547" t="inlineStr">
        <is>
          <t>Annual CST licence renewal</t>
        </is>
      </c>
      <c r="M33" s="674" t="inlineStr">
        <is>
          <t>Framework Verified?</t>
        </is>
      </c>
      <c r="N33" s="674" t="inlineStr">
        <is>
          <t>Linked KRI(s)</t>
        </is>
      </c>
      <c r="O33" s="674" t="inlineStr">
        <is>
          <t>Shahin AI Priority</t>
        </is>
      </c>
    </row>
    <row r="34" ht="54" customHeight="1">
      <c r="A34" s="476" t="inlineStr">
        <is>
          <t>AU-T003</t>
        </is>
      </c>
      <c r="B34" s="551" t="inlineStr">
        <is>
          <t>ICT / Digital / Telecom</t>
        </is>
      </c>
      <c r="C34" s="45" t="inlineStr">
        <is>
          <t>Digital Platform &amp; Content Compliance</t>
        </is>
      </c>
      <c r="D34" s="541" t="inlineStr">
        <is>
          <t>CST-DPS; MOCI-ECL; PDPL</t>
        </is>
      </c>
      <c r="E34" s="44" t="inlineStr">
        <is>
          <t>CST Audit + MOC Review</t>
        </is>
      </c>
      <c r="F34" s="441" t="inlineStr">
        <is>
          <t>CST; MOC (content); MOCI</t>
        </is>
      </c>
      <c r="G34" s="46" t="inlineStr">
        <is>
          <t>Annual</t>
        </is>
      </c>
      <c r="H34" s="495" t="inlineStr">
        <is>
          <t>Digital content platforms; streaming; social media; e-commerce; health apps; telemedicine platforms</t>
        </is>
      </c>
      <c r="I34" s="495" t="inlineStr">
        <is>
          <t>Platform licence; content moderation records; data localisation evidence; consumer complaints log; accessibility compliance</t>
        </is>
      </c>
      <c r="J34" s="548" t="inlineStr">
        <is>
          <t>HIGH</t>
        </is>
      </c>
      <c r="K34" s="42" t="inlineStr">
        <is>
          <t>5-10 d</t>
        </is>
      </c>
      <c r="L34" s="434" t="inlineStr">
        <is>
          <t>Annual; CST triggered</t>
        </is>
      </c>
      <c r="M34" s="591">
        <f>IF(COUNTIF('All 108 Regulators - Frameworks'!E$4:E$500,"*"&amp;LEFT(D34,FIND(";",D34&amp;";")-1)&amp;"*")&gt;0,"✅ VERIFIED","❌ NOT FOUND")</f>
        <v/>
      </c>
      <c r="N34" s="591">
        <f>IFERROR(INDEX('KRI Dashboard (All Sectors)'!A$2:A$43,MATCH("*"&amp;LEFT(D34,FIND(";",D34&amp;";")-1)&amp;"*",'KRI Dashboard (All Sectors)'!D$2:D$43,0)),"No linked KRI")</f>
        <v/>
      </c>
      <c r="O34" s="591">
        <f>IF(J34="CRITICAL","🔴 P1",IF(J34="HIGH","🟠 P2","🟡 P3"))</f>
        <v/>
      </c>
    </row>
    <row r="35" ht="54" customHeight="1">
      <c r="A35" s="472" t="inlineStr">
        <is>
          <t>AU-T004</t>
        </is>
      </c>
      <c r="B35" s="551" t="inlineStr">
        <is>
          <t>ICT / Digital / Telecom</t>
        </is>
      </c>
      <c r="C35" s="469" t="inlineStr">
        <is>
          <t>IoT Device Type Approval Audit</t>
        </is>
      </c>
      <c r="D35" s="543" t="inlineStr">
        <is>
          <t>CST-IOT; SASO-PS; NCA-OTCC</t>
        </is>
      </c>
      <c r="E35" s="470" t="inlineStr">
        <is>
          <t>Pre-Market Type Approval + Market Surveillance</t>
        </is>
      </c>
      <c r="F35" s="544" t="inlineStr">
        <is>
          <t>CST Technical; SASO</t>
        </is>
      </c>
      <c r="G35" s="545" t="inlineStr">
        <is>
          <t>Pre-market; Annual market surveillance</t>
        </is>
      </c>
      <c r="H35" s="546" t="inlineStr">
        <is>
          <t>IoT device manufacturers; importers — all sectors (medical, industrial, consumer, agricultural)</t>
        </is>
      </c>
      <c r="I35" s="546" t="inlineStr">
        <is>
          <t>CST type approval certificate; SABER conformity; EMC test report; cybersecurity test (ETSI EN 303 645); device technical file</t>
        </is>
      </c>
      <c r="J35" s="548" t="inlineStr">
        <is>
          <t>HIGH</t>
        </is>
      </c>
      <c r="K35" s="467" t="inlineStr">
        <is>
          <t>5-10 (per device model) d</t>
        </is>
      </c>
      <c r="L35" s="547" t="inlineStr">
        <is>
          <t>Pre-market before sale</t>
        </is>
      </c>
      <c r="M35" s="674" t="inlineStr">
        <is>
          <t>Framework Verified?</t>
        </is>
      </c>
      <c r="N35" s="674" t="inlineStr">
        <is>
          <t>Linked KRI(s)</t>
        </is>
      </c>
      <c r="O35" s="674" t="inlineStr">
        <is>
          <t>Shahin AI Priority</t>
        </is>
      </c>
    </row>
    <row r="36" ht="54" customHeight="1">
      <c r="A36" s="476" t="inlineStr">
        <is>
          <t>AU-I001</t>
        </is>
      </c>
      <c r="B36" s="552" t="inlineStr">
        <is>
          <t>Industry &amp; Trade</t>
        </is>
      </c>
      <c r="C36" s="45" t="inlineStr">
        <is>
          <t>Industrial Facility Compliance</t>
        </is>
      </c>
      <c r="D36" s="541" t="inlineStr">
        <is>
          <t>MIM-IL; MODON-IL; RCJY-ICS; OSH-REGS</t>
        </is>
      </c>
      <c r="E36" s="44" t="inlineStr">
        <is>
          <t>MODON/RCJY Inspection + MHRSD OSH</t>
        </is>
      </c>
      <c r="F36" s="441" t="inlineStr">
        <is>
          <t>MODON; RCJY; MHRSD</t>
        </is>
      </c>
      <c r="G36" s="46" t="inlineStr">
        <is>
          <t>Annual</t>
        </is>
      </c>
      <c r="H36" s="495" t="inlineStr">
        <is>
          <t>Industrial zone tenants — manufacturing, pharma, device, food, chemical</t>
        </is>
      </c>
      <c r="I36" s="495" t="inlineStr">
        <is>
          <t>Industrial licence; environmental compliance; OSH committee records; fire safety; worker health monitoring</t>
        </is>
      </c>
      <c r="J36" s="548" t="inlineStr">
        <is>
          <t>HIGH</t>
        </is>
      </c>
      <c r="K36" s="42" t="inlineStr">
        <is>
          <t>5-10 d</t>
        </is>
      </c>
      <c r="L36" s="434" t="inlineStr">
        <is>
          <t>Annual licence renewal</t>
        </is>
      </c>
      <c r="M36" s="591">
        <f>IF(COUNTIF('All 108 Regulators - Frameworks'!E$4:E$500,"*"&amp;LEFT(D36,FIND(";",D36&amp;";")-1)&amp;"*")&gt;0,"✅ VERIFIED","❌ NOT FOUND")</f>
        <v/>
      </c>
      <c r="N36" s="591">
        <f>IFERROR(INDEX('KRI Dashboard (All Sectors)'!A$2:A$43,MATCH("*"&amp;LEFT(D36,FIND(";",D36&amp;";")-1)&amp;"*",'KRI Dashboard (All Sectors)'!D$2:D$43,0)),"No linked KRI")</f>
        <v/>
      </c>
      <c r="O36" s="591">
        <f>IF(J36="CRITICAL","🔴 P1",IF(J36="HIGH","🟠 P2","🟡 P3"))</f>
        <v/>
      </c>
    </row>
    <row r="37" ht="54" customHeight="1">
      <c r="A37" s="472" t="inlineStr">
        <is>
          <t>AU-I002</t>
        </is>
      </c>
      <c r="B37" s="552" t="inlineStr">
        <is>
          <t>Industry &amp; Trade</t>
        </is>
      </c>
      <c r="C37" s="469" t="inlineStr">
        <is>
          <t>Product Conformity &amp; Safety Audit</t>
        </is>
      </c>
      <c r="D37" s="543" t="inlineStr">
        <is>
          <t>SASO-PS; SASO-SABER; SFDA-MDR (devices)</t>
        </is>
      </c>
      <c r="E37" s="470" t="inlineStr">
        <is>
          <t>SABER Compliance + SASO Market Surveillance</t>
        </is>
      </c>
      <c r="F37" s="544" t="inlineStr">
        <is>
          <t>SASO; SFDA</t>
        </is>
      </c>
      <c r="G37" s="545" t="inlineStr">
        <is>
          <t>Pre-market; Continuous surveillance</t>
        </is>
      </c>
      <c r="H37" s="546" t="inlineStr">
        <is>
          <t>All manufacturers and importers of regulated products — all sectors</t>
        </is>
      </c>
      <c r="I37" s="546" t="inlineStr">
        <is>
          <t>SABER registration; conformity certificates; test reports; product technical files; SFDA registration (medical devices)</t>
        </is>
      </c>
      <c r="J37" s="548" t="inlineStr">
        <is>
          <t>HIGH</t>
        </is>
      </c>
      <c r="K37" s="467" t="inlineStr">
        <is>
          <t>5-10 d</t>
        </is>
      </c>
      <c r="L37" s="547" t="inlineStr">
        <is>
          <t>Pre-market; SABER renewal annual</t>
        </is>
      </c>
      <c r="M37" s="674" t="inlineStr">
        <is>
          <t>Framework Verified?</t>
        </is>
      </c>
      <c r="N37" s="674" t="inlineStr">
        <is>
          <t>Linked KRI(s)</t>
        </is>
      </c>
      <c r="O37" s="674" t="inlineStr">
        <is>
          <t>Shahin AI Priority</t>
        </is>
      </c>
    </row>
    <row r="38" ht="54" customHeight="1">
      <c r="A38" s="476" t="inlineStr">
        <is>
          <t>AU-I003</t>
        </is>
      </c>
      <c r="B38" s="552" t="inlineStr">
        <is>
          <t>Industry &amp; Trade</t>
        </is>
      </c>
      <c r="C38" s="45" t="inlineStr">
        <is>
          <t>Intellectual Property Compliance</t>
        </is>
      </c>
      <c r="D38" s="541" t="inlineStr">
        <is>
          <t>SAIP-IPL; SAIP-PL</t>
        </is>
      </c>
      <c r="E38" s="44" t="inlineStr">
        <is>
          <t>SAIP Audit + Legal Review</t>
        </is>
      </c>
      <c r="F38" s="441" t="inlineStr">
        <is>
          <t>SAIP; Legal Dept</t>
        </is>
      </c>
      <c r="G38" s="46" t="inlineStr">
        <is>
          <t>Annual; triggered by complaint</t>
        </is>
      </c>
      <c r="H38" s="495" t="inlineStr">
        <is>
          <t>IP holders across all sectors — pharma patents, tech patents, healthcare software copyright</t>
        </is>
      </c>
      <c r="I38" s="495" t="inlineStr">
        <is>
          <t>Patent register; trademark certificates; copyright records; IP enforcement actions; licensing agreements</t>
        </is>
      </c>
      <c r="J38" s="549" t="inlineStr">
        <is>
          <t>MODERATE</t>
        </is>
      </c>
      <c r="K38" s="42" t="inlineStr">
        <is>
          <t>5-10 d</t>
        </is>
      </c>
      <c r="L38" s="434" t="inlineStr">
        <is>
          <t>Annual IP review</t>
        </is>
      </c>
      <c r="M38" s="591">
        <f>IF(COUNTIF('All 108 Regulators - Frameworks'!E$4:E$500,"*"&amp;LEFT(D38,FIND(";",D38&amp;";")-1)&amp;"*")&gt;0,"✅ VERIFIED","❌ NOT FOUND")</f>
        <v/>
      </c>
      <c r="N38" s="591">
        <f>IFERROR(INDEX('KRI Dashboard (All Sectors)'!A$2:A$43,MATCH("*"&amp;LEFT(D38,FIND(";",D38&amp;";")-1)&amp;"*",'KRI Dashboard (All Sectors)'!D$2:D$43,0)),"No linked KRI")</f>
        <v/>
      </c>
      <c r="O38" s="591">
        <f>IF(J38="CRITICAL","🔴 P1",IF(J38="HIGH","🟠 P2","🟡 P3"))</f>
        <v/>
      </c>
    </row>
    <row r="39" ht="54" customHeight="1">
      <c r="A39" s="472" t="inlineStr">
        <is>
          <t>AU-I004</t>
        </is>
      </c>
      <c r="B39" s="552" t="inlineStr">
        <is>
          <t>Industry &amp; Trade</t>
        </is>
      </c>
      <c r="C39" s="469" t="inlineStr">
        <is>
          <t>Foreign Investment Compliance</t>
        </is>
      </c>
      <c r="D39" s="543" t="inlineStr">
        <is>
          <t>MISA-IL</t>
        </is>
      </c>
      <c r="E39" s="470" t="inlineStr">
        <is>
          <t>MISA Compliance Review</t>
        </is>
      </c>
      <c r="F39" s="544" t="inlineStr">
        <is>
          <t>MISA; MCI</t>
        </is>
      </c>
      <c r="G39" s="545" t="inlineStr">
        <is>
          <t>Annual</t>
        </is>
      </c>
      <c r="H39" s="546" t="inlineStr">
        <is>
          <t>All foreign-invested entities — all sectors</t>
        </is>
      </c>
      <c r="I39" s="546" t="inlineStr">
        <is>
          <t>MISA licence; minimum capital evidence; local partner documentation; sector-specific permits; Saudisation compliance</t>
        </is>
      </c>
      <c r="J39" s="548" t="inlineStr">
        <is>
          <t>HIGH</t>
        </is>
      </c>
      <c r="K39" s="467" t="inlineStr">
        <is>
          <t>5-10 d</t>
        </is>
      </c>
      <c r="L39" s="547" t="inlineStr">
        <is>
          <t>Annual MISA licence renewal</t>
        </is>
      </c>
      <c r="M39" s="674" t="inlineStr">
        <is>
          <t>Framework Verified?</t>
        </is>
      </c>
      <c r="N39" s="674" t="inlineStr">
        <is>
          <t>Linked KRI(s)</t>
        </is>
      </c>
      <c r="O39" s="674" t="inlineStr">
        <is>
          <t>Shahin AI Priority</t>
        </is>
      </c>
    </row>
    <row r="40" ht="54" customHeight="1">
      <c r="A40" s="476" t="inlineStr">
        <is>
          <t>AU-I005</t>
        </is>
      </c>
      <c r="B40" s="552" t="inlineStr">
        <is>
          <t>Industry &amp; Trade</t>
        </is>
      </c>
      <c r="C40" s="45" t="inlineStr">
        <is>
          <t>Pharmaceutical GMP Audit</t>
        </is>
      </c>
      <c r="D40" s="541" t="inlineStr">
        <is>
          <t>SFDA-PHARMA; SFDA-GMP; SFDA-PMS</t>
        </is>
      </c>
      <c r="E40" s="44" t="inlineStr">
        <is>
          <t>GMP Inspection</t>
        </is>
      </c>
      <c r="F40" s="441" t="inlineStr">
        <is>
          <t>SFDA GMP Inspectors; PIC/S inspectors</t>
        </is>
      </c>
      <c r="G40" s="46" t="inlineStr">
        <is>
          <t>Annual</t>
        </is>
      </c>
      <c r="H40" s="495" t="inlineStr">
        <is>
          <t>Pharmaceutical manufacturers and importers</t>
        </is>
      </c>
      <c r="I40" s="495" t="inlineStr">
        <is>
          <t>GMP certificate; batch records; QA system documentation; deviation reports; CAPA log; pharmacovigilance reports</t>
        </is>
      </c>
      <c r="J40" s="542" t="inlineStr">
        <is>
          <t>CRITICAL</t>
        </is>
      </c>
      <c r="K40" s="42" t="inlineStr">
        <is>
          <t>10-15 d</t>
        </is>
      </c>
      <c r="L40" s="434" t="inlineStr">
        <is>
          <t>Annual GMP certificate renewal</t>
        </is>
      </c>
      <c r="M40" s="591">
        <f>IF(COUNTIF('All 108 Regulators - Frameworks'!E$4:E$500,"*"&amp;LEFT(D40,FIND(";",D40&amp;";")-1)&amp;"*")&gt;0,"✅ VERIFIED","❌ NOT FOUND")</f>
        <v/>
      </c>
      <c r="N40" s="591">
        <f>IFERROR(INDEX('KRI Dashboard (All Sectors)'!A$2:A$43,MATCH("*"&amp;LEFT(D40,FIND(";",D40&amp;";")-1)&amp;"*",'KRI Dashboard (All Sectors)'!D$2:D$43,0)),"No linked KRI")</f>
        <v/>
      </c>
      <c r="O40" s="591">
        <f>IF(J40="CRITICAL","🔴 P1",IF(J40="HIGH","🟠 P2","🟡 P3"))</f>
        <v/>
      </c>
    </row>
    <row r="41" ht="54" customHeight="1">
      <c r="A41" s="472" t="inlineStr">
        <is>
          <t>AU-L001</t>
        </is>
      </c>
      <c r="B41" s="553" t="inlineStr">
        <is>
          <t>Transport &amp; Logistics</t>
        </is>
      </c>
      <c r="C41" s="469" t="inlineStr">
        <is>
          <t>Civil Aviation Safety &amp; Security</t>
        </is>
      </c>
      <c r="D41" s="543" t="inlineStr">
        <is>
          <t>GACA-AVLAW; GACA-MEDTRANS</t>
        </is>
      </c>
      <c r="E41" s="470" t="inlineStr">
        <is>
          <t>GACA Inspection + ICAO Audit</t>
        </is>
      </c>
      <c r="F41" s="544" t="inlineStr">
        <is>
          <t>GACA; ICAO</t>
        </is>
      </c>
      <c r="G41" s="545" t="inlineStr">
        <is>
          <t>Annual; triggered</t>
        </is>
      </c>
      <c r="H41" s="546" t="inlineStr">
        <is>
          <t>Airlines; airports; MROs; air ambulance operators; air cargo (medical supplies)</t>
        </is>
      </c>
      <c r="I41" s="546" t="inlineStr">
        <is>
          <t>GACA licence; safety management system; security programme; air operator certificate; medical transport protocols</t>
        </is>
      </c>
      <c r="J41" s="542" t="inlineStr">
        <is>
          <t>CRITICAL</t>
        </is>
      </c>
      <c r="K41" s="467" t="inlineStr">
        <is>
          <t>10-20 d</t>
        </is>
      </c>
      <c r="L41" s="547" t="inlineStr">
        <is>
          <t>Annual GACA certification</t>
        </is>
      </c>
      <c r="M41" s="674" t="inlineStr">
        <is>
          <t>Framework Verified?</t>
        </is>
      </c>
      <c r="N41" s="674" t="inlineStr">
        <is>
          <t>Linked KRI(s)</t>
        </is>
      </c>
      <c r="O41" s="674" t="inlineStr">
        <is>
          <t>Shahin AI Priority</t>
        </is>
      </c>
    </row>
    <row r="42" ht="54" customHeight="1">
      <c r="A42" s="476" t="inlineStr">
        <is>
          <t>AU-L002</t>
        </is>
      </c>
      <c r="B42" s="553" t="inlineStr">
        <is>
          <t>Transport &amp; Logistics</t>
        </is>
      </c>
      <c r="C42" s="45" t="inlineStr">
        <is>
          <t>Port &amp; Customs Compliance</t>
        </is>
      </c>
      <c r="D42" s="541" t="inlineStr">
        <is>
          <t>MAWANI-PR; ZATCA-CUST; MAWANI-COLDCHAIN</t>
        </is>
      </c>
      <c r="E42" s="44" t="inlineStr">
        <is>
          <t>MAWANI Inspection + ZATCA Customs Audit</t>
        </is>
      </c>
      <c r="F42" s="441" t="inlineStr">
        <is>
          <t>MAWANI; ZATCA</t>
        </is>
      </c>
      <c r="G42" s="46" t="inlineStr">
        <is>
          <t>Annual; continuous customs</t>
        </is>
      </c>
      <c r="H42" s="495" t="inlineStr">
        <is>
          <t>Port operators; shipping agents; freight forwarders; importers of medical/pharma goods</t>
        </is>
      </c>
      <c r="I42" s="495" t="inlineStr">
        <is>
          <t>Port operator licence; customs compliance records; cold chain temperature logs (pharma); SFDA import clearance records</t>
        </is>
      </c>
      <c r="J42" s="548" t="inlineStr">
        <is>
          <t>HIGH</t>
        </is>
      </c>
      <c r="K42" s="42" t="inlineStr">
        <is>
          <t>5-10 d</t>
        </is>
      </c>
      <c r="L42" s="434" t="inlineStr">
        <is>
          <t>Annual licence; continuous customs</t>
        </is>
      </c>
      <c r="M42" s="591">
        <f>IF(COUNTIF('All 108 Regulators - Frameworks'!E$4:E$500,"*"&amp;LEFT(D42,FIND(";",D42&amp;";")-1)&amp;"*")&gt;0,"✅ VERIFIED","❌ NOT FOUND")</f>
        <v/>
      </c>
      <c r="N42" s="591">
        <f>IFERROR(INDEX('KRI Dashboard (All Sectors)'!A$2:A$43,MATCH("*"&amp;LEFT(D42,FIND(";",D42&amp;";")-1)&amp;"*",'KRI Dashboard (All Sectors)'!D$2:D$43,0)),"No linked KRI")</f>
        <v/>
      </c>
      <c r="O42" s="591">
        <f>IF(J42="CRITICAL","🔴 P1",IF(J42="HIGH","🟠 P2","🟡 P3"))</f>
        <v/>
      </c>
    </row>
    <row r="43" ht="54" customHeight="1">
      <c r="A43" s="472" t="inlineStr">
        <is>
          <t>AU-L003</t>
        </is>
      </c>
      <c r="B43" s="553" t="inlineStr">
        <is>
          <t>Transport &amp; Logistics</t>
        </is>
      </c>
      <c r="C43" s="469" t="inlineStr">
        <is>
          <t>Pharmaceutical Cold Chain Audit</t>
        </is>
      </c>
      <c r="D43" s="543" t="inlineStr">
        <is>
          <t>MAWANI-COLDCHAIN; SFDA-PHARMA; MOT-LOG</t>
        </is>
      </c>
      <c r="E43" s="470" t="inlineStr">
        <is>
          <t>Cold Chain Compliance Audit</t>
        </is>
      </c>
      <c r="F43" s="544" t="inlineStr">
        <is>
          <t>SFDA; MAWANI; Logistics auditor</t>
        </is>
      </c>
      <c r="G43" s="545" t="inlineStr">
        <is>
          <t>Annual; each shipment for critical products</t>
        </is>
      </c>
      <c r="H43" s="546" t="inlineStr">
        <is>
          <t>Pharmaceutical importers; cold chain logistics providers; hospital pharmacy logistics</t>
        </is>
      </c>
      <c r="I43" s="546" t="inlineStr">
        <is>
          <t>Temperature records (GDP compliant); cold chain equipment calibration; SFDA import certificate; batch release records</t>
        </is>
      </c>
      <c r="J43" s="548" t="inlineStr">
        <is>
          <t>HIGH</t>
        </is>
      </c>
      <c r="K43" s="467" t="inlineStr">
        <is>
          <t>5-10 d</t>
        </is>
      </c>
      <c r="L43" s="547" t="inlineStr">
        <is>
          <t>Annual; each import shipment</t>
        </is>
      </c>
      <c r="M43" s="674" t="inlineStr">
        <is>
          <t>Framework Verified?</t>
        </is>
      </c>
      <c r="N43" s="674" t="inlineStr">
        <is>
          <t>Linked KRI(s)</t>
        </is>
      </c>
      <c r="O43" s="674" t="inlineStr">
        <is>
          <t>Shahin AI Priority</t>
        </is>
      </c>
    </row>
    <row r="44" ht="54" customHeight="1">
      <c r="A44" s="476" t="inlineStr">
        <is>
          <t>AU-Ed001</t>
        </is>
      </c>
      <c r="B44" s="62" t="inlineStr">
        <is>
          <t>Education &amp; Research</t>
        </is>
      </c>
      <c r="C44" s="45" t="inlineStr">
        <is>
          <t>Academic Accreditation &amp; Quality Audit</t>
        </is>
      </c>
      <c r="D44" s="541" t="inlineStr">
        <is>
          <t>ETEC-ACCS; MOE-EL; MOE-MEDU</t>
        </is>
      </c>
      <c r="E44" s="44" t="inlineStr">
        <is>
          <t>ETEC Accreditation Survey</t>
        </is>
      </c>
      <c r="F44" s="441" t="inlineStr">
        <is>
          <t>ETEC Accreditation Dept</t>
        </is>
      </c>
      <c r="G44" s="46" t="inlineStr">
        <is>
          <t>3-year accreditation cycle; Annual monitoring</t>
        </is>
      </c>
      <c r="H44" s="495" t="inlineStr">
        <is>
          <t>Universities; colleges; medical schools; training institutes</t>
        </is>
      </c>
      <c r="I44" s="495" t="inlineStr">
        <is>
          <t>Accreditation certificate; programme quality reports; faculty qualifications; research output; student outcomes</t>
        </is>
      </c>
      <c r="J44" s="548" t="inlineStr">
        <is>
          <t>HIGH</t>
        </is>
      </c>
      <c r="K44" s="42" t="inlineStr">
        <is>
          <t>5-10 d</t>
        </is>
      </c>
      <c r="L44" s="434" t="inlineStr">
        <is>
          <t>3yr accreditation cycle; Annual KPI</t>
        </is>
      </c>
      <c r="M44" s="591">
        <f>IF(COUNTIF('All 108 Regulators - Frameworks'!E$4:E$500,"*"&amp;LEFT(D44,FIND(";",D44&amp;";")-1)&amp;"*")&gt;0,"✅ VERIFIED","❌ NOT FOUND")</f>
        <v/>
      </c>
      <c r="N44" s="591">
        <f>IFERROR(INDEX('KRI Dashboard (All Sectors)'!A$2:A$43,MATCH("*"&amp;LEFT(D44,FIND(";",D44&amp;";")-1)&amp;"*",'KRI Dashboard (All Sectors)'!D$2:D$43,0)),"No linked KRI")</f>
        <v/>
      </c>
      <c r="O44" s="591">
        <f>IF(J44="CRITICAL","🔴 P1",IF(J44="HIGH","🟠 P2","🟡 P3"))</f>
        <v/>
      </c>
    </row>
    <row r="45" ht="54" customHeight="1">
      <c r="A45" s="472" t="inlineStr">
        <is>
          <t>AU-Ed002</t>
        </is>
      </c>
      <c r="B45" s="62" t="inlineStr">
        <is>
          <t>Education &amp; Research</t>
        </is>
      </c>
      <c r="C45" s="469" t="inlineStr">
        <is>
          <t>Research Ethics &amp; Data Governance</t>
        </is>
      </c>
      <c r="D45" s="543" t="inlineStr">
        <is>
          <t>KAIMRC-IRB; SFDA-CT; PDPL; KAUST-RES</t>
        </is>
      </c>
      <c r="E45" s="470" t="inlineStr">
        <is>
          <t>IRB Review + Research Audit</t>
        </is>
      </c>
      <c r="F45" s="544" t="inlineStr">
        <is>
          <t>IRB; SFDA; PDPL (DPO)</t>
        </is>
      </c>
      <c r="G45" s="545" t="inlineStr">
        <is>
          <t>Per study (pre-approval) + Annual audit</t>
        </is>
      </c>
      <c r="H45" s="546" t="inlineStr">
        <is>
          <t>All institutions conducting research involving human subjects or personal data</t>
        </is>
      </c>
      <c r="I45" s="546" t="inlineStr">
        <is>
          <t>IRB approval; informed consent forms; data management plan; SFDA trial registration; PDPL DPIA for research data</t>
        </is>
      </c>
      <c r="J45" s="548" t="inlineStr">
        <is>
          <t>HIGH</t>
        </is>
      </c>
      <c r="K45" s="467" t="inlineStr">
        <is>
          <t>5-10 (per study) d</t>
        </is>
      </c>
      <c r="L45" s="547" t="inlineStr">
        <is>
          <t>Pre-study IRB approval; Annual research audit</t>
        </is>
      </c>
      <c r="M45" s="674" t="inlineStr">
        <is>
          <t>Framework Verified?</t>
        </is>
      </c>
      <c r="N45" s="674" t="inlineStr">
        <is>
          <t>Linked KRI(s)</t>
        </is>
      </c>
      <c r="O45" s="674" t="inlineStr">
        <is>
          <t>Shahin AI Priority</t>
        </is>
      </c>
    </row>
    <row r="46" ht="54" customHeight="1">
      <c r="A46" s="476" t="inlineStr">
        <is>
          <t>AU-Ed003</t>
        </is>
      </c>
      <c r="B46" s="62" t="inlineStr">
        <is>
          <t>Education &amp; Research</t>
        </is>
      </c>
      <c r="C46" s="45" t="inlineStr">
        <is>
          <t>University Cybersecurity Compliance</t>
        </is>
      </c>
      <c r="D46" s="541" t="inlineStr">
        <is>
          <t>NCA-ECC-2; PDPL; MOE-EL</t>
        </is>
      </c>
      <c r="E46" s="44" t="inlineStr">
        <is>
          <t>NCA Self-Assessment + Internal IT Audit</t>
        </is>
      </c>
      <c r="F46" s="441" t="inlineStr">
        <is>
          <t>NCA; Internal CIO/CISO</t>
        </is>
      </c>
      <c r="G46" s="46" t="inlineStr">
        <is>
          <t>Annual</t>
        </is>
      </c>
      <c r="H46" s="495" t="inlineStr">
        <is>
          <t>Universities and research institutions (KSU, KAU, KAUST, KFUPM)</t>
        </is>
      </c>
      <c r="I46" s="495" t="inlineStr">
        <is>
          <t>ECC self-assessment; student data privacy DPIA; network security posture; research data protection; IT governance policy</t>
        </is>
      </c>
      <c r="J46" s="548" t="inlineStr">
        <is>
          <t>HIGH</t>
        </is>
      </c>
      <c r="K46" s="42" t="inlineStr">
        <is>
          <t>10-15 d</t>
        </is>
      </c>
      <c r="L46" s="434" t="inlineStr">
        <is>
          <t>Annual ECC cycle</t>
        </is>
      </c>
      <c r="M46" s="591">
        <f>IF(COUNTIF('All 108 Regulators - Frameworks'!E$4:E$500,"*"&amp;LEFT(D46,FIND(";",D46&amp;";")-1)&amp;"*")&gt;0,"✅ VERIFIED","❌ NOT FOUND")</f>
        <v/>
      </c>
      <c r="N46" s="591">
        <f>IFERROR(INDEX('KRI Dashboard (All Sectors)'!A$2:A$43,MATCH("*"&amp;LEFT(D46,FIND(";",D46&amp;";")-1)&amp;"*",'KRI Dashboard (All Sectors)'!D$2:D$43,0)),"No linked KRI")</f>
        <v/>
      </c>
      <c r="O46" s="591">
        <f>IF(J46="CRITICAL","🔴 P1",IF(J46="HIGH","🟠 P2","🟡 P3"))</f>
        <v/>
      </c>
    </row>
    <row r="47" ht="54" customHeight="1">
      <c r="A47" s="472" t="inlineStr">
        <is>
          <t>AU-Env001</t>
        </is>
      </c>
      <c r="B47" s="554" t="inlineStr">
        <is>
          <t>Environment</t>
        </is>
      </c>
      <c r="C47" s="469" t="inlineStr">
        <is>
          <t>Environmental Compliance Audit</t>
        </is>
      </c>
      <c r="D47" s="543" t="inlineStr">
        <is>
          <t>NCEC-GER; MEWA-EL; MEWA-ENV-EIA</t>
        </is>
      </c>
      <c r="E47" s="470" t="inlineStr">
        <is>
          <t>NCEC Inspection + EIA Review</t>
        </is>
      </c>
      <c r="F47" s="544" t="inlineStr">
        <is>
          <t>NCEC; MEWA</t>
        </is>
      </c>
      <c r="G47" s="545" t="inlineStr">
        <is>
          <t>Annual; triggered by project</t>
        </is>
      </c>
      <c r="H47" s="546" t="inlineStr">
        <is>
          <t>All sectors with environmental impact — manufacturing, construction, healthcare (waste), energy, agriculture</t>
        </is>
      </c>
      <c r="I47" s="546" t="inlineStr">
        <is>
          <t>Environmental licence; EIA report; compliance monitoring data; medical waste disposal records; emissions monitoring</t>
        </is>
      </c>
      <c r="J47" s="548" t="inlineStr">
        <is>
          <t>HIGH</t>
        </is>
      </c>
      <c r="K47" s="467" t="inlineStr">
        <is>
          <t>5-10 d</t>
        </is>
      </c>
      <c r="L47" s="547" t="inlineStr">
        <is>
          <t>Annual; EIA required for new projects</t>
        </is>
      </c>
      <c r="M47" s="674" t="inlineStr">
        <is>
          <t>Framework Verified?</t>
        </is>
      </c>
      <c r="N47" s="674" t="inlineStr">
        <is>
          <t>Linked KRI(s)</t>
        </is>
      </c>
      <c r="O47" s="674" t="inlineStr">
        <is>
          <t>Shahin AI Priority</t>
        </is>
      </c>
    </row>
    <row r="48" ht="54" customHeight="1">
      <c r="A48" s="476" t="inlineStr">
        <is>
          <t>AU-J001</t>
        </is>
      </c>
      <c r="B48" s="487" t="inlineStr">
        <is>
          <t>Legal &amp; Judicial</t>
        </is>
      </c>
      <c r="C48" s="45" t="inlineStr">
        <is>
          <t>Anti-Corruption Compliance</t>
        </is>
      </c>
      <c r="D48" s="541" t="inlineStr">
        <is>
          <t>NAZAHA-ACL; NAZAHA-DISCL</t>
        </is>
      </c>
      <c r="E48" s="44" t="inlineStr">
        <is>
          <t>Internal Compliance Review + NAZAHA Audit</t>
        </is>
      </c>
      <c r="F48" s="441" t="inlineStr">
        <is>
          <t>NAZAHA; Internal Audit; External Counsel</t>
        </is>
      </c>
      <c r="G48" s="46" t="inlineStr">
        <is>
          <t>Annual</t>
        </is>
      </c>
      <c r="H48" s="495" t="inlineStr">
        <is>
          <t>All government entities; government contractors — all sectors</t>
        </is>
      </c>
      <c r="I48" s="495" t="inlineStr">
        <is>
          <t>Asset disclosure filings; conflict of interest register; procurement transparency records; gift register; whistleblower policy</t>
        </is>
      </c>
      <c r="J48" s="542" t="inlineStr">
        <is>
          <t>CRITICAL</t>
        </is>
      </c>
      <c r="K48" s="42" t="inlineStr">
        <is>
          <t>5-10 d</t>
        </is>
      </c>
      <c r="L48" s="434" t="inlineStr">
        <is>
          <t>Annual disclosure; NAZAHA triggered</t>
        </is>
      </c>
      <c r="M48" s="591">
        <f>IF(COUNTIF('All 108 Regulators - Frameworks'!E$4:E$500,"*"&amp;LEFT(D48,FIND(";",D48&amp;";")-1)&amp;"*")&gt;0,"✅ VERIFIED","❌ NOT FOUND")</f>
        <v/>
      </c>
      <c r="N48" s="591">
        <f>IFERROR(INDEX('KRI Dashboard (All Sectors)'!A$2:A$43,MATCH("*"&amp;LEFT(D48,FIND(";",D48&amp;";")-1)&amp;"*",'KRI Dashboard (All Sectors)'!D$2:D$43,0)),"No linked KRI")</f>
        <v/>
      </c>
      <c r="O48" s="591">
        <f>IF(J48="CRITICAL","🔴 P1",IF(J48="HIGH","🟠 P2","🟡 P3"))</f>
        <v/>
      </c>
    </row>
    <row r="49" ht="54" customHeight="1">
      <c r="A49" s="472" t="inlineStr">
        <is>
          <t>AU-SZ001</t>
        </is>
      </c>
      <c r="B49" s="486" t="inlineStr">
        <is>
          <t>Special Zones &amp; Giga</t>
        </is>
      </c>
      <c r="C49" s="469" t="inlineStr">
        <is>
          <t>NEOM IoT &amp; Smart City Governance Audit</t>
        </is>
      </c>
      <c r="D49" s="543" t="inlineStr">
        <is>
          <t>NEOM-IOTGOV; NEOM-HS; NCA-ECC-2; PDPL</t>
        </is>
      </c>
      <c r="E49" s="470" t="inlineStr">
        <is>
          <t>NEOM Internal Audit + NCA</t>
        </is>
      </c>
      <c r="F49" s="544" t="inlineStr">
        <is>
          <t>NEOM Technology Authority; NCA</t>
        </is>
      </c>
      <c r="G49" s="545" t="inlineStr">
        <is>
          <t>Annual</t>
        </is>
      </c>
      <c r="H49" s="546" t="inlineStr">
        <is>
          <t>All IoT/digital technology deployments within NEOM</t>
        </is>
      </c>
      <c r="I49" s="546" t="inlineStr">
        <is>
          <t>IoT governance framework compliance; NEOM data governance audit; cybersecurity assessment; AI ethics review; resident data protection</t>
        </is>
      </c>
      <c r="J49" s="542" t="inlineStr">
        <is>
          <t>CRITICAL</t>
        </is>
      </c>
      <c r="K49" s="467" t="inlineStr">
        <is>
          <t>10-20 d</t>
        </is>
      </c>
      <c r="L49" s="547" t="inlineStr">
        <is>
          <t>Annual (NEOM operations cycle)</t>
        </is>
      </c>
      <c r="M49" s="674" t="inlineStr">
        <is>
          <t>Framework Verified?</t>
        </is>
      </c>
      <c r="N49" s="674" t="inlineStr">
        <is>
          <t>Linked KRI(s)</t>
        </is>
      </c>
      <c r="O49" s="674" t="inlineStr">
        <is>
          <t>Shahin AI Priority</t>
        </is>
      </c>
    </row>
    <row r="50">
      <c r="M50" s="591">
        <f>IF(COUNTIF('All 108 Regulators - Frameworks'!E$4:E$500,"*"&amp;LEFT(D50,FIND(";",D50&amp;";")-1)&amp;"*")&gt;0,"✅ VERIFIED","❌ NOT FOUND")</f>
        <v/>
      </c>
      <c r="N50" s="591">
        <f>IFERROR(INDEX('KRI Dashboard (All Sectors)'!A$2:A$43,MATCH("*"&amp;LEFT(D50,FIND(";",D50&amp;";")-1)&amp;"*",'KRI Dashboard (All Sectors)'!D$2:D$43,0)),"No linked KRI")</f>
        <v/>
      </c>
      <c r="O50" s="591">
        <f>IF(J50="CRITICAL","🔴 P1",IF(J50="HIGH","🟠 P2","🟡 P3"))</f>
        <v/>
      </c>
    </row>
  </sheetData>
  <conditionalFormatting sqref="J2:J50">
    <cfRule type="containsText" priority="1" operator="containsText" dxfId="4" text="CRITICAL">
      <formula>NOT(ISERROR(SEARCH("CRITICAL",J2)))</formula>
    </cfRule>
    <cfRule type="containsText" priority="2" operator="containsText" dxfId="3" text="HIGH">
      <formula>NOT(ISERROR(SEARCH("HIGH",J2)))</formula>
    </cfRule>
  </conditionalFormatting>
  <pageMargins left="0.75" right="0.75" top="1" bottom="1" header="0.511811023622047" footer="0.511811023622047"/>
  <pageSetup orientation="portrait" paperSize="9" horizontalDpi="300" verticalDpi="300"/>
</worksheet>
</file>

<file path=xl/worksheets/sheet19.xml><?xml version="1.0" encoding="utf-8"?>
<worksheet xmlns="http://schemas.openxmlformats.org/spreadsheetml/2006/main">
  <sheetPr>
    <tabColor rgb="FF1D6FA3"/>
    <outlinePr summaryBelow="1" summaryRight="1"/>
    <pageSetUpPr/>
  </sheetPr>
  <dimension ref="A1:Q43"/>
  <sheetViews>
    <sheetView zoomScaleNormal="100" workbookViewId="0">
      <pane ySplit="1" topLeftCell="A5" activePane="bottomLeft" state="frozen"/>
      <selection pane="bottomLeft" activeCell="A1" sqref="A1"/>
    </sheetView>
  </sheetViews>
  <sheetFormatPr baseColWidth="8" defaultColWidth="8.6640625" defaultRowHeight="14.25"/>
  <cols>
    <col width="8" customWidth="1" min="1" max="1"/>
    <col width="20" customWidth="1" min="2" max="2"/>
    <col width="36" customWidth="1" min="3" max="3"/>
    <col width="22" customWidth="1" min="4" max="4"/>
    <col width="12" customWidth="1" min="5" max="5"/>
    <col width="18" customWidth="1" min="6" max="6"/>
    <col width="38" customWidth="1" min="7" max="7"/>
    <col width="14" customWidth="1" min="8" max="10"/>
    <col width="28" customWidth="1" min="11" max="11"/>
    <col width="18" customWidth="1" min="12" max="12"/>
    <col width="14" customWidth="1" min="13" max="13"/>
    <col width="24" customWidth="1" min="14" max="14"/>
  </cols>
  <sheetData>
    <row r="1" ht="34.9" customHeight="1">
      <c r="A1" s="12" t="inlineStr">
        <is>
          <t>KRI ID</t>
        </is>
      </c>
      <c r="B1" s="12" t="inlineStr">
        <is>
          <t>Sector</t>
        </is>
      </c>
      <c r="C1" s="12" t="inlineStr">
        <is>
          <t>KRI Name</t>
        </is>
      </c>
      <c r="D1" s="12" t="inlineStr">
        <is>
          <t>Framework Source</t>
        </is>
      </c>
      <c r="E1" s="12" t="inlineStr">
        <is>
          <t>GRC Pillar</t>
        </is>
      </c>
      <c r="F1" s="12" t="inlineStr">
        <is>
          <t>Risk Domain</t>
        </is>
      </c>
      <c r="G1" s="12" t="inlineStr">
        <is>
          <t>Measurement Formula</t>
        </is>
      </c>
      <c r="H1" s="12" t="inlineStr">
        <is>
          <t>🟢 Green</t>
        </is>
      </c>
      <c r="I1" s="12" t="inlineStr">
        <is>
          <t>🟡 Amber</t>
        </is>
      </c>
      <c r="J1" s="12" t="inlineStr">
        <is>
          <t>🔴 Red</t>
        </is>
      </c>
      <c r="K1" s="12" t="inlineStr">
        <is>
          <t>Data Source</t>
        </is>
      </c>
      <c r="L1" s="12" t="inlineStr">
        <is>
          <t>Owner</t>
        </is>
      </c>
      <c r="M1" s="12" t="inlineStr">
        <is>
          <t>Frequency</t>
        </is>
      </c>
      <c r="N1" s="12" t="inlineStr">
        <is>
          <t>KSA Benchmark</t>
        </is>
      </c>
      <c r="O1" s="674" t="inlineStr">
        <is>
          <t>Framework Verified?</t>
        </is>
      </c>
      <c r="P1" s="674" t="inlineStr">
        <is>
          <t>Regulator HC IoT</t>
        </is>
      </c>
      <c r="Q1" s="674" t="inlineStr">
        <is>
          <t>Shahin AI Tier</t>
        </is>
      </c>
    </row>
    <row r="2" ht="48" customHeight="1">
      <c r="A2" s="494" t="inlineStr">
        <is>
          <t>KRI-X001</t>
        </is>
      </c>
      <c r="B2" s="34" t="inlineStr">
        <is>
          <t>ALL SECTORS</t>
        </is>
      </c>
      <c r="C2" s="45" t="inlineStr">
        <is>
          <t>ECC-2 Overall Compliance Score</t>
        </is>
      </c>
      <c r="D2" s="541" t="inlineStr">
        <is>
          <t>NCA-ECC-2:2024</t>
        </is>
      </c>
      <c r="E2" s="555" t="inlineStr">
        <is>
          <t>G+R+C</t>
        </is>
      </c>
      <c r="F2" s="434" t="inlineStr">
        <is>
          <t>Cyber Risk</t>
        </is>
      </c>
      <c r="G2" s="495" t="inlineStr">
        <is>
          <t>Aggregate self-assessment / max score × 100</t>
        </is>
      </c>
      <c r="H2" s="22" t="inlineStr">
        <is>
          <t>≥80%</t>
        </is>
      </c>
      <c r="I2" s="92" t="inlineStr">
        <is>
          <t>60-79%</t>
        </is>
      </c>
      <c r="J2" s="542" t="inlineStr">
        <is>
          <t>&lt;60%</t>
        </is>
      </c>
      <c r="K2" s="495" t="inlineStr">
        <is>
          <t>NCA portal; GRC system</t>
        </is>
      </c>
      <c r="L2" s="441" t="inlineStr">
        <is>
          <t>CISO</t>
        </is>
      </c>
      <c r="M2" s="46" t="inlineStr">
        <is>
          <t>Annual</t>
        </is>
      </c>
      <c r="N2" s="556" t="inlineStr">
        <is>
          <t>NCA target ≥80% (Level 3+)</t>
        </is>
      </c>
      <c r="O2" s="591">
        <f>IF(COUNTIF('All 108 Regulators - Frameworks'!E$4:E$500,"*"&amp;LEFT(D2,FIND(";",D2&amp;";")-1)&amp;"*")&gt;0,"✅ VERIFIED","❌ NOT FOUND")</f>
        <v/>
      </c>
      <c r="P2" s="591">
        <f>IFERROR(INDEX('All 108 Regulators - Frameworks'!N$4:N$500,MATCH("*"&amp;LEFT(D2,FIND(";",D2&amp;";")-1)&amp;"*",'All 108 Regulators - Frameworks'!E$4:E$500,0)),"N/A")</f>
        <v/>
      </c>
      <c r="Q2" s="591">
        <f>IF(OR(ISNUMBER(SEARCH("ECC",D2)),ISNUMBER(SEARCH("PDPL",D2)),ISNUMBER(SEARCH("OTCC",D2)),ISNUMBER(SEARCH("NCA-REG",D2))),"🔴 CRITICAL-KRI",IF(OR(ISNUMBER(SEARCH("SAMA",D2)),ISNUMBER(SEARCH("CCC",D2)),ISNUMBER(SEARCH("ZATCA",D2)),ISNUMBER(SEARCH("NITAQAT",D2))),"🟠 HIGH-KRI","🟡 MODERATE-KRI"))</f>
        <v/>
      </c>
    </row>
    <row r="3" ht="48" customHeight="1">
      <c r="A3" s="557" t="inlineStr">
        <is>
          <t>KRI-X002</t>
        </is>
      </c>
      <c r="B3" s="34" t="inlineStr">
        <is>
          <t>ALL SECTORS</t>
        </is>
      </c>
      <c r="C3" s="558" t="inlineStr">
        <is>
          <t>Critical Patch Compliance Rate</t>
        </is>
      </c>
      <c r="D3" s="559" t="inlineStr">
        <is>
          <t>NCA-ECC-2:2024</t>
        </is>
      </c>
      <c r="E3" s="555" t="inlineStr">
        <is>
          <t>R+C</t>
        </is>
      </c>
      <c r="F3" s="560" t="inlineStr">
        <is>
          <t>Cyber Risk</t>
        </is>
      </c>
      <c r="G3" s="561" t="inlineStr">
        <is>
          <t>Patched within SLA / Total critical vulns × 100</t>
        </is>
      </c>
      <c r="H3" s="22" t="inlineStr">
        <is>
          <t>≥95% in 30d</t>
        </is>
      </c>
      <c r="I3" s="92" t="inlineStr">
        <is>
          <t>80-94%</t>
        </is>
      </c>
      <c r="J3" s="542" t="inlineStr">
        <is>
          <t>&lt;80%</t>
        </is>
      </c>
      <c r="K3" s="561" t="inlineStr">
        <is>
          <t>Vulnerability management tool</t>
        </is>
      </c>
      <c r="L3" s="562" t="inlineStr">
        <is>
          <t>IT Security Manager</t>
        </is>
      </c>
      <c r="M3" s="563" t="inlineStr">
        <is>
          <t>Monthly</t>
        </is>
      </c>
      <c r="N3" s="564" t="inlineStr">
        <is>
          <t>NCA: 100% critical within 30 days</t>
        </is>
      </c>
      <c r="O3" s="674" t="inlineStr">
        <is>
          <t>Framework Verified?</t>
        </is>
      </c>
      <c r="P3" s="674" t="inlineStr">
        <is>
          <t>Regulator HC IoT</t>
        </is>
      </c>
      <c r="Q3" s="591">
        <f>IF(OR(ISNUMBER(SEARCH("ECC",D3)),ISNUMBER(SEARCH("PDPL",D3)),ISNUMBER(SEARCH("OTCC",D3)),ISNUMBER(SEARCH("NCA-REG",D3))),"🔴 CRITICAL-KRI",IF(OR(ISNUMBER(SEARCH("SAMA",D3)),ISNUMBER(SEARCH("CCC",D3)),ISNUMBER(SEARCH("ZATCA",D3)),ISNUMBER(SEARCH("NITAQAT",D3))),"🟠 HIGH-KRI","🟡 MODERATE-KRI"))</f>
        <v/>
      </c>
    </row>
    <row r="4" ht="48" customHeight="1">
      <c r="A4" s="494" t="inlineStr">
        <is>
          <t>KRI-X003</t>
        </is>
      </c>
      <c r="B4" s="34" t="inlineStr">
        <is>
          <t>ALL SECTORS</t>
        </is>
      </c>
      <c r="C4" s="45" t="inlineStr">
        <is>
          <t>PDPL Breach Notification Rate (72h)</t>
        </is>
      </c>
      <c r="D4" s="541" t="inlineStr">
        <is>
          <t>PDPL-2021</t>
        </is>
      </c>
      <c r="E4" s="555" t="inlineStr">
        <is>
          <t>C</t>
        </is>
      </c>
      <c r="F4" s="434" t="inlineStr">
        <is>
          <t>Privacy Risk</t>
        </is>
      </c>
      <c r="G4" s="495" t="inlineStr">
        <is>
          <t>Breaches notified on time / Total qualifying × 100</t>
        </is>
      </c>
      <c r="H4" s="22" t="inlineStr">
        <is>
          <t>100%</t>
        </is>
      </c>
      <c r="I4" s="92" t="inlineStr">
        <is>
          <t>100%</t>
        </is>
      </c>
      <c r="J4" s="542" t="inlineStr">
        <is>
          <t>&lt;100%</t>
        </is>
      </c>
      <c r="K4" s="495" t="inlineStr">
        <is>
          <t>Incident system; DPO records</t>
        </is>
      </c>
      <c r="L4" s="441" t="inlineStr">
        <is>
          <t>DPO</t>
        </is>
      </c>
      <c r="M4" s="46" t="inlineStr">
        <is>
          <t>Per incident + monthly</t>
        </is>
      </c>
      <c r="N4" s="556" t="inlineStr">
        <is>
          <t>PDPL: 100% mandatory — criminal penalty for miss</t>
        </is>
      </c>
      <c r="O4" s="591">
        <f>IF(COUNTIF('All 108 Regulators - Frameworks'!E$4:E$500,"*"&amp;LEFT(D4,FIND(";",D4&amp;";")-1)&amp;"*")&gt;0,"✅ VERIFIED","❌ NOT FOUND")</f>
        <v/>
      </c>
      <c r="P4" s="591">
        <f>IFERROR(INDEX('All 108 Regulators - Frameworks'!N$4:N$500,MATCH("*"&amp;LEFT(D4,FIND(";",D4&amp;";")-1)&amp;"*",'All 108 Regulators - Frameworks'!E$4:E$500,0)),"N/A")</f>
        <v/>
      </c>
      <c r="Q4" s="591">
        <f>IF(OR(ISNUMBER(SEARCH("ECC",D4)),ISNUMBER(SEARCH("PDPL",D4)),ISNUMBER(SEARCH("OTCC",D4)),ISNUMBER(SEARCH("NCA-REG",D4))),"🔴 CRITICAL-KRI",IF(OR(ISNUMBER(SEARCH("SAMA",D4)),ISNUMBER(SEARCH("CCC",D4)),ISNUMBER(SEARCH("ZATCA",D4)),ISNUMBER(SEARCH("NITAQAT",D4))),"🟠 HIGH-KRI","🟡 MODERATE-KRI"))</f>
        <v/>
      </c>
    </row>
    <row r="5" ht="48" customHeight="1">
      <c r="A5" s="557" t="inlineStr">
        <is>
          <t>KRI-X004</t>
        </is>
      </c>
      <c r="B5" s="34" t="inlineStr">
        <is>
          <t>ALL SECTORS</t>
        </is>
      </c>
      <c r="C5" s="558" t="inlineStr">
        <is>
          <t>Saudisation Rate (Overall)</t>
        </is>
      </c>
      <c r="D5" s="559" t="inlineStr">
        <is>
          <t>MHRSD-NITAQAT</t>
        </is>
      </c>
      <c r="E5" s="555" t="inlineStr">
        <is>
          <t>G</t>
        </is>
      </c>
      <c r="F5" s="560" t="inlineStr">
        <is>
          <t>Regulatory Risk</t>
        </is>
      </c>
      <c r="G5" s="561" t="inlineStr">
        <is>
          <t>Saudi employees / Total employees × 100</t>
        </is>
      </c>
      <c r="H5" s="22" t="inlineStr">
        <is>
          <t>≥Sector quota (Green/Platinum)</t>
        </is>
      </c>
      <c r="I5" s="92" t="inlineStr">
        <is>
          <t>Near quota (Yellow)</t>
        </is>
      </c>
      <c r="J5" s="542" t="inlineStr">
        <is>
          <t>Below quota (Red)</t>
        </is>
      </c>
      <c r="K5" s="561" t="inlineStr">
        <is>
          <t>Qiwa; GOSI</t>
        </is>
      </c>
      <c r="L5" s="562" t="inlineStr">
        <is>
          <t>HR Director</t>
        </is>
      </c>
      <c r="M5" s="563" t="inlineStr">
        <is>
          <t>Quarterly</t>
        </is>
      </c>
      <c r="N5" s="564" t="inlineStr">
        <is>
          <t>Sector-specific Nitaqat quota</t>
        </is>
      </c>
      <c r="Q5" s="591">
        <f>IF(OR(ISNUMBER(SEARCH("ECC",D5)),ISNUMBER(SEARCH("PDPL",D5)),ISNUMBER(SEARCH("OTCC",D5)),ISNUMBER(SEARCH("NCA-REG",D5))),"🔴 CRITICAL-KRI",IF(OR(ISNUMBER(SEARCH("SAMA",D5)),ISNUMBER(SEARCH("CCC",D5)),ISNUMBER(SEARCH("ZATCA",D5)),ISNUMBER(SEARCH("NITAQAT",D5))),"🟠 HIGH-KRI","🟡 MODERATE-KRI"))</f>
        <v/>
      </c>
    </row>
    <row r="6" ht="48" customHeight="1">
      <c r="A6" s="494" t="inlineStr">
        <is>
          <t>KRI-X005</t>
        </is>
      </c>
      <c r="B6" s="34" t="inlineStr">
        <is>
          <t>ALL SECTORS</t>
        </is>
      </c>
      <c r="C6" s="45" t="inlineStr">
        <is>
          <t>Saudisation Rate — Cybersecurity Roles</t>
        </is>
      </c>
      <c r="D6" s="541" t="inlineStr">
        <is>
          <t>NCA-ECC-2; MHRSD-NITAQAT</t>
        </is>
      </c>
      <c r="E6" s="555" t="inlineStr">
        <is>
          <t>G</t>
        </is>
      </c>
      <c r="F6" s="434" t="inlineStr">
        <is>
          <t>Regulatory Risk</t>
        </is>
      </c>
      <c r="G6" s="495" t="inlineStr">
        <is>
          <t>Saudi cyber staff / Total cyber positions × 100</t>
        </is>
      </c>
      <c r="H6" s="22" t="inlineStr">
        <is>
          <t>100% by Oct 2025</t>
        </is>
      </c>
      <c r="I6" s="92" t="inlineStr">
        <is>
          <t>80-99% (transitioning)</t>
        </is>
      </c>
      <c r="J6" s="542" t="inlineStr">
        <is>
          <t>&lt;80%</t>
        </is>
      </c>
      <c r="K6" s="495" t="inlineStr">
        <is>
          <t>HR system; Qiwa</t>
        </is>
      </c>
      <c r="L6" s="441" t="inlineStr">
        <is>
          <t>CISO + HR</t>
        </is>
      </c>
      <c r="M6" s="46" t="inlineStr">
        <is>
          <t>Monthly</t>
        </is>
      </c>
      <c r="N6" s="556" t="inlineStr">
        <is>
          <t>NCA ECC-2: 100% — Oct 2025 deadline</t>
        </is>
      </c>
      <c r="Q6" s="591">
        <f>IF(OR(ISNUMBER(SEARCH("ECC",D6)),ISNUMBER(SEARCH("PDPL",D6)),ISNUMBER(SEARCH("OTCC",D6)),ISNUMBER(SEARCH("NCA-REG",D6))),"🔴 CRITICAL-KRI",IF(OR(ISNUMBER(SEARCH("SAMA",D6)),ISNUMBER(SEARCH("CCC",D6)),ISNUMBER(SEARCH("ZATCA",D6)),ISNUMBER(SEARCH("NITAQAT",D6))),"🟠 HIGH-KRI","🟡 MODERATE-KRI"))</f>
        <v/>
      </c>
    </row>
    <row r="7" ht="48" customHeight="1">
      <c r="A7" s="557" t="inlineStr">
        <is>
          <t>KRI-X006</t>
        </is>
      </c>
      <c r="B7" s="34" t="inlineStr">
        <is>
          <t>ALL SECTORS</t>
        </is>
      </c>
      <c r="C7" s="558" t="inlineStr">
        <is>
          <t>E-Invoicing ZATCA Compliance Rate</t>
        </is>
      </c>
      <c r="D7" s="559" t="inlineStr">
        <is>
          <t>ZATCA-EINV-P2</t>
        </is>
      </c>
      <c r="E7" s="555" t="inlineStr">
        <is>
          <t>C</t>
        </is>
      </c>
      <c r="F7" s="560" t="inlineStr">
        <is>
          <t>Regulatory Risk</t>
        </is>
      </c>
      <c r="G7" s="561" t="inlineStr">
        <is>
          <t>Compliant invoices / Total invoices × 100</t>
        </is>
      </c>
      <c r="H7" s="22" t="inlineStr">
        <is>
          <t>≥99.9%</t>
        </is>
      </c>
      <c r="I7" s="92" t="inlineStr">
        <is>
          <t>99-99.8%</t>
        </is>
      </c>
      <c r="J7" s="542" t="inlineStr">
        <is>
          <t>&lt;99%</t>
        </is>
      </c>
      <c r="K7" s="561" t="inlineStr">
        <is>
          <t>ZATCA Fatoora portal; ERP/billing system</t>
        </is>
      </c>
      <c r="L7" s="562" t="inlineStr">
        <is>
          <t>CFO; Finance</t>
        </is>
      </c>
      <c r="M7" s="563" t="inlineStr">
        <is>
          <t>Monthly</t>
        </is>
      </c>
      <c r="N7" s="564" t="inlineStr">
        <is>
          <t>ZATCA: 100% — non-compliant invoice = rejection</t>
        </is>
      </c>
      <c r="Q7" s="591">
        <f>IF(OR(ISNUMBER(SEARCH("ECC",D7)),ISNUMBER(SEARCH("PDPL",D7)),ISNUMBER(SEARCH("OTCC",D7)),ISNUMBER(SEARCH("NCA-REG",D7))),"🔴 CRITICAL-KRI",IF(OR(ISNUMBER(SEARCH("SAMA",D7)),ISNUMBER(SEARCH("CCC",D7)),ISNUMBER(SEARCH("ZATCA",D7)),ISNUMBER(SEARCH("NITAQAT",D7))),"🟠 HIGH-KRI","🟡 MODERATE-KRI"))</f>
        <v/>
      </c>
    </row>
    <row r="8" ht="48" customHeight="1">
      <c r="A8" s="494" t="inlineStr">
        <is>
          <t>KRI-X007</t>
        </is>
      </c>
      <c r="B8" s="34" t="inlineStr">
        <is>
          <t>ALL SECTORS</t>
        </is>
      </c>
      <c r="C8" s="45" t="inlineStr">
        <is>
          <t>Third-Party Risk Assessment Coverage</t>
        </is>
      </c>
      <c r="D8" s="541" t="inlineStr">
        <is>
          <t>NCA-ECC-2 Domain 4; SAMA-CSF</t>
        </is>
      </c>
      <c r="E8" s="555" t="inlineStr">
        <is>
          <t>R</t>
        </is>
      </c>
      <c r="F8" s="434" t="inlineStr">
        <is>
          <t>Supply Chain Risk</t>
        </is>
      </c>
      <c r="G8" s="495" t="inlineStr">
        <is>
          <t>Assessed critical vendors / Total critical vendors × 100</t>
        </is>
      </c>
      <c r="H8" s="22" t="inlineStr">
        <is>
          <t>≥90%</t>
        </is>
      </c>
      <c r="I8" s="92" t="inlineStr">
        <is>
          <t>70-89%</t>
        </is>
      </c>
      <c r="J8" s="542" t="inlineStr">
        <is>
          <t>&lt;70%</t>
        </is>
      </c>
      <c r="K8" s="495" t="inlineStr">
        <is>
          <t>Vendor risk management system</t>
        </is>
      </c>
      <c r="L8" s="441" t="inlineStr">
        <is>
          <t>CISO; Procurement</t>
        </is>
      </c>
      <c r="M8" s="46" t="inlineStr">
        <is>
          <t>Annual</t>
        </is>
      </c>
      <c r="N8" s="556" t="inlineStr">
        <is>
          <t>Target: 100% critical vendors assessed</t>
        </is>
      </c>
      <c r="Q8" s="591">
        <f>IF(OR(ISNUMBER(SEARCH("ECC",D8)),ISNUMBER(SEARCH("PDPL",D8)),ISNUMBER(SEARCH("OTCC",D8)),ISNUMBER(SEARCH("NCA-REG",D8))),"🔴 CRITICAL-KRI",IF(OR(ISNUMBER(SEARCH("SAMA",D8)),ISNUMBER(SEARCH("CCC",D8)),ISNUMBER(SEARCH("ZATCA",D8)),ISNUMBER(SEARCH("NITAQAT",D8))),"🟠 HIGH-KRI","🟡 MODERATE-KRI"))</f>
        <v/>
      </c>
    </row>
    <row r="9" ht="48" customHeight="1">
      <c r="A9" s="557" t="inlineStr">
        <is>
          <t>KRI-X008</t>
        </is>
      </c>
      <c r="B9" s="34" t="inlineStr">
        <is>
          <t>ALL SECTORS</t>
        </is>
      </c>
      <c r="C9" s="558" t="inlineStr">
        <is>
          <t>Cyber Incident Reporting to NCA (24h)</t>
        </is>
      </c>
      <c r="D9" s="559" t="inlineStr">
        <is>
          <t>NCA-ECC-2; NCA-REG-2024</t>
        </is>
      </c>
      <c r="E9" s="555" t="inlineStr">
        <is>
          <t>C</t>
        </is>
      </c>
      <c r="F9" s="560" t="inlineStr">
        <is>
          <t>Regulatory Risk</t>
        </is>
      </c>
      <c r="G9" s="561" t="inlineStr">
        <is>
          <t>On-time notifications / Total notifiable incidents × 100</t>
        </is>
      </c>
      <c r="H9" s="22" t="inlineStr">
        <is>
          <t>100%</t>
        </is>
      </c>
      <c r="I9" s="92" t="inlineStr">
        <is>
          <t>90-99%</t>
        </is>
      </c>
      <c r="J9" s="542" t="inlineStr">
        <is>
          <t>&lt;90%</t>
        </is>
      </c>
      <c r="K9" s="561" t="inlineStr">
        <is>
          <t>SIEM; Incident log</t>
        </is>
      </c>
      <c r="L9" s="562" t="inlineStr">
        <is>
          <t>CISO</t>
        </is>
      </c>
      <c r="M9" s="563" t="inlineStr">
        <is>
          <t>Monthly</t>
        </is>
      </c>
      <c r="N9" s="564" t="inlineStr">
        <is>
          <t>NCA: 100% — non-compliance = SAR fine</t>
        </is>
      </c>
      <c r="Q9" s="591">
        <f>IF(OR(ISNUMBER(SEARCH("ECC",D9)),ISNUMBER(SEARCH("PDPL",D9)),ISNUMBER(SEARCH("OTCC",D9)),ISNUMBER(SEARCH("NCA-REG",D9))),"🔴 CRITICAL-KRI",IF(OR(ISNUMBER(SEARCH("SAMA",D9)),ISNUMBER(SEARCH("CCC",D9)),ISNUMBER(SEARCH("ZATCA",D9)),ISNUMBER(SEARCH("NITAQAT",D9))),"🟠 HIGH-KRI","🟡 MODERATE-KRI"))</f>
        <v/>
      </c>
    </row>
    <row r="10" ht="48" customHeight="1">
      <c r="A10" s="494" t="inlineStr">
        <is>
          <t>KRI-X009</t>
        </is>
      </c>
      <c r="B10" s="34" t="inlineStr">
        <is>
          <t>ALL SECTORS</t>
        </is>
      </c>
      <c r="C10" s="45" t="inlineStr">
        <is>
          <t>Privacy Training Completion</t>
        </is>
      </c>
      <c r="D10" s="541" t="inlineStr">
        <is>
          <t>PDPL-2021; NCA-ECC-2</t>
        </is>
      </c>
      <c r="E10" s="555" t="inlineStr">
        <is>
          <t>G+C</t>
        </is>
      </c>
      <c r="F10" s="434" t="inlineStr">
        <is>
          <t>Privacy Risk</t>
        </is>
      </c>
      <c r="G10" s="495" t="inlineStr">
        <is>
          <t>Staff completed training / Total staff × 100</t>
        </is>
      </c>
      <c r="H10" s="22" t="inlineStr">
        <is>
          <t>≥95%</t>
        </is>
      </c>
      <c r="I10" s="92" t="inlineStr">
        <is>
          <t>80-94%</t>
        </is>
      </c>
      <c r="J10" s="542" t="inlineStr">
        <is>
          <t>&lt;80%</t>
        </is>
      </c>
      <c r="K10" s="495" t="inlineStr">
        <is>
          <t>LMS</t>
        </is>
      </c>
      <c r="L10" s="441" t="inlineStr">
        <is>
          <t>DPO; HR</t>
        </is>
      </c>
      <c r="M10" s="46" t="inlineStr">
        <is>
          <t>Annual</t>
        </is>
      </c>
      <c r="N10" s="556" t="inlineStr">
        <is>
          <t>PDPL: mandatory awareness</t>
        </is>
      </c>
      <c r="Q10" s="591">
        <f>IF(OR(ISNUMBER(SEARCH("ECC",D10)),ISNUMBER(SEARCH("PDPL",D10)),ISNUMBER(SEARCH("OTCC",D10)),ISNUMBER(SEARCH("NCA-REG",D10))),"🔴 CRITICAL-KRI",IF(OR(ISNUMBER(SEARCH("SAMA",D10)),ISNUMBER(SEARCH("CCC",D10)),ISNUMBER(SEARCH("ZATCA",D10)),ISNUMBER(SEARCH("NITAQAT",D10))),"🟠 HIGH-KRI","🟡 MODERATE-KRI"))</f>
        <v/>
      </c>
    </row>
    <row r="11" ht="48" customHeight="1">
      <c r="A11" s="557" t="inlineStr">
        <is>
          <t>KRI-X010</t>
        </is>
      </c>
      <c r="B11" s="34" t="inlineStr">
        <is>
          <t>ALL SECTORS</t>
        </is>
      </c>
      <c r="C11" s="558" t="inlineStr">
        <is>
          <t>AI Ethics &amp; Governance Review Completion</t>
        </is>
      </c>
      <c r="D11" s="559" t="inlineStr">
        <is>
          <t>SDAIA-AI-ETH; SDAIA-AI-ADO</t>
        </is>
      </c>
      <c r="E11" s="555" t="inlineStr">
        <is>
          <t>G</t>
        </is>
      </c>
      <c r="F11" s="560" t="inlineStr">
        <is>
          <t>Strategic Risk</t>
        </is>
      </c>
      <c r="G11" s="561" t="inlineStr">
        <is>
          <t>AI use cases with ethics review / Total AI deployments × 100</t>
        </is>
      </c>
      <c r="H11" s="22" t="inlineStr">
        <is>
          <t>≥95%</t>
        </is>
      </c>
      <c r="I11" s="92" t="inlineStr">
        <is>
          <t>75-94%</t>
        </is>
      </c>
      <c r="J11" s="542" t="inlineStr">
        <is>
          <t>&lt;75%</t>
        </is>
      </c>
      <c r="K11" s="561" t="inlineStr">
        <is>
          <t>AI governance register</t>
        </is>
      </c>
      <c r="L11" s="562" t="inlineStr">
        <is>
          <t>AI Governance Committee</t>
        </is>
      </c>
      <c r="M11" s="563" t="inlineStr">
        <is>
          <t>Annual; pre-deployment</t>
        </is>
      </c>
      <c r="N11" s="564" t="inlineStr">
        <is>
          <t>SDAIA: mandatory ethics review for high-risk AI</t>
        </is>
      </c>
      <c r="Q11" s="591">
        <f>IF(OR(ISNUMBER(SEARCH("ECC",D11)),ISNUMBER(SEARCH("PDPL",D11)),ISNUMBER(SEARCH("OTCC",D11)),ISNUMBER(SEARCH("NCA-REG",D11))),"🔴 CRITICAL-KRI",IF(OR(ISNUMBER(SEARCH("SAMA",D11)),ISNUMBER(SEARCH("CCC",D11)),ISNUMBER(SEARCH("ZATCA",D11)),ISNUMBER(SEARCH("NITAQAT",D11))),"🟠 HIGH-KRI","🟡 MODERATE-KRI"))</f>
        <v/>
      </c>
    </row>
    <row r="12" ht="48" customHeight="1">
      <c r="A12" s="494" t="inlineStr">
        <is>
          <t>KRI-X011</t>
        </is>
      </c>
      <c r="B12" s="34" t="inlineStr">
        <is>
          <t>ALL SECTORS</t>
        </is>
      </c>
      <c r="C12" s="45" t="inlineStr">
        <is>
          <t>Cloud Data Residency Compliance</t>
        </is>
      </c>
      <c r="D12" s="541" t="inlineStr">
        <is>
          <t>NCA-CCC; CST-CCR; DGA-CFP</t>
        </is>
      </c>
      <c r="E12" s="555" t="inlineStr">
        <is>
          <t>C</t>
        </is>
      </c>
      <c r="F12" s="434" t="inlineStr">
        <is>
          <t>Regulatory; Data Sovereignty</t>
        </is>
      </c>
      <c r="G12" s="495" t="inlineStr">
        <is>
          <t>KSA-resident data in compliant cloud / Total cloud data × 100</t>
        </is>
      </c>
      <c r="H12" s="22" t="inlineStr">
        <is>
          <t>100% (gov. data)</t>
        </is>
      </c>
      <c r="I12" s="92" t="inlineStr">
        <is>
          <t>100%</t>
        </is>
      </c>
      <c r="J12" s="542" t="inlineStr">
        <is>
          <t>&lt;100%</t>
        </is>
      </c>
      <c r="K12" s="495" t="inlineStr">
        <is>
          <t>CSPM tool; cloud provider reports</t>
        </is>
      </c>
      <c r="L12" s="441" t="inlineStr">
        <is>
          <t>CTO; CISO</t>
        </is>
      </c>
      <c r="M12" s="46" t="inlineStr">
        <is>
          <t>Quarterly</t>
        </is>
      </c>
      <c r="N12" s="556" t="inlineStr">
        <is>
          <t>NCA + DGA: 100% government data in KSA</t>
        </is>
      </c>
      <c r="Q12" s="591">
        <f>IF(OR(ISNUMBER(SEARCH("ECC",D12)),ISNUMBER(SEARCH("PDPL",D12)),ISNUMBER(SEARCH("OTCC",D12)),ISNUMBER(SEARCH("NCA-REG",D12))),"🔴 CRITICAL-KRI",IF(OR(ISNUMBER(SEARCH("SAMA",D12)),ISNUMBER(SEARCH("CCC",D12)),ISNUMBER(SEARCH("ZATCA",D12)),ISNUMBER(SEARCH("NITAQAT",D12))),"🟠 HIGH-KRI","🟡 MODERATE-KRI"))</f>
        <v/>
      </c>
    </row>
    <row r="13" ht="48" customHeight="1">
      <c r="A13" s="557" t="inlineStr">
        <is>
          <t>KRI-X012</t>
        </is>
      </c>
      <c r="B13" s="34" t="inlineStr">
        <is>
          <t>ALL SECTORS</t>
        </is>
      </c>
      <c r="C13" s="558" t="inlineStr">
        <is>
          <t>ISO 27001 Audit Nonconformities</t>
        </is>
      </c>
      <c r="D13" s="559" t="inlineStr">
        <is>
          <t>ISO-27001:2022</t>
        </is>
      </c>
      <c r="E13" s="555" t="inlineStr">
        <is>
          <t>G+R+C</t>
        </is>
      </c>
      <c r="F13" s="560" t="inlineStr">
        <is>
          <t>Cyber Risk</t>
        </is>
      </c>
      <c r="G13" s="561" t="inlineStr">
        <is>
          <t>Major nonconformities in certification audit</t>
        </is>
      </c>
      <c r="H13" s="22" t="inlineStr">
        <is>
          <t>0 major NCs</t>
        </is>
      </c>
      <c r="I13" s="92" t="inlineStr">
        <is>
          <t>0 major; &lt;5 minor</t>
        </is>
      </c>
      <c r="J13" s="542" t="inlineStr">
        <is>
          <t>≥1 major NC</t>
        </is>
      </c>
      <c r="K13" s="561" t="inlineStr">
        <is>
          <t>Certification body audit report</t>
        </is>
      </c>
      <c r="L13" s="562" t="inlineStr">
        <is>
          <t>CISO</t>
        </is>
      </c>
      <c r="M13" s="563" t="inlineStr">
        <is>
          <t>Annual certification cycle</t>
        </is>
      </c>
      <c r="N13" s="564" t="inlineStr">
        <is>
          <t>ISO: 0 major NCs for certification award</t>
        </is>
      </c>
      <c r="Q13" s="591">
        <f>IF(OR(ISNUMBER(SEARCH("ECC",D13)),ISNUMBER(SEARCH("PDPL",D13)),ISNUMBER(SEARCH("OTCC",D13)),ISNUMBER(SEARCH("NCA-REG",D13))),"🔴 CRITICAL-KRI",IF(OR(ISNUMBER(SEARCH("SAMA",D13)),ISNUMBER(SEARCH("CCC",D13)),ISNUMBER(SEARCH("ZATCA",D13)),ISNUMBER(SEARCH("NITAQAT",D13))),"🟠 HIGH-KRI","🟡 MODERATE-KRI"))</f>
        <v/>
      </c>
    </row>
    <row r="14" ht="48" customHeight="1">
      <c r="A14" s="494" t="inlineStr">
        <is>
          <t>KRI-X013</t>
        </is>
      </c>
      <c r="B14" s="34" t="inlineStr">
        <is>
          <t>ALL SECTORS</t>
        </is>
      </c>
      <c r="C14" s="45" t="inlineStr">
        <is>
          <t>BCP/DR Test Success Rate</t>
        </is>
      </c>
      <c r="D14" s="541" t="inlineStr">
        <is>
          <t>NCA-ECC-2; SAMA-CSF-BCM; ISO-22301</t>
        </is>
      </c>
      <c r="E14" s="555" t="inlineStr">
        <is>
          <t>R</t>
        </is>
      </c>
      <c r="F14" s="434" t="inlineStr">
        <is>
          <t>Operational Risk; Availability</t>
        </is>
      </c>
      <c r="G14" s="495" t="inlineStr">
        <is>
          <t>DR test scenarios achieving RTO/RPO / Total scenarios × 100</t>
        </is>
      </c>
      <c r="H14" s="22" t="inlineStr">
        <is>
          <t>≥90%</t>
        </is>
      </c>
      <c r="I14" s="92" t="inlineStr">
        <is>
          <t>70-89%</t>
        </is>
      </c>
      <c r="J14" s="542" t="inlineStr">
        <is>
          <t>&lt;70%</t>
        </is>
      </c>
      <c r="K14" s="495" t="inlineStr">
        <is>
          <t>BCP test report</t>
        </is>
      </c>
      <c r="L14" s="441" t="inlineStr">
        <is>
          <t>IT Operations; CISO</t>
        </is>
      </c>
      <c r="M14" s="46" t="inlineStr">
        <is>
          <t>Annual</t>
        </is>
      </c>
      <c r="N14" s="556" t="inlineStr">
        <is>
          <t>NCA + SAMA: annual BCP test required</t>
        </is>
      </c>
      <c r="Q14" s="591">
        <f>IF(OR(ISNUMBER(SEARCH("ECC",D14)),ISNUMBER(SEARCH("PDPL",D14)),ISNUMBER(SEARCH("OTCC",D14)),ISNUMBER(SEARCH("NCA-REG",D14))),"🔴 CRITICAL-KRI",IF(OR(ISNUMBER(SEARCH("SAMA",D14)),ISNUMBER(SEARCH("CCC",D14)),ISNUMBER(SEARCH("ZATCA",D14)),ISNUMBER(SEARCH("NITAQAT",D14))),"🟠 HIGH-KRI","🟡 MODERATE-KRI"))</f>
        <v/>
      </c>
    </row>
    <row r="15" ht="48" customHeight="1">
      <c r="A15" s="557" t="inlineStr">
        <is>
          <t>KRI-X014</t>
        </is>
      </c>
      <c r="B15" s="34" t="inlineStr">
        <is>
          <t>ALL SECTORS</t>
        </is>
      </c>
      <c r="C15" s="558" t="inlineStr">
        <is>
          <t>Anti-Corruption Disclosure Compliance</t>
        </is>
      </c>
      <c r="D15" s="559" t="inlineStr">
        <is>
          <t>NAZAHA-ACL</t>
        </is>
      </c>
      <c r="E15" s="555" t="inlineStr">
        <is>
          <t>G+C</t>
        </is>
      </c>
      <c r="F15" s="560" t="inlineStr">
        <is>
          <t>Regulatory Risk</t>
        </is>
      </c>
      <c r="G15" s="561" t="inlineStr">
        <is>
          <t>Government officials with filed asset disclosure / Required × 100</t>
        </is>
      </c>
      <c r="H15" s="22" t="inlineStr">
        <is>
          <t>100%</t>
        </is>
      </c>
      <c r="I15" s="92" t="inlineStr">
        <is>
          <t>100%</t>
        </is>
      </c>
      <c r="J15" s="542" t="inlineStr">
        <is>
          <t>&lt;100%</t>
        </is>
      </c>
      <c r="K15" s="561" t="inlineStr">
        <is>
          <t>NAZAHA disclosure system</t>
        </is>
      </c>
      <c r="L15" s="562" t="inlineStr">
        <is>
          <t>Compliance; Legal</t>
        </is>
      </c>
      <c r="M15" s="563" t="inlineStr">
        <is>
          <t>Annual</t>
        </is>
      </c>
      <c r="N15" s="564" t="inlineStr">
        <is>
          <t>NAZAHA: 100% mandatory</t>
        </is>
      </c>
      <c r="Q15" s="591">
        <f>IF(OR(ISNUMBER(SEARCH("ECC",D15)),ISNUMBER(SEARCH("PDPL",D15)),ISNUMBER(SEARCH("OTCC",D15)),ISNUMBER(SEARCH("NCA-REG",D15))),"🔴 CRITICAL-KRI",IF(OR(ISNUMBER(SEARCH("SAMA",D15)),ISNUMBER(SEARCH("CCC",D15)),ISNUMBER(SEARCH("ZATCA",D15)),ISNUMBER(SEARCH("NITAQAT",D15))),"🟠 HIGH-KRI","🟡 MODERATE-KRI"))</f>
        <v/>
      </c>
    </row>
    <row r="16" ht="48" customHeight="1">
      <c r="A16" s="494" t="inlineStr">
        <is>
          <t>KRI-F001</t>
        </is>
      </c>
      <c r="B16" s="482" t="inlineStr">
        <is>
          <t>Financial Regulators</t>
        </is>
      </c>
      <c r="C16" s="45" t="inlineStr">
        <is>
          <t>SAMA-CSF Maturity Score</t>
        </is>
      </c>
      <c r="D16" s="541" t="inlineStr">
        <is>
          <t>SAMA-CSF</t>
        </is>
      </c>
      <c r="E16" s="555" t="inlineStr">
        <is>
          <t>G+R+C</t>
        </is>
      </c>
      <c r="F16" s="434" t="inlineStr">
        <is>
          <t>Cyber Risk</t>
        </is>
      </c>
      <c r="G16" s="495" t="inlineStr">
        <is>
          <t>Average maturity level across 5 SAMA domains (max 6)</t>
        </is>
      </c>
      <c r="H16" s="22" t="inlineStr">
        <is>
          <t>≥3.5/6 all domains</t>
        </is>
      </c>
      <c r="I16" s="92" t="inlineStr">
        <is>
          <t>2.5-3.4</t>
        </is>
      </c>
      <c r="J16" s="542" t="inlineStr">
        <is>
          <t>&lt;2.5</t>
        </is>
      </c>
      <c r="K16" s="495" t="inlineStr">
        <is>
          <t>SAMA self-assessment portal</t>
        </is>
      </c>
      <c r="L16" s="441" t="inlineStr">
        <is>
          <t>CISO</t>
        </is>
      </c>
      <c r="M16" s="46" t="inlineStr">
        <is>
          <t>Annual Q1</t>
        </is>
      </c>
      <c r="N16" s="556" t="inlineStr">
        <is>
          <t>SAMA target: Level 3+ all domains</t>
        </is>
      </c>
      <c r="Q16" s="591">
        <f>IF(OR(ISNUMBER(SEARCH("ECC",D16)),ISNUMBER(SEARCH("PDPL",D16)),ISNUMBER(SEARCH("OTCC",D16)),ISNUMBER(SEARCH("NCA-REG",D16))),"🔴 CRITICAL-KRI",IF(OR(ISNUMBER(SEARCH("SAMA",D16)),ISNUMBER(SEARCH("CCC",D16)),ISNUMBER(SEARCH("ZATCA",D16)),ISNUMBER(SEARCH("NITAQAT",D16))),"🟠 HIGH-KRI","🟡 MODERATE-KRI"))</f>
        <v/>
      </c>
    </row>
    <row r="17" ht="48" customHeight="1">
      <c r="A17" s="557" t="inlineStr">
        <is>
          <t>KRI-F002</t>
        </is>
      </c>
      <c r="B17" s="482" t="inlineStr">
        <is>
          <t>Financial Regulators</t>
        </is>
      </c>
      <c r="C17" s="558" t="inlineStr">
        <is>
          <t>AML Suspicious Transaction Report Rate</t>
        </is>
      </c>
      <c r="D17" s="559" t="inlineStr">
        <is>
          <t>SAMA-AML</t>
        </is>
      </c>
      <c r="E17" s="555" t="inlineStr">
        <is>
          <t>C</t>
        </is>
      </c>
      <c r="F17" s="560" t="inlineStr">
        <is>
          <t>Financial; Regulatory Risk</t>
        </is>
      </c>
      <c r="G17" s="561" t="inlineStr">
        <is>
          <t>STRs filed / Identified suspicious transactions × 100</t>
        </is>
      </c>
      <c r="H17" s="22" t="inlineStr">
        <is>
          <t>100%</t>
        </is>
      </c>
      <c r="I17" s="92" t="inlineStr">
        <is>
          <t>100%</t>
        </is>
      </c>
      <c r="J17" s="542" t="inlineStr">
        <is>
          <t>&lt;100%</t>
        </is>
      </c>
      <c r="K17" s="561" t="inlineStr">
        <is>
          <t>Transaction monitoring system; SAFIU reports</t>
        </is>
      </c>
      <c r="L17" s="562" t="inlineStr">
        <is>
          <t>Compliance; AML Officer</t>
        </is>
      </c>
      <c r="M17" s="563" t="inlineStr">
        <is>
          <t>Monthly</t>
        </is>
      </c>
      <c r="N17" s="564" t="inlineStr">
        <is>
          <t>SAMA/FATF: 100% — failure = criminal penalty</t>
        </is>
      </c>
      <c r="Q17" s="591">
        <f>IF(OR(ISNUMBER(SEARCH("ECC",D17)),ISNUMBER(SEARCH("PDPL",D17)),ISNUMBER(SEARCH("OTCC",D17)),ISNUMBER(SEARCH("NCA-REG",D17))),"🔴 CRITICAL-KRI",IF(OR(ISNUMBER(SEARCH("SAMA",D17)),ISNUMBER(SEARCH("CCC",D17)),ISNUMBER(SEARCH("ZATCA",D17)),ISNUMBER(SEARCH("NITAQAT",D17))),"🟠 HIGH-KRI","🟡 MODERATE-KRI"))</f>
        <v/>
      </c>
    </row>
    <row r="18" ht="48" customHeight="1">
      <c r="A18" s="494" t="inlineStr">
        <is>
          <t>KRI-F003</t>
        </is>
      </c>
      <c r="B18" s="482" t="inlineStr">
        <is>
          <t>Financial Regulators</t>
        </is>
      </c>
      <c r="C18" s="45" t="inlineStr">
        <is>
          <t>Capital Adequacy Ratio</t>
        </is>
      </c>
      <c r="D18" s="541" t="inlineStr">
        <is>
          <t>SAMA-OBF; SAMA supervision</t>
        </is>
      </c>
      <c r="E18" s="555" t="inlineStr">
        <is>
          <t>R</t>
        </is>
      </c>
      <c r="F18" s="434" t="inlineStr">
        <is>
          <t>Financial Risk</t>
        </is>
      </c>
      <c r="G18" s="495" t="inlineStr">
        <is>
          <t>Tier 1+2 capital / Risk-weighted assets × 100</t>
        </is>
      </c>
      <c r="H18" s="22" t="inlineStr">
        <is>
          <t>≥12%</t>
        </is>
      </c>
      <c r="I18" s="92" t="inlineStr">
        <is>
          <t>10-11.9%</t>
        </is>
      </c>
      <c r="J18" s="542" t="inlineStr">
        <is>
          <t>&lt;10%</t>
        </is>
      </c>
      <c r="K18" s="495" t="inlineStr">
        <is>
          <t>Core banking system; SAMA regulatory report</t>
        </is>
      </c>
      <c r="L18" s="441" t="inlineStr">
        <is>
          <t>CFO; Chief Risk Officer</t>
        </is>
      </c>
      <c r="M18" s="46" t="inlineStr">
        <is>
          <t>Quarterly</t>
        </is>
      </c>
      <c r="N18" s="556" t="inlineStr">
        <is>
          <t>SAMA: minimum 10.5% (Basel III)</t>
        </is>
      </c>
      <c r="Q18" s="591">
        <f>IF(OR(ISNUMBER(SEARCH("ECC",D18)),ISNUMBER(SEARCH("PDPL",D18)),ISNUMBER(SEARCH("OTCC",D18)),ISNUMBER(SEARCH("NCA-REG",D18))),"🔴 CRITICAL-KRI",IF(OR(ISNUMBER(SEARCH("SAMA",D18)),ISNUMBER(SEARCH("CCC",D18)),ISNUMBER(SEARCH("ZATCA",D18)),ISNUMBER(SEARCH("NITAQAT",D18))),"🟠 HIGH-KRI","🟡 MODERATE-KRI"))</f>
        <v/>
      </c>
    </row>
    <row r="19" ht="48" customHeight="1">
      <c r="A19" s="557" t="inlineStr">
        <is>
          <t>KRI-F004</t>
        </is>
      </c>
      <c r="B19" s="482" t="inlineStr">
        <is>
          <t>Financial Regulators</t>
        </is>
      </c>
      <c r="C19" s="558" t="inlineStr">
        <is>
          <t>Payment System Availability</t>
        </is>
      </c>
      <c r="D19" s="559" t="inlineStr">
        <is>
          <t>SAMA-PSR; CST-TITA</t>
        </is>
      </c>
      <c r="E19" s="555" t="inlineStr">
        <is>
          <t>R</t>
        </is>
      </c>
      <c r="F19" s="560" t="inlineStr">
        <is>
          <t>Operational; Availability Risk</t>
        </is>
      </c>
      <c r="G19" s="561" t="inlineStr">
        <is>
          <t>Payment system uptime / Total time × 100</t>
        </is>
      </c>
      <c r="H19" s="22" t="inlineStr">
        <is>
          <t>≥99.95%</t>
        </is>
      </c>
      <c r="I19" s="92" t="inlineStr">
        <is>
          <t>99.8-99.94%</t>
        </is>
      </c>
      <c r="J19" s="542" t="inlineStr">
        <is>
          <t>&lt;99.8%</t>
        </is>
      </c>
      <c r="K19" s="561" t="inlineStr">
        <is>
          <t>Payment operations monitoring</t>
        </is>
      </c>
      <c r="L19" s="562" t="inlineStr">
        <is>
          <t>CTO; Operations</t>
        </is>
      </c>
      <c r="M19" s="563" t="inlineStr">
        <is>
          <t>Daily; Monthly report</t>
        </is>
      </c>
      <c r="N19" s="564" t="inlineStr">
        <is>
          <t>SAMA: ≥99.95% for core payment infrastructure</t>
        </is>
      </c>
      <c r="Q19" s="591">
        <f>IF(OR(ISNUMBER(SEARCH("ECC",D19)),ISNUMBER(SEARCH("PDPL",D19)),ISNUMBER(SEARCH("OTCC",D19)),ISNUMBER(SEARCH("NCA-REG",D19))),"🔴 CRITICAL-KRI",IF(OR(ISNUMBER(SEARCH("SAMA",D19)),ISNUMBER(SEARCH("CCC",D19)),ISNUMBER(SEARCH("ZATCA",D19)),ISNUMBER(SEARCH("NITAQAT",D19))),"🟠 HIGH-KRI","🟡 MODERATE-KRI"))</f>
        <v/>
      </c>
    </row>
    <row r="20" ht="48" customHeight="1">
      <c r="A20" s="494" t="inlineStr">
        <is>
          <t>KRI-F005</t>
        </is>
      </c>
      <c r="B20" s="482" t="inlineStr">
        <is>
          <t>Financial Regulators</t>
        </is>
      </c>
      <c r="C20" s="45" t="inlineStr">
        <is>
          <t>Open Banking API Security Incidents</t>
        </is>
      </c>
      <c r="D20" s="541" t="inlineStr">
        <is>
          <t>SAMA-OBF</t>
        </is>
      </c>
      <c r="E20" s="555" t="inlineStr">
        <is>
          <t>R+C</t>
        </is>
      </c>
      <c r="F20" s="434" t="inlineStr">
        <is>
          <t>Cyber Risk</t>
        </is>
      </c>
      <c r="G20" s="495" t="inlineStr">
        <is>
          <t>API security incidents per million transactions</t>
        </is>
      </c>
      <c r="H20" s="22" t="inlineStr">
        <is>
          <t>&lt;0.1</t>
        </is>
      </c>
      <c r="I20" s="92" t="inlineStr">
        <is>
          <t>0.1-1.0</t>
        </is>
      </c>
      <c r="J20" s="542" t="inlineStr">
        <is>
          <t>&gt;1.0</t>
        </is>
      </c>
      <c r="K20" s="495" t="inlineStr">
        <is>
          <t>API gateway logs; SIEM</t>
        </is>
      </c>
      <c r="L20" s="441" t="inlineStr">
        <is>
          <t>CISO; API Product Owner</t>
        </is>
      </c>
      <c r="M20" s="46" t="inlineStr">
        <is>
          <t>Monthly</t>
        </is>
      </c>
      <c r="N20" s="556" t="inlineStr">
        <is>
          <t>SAMA Open Banking target: &lt;0.1/million txns</t>
        </is>
      </c>
      <c r="Q20" s="591">
        <f>IF(OR(ISNUMBER(SEARCH("ECC",D20)),ISNUMBER(SEARCH("PDPL",D20)),ISNUMBER(SEARCH("OTCC",D20)),ISNUMBER(SEARCH("NCA-REG",D20))),"🔴 CRITICAL-KRI",IF(OR(ISNUMBER(SEARCH("SAMA",D20)),ISNUMBER(SEARCH("CCC",D20)),ISNUMBER(SEARCH("ZATCA",D20)),ISNUMBER(SEARCH("NITAQAT",D20))),"🟠 HIGH-KRI","🟡 MODERATE-KRI"))</f>
        <v/>
      </c>
    </row>
    <row r="21" ht="48" customHeight="1">
      <c r="A21" s="557" t="inlineStr">
        <is>
          <t>KRI-E001</t>
        </is>
      </c>
      <c r="B21" s="550" t="inlineStr">
        <is>
          <t>Energy &amp; Utilities</t>
        </is>
      </c>
      <c r="C21" s="558" t="inlineStr">
        <is>
          <t>OT System Availability (CNI)</t>
        </is>
      </c>
      <c r="D21" s="559" t="inlineStr">
        <is>
          <t>NCA-OTCC; ECRA-EL</t>
        </is>
      </c>
      <c r="E21" s="555" t="inlineStr">
        <is>
          <t>R</t>
        </is>
      </c>
      <c r="F21" s="560" t="inlineStr">
        <is>
          <t>Availability; Cyber Risk</t>
        </is>
      </c>
      <c r="G21" s="561" t="inlineStr">
        <is>
          <t>OT system uptime / Total time × 100 (generation/distribution)</t>
        </is>
      </c>
      <c r="H21" s="22" t="inlineStr">
        <is>
          <t>≥99.9%</t>
        </is>
      </c>
      <c r="I21" s="92" t="inlineStr">
        <is>
          <t>99-99.89%</t>
        </is>
      </c>
      <c r="J21" s="542" t="inlineStr">
        <is>
          <t>&lt;99%</t>
        </is>
      </c>
      <c r="K21" s="561" t="inlineStr">
        <is>
          <t>OT monitoring platform; SCADA historian</t>
        </is>
      </c>
      <c r="L21" s="562" t="inlineStr">
        <is>
          <t>OT Security Manager; Operations</t>
        </is>
      </c>
      <c r="M21" s="563" t="inlineStr">
        <is>
          <t>Monthly</t>
        </is>
      </c>
      <c r="N21" s="564" t="inlineStr">
        <is>
          <t>ECRA + NCA: ≥99.9% for CNI power systems</t>
        </is>
      </c>
      <c r="Q21" s="591">
        <f>IF(OR(ISNUMBER(SEARCH("ECC",D21)),ISNUMBER(SEARCH("PDPL",D21)),ISNUMBER(SEARCH("OTCC",D21)),ISNUMBER(SEARCH("NCA-REG",D21))),"🔴 CRITICAL-KRI",IF(OR(ISNUMBER(SEARCH("SAMA",D21)),ISNUMBER(SEARCH("CCC",D21)),ISNUMBER(SEARCH("ZATCA",D21)),ISNUMBER(SEARCH("NITAQAT",D21))),"🟠 HIGH-KRI","🟡 MODERATE-KRI"))</f>
        <v/>
      </c>
    </row>
    <row r="22" ht="48" customHeight="1">
      <c r="A22" s="494" t="inlineStr">
        <is>
          <t>KRI-E002</t>
        </is>
      </c>
      <c r="B22" s="550" t="inlineStr">
        <is>
          <t>Energy &amp; Utilities</t>
        </is>
      </c>
      <c r="C22" s="45" t="inlineStr">
        <is>
          <t>OT Anomaly Detection Time</t>
        </is>
      </c>
      <c r="D22" s="541" t="inlineStr">
        <is>
          <t>NCA-OTCC; IEC-62443</t>
        </is>
      </c>
      <c r="E22" s="555" t="inlineStr">
        <is>
          <t>R</t>
        </is>
      </c>
      <c r="F22" s="434" t="inlineStr">
        <is>
          <t>Cyber Risk; Safety</t>
        </is>
      </c>
      <c r="G22" s="495" t="inlineStr">
        <is>
          <t>Mean time from OT anomaly to alert</t>
        </is>
      </c>
      <c r="H22" s="22" t="inlineStr">
        <is>
          <t>&lt;15 min</t>
        </is>
      </c>
      <c r="I22" s="92" t="inlineStr">
        <is>
          <t>15-60 min</t>
        </is>
      </c>
      <c r="J22" s="542" t="inlineStr">
        <is>
          <t>&gt;60 min</t>
        </is>
      </c>
      <c r="K22" s="495" t="inlineStr">
        <is>
          <t>OT security platform (Claroty/Nozomi)</t>
        </is>
      </c>
      <c r="L22" s="441" t="inlineStr">
        <is>
          <t>SOC; OT Security Manager</t>
        </is>
      </c>
      <c r="M22" s="46" t="inlineStr">
        <is>
          <t>Monthly</t>
        </is>
      </c>
      <c r="N22" s="556" t="inlineStr">
        <is>
          <t>NCA OTCC: &lt;15 min for CNI</t>
        </is>
      </c>
      <c r="Q22" s="591">
        <f>IF(OR(ISNUMBER(SEARCH("ECC",D22)),ISNUMBER(SEARCH("PDPL",D22)),ISNUMBER(SEARCH("OTCC",D22)),ISNUMBER(SEARCH("NCA-REG",D22))),"🔴 CRITICAL-KRI",IF(OR(ISNUMBER(SEARCH("SAMA",D22)),ISNUMBER(SEARCH("CCC",D22)),ISNUMBER(SEARCH("ZATCA",D22)),ISNUMBER(SEARCH("NITAQAT",D22))),"🟠 HIGH-KRI","🟡 MODERATE-KRI"))</f>
        <v/>
      </c>
    </row>
    <row r="23" ht="48" customHeight="1">
      <c r="A23" s="557" t="inlineStr">
        <is>
          <t>KRI-E003</t>
        </is>
      </c>
      <c r="B23" s="550" t="inlineStr">
        <is>
          <t>Energy &amp; Utilities</t>
        </is>
      </c>
      <c r="C23" s="558" t="inlineStr">
        <is>
          <t>Radiation Safety Compliance</t>
        </is>
      </c>
      <c r="D23" s="559" t="inlineStr">
        <is>
          <t>KACARE-RPR</t>
        </is>
      </c>
      <c r="E23" s="555" t="inlineStr">
        <is>
          <t>R+C</t>
        </is>
      </c>
      <c r="F23" s="560" t="inlineStr">
        <is>
          <t>Safety; Regulatory Risk</t>
        </is>
      </c>
      <c r="G23" s="561" t="inlineStr">
        <is>
          <t>% radiation sources with current registration and protection measures</t>
        </is>
      </c>
      <c r="H23" s="22" t="inlineStr">
        <is>
          <t>100%</t>
        </is>
      </c>
      <c r="I23" s="92" t="inlineStr">
        <is>
          <t>100%</t>
        </is>
      </c>
      <c r="J23" s="542" t="inlineStr">
        <is>
          <t>&lt;100%</t>
        </is>
      </c>
      <c r="K23" s="561" t="inlineStr">
        <is>
          <t>KACARE licence register; dosimetry records</t>
        </is>
      </c>
      <c r="L23" s="562" t="inlineStr">
        <is>
          <t>Radiation Safety Officer</t>
        </is>
      </c>
      <c r="M23" s="563" t="inlineStr">
        <is>
          <t>Monthly</t>
        </is>
      </c>
      <c r="N23" s="564" t="inlineStr">
        <is>
          <t>KACARE: 100% — criminal liability for non-compliance</t>
        </is>
      </c>
      <c r="Q23" s="591">
        <f>IF(OR(ISNUMBER(SEARCH("ECC",D23)),ISNUMBER(SEARCH("PDPL",D23)),ISNUMBER(SEARCH("OTCC",D23)),ISNUMBER(SEARCH("NCA-REG",D23))),"🔴 CRITICAL-KRI",IF(OR(ISNUMBER(SEARCH("SAMA",D23)),ISNUMBER(SEARCH("CCC",D23)),ISNUMBER(SEARCH("ZATCA",D23)),ISNUMBER(SEARCH("NITAQAT",D23))),"🟠 HIGH-KRI","🟡 MODERATE-KRI"))</f>
        <v/>
      </c>
    </row>
    <row r="24" ht="48" customHeight="1">
      <c r="A24" s="494" t="inlineStr">
        <is>
          <t>KRI-E004</t>
        </is>
      </c>
      <c r="B24" s="550" t="inlineStr">
        <is>
          <t>Energy &amp; Utilities</t>
        </is>
      </c>
      <c r="C24" s="45" t="inlineStr">
        <is>
          <t>Water Quality Standard Compliance</t>
        </is>
      </c>
      <c r="D24" s="541" t="inlineStr">
        <is>
          <t>NWC-WQ; MEWA-WL</t>
        </is>
      </c>
      <c r="E24" s="555" t="inlineStr">
        <is>
          <t>R+C</t>
        </is>
      </c>
      <c r="F24" s="434" t="inlineStr">
        <is>
          <t>Safety; Regulatory Risk</t>
        </is>
      </c>
      <c r="G24" s="495" t="inlineStr">
        <is>
          <t>% water quality tests meeting WHO/NWC standards</t>
        </is>
      </c>
      <c r="H24" s="22" t="inlineStr">
        <is>
          <t>≥99%</t>
        </is>
      </c>
      <c r="I24" s="92" t="inlineStr">
        <is>
          <t>95-98.9%</t>
        </is>
      </c>
      <c r="J24" s="542" t="inlineStr">
        <is>
          <t>&lt;95%</t>
        </is>
      </c>
      <c r="K24" s="495" t="inlineStr">
        <is>
          <t>Lab quality testing system; MEWA reports</t>
        </is>
      </c>
      <c r="L24" s="441" t="inlineStr">
        <is>
          <t>Water Quality Manager</t>
        </is>
      </c>
      <c r="M24" s="46" t="inlineStr">
        <is>
          <t>Weekly; Monthly report</t>
        </is>
      </c>
      <c r="N24" s="556" t="inlineStr">
        <is>
          <t>WHO + NWC: ≥99% test compliance</t>
        </is>
      </c>
      <c r="Q24" s="591">
        <f>IF(OR(ISNUMBER(SEARCH("ECC",D24)),ISNUMBER(SEARCH("PDPL",D24)),ISNUMBER(SEARCH("OTCC",D24)),ISNUMBER(SEARCH("NCA-REG",D24))),"🔴 CRITICAL-KRI",IF(OR(ISNUMBER(SEARCH("SAMA",D24)),ISNUMBER(SEARCH("CCC",D24)),ISNUMBER(SEARCH("ZATCA",D24)),ISNUMBER(SEARCH("NITAQAT",D24))),"🟠 HIGH-KRI","🟡 MODERATE-KRI"))</f>
        <v/>
      </c>
    </row>
    <row r="25" ht="48" customHeight="1">
      <c r="A25" s="557" t="inlineStr">
        <is>
          <t>KRI-H001</t>
        </is>
      </c>
      <c r="B25" s="51" t="inlineStr">
        <is>
          <t>Healthcare &amp; Life Sciences</t>
        </is>
      </c>
      <c r="C25" s="558" t="inlineStr">
        <is>
          <t>NABIDH Connectivity Uptime</t>
        </is>
      </c>
      <c r="D25" s="559" t="inlineStr">
        <is>
          <t>NHIC-NABIDH</t>
        </is>
      </c>
      <c r="E25" s="555" t="inlineStr">
        <is>
          <t>G+C</t>
        </is>
      </c>
      <c r="F25" s="560" t="inlineStr">
        <is>
          <t>Operational; Availability</t>
        </is>
      </c>
      <c r="G25" s="561" t="inlineStr">
        <is>
          <t>NABIDH connection uptime / Total time × 100</t>
        </is>
      </c>
      <c r="H25" s="22" t="inlineStr">
        <is>
          <t>≥99.5%</t>
        </is>
      </c>
      <c r="I25" s="92" t="inlineStr">
        <is>
          <t>98-99.4%</t>
        </is>
      </c>
      <c r="J25" s="542" t="inlineStr">
        <is>
          <t>&lt;98%</t>
        </is>
      </c>
      <c r="K25" s="561" t="inlineStr">
        <is>
          <t>NHIC monitoring dashboard</t>
        </is>
      </c>
      <c r="L25" s="562" t="inlineStr">
        <is>
          <t>CIO</t>
        </is>
      </c>
      <c r="M25" s="563" t="inlineStr">
        <is>
          <t>Monthly</t>
        </is>
      </c>
      <c r="N25" s="564" t="inlineStr">
        <is>
          <t>NHIC target: ≥99.5%</t>
        </is>
      </c>
      <c r="Q25" s="591">
        <f>IF(OR(ISNUMBER(SEARCH("ECC",D25)),ISNUMBER(SEARCH("PDPL",D25)),ISNUMBER(SEARCH("OTCC",D25)),ISNUMBER(SEARCH("NCA-REG",D25))),"🔴 CRITICAL-KRI",IF(OR(ISNUMBER(SEARCH("SAMA",D25)),ISNUMBER(SEARCH("CCC",D25)),ISNUMBER(SEARCH("ZATCA",D25)),ISNUMBER(SEARCH("NITAQAT",D25))),"🟠 HIGH-KRI","🟡 MODERATE-KRI"))</f>
        <v/>
      </c>
    </row>
    <row r="26" ht="48" customHeight="1">
      <c r="A26" s="494" t="inlineStr">
        <is>
          <t>KRI-H002</t>
        </is>
      </c>
      <c r="B26" s="51" t="inlineStr">
        <is>
          <t>Healthcare &amp; Life Sciences</t>
        </is>
      </c>
      <c r="C26" s="45" t="inlineStr">
        <is>
          <t>SFDA Device Registration Rate</t>
        </is>
      </c>
      <c r="D26" s="541" t="inlineStr">
        <is>
          <t>SFDA-MDR</t>
        </is>
      </c>
      <c r="E26" s="555" t="inlineStr">
        <is>
          <t>R+C</t>
        </is>
      </c>
      <c r="F26" s="434" t="inlineStr">
        <is>
          <t>Regulatory; Patient Safety</t>
        </is>
      </c>
      <c r="G26" s="495" t="inlineStr">
        <is>
          <t>SFDA-registered devices / Total medical devices × 100</t>
        </is>
      </c>
      <c r="H26" s="22" t="inlineStr">
        <is>
          <t>100%</t>
        </is>
      </c>
      <c r="I26" s="92" t="inlineStr">
        <is>
          <t>100%</t>
        </is>
      </c>
      <c r="J26" s="542" t="inlineStr">
        <is>
          <t>&lt;100%</t>
        </is>
      </c>
      <c r="K26" s="495" t="inlineStr">
        <is>
          <t>Device management system; SFDA portal</t>
        </is>
      </c>
      <c r="L26" s="441" t="inlineStr">
        <is>
          <t>MDO</t>
        </is>
      </c>
      <c r="M26" s="46" t="inlineStr">
        <is>
          <t>Quarterly</t>
        </is>
      </c>
      <c r="N26" s="556" t="inlineStr">
        <is>
          <t>SFDA: 100% mandatory</t>
        </is>
      </c>
      <c r="Q26" s="591">
        <f>IF(OR(ISNUMBER(SEARCH("ECC",D26)),ISNUMBER(SEARCH("PDPL",D26)),ISNUMBER(SEARCH("OTCC",D26)),ISNUMBER(SEARCH("NCA-REG",D26))),"🔴 CRITICAL-KRI",IF(OR(ISNUMBER(SEARCH("SAMA",D26)),ISNUMBER(SEARCH("CCC",D26)),ISNUMBER(SEARCH("ZATCA",D26)),ISNUMBER(SEARCH("NITAQAT",D26))),"🟠 HIGH-KRI","🟡 MODERATE-KRI"))</f>
        <v/>
      </c>
    </row>
    <row r="27" ht="48" customHeight="1">
      <c r="A27" s="557" t="inlineStr">
        <is>
          <t>KRI-H003</t>
        </is>
      </c>
      <c r="B27" s="51" t="inlineStr">
        <is>
          <t>Healthcare &amp; Life Sciences</t>
        </is>
      </c>
      <c r="C27" s="558" t="inlineStr">
        <is>
          <t>CBAHI Accreditation Score</t>
        </is>
      </c>
      <c r="D27" s="559" t="inlineStr">
        <is>
          <t>CBAHI-HAS-H</t>
        </is>
      </c>
      <c r="E27" s="555" t="inlineStr">
        <is>
          <t>G+C</t>
        </is>
      </c>
      <c r="F27" s="560" t="inlineStr">
        <is>
          <t>Quality; Regulatory</t>
        </is>
      </c>
      <c r="G27" s="561" t="inlineStr">
        <is>
          <t>% standards Met in CBAHI survey</t>
        </is>
      </c>
      <c r="H27" s="22" t="inlineStr">
        <is>
          <t>≥90%</t>
        </is>
      </c>
      <c r="I27" s="92" t="inlineStr">
        <is>
          <t>75-89%</t>
        </is>
      </c>
      <c r="J27" s="542" t="inlineStr">
        <is>
          <t>&lt;75%</t>
        </is>
      </c>
      <c r="K27" s="561" t="inlineStr">
        <is>
          <t>CBAHI Accreditation Manager</t>
        </is>
      </c>
      <c r="L27" s="562" t="inlineStr">
        <is>
          <t>Quality Director</t>
        </is>
      </c>
      <c r="M27" s="563" t="inlineStr">
        <is>
          <t>3yr cycle; chapter quarterly</t>
        </is>
      </c>
      <c r="N27" s="564" t="inlineStr">
        <is>
          <t>CBAHI: ≥90% for accreditation</t>
        </is>
      </c>
      <c r="Q27" s="591">
        <f>IF(OR(ISNUMBER(SEARCH("ECC",D27)),ISNUMBER(SEARCH("PDPL",D27)),ISNUMBER(SEARCH("OTCC",D27)),ISNUMBER(SEARCH("NCA-REG",D27))),"🔴 CRITICAL-KRI",IF(OR(ISNUMBER(SEARCH("SAMA",D27)),ISNUMBER(SEARCH("CCC",D27)),ISNUMBER(SEARCH("ZATCA",D27)),ISNUMBER(SEARCH("NITAQAT",D27))),"🟠 HIGH-KRI","🟡 MODERATE-KRI"))</f>
        <v/>
      </c>
    </row>
    <row r="28" ht="48" customHeight="1">
      <c r="A28" s="494" t="inlineStr">
        <is>
          <t>KRI-H004</t>
        </is>
      </c>
      <c r="B28" s="51" t="inlineStr">
        <is>
          <t>Healthcare &amp; Life Sciences</t>
        </is>
      </c>
      <c r="C28" s="45" t="inlineStr">
        <is>
          <t>Clinical Staff Licensing Compliance</t>
        </is>
      </c>
      <c r="D28" s="541" t="inlineStr">
        <is>
          <t>SCFHS-PLF</t>
        </is>
      </c>
      <c r="E28" s="555" t="inlineStr">
        <is>
          <t>G+C</t>
        </is>
      </c>
      <c r="F28" s="434" t="inlineStr">
        <is>
          <t>Legal; Patient Safety</t>
        </is>
      </c>
      <c r="G28" s="495" t="inlineStr">
        <is>
          <t>% clinical staff with current SCFHS licence</t>
        </is>
      </c>
      <c r="H28" s="22" t="inlineStr">
        <is>
          <t>100%</t>
        </is>
      </c>
      <c r="I28" s="92" t="inlineStr">
        <is>
          <t>100%</t>
        </is>
      </c>
      <c r="J28" s="542" t="inlineStr">
        <is>
          <t>&lt;100%</t>
        </is>
      </c>
      <c r="K28" s="495" t="inlineStr">
        <is>
          <t>SCFHS portal; HR system</t>
        </is>
      </c>
      <c r="L28" s="441" t="inlineStr">
        <is>
          <t>HR Director; Medical Director</t>
        </is>
      </c>
      <c r="M28" s="46" t="inlineStr">
        <is>
          <t>Monthly</t>
        </is>
      </c>
      <c r="N28" s="556" t="inlineStr">
        <is>
          <t>SCFHS: 100% mandatory — criminal liability</t>
        </is>
      </c>
      <c r="Q28" s="591">
        <f>IF(OR(ISNUMBER(SEARCH("ECC",D28)),ISNUMBER(SEARCH("PDPL",D28)),ISNUMBER(SEARCH("OTCC",D28)),ISNUMBER(SEARCH("NCA-REG",D28))),"🔴 CRITICAL-KRI",IF(OR(ISNUMBER(SEARCH("SAMA",D28)),ISNUMBER(SEARCH("CCC",D28)),ISNUMBER(SEARCH("ZATCA",D28)),ISNUMBER(SEARCH("NITAQAT",D28))),"🟠 HIGH-KRI","🟡 MODERATE-KRI"))</f>
        <v/>
      </c>
    </row>
    <row r="29" ht="48" customHeight="1">
      <c r="A29" s="557" t="inlineStr">
        <is>
          <t>KRI-H005</t>
        </is>
      </c>
      <c r="B29" s="51" t="inlineStr">
        <is>
          <t>Healthcare &amp; Life Sciences</t>
        </is>
      </c>
      <c r="C29" s="558" t="inlineStr">
        <is>
          <t>Patient Safety Incident Rate</t>
        </is>
      </c>
      <c r="D29" s="559" t="inlineStr">
        <is>
          <t>MOH-PS; CBAHI-HAS-H</t>
        </is>
      </c>
      <c r="E29" s="555" t="inlineStr">
        <is>
          <t>G+C</t>
        </is>
      </c>
      <c r="F29" s="560" t="inlineStr">
        <is>
          <t>Patient Safety</t>
        </is>
      </c>
      <c r="G29" s="561" t="inlineStr">
        <is>
          <t>Sentinel events / 1,000 patient admissions</t>
        </is>
      </c>
      <c r="H29" s="22" t="inlineStr">
        <is>
          <t>&lt;0.5</t>
        </is>
      </c>
      <c r="I29" s="92" t="inlineStr">
        <is>
          <t>0.5-2.0</t>
        </is>
      </c>
      <c r="J29" s="542" t="inlineStr">
        <is>
          <t>&gt;2.0</t>
        </is>
      </c>
      <c r="K29" s="561" t="inlineStr">
        <is>
          <t>Incident reporting system</t>
        </is>
      </c>
      <c r="L29" s="562" t="inlineStr">
        <is>
          <t>CMO; Patient Safety Director</t>
        </is>
      </c>
      <c r="M29" s="563" t="inlineStr">
        <is>
          <t>Monthly</t>
        </is>
      </c>
      <c r="N29" s="564" t="inlineStr">
        <is>
          <t>MOH/CBAHI benchmark: &lt;0.5/1,000</t>
        </is>
      </c>
      <c r="Q29" s="591">
        <f>IF(OR(ISNUMBER(SEARCH("ECC",D29)),ISNUMBER(SEARCH("PDPL",D29)),ISNUMBER(SEARCH("OTCC",D29)),ISNUMBER(SEARCH("NCA-REG",D29))),"🔴 CRITICAL-KRI",IF(OR(ISNUMBER(SEARCH("SAMA",D29)),ISNUMBER(SEARCH("CCC",D29)),ISNUMBER(SEARCH("ZATCA",D29)),ISNUMBER(SEARCH("NITAQAT",D29))),"🟠 HIGH-KRI","🟡 MODERATE-KRI"))</f>
        <v/>
      </c>
    </row>
    <row r="30" ht="48" customHeight="1">
      <c r="A30" s="494" t="inlineStr">
        <is>
          <t>KRI-T001</t>
        </is>
      </c>
      <c r="B30" s="551" t="inlineStr">
        <is>
          <t>ICT / Digital / Telecom</t>
        </is>
      </c>
      <c r="C30" s="45" t="inlineStr">
        <is>
          <t>Network Availability SLA</t>
        </is>
      </c>
      <c r="D30" s="541" t="inlineStr">
        <is>
          <t>CST-TITA; CST-USERIGHTS</t>
        </is>
      </c>
      <c r="E30" s="555" t="inlineStr">
        <is>
          <t>R</t>
        </is>
      </c>
      <c r="F30" s="434" t="inlineStr">
        <is>
          <t>Operational; Availability</t>
        </is>
      </c>
      <c r="G30" s="495" t="inlineStr">
        <is>
          <t>Telecom network uptime / Total time × 100</t>
        </is>
      </c>
      <c r="H30" s="22" t="inlineStr">
        <is>
          <t>≥99.95%</t>
        </is>
      </c>
      <c r="I30" s="92" t="inlineStr">
        <is>
          <t>99.8-99.94%</t>
        </is>
      </c>
      <c r="J30" s="542" t="inlineStr">
        <is>
          <t>&lt;99.8%</t>
        </is>
      </c>
      <c r="K30" s="495" t="inlineStr">
        <is>
          <t>Network operations centre</t>
        </is>
      </c>
      <c r="L30" s="441" t="inlineStr">
        <is>
          <t>CTO; Network Operations</t>
        </is>
      </c>
      <c r="M30" s="46" t="inlineStr">
        <is>
          <t>Daily; Monthly</t>
        </is>
      </c>
      <c r="N30" s="556" t="inlineStr">
        <is>
          <t>CST: ≥99.95% for core telecom</t>
        </is>
      </c>
      <c r="Q30" s="591">
        <f>IF(OR(ISNUMBER(SEARCH("ECC",D30)),ISNUMBER(SEARCH("PDPL",D30)),ISNUMBER(SEARCH("OTCC",D30)),ISNUMBER(SEARCH("NCA-REG",D30))),"🔴 CRITICAL-KRI",IF(OR(ISNUMBER(SEARCH("SAMA",D30)),ISNUMBER(SEARCH("CCC",D30)),ISNUMBER(SEARCH("ZATCA",D30)),ISNUMBER(SEARCH("NITAQAT",D30))),"🟠 HIGH-KRI","🟡 MODERATE-KRI"))</f>
        <v/>
      </c>
    </row>
    <row r="31" ht="48" customHeight="1">
      <c r="A31" s="557" t="inlineStr">
        <is>
          <t>KRI-T002</t>
        </is>
      </c>
      <c r="B31" s="551" t="inlineStr">
        <is>
          <t>ICT / Digital / Telecom</t>
        </is>
      </c>
      <c r="C31" s="558" t="inlineStr">
        <is>
          <t>IoT Device Type Approval Rate</t>
        </is>
      </c>
      <c r="D31" s="559" t="inlineStr">
        <is>
          <t>CST-IOT; SASO-SABER</t>
        </is>
      </c>
      <c r="E31" s="555" t="inlineStr">
        <is>
          <t>C</t>
        </is>
      </c>
      <c r="F31" s="560" t="inlineStr">
        <is>
          <t>Regulatory Risk</t>
        </is>
      </c>
      <c r="G31" s="561" t="inlineStr">
        <is>
          <t>CST-approved IoT device models / Total IoT devices in market × 100</t>
        </is>
      </c>
      <c r="H31" s="22" t="inlineStr">
        <is>
          <t>100%</t>
        </is>
      </c>
      <c r="I31" s="92" t="inlineStr">
        <is>
          <t>100%</t>
        </is>
      </c>
      <c r="J31" s="542" t="inlineStr">
        <is>
          <t>&lt;100%</t>
        </is>
      </c>
      <c r="K31" s="561" t="inlineStr">
        <is>
          <t>CST type approval database; SABER</t>
        </is>
      </c>
      <c r="L31" s="562" t="inlineStr">
        <is>
          <t>Regulatory Affairs Manager</t>
        </is>
      </c>
      <c r="M31" s="563" t="inlineStr">
        <is>
          <t>Quarterly</t>
        </is>
      </c>
      <c r="N31" s="564" t="inlineStr">
        <is>
          <t>CST: 100% — unapproved devices = market withdrawal</t>
        </is>
      </c>
      <c r="Q31" s="591">
        <f>IF(OR(ISNUMBER(SEARCH("ECC",D31)),ISNUMBER(SEARCH("PDPL",D31)),ISNUMBER(SEARCH("OTCC",D31)),ISNUMBER(SEARCH("NCA-REG",D31))),"🔴 CRITICAL-KRI",IF(OR(ISNUMBER(SEARCH("SAMA",D31)),ISNUMBER(SEARCH("CCC",D31)),ISNUMBER(SEARCH("ZATCA",D31)),ISNUMBER(SEARCH("NITAQAT",D31))),"🟠 HIGH-KRI","🟡 MODERATE-KRI"))</f>
        <v/>
      </c>
    </row>
    <row r="32" ht="48" customHeight="1">
      <c r="A32" s="494" t="inlineStr">
        <is>
          <t>KRI-T003</t>
        </is>
      </c>
      <c r="B32" s="551" t="inlineStr">
        <is>
          <t>ICT / Digital / Telecom</t>
        </is>
      </c>
      <c r="C32" s="45" t="inlineStr">
        <is>
          <t>Cloud Provider Data Residency</t>
        </is>
      </c>
      <c r="D32" s="541" t="inlineStr">
        <is>
          <t>CST-CCR; NCA-CCC; DGA-CFP</t>
        </is>
      </c>
      <c r="E32" s="555" t="inlineStr">
        <is>
          <t>C</t>
        </is>
      </c>
      <c r="F32" s="434" t="inlineStr">
        <is>
          <t>Data Sovereignty Risk</t>
        </is>
      </c>
      <c r="G32" s="495" t="inlineStr">
        <is>
          <t>KSA-hosted cloud workloads / Total cloud workloads × 100 (gov.)</t>
        </is>
      </c>
      <c r="H32" s="22" t="inlineStr">
        <is>
          <t>100% (gov.)</t>
        </is>
      </c>
      <c r="I32" s="92" t="inlineStr">
        <is>
          <t>100%</t>
        </is>
      </c>
      <c r="J32" s="542" t="inlineStr">
        <is>
          <t>&lt;100%</t>
        </is>
      </c>
      <c r="K32" s="495" t="inlineStr">
        <is>
          <t>CSPM tool</t>
        </is>
      </c>
      <c r="L32" s="441" t="inlineStr">
        <is>
          <t>CTO; CISO</t>
        </is>
      </c>
      <c r="M32" s="46" t="inlineStr">
        <is>
          <t>Monthly</t>
        </is>
      </c>
      <c r="N32" s="556" t="inlineStr">
        <is>
          <t>NCA + CST: 100% government data in KSA</t>
        </is>
      </c>
      <c r="Q32" s="591">
        <f>IF(OR(ISNUMBER(SEARCH("ECC",D32)),ISNUMBER(SEARCH("PDPL",D32)),ISNUMBER(SEARCH("OTCC",D32)),ISNUMBER(SEARCH("NCA-REG",D32))),"🔴 CRITICAL-KRI",IF(OR(ISNUMBER(SEARCH("SAMA",D32)),ISNUMBER(SEARCH("CCC",D32)),ISNUMBER(SEARCH("ZATCA",D32)),ISNUMBER(SEARCH("NITAQAT",D32))),"🟠 HIGH-KRI","🟡 MODERATE-KRI"))</f>
        <v/>
      </c>
    </row>
    <row r="33" ht="48" customHeight="1">
      <c r="A33" s="557" t="inlineStr">
        <is>
          <t>KRI-L001</t>
        </is>
      </c>
      <c r="B33" s="553" t="inlineStr">
        <is>
          <t>Transport &amp; Logistics</t>
        </is>
      </c>
      <c r="C33" s="558" t="inlineStr">
        <is>
          <t>Aviation Safety Incident Rate</t>
        </is>
      </c>
      <c r="D33" s="559" t="inlineStr">
        <is>
          <t>GACA-AVLAW</t>
        </is>
      </c>
      <c r="E33" s="555" t="inlineStr">
        <is>
          <t>R+C</t>
        </is>
      </c>
      <c r="F33" s="560" t="inlineStr">
        <is>
          <t>Safety; Regulatory Risk</t>
        </is>
      </c>
      <c r="G33" s="561" t="inlineStr">
        <is>
          <t>Serious incidents per 100,000 flight hours</t>
        </is>
      </c>
      <c r="H33" s="22" t="inlineStr">
        <is>
          <t>&lt;1.0</t>
        </is>
      </c>
      <c r="I33" s="92" t="inlineStr">
        <is>
          <t>1.0-2.5</t>
        </is>
      </c>
      <c r="J33" s="542" t="inlineStr">
        <is>
          <t>&gt;2.5</t>
        </is>
      </c>
      <c r="K33" s="561" t="inlineStr">
        <is>
          <t>GACA safety reporting; ICAO ECCAIRS</t>
        </is>
      </c>
      <c r="L33" s="562" t="inlineStr">
        <is>
          <t>Safety Manager</t>
        </is>
      </c>
      <c r="M33" s="563" t="inlineStr">
        <is>
          <t>Monthly; Annual ICAO report</t>
        </is>
      </c>
      <c r="N33" s="564" t="inlineStr">
        <is>
          <t>ICAO/GACA: &lt;1.0/100,000 flight hours</t>
        </is>
      </c>
      <c r="Q33" s="591">
        <f>IF(OR(ISNUMBER(SEARCH("ECC",D33)),ISNUMBER(SEARCH("PDPL",D33)),ISNUMBER(SEARCH("OTCC",D33)),ISNUMBER(SEARCH("NCA-REG",D33))),"🔴 CRITICAL-KRI",IF(OR(ISNUMBER(SEARCH("SAMA",D33)),ISNUMBER(SEARCH("CCC",D33)),ISNUMBER(SEARCH("ZATCA",D33)),ISNUMBER(SEARCH("NITAQAT",D33))),"🟠 HIGH-KRI","🟡 MODERATE-KRI"))</f>
        <v/>
      </c>
    </row>
    <row r="34" ht="48" customHeight="1">
      <c r="A34" s="494" t="inlineStr">
        <is>
          <t>KRI-L002</t>
        </is>
      </c>
      <c r="B34" s="553" t="inlineStr">
        <is>
          <t>Transport &amp; Logistics</t>
        </is>
      </c>
      <c r="C34" s="45" t="inlineStr">
        <is>
          <t>Cold Chain Compliance Rate</t>
        </is>
      </c>
      <c r="D34" s="541" t="inlineStr">
        <is>
          <t>MAWANI-COLDCHAIN; SFDA-PHARMA</t>
        </is>
      </c>
      <c r="E34" s="555" t="inlineStr">
        <is>
          <t>R+C</t>
        </is>
      </c>
      <c r="F34" s="434" t="inlineStr">
        <is>
          <t>Quality; Safety Risk</t>
        </is>
      </c>
      <c r="G34" s="495" t="inlineStr">
        <is>
          <t>Temperature excursions / Total pharmaceutical shipments × 100</t>
        </is>
      </c>
      <c r="H34" s="22" t="inlineStr">
        <is>
          <t>&lt;0.5%</t>
        </is>
      </c>
      <c r="I34" s="92" t="inlineStr">
        <is>
          <t>0.5-2%</t>
        </is>
      </c>
      <c r="J34" s="542" t="inlineStr">
        <is>
          <t>&gt;2%</t>
        </is>
      </c>
      <c r="K34" s="495" t="inlineStr">
        <is>
          <t>Cold chain temperature monitoring; logistics WMS</t>
        </is>
      </c>
      <c r="L34" s="441" t="inlineStr">
        <is>
          <t>Logistics Quality Manager; MDO</t>
        </is>
      </c>
      <c r="M34" s="46" t="inlineStr">
        <is>
          <t>Per shipment; Monthly</t>
        </is>
      </c>
      <c r="N34" s="556" t="inlineStr">
        <is>
          <t>SFDA: &lt;0.5% temperature excursions</t>
        </is>
      </c>
      <c r="Q34" s="591">
        <f>IF(OR(ISNUMBER(SEARCH("ECC",D34)),ISNUMBER(SEARCH("PDPL",D34)),ISNUMBER(SEARCH("OTCC",D34)),ISNUMBER(SEARCH("NCA-REG",D34))),"🔴 CRITICAL-KRI",IF(OR(ISNUMBER(SEARCH("SAMA",D34)),ISNUMBER(SEARCH("CCC",D34)),ISNUMBER(SEARCH("ZATCA",D34)),ISNUMBER(SEARCH("NITAQAT",D34))),"🟠 HIGH-KRI","🟡 MODERATE-KRI"))</f>
        <v/>
      </c>
    </row>
    <row r="35" ht="48" customHeight="1">
      <c r="A35" s="557" t="inlineStr">
        <is>
          <t>KRI-I001</t>
        </is>
      </c>
      <c r="B35" s="552" t="inlineStr">
        <is>
          <t>Industry &amp; Trade</t>
        </is>
      </c>
      <c r="C35" s="558" t="inlineStr">
        <is>
          <t>Product Recall Rate</t>
        </is>
      </c>
      <c r="D35" s="559" t="inlineStr">
        <is>
          <t>SFDA-MDR; SFDA-PMS; SASO-PS</t>
        </is>
      </c>
      <c r="E35" s="555" t="inlineStr">
        <is>
          <t>R+C</t>
        </is>
      </c>
      <c r="F35" s="560" t="inlineStr">
        <is>
          <t>Quality; Patient Safety</t>
        </is>
      </c>
      <c r="G35" s="561" t="inlineStr">
        <is>
          <t>Products recalled / Total products on market × 100</t>
        </is>
      </c>
      <c r="H35" s="22" t="inlineStr">
        <is>
          <t>&lt;0.1%</t>
        </is>
      </c>
      <c r="I35" s="92" t="inlineStr">
        <is>
          <t>0.1-0.5%</t>
        </is>
      </c>
      <c r="J35" s="542" t="inlineStr">
        <is>
          <t>&gt;0.5%</t>
        </is>
      </c>
      <c r="K35" s="561" t="inlineStr">
        <is>
          <t>SFDA recall register; internal QMS</t>
        </is>
      </c>
      <c r="L35" s="562" t="inlineStr">
        <is>
          <t>Quality Director; MDO</t>
        </is>
      </c>
      <c r="M35" s="563" t="inlineStr">
        <is>
          <t>Quarterly</t>
        </is>
      </c>
      <c r="N35" s="564" t="inlineStr">
        <is>
          <t>SFDA: trend toward zero — each recall is investigated</t>
        </is>
      </c>
      <c r="Q35" s="591">
        <f>IF(OR(ISNUMBER(SEARCH("ECC",D35)),ISNUMBER(SEARCH("PDPL",D35)),ISNUMBER(SEARCH("OTCC",D35)),ISNUMBER(SEARCH("NCA-REG",D35))),"🔴 CRITICAL-KRI",IF(OR(ISNUMBER(SEARCH("SAMA",D35)),ISNUMBER(SEARCH("CCC",D35)),ISNUMBER(SEARCH("ZATCA",D35)),ISNUMBER(SEARCH("NITAQAT",D35))),"🟠 HIGH-KRI","🟡 MODERATE-KRI"))</f>
        <v/>
      </c>
    </row>
    <row r="36" ht="48" customHeight="1">
      <c r="A36" s="494" t="inlineStr">
        <is>
          <t>KRI-I002</t>
        </is>
      </c>
      <c r="B36" s="552" t="inlineStr">
        <is>
          <t>Industry &amp; Trade</t>
        </is>
      </c>
      <c r="C36" s="45" t="inlineStr">
        <is>
          <t>GMP Compliance Rate</t>
        </is>
      </c>
      <c r="D36" s="541" t="inlineStr">
        <is>
          <t>SFDA-GMP; SFDA-PHARMA</t>
        </is>
      </c>
      <c r="E36" s="555" t="inlineStr">
        <is>
          <t>R+C</t>
        </is>
      </c>
      <c r="F36" s="434" t="inlineStr">
        <is>
          <t>Quality; Regulatory Risk</t>
        </is>
      </c>
      <c r="G36" s="495" t="inlineStr">
        <is>
          <t>Batch production records with zero GMP deviations / Total batches × 100</t>
        </is>
      </c>
      <c r="H36" s="22" t="inlineStr">
        <is>
          <t>≥98%</t>
        </is>
      </c>
      <c r="I36" s="92" t="inlineStr">
        <is>
          <t>90-97.9%</t>
        </is>
      </c>
      <c r="J36" s="542" t="inlineStr">
        <is>
          <t>&lt;90%</t>
        </is>
      </c>
      <c r="K36" s="495" t="inlineStr">
        <is>
          <t>QMS (batch record system); SFDA audit</t>
        </is>
      </c>
      <c r="L36" s="441" t="inlineStr">
        <is>
          <t>QA Director</t>
        </is>
      </c>
      <c r="M36" s="46" t="inlineStr">
        <is>
          <t>Monthly</t>
        </is>
      </c>
      <c r="N36" s="556" t="inlineStr">
        <is>
          <t>SFDA GMP: ≥98% batch compliance</t>
        </is>
      </c>
      <c r="Q36" s="591">
        <f>IF(OR(ISNUMBER(SEARCH("ECC",D36)),ISNUMBER(SEARCH("PDPL",D36)),ISNUMBER(SEARCH("OTCC",D36)),ISNUMBER(SEARCH("NCA-REG",D36))),"🔴 CRITICAL-KRI",IF(OR(ISNUMBER(SEARCH("SAMA",D36)),ISNUMBER(SEARCH("CCC",D36)),ISNUMBER(SEARCH("ZATCA",D36)),ISNUMBER(SEARCH("NITAQAT",D36))),"🟠 HIGH-KRI","🟡 MODERATE-KRI"))</f>
        <v/>
      </c>
    </row>
    <row r="37" ht="48" customHeight="1">
      <c r="A37" s="557" t="inlineStr">
        <is>
          <t>KRI-I003</t>
        </is>
      </c>
      <c r="B37" s="552" t="inlineStr">
        <is>
          <t>Industry &amp; Trade</t>
        </is>
      </c>
      <c r="C37" s="558" t="inlineStr">
        <is>
          <t>Foreign Investment License Compliance</t>
        </is>
      </c>
      <c r="D37" s="559" t="inlineStr">
        <is>
          <t>MISA-IL</t>
        </is>
      </c>
      <c r="E37" s="555" t="inlineStr">
        <is>
          <t>C</t>
        </is>
      </c>
      <c r="F37" s="560" t="inlineStr">
        <is>
          <t>Regulatory Risk</t>
        </is>
      </c>
      <c r="G37" s="561" t="inlineStr">
        <is>
          <t>Conditions met / Total MISA licence conditions × 100</t>
        </is>
      </c>
      <c r="H37" s="22" t="inlineStr">
        <is>
          <t>100%</t>
        </is>
      </c>
      <c r="I37" s="92" t="inlineStr">
        <is>
          <t>90-99%</t>
        </is>
      </c>
      <c r="J37" s="542" t="inlineStr">
        <is>
          <t>&lt;90%</t>
        </is>
      </c>
      <c r="K37" s="561" t="inlineStr">
        <is>
          <t>MISA portal; Legal records</t>
        </is>
      </c>
      <c r="L37" s="562" t="inlineStr">
        <is>
          <t>Compliance; Legal</t>
        </is>
      </c>
      <c r="M37" s="563" t="inlineStr">
        <is>
          <t>Annual</t>
        </is>
      </c>
      <c r="N37" s="564" t="inlineStr">
        <is>
          <t>MISA: 100% — licence revocation for non-compliance</t>
        </is>
      </c>
      <c r="Q37" s="591">
        <f>IF(OR(ISNUMBER(SEARCH("ECC",D37)),ISNUMBER(SEARCH("PDPL",D37)),ISNUMBER(SEARCH("OTCC",D37)),ISNUMBER(SEARCH("NCA-REG",D37))),"🔴 CRITICAL-KRI",IF(OR(ISNUMBER(SEARCH("SAMA",D37)),ISNUMBER(SEARCH("CCC",D37)),ISNUMBER(SEARCH("ZATCA",D37)),ISNUMBER(SEARCH("NITAQAT",D37))),"🟠 HIGH-KRI","🟡 MODERATE-KRI"))</f>
        <v/>
      </c>
    </row>
    <row r="38" ht="48" customHeight="1">
      <c r="A38" s="494" t="inlineStr">
        <is>
          <t>KRI-Ed001</t>
        </is>
      </c>
      <c r="B38" s="62" t="inlineStr">
        <is>
          <t>Education &amp; Research</t>
        </is>
      </c>
      <c r="C38" s="45" t="inlineStr">
        <is>
          <t>Research Ethics Approval Rate</t>
        </is>
      </c>
      <c r="D38" s="541" t="inlineStr">
        <is>
          <t>KAIMRC-IRB; SFDA-CT; PDPL</t>
        </is>
      </c>
      <c r="E38" s="555" t="inlineStr">
        <is>
          <t>G+C</t>
        </is>
      </c>
      <c r="F38" s="434" t="inlineStr">
        <is>
          <t>Regulatory; Ethical Risk</t>
        </is>
      </c>
      <c r="G38" s="495" t="inlineStr">
        <is>
          <t>Studies with IRB approval / Total human-subject studies × 100</t>
        </is>
      </c>
      <c r="H38" s="22" t="inlineStr">
        <is>
          <t>100%</t>
        </is>
      </c>
      <c r="I38" s="92" t="inlineStr">
        <is>
          <t>100%</t>
        </is>
      </c>
      <c r="J38" s="542" t="inlineStr">
        <is>
          <t>&lt;100%</t>
        </is>
      </c>
      <c r="K38" s="495" t="inlineStr">
        <is>
          <t>IRB database; research management system</t>
        </is>
      </c>
      <c r="L38" s="441" t="inlineStr">
        <is>
          <t>Research Ethics Committee</t>
        </is>
      </c>
      <c r="M38" s="46" t="inlineStr">
        <is>
          <t>Per study; Annual audit</t>
        </is>
      </c>
      <c r="N38" s="556" t="inlineStr">
        <is>
          <t>Mandatory: 100% — no human subject research without IRB</t>
        </is>
      </c>
      <c r="Q38" s="591">
        <f>IF(OR(ISNUMBER(SEARCH("ECC",D38)),ISNUMBER(SEARCH("PDPL",D38)),ISNUMBER(SEARCH("OTCC",D38)),ISNUMBER(SEARCH("NCA-REG",D38))),"🔴 CRITICAL-KRI",IF(OR(ISNUMBER(SEARCH("SAMA",D38)),ISNUMBER(SEARCH("CCC",D38)),ISNUMBER(SEARCH("ZATCA",D38)),ISNUMBER(SEARCH("NITAQAT",D38))),"🟠 HIGH-KRI","🟡 MODERATE-KRI"))</f>
        <v/>
      </c>
    </row>
    <row r="39" ht="48" customHeight="1">
      <c r="A39" s="557" t="inlineStr">
        <is>
          <t>KRI-Ed002</t>
        </is>
      </c>
      <c r="B39" s="62" t="inlineStr">
        <is>
          <t>Education &amp; Research</t>
        </is>
      </c>
      <c r="C39" s="558" t="inlineStr">
        <is>
          <t>Academic Accreditation Score</t>
        </is>
      </c>
      <c r="D39" s="559" t="inlineStr">
        <is>
          <t>ETEC-ACCS</t>
        </is>
      </c>
      <c r="E39" s="555" t="inlineStr">
        <is>
          <t>G+C</t>
        </is>
      </c>
      <c r="F39" s="560" t="inlineStr">
        <is>
          <t>Quality; Regulatory Risk</t>
        </is>
      </c>
      <c r="G39" s="561" t="inlineStr">
        <is>
          <t>% ETEC accreditation standards Met</t>
        </is>
      </c>
      <c r="H39" s="22" t="inlineStr">
        <is>
          <t>≥85%</t>
        </is>
      </c>
      <c r="I39" s="92" t="inlineStr">
        <is>
          <t>70-84%</t>
        </is>
      </c>
      <c r="J39" s="542" t="inlineStr">
        <is>
          <t>&lt;70%</t>
        </is>
      </c>
      <c r="K39" s="561" t="inlineStr">
        <is>
          <t>ETEC accreditation manager</t>
        </is>
      </c>
      <c r="L39" s="562" t="inlineStr">
        <is>
          <t>Academic VP; Quality Director</t>
        </is>
      </c>
      <c r="M39" s="563" t="inlineStr">
        <is>
          <t>3yr cycle; Annual monitoring</t>
        </is>
      </c>
      <c r="N39" s="564" t="inlineStr">
        <is>
          <t>ETEC: ≥85% for accreditation award</t>
        </is>
      </c>
      <c r="Q39" s="591">
        <f>IF(OR(ISNUMBER(SEARCH("ECC",D39)),ISNUMBER(SEARCH("PDPL",D39)),ISNUMBER(SEARCH("OTCC",D39)),ISNUMBER(SEARCH("NCA-REG",D39))),"🔴 CRITICAL-KRI",IF(OR(ISNUMBER(SEARCH("SAMA",D39)),ISNUMBER(SEARCH("CCC",D39)),ISNUMBER(SEARCH("ZATCA",D39)),ISNUMBER(SEARCH("NITAQAT",D39))),"🟠 HIGH-KRI","🟡 MODERATE-KRI"))</f>
        <v/>
      </c>
    </row>
    <row r="40" ht="48" customHeight="1">
      <c r="A40" s="494" t="inlineStr">
        <is>
          <t>KRI-Env001</t>
        </is>
      </c>
      <c r="B40" s="554" t="inlineStr">
        <is>
          <t>Environment</t>
        </is>
      </c>
      <c r="C40" s="45" t="inlineStr">
        <is>
          <t>Environmental Regulatory Compliance Rate</t>
        </is>
      </c>
      <c r="D40" s="541" t="inlineStr">
        <is>
          <t>NCEC-GER; MEWA-EL</t>
        </is>
      </c>
      <c r="E40" s="555" t="inlineStr">
        <is>
          <t>R+C</t>
        </is>
      </c>
      <c r="F40" s="434" t="inlineStr">
        <is>
          <t>Environmental; Regulatory Risk</t>
        </is>
      </c>
      <c r="G40" s="495" t="inlineStr">
        <is>
          <t>Compliance with environmental standards / Total measured parameters × 100</t>
        </is>
      </c>
      <c r="H40" s="22" t="inlineStr">
        <is>
          <t>≥99%</t>
        </is>
      </c>
      <c r="I40" s="92" t="inlineStr">
        <is>
          <t>95-98.9%</t>
        </is>
      </c>
      <c r="J40" s="542" t="inlineStr">
        <is>
          <t>&lt;95%</t>
        </is>
      </c>
      <c r="K40" s="495" t="inlineStr">
        <is>
          <t>NCEC monitoring data; environmental lab results</t>
        </is>
      </c>
      <c r="L40" s="441" t="inlineStr">
        <is>
          <t>Environmental Manager</t>
        </is>
      </c>
      <c r="M40" s="46" t="inlineStr">
        <is>
          <t>Monthly; Annual NCEC report</t>
        </is>
      </c>
      <c r="N40" s="556" t="inlineStr">
        <is>
          <t>NCEC: ≥99% parameter compliance</t>
        </is>
      </c>
      <c r="Q40" s="591">
        <f>IF(OR(ISNUMBER(SEARCH("ECC",D40)),ISNUMBER(SEARCH("PDPL",D40)),ISNUMBER(SEARCH("OTCC",D40)),ISNUMBER(SEARCH("NCA-REG",D40))),"🔴 CRITICAL-KRI",IF(OR(ISNUMBER(SEARCH("SAMA",D40)),ISNUMBER(SEARCH("CCC",D40)),ISNUMBER(SEARCH("ZATCA",D40)),ISNUMBER(SEARCH("NITAQAT",D40))),"🟠 HIGH-KRI","🟡 MODERATE-KRI"))</f>
        <v/>
      </c>
    </row>
    <row r="41" ht="48" customHeight="1">
      <c r="A41" s="557" t="inlineStr">
        <is>
          <t>KRI-Env002</t>
        </is>
      </c>
      <c r="B41" s="554" t="inlineStr">
        <is>
          <t>Environment</t>
        </is>
      </c>
      <c r="C41" s="558" t="inlineStr">
        <is>
          <t>Medical / Hazardous Waste Disposal Compliance</t>
        </is>
      </c>
      <c r="D41" s="559" t="inlineStr">
        <is>
          <t>NCEC-MWR; MEWA-EL</t>
        </is>
      </c>
      <c r="E41" s="555" t="inlineStr">
        <is>
          <t>R+C</t>
        </is>
      </c>
      <c r="F41" s="560" t="inlineStr">
        <is>
          <t>Safety; Environmental Risk</t>
        </is>
      </c>
      <c r="G41" s="561" t="inlineStr">
        <is>
          <t>Properly disposed waste / Total hazardous waste generated × 100</t>
        </is>
      </c>
      <c r="H41" s="22" t="inlineStr">
        <is>
          <t>100%</t>
        </is>
      </c>
      <c r="I41" s="92" t="inlineStr">
        <is>
          <t>100%</t>
        </is>
      </c>
      <c r="J41" s="542" t="inlineStr">
        <is>
          <t>&lt;100%</t>
        </is>
      </c>
      <c r="K41" s="561" t="inlineStr">
        <is>
          <t>Waste manifest system; NCEC records</t>
        </is>
      </c>
      <c r="L41" s="562" t="inlineStr">
        <is>
          <t>Facilities Manager</t>
        </is>
      </c>
      <c r="M41" s="563" t="inlineStr">
        <is>
          <t>Monthly</t>
        </is>
      </c>
      <c r="N41" s="564" t="inlineStr">
        <is>
          <t>NCEC: 100% — improper disposal = criminal liability</t>
        </is>
      </c>
      <c r="Q41" s="591">
        <f>IF(OR(ISNUMBER(SEARCH("ECC",D41)),ISNUMBER(SEARCH("PDPL",D41)),ISNUMBER(SEARCH("OTCC",D41)),ISNUMBER(SEARCH("NCA-REG",D41))),"🔴 CRITICAL-KRI",IF(OR(ISNUMBER(SEARCH("SAMA",D41)),ISNUMBER(SEARCH("CCC",D41)),ISNUMBER(SEARCH("ZATCA",D41)),ISNUMBER(SEARCH("NITAQAT",D41))),"🟠 HIGH-KRI","🟡 MODERATE-KRI"))</f>
        <v/>
      </c>
    </row>
    <row r="42" ht="48" customHeight="1">
      <c r="A42" s="494" t="inlineStr">
        <is>
          <t>KRI-SZ001</t>
        </is>
      </c>
      <c r="B42" s="486" t="inlineStr">
        <is>
          <t>Special Zones &amp; Giga</t>
        </is>
      </c>
      <c r="C42" s="45" t="inlineStr">
        <is>
          <t>NEOM Smart City IoT Security Incidents</t>
        </is>
      </c>
      <c r="D42" s="541" t="inlineStr">
        <is>
          <t>NEOM-IOTGOV; NCA-ECC-2</t>
        </is>
      </c>
      <c r="E42" s="555" t="inlineStr">
        <is>
          <t>R+C</t>
        </is>
      </c>
      <c r="F42" s="434" t="inlineStr">
        <is>
          <t>Cyber Risk; Safety</t>
        </is>
      </c>
      <c r="G42" s="495" t="inlineStr">
        <is>
          <t>IoT security incidents per 10,000 connected devices</t>
        </is>
      </c>
      <c r="H42" s="22" t="inlineStr">
        <is>
          <t>&lt;1</t>
        </is>
      </c>
      <c r="I42" s="92" t="inlineStr">
        <is>
          <t>1-5</t>
        </is>
      </c>
      <c r="J42" s="542" t="inlineStr">
        <is>
          <t>&gt;5</t>
        </is>
      </c>
      <c r="K42" s="495" t="inlineStr">
        <is>
          <t>NEOM smart city monitoring platform</t>
        </is>
      </c>
      <c r="L42" s="441" t="inlineStr">
        <is>
          <t>NEOM CISO</t>
        </is>
      </c>
      <c r="M42" s="46" t="inlineStr">
        <is>
          <t>Monthly</t>
        </is>
      </c>
      <c r="N42" s="556" t="inlineStr">
        <is>
          <t>NEOM target: &lt;1/10,000 devices</t>
        </is>
      </c>
      <c r="Q42" s="591">
        <f>IF(OR(ISNUMBER(SEARCH("ECC",D42)),ISNUMBER(SEARCH("PDPL",D42)),ISNUMBER(SEARCH("OTCC",D42)),ISNUMBER(SEARCH("NCA-REG",D42))),"🔴 CRITICAL-KRI",IF(OR(ISNUMBER(SEARCH("SAMA",D42)),ISNUMBER(SEARCH("CCC",D42)),ISNUMBER(SEARCH("ZATCA",D42)),ISNUMBER(SEARCH("NITAQAT",D42))),"🟠 HIGH-KRI","🟡 MODERATE-KRI"))</f>
        <v/>
      </c>
    </row>
    <row r="43">
      <c r="Q43" s="591">
        <f>IF(OR(ISNUMBER(SEARCH("ECC",D43)),ISNUMBER(SEARCH("PDPL",D43)),ISNUMBER(SEARCH("OTCC",D43)),ISNUMBER(SEARCH("NCA-REG",D43))),"🔴 CRITICAL-KRI",IF(OR(ISNUMBER(SEARCH("SAMA",D43)),ISNUMBER(SEARCH("CCC",D43)),ISNUMBER(SEARCH("ZATCA",D43)),ISNUMBER(SEARCH("NITAQAT",D43))),"🟠 HIGH-KRI","🟡 MODERATE-KRI"))</f>
        <v/>
      </c>
    </row>
  </sheetData>
  <conditionalFormatting sqref="H2:H50">
    <cfRule type="containsText" priority="1" operator="containsText" dxfId="2" text="≥">
      <formula>NOT(ISERROR(SEARCH("≥",H2)))</formula>
    </cfRule>
  </conditionalFormatting>
  <conditionalFormatting sqref="I2:I50">
    <cfRule type="containsText" priority="2" operator="containsText" dxfId="1" text="-">
      <formula>NOT(ISERROR(SEARCH("-",I2)))</formula>
    </cfRule>
  </conditionalFormatting>
  <conditionalFormatting sqref="J2:J50">
    <cfRule type="containsText" priority="3" operator="containsText" dxfId="0" text="&lt;">
      <formula>NOT(ISERROR(SEARCH("&lt;",J2)))</formula>
    </cfRule>
  </conditionalFormatting>
  <pageMargins left="0.75" right="0.75" top="1" bottom="1" header="0.511811023622047" footer="0.511811023622047"/>
  <pageSetup orientation="portrait" paperSize="9" horizontalDpi="300" verticalDpi="300"/>
</worksheet>
</file>

<file path=xl/worksheets/sheet20.xml><?xml version="1.0" encoding="utf-8"?>
<worksheet xmlns="http://schemas.openxmlformats.org/spreadsheetml/2006/main">
  <sheetPr>
    <tabColor rgb="FF7A5500"/>
    <outlinePr summaryBelow="1" summaryRight="1"/>
    <pageSetUpPr/>
  </sheetPr>
  <dimension ref="A1:I10"/>
  <sheetViews>
    <sheetView zoomScaleNormal="100" workbookViewId="0">
      <pane ySplit="1" topLeftCell="A2" activePane="bottomLeft" state="frozen"/>
      <selection pane="bottomLeft" activeCell="A1" sqref="A1"/>
    </sheetView>
  </sheetViews>
  <sheetFormatPr baseColWidth="8" defaultColWidth="8.6640625" defaultRowHeight="14.25"/>
  <cols>
    <col width="26" customWidth="1" min="1" max="1"/>
    <col width="36" customWidth="1" min="2" max="6"/>
    <col width="18" customWidth="1" min="7" max="7"/>
    <col width="14" customWidth="1" min="8" max="8"/>
    <col width="40" customWidth="1" min="9" max="9"/>
  </cols>
  <sheetData>
    <row r="1" ht="23.25" customHeight="1">
      <c r="A1" s="10" t="inlineStr">
        <is>
          <t>GRC Domain / Sector</t>
        </is>
      </c>
      <c r="B1" s="10" t="inlineStr">
        <is>
          <t>Level 1 — INITIAL</t>
        </is>
      </c>
      <c r="C1" s="10" t="inlineStr">
        <is>
          <t>Level 2 — DEVELOPING</t>
        </is>
      </c>
      <c r="D1" s="10" t="inlineStr">
        <is>
          <t>Level 3 — DEFINED ✓ TARGET</t>
        </is>
      </c>
      <c r="E1" s="10" t="inlineStr">
        <is>
          <t>Level 4 — MANAGED</t>
        </is>
      </c>
      <c r="F1" s="10" t="inlineStr">
        <is>
          <t>Level 5 — OPTIMISING</t>
        </is>
      </c>
      <c r="G1" s="10" t="inlineStr">
        <is>
          <t>Typical KSA Organisation (2024)</t>
        </is>
      </c>
      <c r="H1" s="10" t="inlineStr">
        <is>
          <t>GH-ICGA / Target Level</t>
        </is>
      </c>
      <c r="I1" s="10" t="inlineStr">
        <is>
          <t>Evidence Required at Level 3</t>
        </is>
      </c>
    </row>
    <row r="2" ht="79.5" customHeight="1">
      <c r="A2" s="115" t="inlineStr">
        <is>
          <t>Governance &amp; Strategy (ALL SECTORS)</t>
        </is>
      </c>
      <c r="B2" s="565" t="inlineStr">
        <is>
          <t>No governance structure; no policy; reactive management</t>
        </is>
      </c>
      <c r="C2" s="566" t="inlineStr">
        <is>
          <t>Policy exists; senior ownership designated; regulatory awareness</t>
        </is>
      </c>
      <c r="D2" s="65" t="inlineStr">
        <is>
          <t>Formal governance framework; all applicable KSA frameworks identified; compliance register; board-level visibility</t>
        </is>
      </c>
      <c r="E2" s="567" t="inlineStr">
        <is>
          <t>Governance KPIs tracked; integrated risk and compliance management; strategy aligned with regulatory roadmap</t>
        </is>
      </c>
      <c r="F2" s="568" t="inlineStr">
        <is>
          <t>Continuous improvement; industry leadership; regulatory engagement; benchmark against international peers</t>
        </is>
      </c>
      <c r="G2" s="569" t="inlineStr">
        <is>
          <t>Level 1-2 (most sectors)</t>
        </is>
      </c>
      <c r="H2" s="41" t="inlineStr">
        <is>
          <t>Level 3 target</t>
        </is>
      </c>
      <c r="I2" s="556" t="inlineStr">
        <is>
          <t>Governance policy; compliance register; board report; regulatory calendar; CISO/Compliance Officer appointment</t>
        </is>
      </c>
    </row>
    <row r="3" ht="79.5" customHeight="1">
      <c r="A3" s="570" t="inlineStr">
        <is>
          <t>Cybersecurity (NCA ECC-2) — ALL SECTORS</t>
        </is>
      </c>
      <c r="B3" s="565" t="inlineStr">
        <is>
          <t>No cybersecurity controls; ECC-2 unknown</t>
        </is>
      </c>
      <c r="C3" s="566" t="inlineStr">
        <is>
          <t>Aware of ECC-2; partial implementation; no formal self-assessment</t>
        </is>
      </c>
      <c r="D3" s="65" t="inlineStr">
        <is>
          <t>Full ECC-2 compliance; annual self-assessment submitted; major domains at Level 3+; basic IoT/OT controls</t>
        </is>
      </c>
      <c r="E3" s="567" t="inlineStr">
        <is>
          <t>Continuous monitoring; maturity Level 4+ in all domains; integrated threat intelligence; automated controls testing</t>
        </is>
      </c>
      <c r="F3" s="568" t="inlineStr">
        <is>
          <t>Maturity Level 5 in all domains; NCA industry reference; threat sharing; sector cybersecurity leadership</t>
        </is>
      </c>
      <c r="G3" s="569" t="inlineStr">
        <is>
          <t>Level 2 most government; Level 1 many private</t>
        </is>
      </c>
      <c r="H3" s="41" t="inlineStr">
        <is>
          <t>Level 3 (ECC-2 mandatory minimum)</t>
        </is>
      </c>
      <c r="I3" s="571" t="inlineStr">
        <is>
          <t>ECC-2 self-assessment ≥80%; policy register; access control evidence; patch records; NCA submission</t>
        </is>
      </c>
    </row>
    <row r="4" ht="79.5" customHeight="1">
      <c r="A4" s="115" t="inlineStr">
        <is>
          <t>Data Privacy (PDPL) — ALL SECTORS</t>
        </is>
      </c>
      <c r="B4" s="565" t="inlineStr">
        <is>
          <t>No privacy programme; PDPL unknown or ignored</t>
        </is>
      </c>
      <c r="C4" s="566" t="inlineStr">
        <is>
          <t>Aware of PDPL; privacy notice added; no DPO</t>
        </is>
      </c>
      <c r="D4" s="65" t="inlineStr">
        <is>
          <t>DPO appointed + notified to SDAIA; DPIA programme active; consent management; breach response tested</t>
        </is>
      </c>
      <c r="E4" s="567" t="inlineStr">
        <is>
          <t>Privacy by design embedded; zero PDPL findings; 100% DPA coverage; real-time breach monitoring</t>
        </is>
      </c>
      <c r="F4" s="568" t="inlineStr">
        <is>
          <t>Privacy as competitive advantage; PDPL+GDPR dual compliance; transparency reporting; innovation</t>
        </is>
      </c>
      <c r="G4" s="569" t="inlineStr">
        <is>
          <t>Level 1 (awareness only) — most sectors</t>
        </is>
      </c>
      <c r="H4" s="41" t="inlineStr">
        <is>
          <t>Level 3 (PDPL minimum compliance)</t>
        </is>
      </c>
      <c r="I4" s="556" t="inlineStr">
        <is>
          <t>DPO letter; DPIA register; consent records; controller registration; data map; breach response test</t>
        </is>
      </c>
    </row>
    <row r="5" ht="79.5" customHeight="1">
      <c r="A5" s="570" t="inlineStr">
        <is>
          <t>Risk Management — ALL SECTORS</t>
        </is>
      </c>
      <c r="B5" s="565" t="inlineStr">
        <is>
          <t>No formal risk management; reactive incident response</t>
        </is>
      </c>
      <c r="C5" s="566" t="inlineStr">
        <is>
          <t>Annual risk assessment exists; risks ad hoc; no risk register</t>
        </is>
      </c>
      <c r="D5" s="65" t="inlineStr">
        <is>
          <t>Formal risk register; annual assessment; risk appetite defined; treatment plans tracked</t>
        </is>
      </c>
      <c r="E5" s="567" t="inlineStr">
        <is>
          <t>Risk-based decisions; risk quantified; continuous monitoring; supply chain risk assessed; sector-specific risks integrated</t>
        </is>
      </c>
      <c r="F5" s="568" t="inlineStr">
        <is>
          <t>Predictive risk analytics; automated risk scoring; portfolio management</t>
        </is>
      </c>
      <c r="G5" s="92" t="inlineStr">
        <is>
          <t>Level 2 most sectors</t>
        </is>
      </c>
      <c r="H5" s="41" t="inlineStr">
        <is>
          <t>Level 3 target</t>
        </is>
      </c>
      <c r="I5" s="571" t="inlineStr">
        <is>
          <t>Risk register; risk methodology; treatment tracking; annual assessment report; risk appetite statement</t>
        </is>
      </c>
    </row>
    <row r="6" ht="79.5" customHeight="1">
      <c r="A6" s="115" t="inlineStr">
        <is>
          <t>Compliance Management — ALL SECTORS</t>
        </is>
      </c>
      <c r="B6" s="565" t="inlineStr">
        <is>
          <t>Unknown regulatory obligations; compliance by chance</t>
        </is>
      </c>
      <c r="C6" s="566" t="inlineStr">
        <is>
          <t>Aware of primary regulations; compliance incomplete; no tracking</t>
        </is>
      </c>
      <c r="D6" s="65" t="inlineStr">
        <is>
          <t>Compliance register of all applicable KSA frameworks; gap analysis done; remediation tracked; annual compliance audit</t>
        </is>
      </c>
      <c r="E6" s="567" t="inlineStr">
        <is>
          <t>Automated compliance monitoring; regulatory change alerts; integrated GRC system; zero critical findings</t>
        </is>
      </c>
      <c r="F6" s="568" t="inlineStr">
        <is>
          <t>Predictive compliance; regulatory participation; industry standard-setting</t>
        </is>
      </c>
      <c r="G6" s="569" t="inlineStr">
        <is>
          <t>Level 1-2 most sectors</t>
        </is>
      </c>
      <c r="H6" s="41" t="inlineStr">
        <is>
          <t>Level 3 target</t>
        </is>
      </c>
      <c r="I6" s="556" t="inlineStr">
        <is>
          <t>Compliance register; gap analysis; remediation tracker; audit schedule; ECC-2 + PDPL + sector-specific compliance evidence</t>
        </is>
      </c>
    </row>
    <row r="7" ht="79.5" customHeight="1">
      <c r="A7" s="570" t="inlineStr">
        <is>
          <t>Supply Chain &amp; Third-Party GRC — ALL SECTORS</t>
        </is>
      </c>
      <c r="B7" s="565" t="inlineStr">
        <is>
          <t>No vendor assessment; no contractual security requirements</t>
        </is>
      </c>
      <c r="C7" s="566" t="inlineStr">
        <is>
          <t>Vendor list exists; basic contracts; no security assessment</t>
        </is>
      </c>
      <c r="D7" s="65" t="inlineStr">
        <is>
          <t>Annual vendor risk assessment; ECC-2/PDPL contractual obligations; right-to-audit; critical vendor register</t>
        </is>
      </c>
      <c r="E7" s="567" t="inlineStr">
        <is>
          <t>Continuous vendor monitoring; vendor risk scoring; sub-contractor disclosure; supply chain threat intelligence</t>
        </is>
      </c>
      <c r="F7" s="568" t="inlineStr">
        <is>
          <t>Zero-trust supply chain; vendor certification required; real-time supply chain risk feeds</t>
        </is>
      </c>
      <c r="G7" s="569" t="inlineStr">
        <is>
          <t>Level 1 most sectors</t>
        </is>
      </c>
      <c r="H7" s="41" t="inlineStr">
        <is>
          <t>Level 3 target</t>
        </is>
      </c>
      <c r="I7" s="571" t="inlineStr">
        <is>
          <t>Vendor risk register; assessment questionnaires; ECC-2 contract clauses; critical vendor list; subprocessor register</t>
        </is>
      </c>
    </row>
    <row r="8" ht="79.5" customHeight="1">
      <c r="A8" s="115" t="inlineStr">
        <is>
          <t>OT/CNI Cybersecurity (NCA-OTCC) — CNI Sectors</t>
        </is>
      </c>
      <c r="B8" s="565" t="inlineStr">
        <is>
          <t>No OT security controls; flat network; no OT inventory</t>
        </is>
      </c>
      <c r="C8" s="566" t="inlineStr">
        <is>
          <t>OT assets partially inventoried; basic segmentation; some vendor controls</t>
        </is>
      </c>
      <c r="D8" s="65" t="inlineStr">
        <is>
          <t>Full OT inventory; zone/conduit segmentation; OTCC self-assessment; OT monitoring deployed; patch management</t>
        </is>
      </c>
      <c r="E8" s="567" t="inlineStr">
        <is>
          <t>Automated OT anomaly detection; zero-trust OT; SOC integration; IEC 62443 alignment</t>
        </is>
      </c>
      <c r="F8" s="568" t="inlineStr">
        <is>
          <t>AI-driven OT protection; predictive maintenance security; full IEC 62443 certification</t>
        </is>
      </c>
      <c r="G8" s="569" t="inlineStr">
        <is>
          <t>Level 1-2 (CNI sectors generally)</t>
        </is>
      </c>
      <c r="H8" s="41" t="inlineStr">
        <is>
          <t>Level 3 (OTCC mandatory)</t>
        </is>
      </c>
      <c r="I8" s="556" t="inlineStr">
        <is>
          <t>OT asset inventory; zone diagrams; OTCC assessment; OT patch log; OT monitoring deployment evidence</t>
        </is>
      </c>
    </row>
    <row r="9" ht="79.5" customHeight="1">
      <c r="A9" s="570" t="inlineStr">
        <is>
          <t>Incident Response &amp; Recovery — ALL SECTORS</t>
        </is>
      </c>
      <c r="B9" s="565" t="inlineStr">
        <is>
          <t>No IR plan; ad hoc response; no regulatory notification</t>
        </is>
      </c>
      <c r="C9" s="566" t="inlineStr">
        <is>
          <t>IR plan exists; notification procedures drafted but untested</t>
        </is>
      </c>
      <c r="D9" s="65" t="inlineStr">
        <is>
          <t>Formal IR plan; NCA 24h + SDAIA 72h notification tested; tabletop annual; recovery within tested RTOs</t>
        </is>
      </c>
      <c r="E9" s="567" t="inlineStr">
        <is>
          <t>Automated SOAR response; cross-regulator notification tested; recovery &lt;RTO; post-incident review</t>
        </is>
      </c>
      <c r="F9" s="568" t="inlineStr">
        <is>
          <t>&lt;1h MTTD; predictive IR; proactive threat hunting; sector incident sharing</t>
        </is>
      </c>
      <c r="G9" s="569" t="inlineStr">
        <is>
          <t>Level 1-2 most sectors</t>
        </is>
      </c>
      <c r="H9" s="41" t="inlineStr">
        <is>
          <t>Level 3 target</t>
        </is>
      </c>
      <c r="I9" s="571" t="inlineStr">
        <is>
          <t>IR plan; tabletop exercise report; NCA/SDAIA notification test evidence; RTO achievement records; lessons-learned log</t>
        </is>
      </c>
    </row>
    <row r="10" ht="79.5" customHeight="1">
      <c r="A10" s="115" t="inlineStr">
        <is>
          <t>Saudisation &amp; Workforce Compliance — ALL SECTORS</t>
        </is>
      </c>
      <c r="B10" s="565" t="inlineStr">
        <is>
          <t>Unknown Saudisation quotas; no tracking; likely Red zone</t>
        </is>
      </c>
      <c r="C10" s="566" t="inlineStr">
        <is>
          <t>Aware of Nitaqat; some Saudi hiring; Yellow/Red zone</t>
        </is>
      </c>
      <c r="D10" s="65" t="inlineStr">
        <is>
          <t>Green/Platinum zone; cybersecurity roles 100% Saudi (Oct 2025); SCFHS licences current; GOSI 100%</t>
        </is>
      </c>
      <c r="E10" s="567" t="inlineStr">
        <is>
          <t>Exceeding quotas; talent pipeline; Saudisation as culture; CPD tracking per SCFHS</t>
        </is>
      </c>
      <c r="F10" s="568" t="inlineStr">
        <is>
          <t>Saudisation as sector benchmark; Saudi talent export; workforce innovation programme</t>
        </is>
      </c>
      <c r="G10" s="92" t="inlineStr">
        <is>
          <t>Level 2-3 (sector varies widely)</t>
        </is>
      </c>
      <c r="H10" s="41" t="inlineStr">
        <is>
          <t>Level 3 (Green zone + NCA cyber)</t>
        </is>
      </c>
      <c r="I10" s="556" t="inlineStr">
        <is>
          <t>Qiwa Nitaqat rating (Green+); GOSI records; Saudi contract samples; cyber Saudisation evidence; SCFHS licence audit (healthcare)</t>
        </is>
      </c>
    </row>
  </sheetData>
  <pageMargins left="0.75" right="0.75" top="1" bottom="1" header="0.511811023622047" footer="0.511811023622047"/>
  <pageSetup orientation="portrait" paperSize="9" horizontalDpi="300" verticalDpi="300"/>
</worksheet>
</file>

<file path=xl/worksheets/sheet21.xml><?xml version="1.0" encoding="utf-8"?>
<worksheet xmlns="http://schemas.openxmlformats.org/spreadsheetml/2006/main">
  <sheetPr>
    <outlinePr summaryBelow="1" summaryRight="1"/>
    <pageSetUpPr/>
  </sheetPr>
  <dimension ref="A1:I211"/>
  <sheetViews>
    <sheetView workbookViewId="0">
      <pane ySplit="5" topLeftCell="A6" activePane="bottomLeft" state="frozen"/>
      <selection pane="bottomLeft" activeCell="A12" sqref="A12"/>
    </sheetView>
  </sheetViews>
  <sheetFormatPr baseColWidth="8" defaultColWidth="21.59765625" defaultRowHeight="14.25"/>
  <cols>
    <col width="98.3984375" bestFit="1" customWidth="1" min="1" max="1"/>
    <col width="29.59765625" bestFit="1" customWidth="1" min="2" max="2"/>
    <col width="77.46484375" bestFit="1" customWidth="1" min="3" max="3"/>
    <col width="74.265625" bestFit="1" customWidth="1" min="4" max="4"/>
    <col width="16" bestFit="1" customWidth="1" min="5" max="5"/>
    <col width="15.73046875" bestFit="1" customWidth="1" min="6" max="6"/>
    <col width="16.06640625" bestFit="1" customWidth="1" min="7" max="7"/>
    <col width="15.9296875" bestFit="1" customWidth="1" min="8" max="8"/>
    <col width="18.3984375" bestFit="1" customWidth="1" min="9" max="9"/>
  </cols>
  <sheetData>
    <row r="1" ht="23.25" customHeight="1">
      <c r="A1" s="612" t="inlineStr">
        <is>
          <t>🧠 KSA GRC INTELLIGENCE ENGINE</t>
        </is>
      </c>
    </row>
    <row r="2">
      <c r="A2" s="613" t="inlineStr">
        <is>
          <t>Automated Analytics • Real-Time Scoring • Regulatory Intelligence</t>
        </is>
      </c>
    </row>
    <row r="4" ht="15.75" customHeight="1">
      <c r="A4" s="614" t="inlineStr">
        <is>
          <t>━━━ SECTION 1: KEY PERFORMANCE INDICATORS ━━━</t>
        </is>
      </c>
    </row>
    <row r="5">
      <c r="A5" s="574" t="inlineStr">
        <is>
          <t>KPI</t>
        </is>
      </c>
      <c r="B5" s="575" t="inlineStr">
        <is>
          <t>Value</t>
        </is>
      </c>
      <c r="C5" s="574" t="inlineStr">
        <is>
          <t>Formula Logic</t>
        </is>
      </c>
    </row>
    <row r="6" ht="18" customHeight="1">
      <c r="A6" t="inlineStr">
        <is>
          <t>Total Unique Frameworks</t>
        </is>
      </c>
      <c r="B6" s="577">
        <f>COUNTA('All 108 Regulators - Frameworks'!E4:E500)-COUNTBLANK('All 108 Regulators - Frameworks'!E4:E500)</f>
        <v/>
      </c>
      <c r="C6" s="579" t="inlineStr">
        <is>
          <t>Count non-blank Framework Codes</t>
        </is>
      </c>
    </row>
    <row r="7" ht="18" customHeight="1">
      <c r="A7" t="inlineStr">
        <is>
          <t>Total Unique Regulators</t>
        </is>
      </c>
      <c r="B7" s="577">
        <f>COUNTA('Per-Regulator Summary'!A2:A200)</f>
        <v/>
      </c>
      <c r="C7" s="579" t="inlineStr">
        <is>
          <t>Count from Per-Regulator Summary</t>
        </is>
      </c>
    </row>
    <row r="8" ht="18" customHeight="1">
      <c r="A8" t="inlineStr">
        <is>
          <t>Total Quantified Controls</t>
        </is>
      </c>
      <c r="B8" s="580">
        <f t="array" ref="B8">SUMPRODUCT((ISNUMBER(VALUE('All 108 Regulators - Frameworks'!J4:J500)))*VALUE(IF(ISNUMBER(VALUE('All 108 Regulators - Frameworks'!J4:J500)),'All 108 Regulators - Frameworks'!J4:J500,"0")))</f>
        <v/>
      </c>
      <c r="C8" s="579" t="inlineStr">
        <is>
          <t>Sum numeric Controls column (excl. N/A)</t>
        </is>
      </c>
    </row>
    <row r="9" ht="18" customHeight="1">
      <c r="A9" t="inlineStr">
        <is>
          <t>HIGHEST HC IoT Relevance Frameworks</t>
        </is>
      </c>
      <c r="B9" s="582">
        <f>COUNTIF('All 108 Regulators - Frameworks'!N4:N500,"HIGHEST")</f>
        <v/>
      </c>
      <c r="C9" s="579" t="inlineStr">
        <is>
          <t>COUNTIF HC IoT Relevance = HIGHEST</t>
        </is>
      </c>
    </row>
    <row r="10" ht="18" customHeight="1">
      <c r="A10" t="inlineStr">
        <is>
          <t>HIGH HC IoT Relevance Frameworks</t>
        </is>
      </c>
      <c r="B10" s="585">
        <f>COUNTIF('All 108 Regulators - Frameworks'!N4:N500,"HIGH")</f>
        <v/>
      </c>
      <c r="C10" s="579" t="inlineStr">
        <is>
          <t>COUNTIF HC IoT Relevance = HIGH</t>
        </is>
      </c>
    </row>
    <row r="11" ht="18" customHeight="1">
      <c r="A11" t="inlineStr">
        <is>
          <t>MODERATE HC IoT Relevance Frameworks</t>
        </is>
      </c>
      <c r="B11" s="586">
        <f>COUNTIF('All 108 Regulators - Frameworks'!N4:N500,"MODERATE")</f>
        <v/>
      </c>
      <c r="C11" s="579" t="inlineStr">
        <is>
          <t>COUNTIF HC IoT Relevance = MODERATE</t>
        </is>
      </c>
    </row>
    <row r="12" ht="18" customHeight="1">
      <c r="A12" t="inlineStr">
        <is>
          <t>LOW HC IoT Relevance Frameworks</t>
        </is>
      </c>
      <c r="B12" s="588">
        <f>COUNTIF('All 108 Regulators - Frameworks'!N4:N500,"LOW")</f>
        <v/>
      </c>
      <c r="C12" s="579" t="inlineStr">
        <is>
          <t>COUNTIF HC IoT Relevance = LOW</t>
        </is>
      </c>
    </row>
    <row r="13" ht="18" customHeight="1">
      <c r="A13" t="inlineStr">
        <is>
          <t>Mandatory Enforcer Frameworks</t>
        </is>
      </c>
      <c r="B13" s="577">
        <f>COUNTIF('All 108 Regulators - Frameworks'!L4:L500,"Mandatory Enforcer")</f>
        <v/>
      </c>
      <c r="C13" s="579" t="inlineStr">
        <is>
          <t>Role = Mandatory Enforcer</t>
        </is>
      </c>
    </row>
    <row r="14" ht="18" customHeight="1">
      <c r="A14" t="inlineStr">
        <is>
          <t>Cross-Sector Frameworks</t>
        </is>
      </c>
      <c r="B14" s="577">
        <f>COUNTIF('All 108 Regulators - Frameworks'!BA4:BA500,"YES*")</f>
        <v/>
      </c>
      <c r="C14" s="579" t="inlineStr">
        <is>
          <t>BA column = Cross-Sector</t>
        </is>
      </c>
    </row>
    <row r="15" ht="18" customHeight="1">
      <c r="A15" t="inlineStr">
        <is>
          <t>Sector-Specific Frameworks</t>
        </is>
      </c>
      <c r="B15" s="577">
        <f>COUNTIF('All 108 Regulators - Frameworks'!BA4:BA500,"Sector*")</f>
        <v/>
      </c>
      <c r="C15" s="579" t="inlineStr">
        <is>
          <t>BA column = Sector-Specific</t>
        </is>
      </c>
    </row>
    <row r="16" ht="18" customHeight="1">
      <c r="A16" t="inlineStr">
        <is>
          <t>Avg Controls per Quantified Framework</t>
        </is>
      </c>
      <c r="B16" s="589">
        <f>IFERROR(B8/COUNTIF('All 108 Regulators - Frameworks'!J4:J500,"&lt;&gt;N/A")-COUNTBLANK('All 108 Regulators - Frameworks'!J4:J500),"-")</f>
        <v/>
      </c>
      <c r="C16" s="579" t="inlineStr">
        <is>
          <t>Total controls / frameworks with numeric controls</t>
        </is>
      </c>
    </row>
    <row r="17" ht="18" customHeight="1">
      <c r="A17" t="inlineStr">
        <is>
          <t>Regulator Groups (Sectors)</t>
        </is>
      </c>
      <c r="B17" s="577">
        <f>17</f>
        <v/>
      </c>
      <c r="C17" s="579" t="inlineStr">
        <is>
          <t>17 sector groups defined in architecture</t>
        </is>
      </c>
    </row>
    <row r="19" ht="15.75" customHeight="1">
      <c r="A19" s="614" t="inlineStr">
        <is>
          <t>━━━ SECTION 2: REGULATOR INTELLIGENCE — TOP REGULATORS BY FRAMEWORK POWER INDEX ━━━</t>
        </is>
      </c>
    </row>
    <row r="20">
      <c r="A20" s="574" t="inlineStr">
        <is>
          <t>Regulator Code</t>
        </is>
      </c>
      <c r="B20" s="574" t="inlineStr">
        <is>
          <t>Regulator Name</t>
        </is>
      </c>
      <c r="C20" s="590" t="inlineStr">
        <is>
          <t>Group</t>
        </is>
      </c>
      <c r="D20" s="575" t="inlineStr">
        <is>
          <t>Own Frameworks</t>
        </is>
      </c>
      <c r="E20" s="575" t="inlineStr">
        <is>
          <t>Must Comply With</t>
        </is>
      </c>
      <c r="F20" s="575" t="inlineStr">
        <is>
          <t>Total Entries</t>
        </is>
      </c>
      <c r="G20" s="575" t="inlineStr">
        <is>
          <t>HIGHEST IoT Count</t>
        </is>
      </c>
      <c r="H20" s="575" t="inlineStr">
        <is>
          <t>Power Index Score</t>
        </is>
      </c>
      <c r="I20" s="575" t="inlineStr">
        <is>
          <t>Tier</t>
        </is>
      </c>
    </row>
    <row r="21">
      <c r="A21">
        <f>'Per-Regulator Summary'!A2</f>
        <v/>
      </c>
      <c r="B21">
        <f>'Per-Regulator Summary'!B2</f>
        <v/>
      </c>
      <c r="C21">
        <f>'Per-Regulator Summary'!C2</f>
        <v/>
      </c>
      <c r="D21" s="591">
        <f>'Per-Regulator Summary'!D2</f>
        <v/>
      </c>
      <c r="E21" s="591">
        <f>'Per-Regulator Summary'!E2</f>
        <v/>
      </c>
      <c r="F21" s="591">
        <f>'Per-Regulator Summary'!F2</f>
        <v/>
      </c>
      <c r="G21" s="591">
        <f>'Per-Regulator Summary'!G2</f>
        <v/>
      </c>
      <c r="H21" s="594">
        <f>(D21*3)+(G21*5)+(F21*1)</f>
        <v/>
      </c>
      <c r="I21" s="591">
        <f>IF(H21&gt;=50,"🔴 TIER 1 — CRITICAL",IF(H21&gt;=25,"🟠 TIER 2 — HIGH",IF(H21&gt;=10,"🟡 TIER 3 — MODERATE","🟢 TIER 4 — LOW")))</f>
        <v/>
      </c>
    </row>
    <row r="22" ht="15.75" customHeight="1">
      <c r="A22" s="614" t="inlineStr">
        <is>
          <t>━━━ SECTION 2: REGULATOR INTELLIGENCE — TOP REGULATORS BY FRAMEWORK POWER INDEX ━━━</t>
        </is>
      </c>
    </row>
    <row r="23">
      <c r="A23" s="574" t="inlineStr">
        <is>
          <t>Regulator Code</t>
        </is>
      </c>
      <c r="B23" s="574" t="inlineStr">
        <is>
          <t>Regulator Name</t>
        </is>
      </c>
      <c r="C23" s="590" t="inlineStr">
        <is>
          <t>Group</t>
        </is>
      </c>
      <c r="D23" s="575" t="inlineStr">
        <is>
          <t>Own Frameworks</t>
        </is>
      </c>
      <c r="E23" s="575" t="inlineStr">
        <is>
          <t>Must Comply With</t>
        </is>
      </c>
      <c r="F23" s="575" t="inlineStr">
        <is>
          <t>Total Entries</t>
        </is>
      </c>
      <c r="G23" s="575" t="inlineStr">
        <is>
          <t>HIGHEST IoT Count</t>
        </is>
      </c>
      <c r="H23" s="575" t="inlineStr">
        <is>
          <t>Power Index Score</t>
        </is>
      </c>
      <c r="I23" s="575" t="inlineStr">
        <is>
          <t>Tier</t>
        </is>
      </c>
    </row>
    <row r="24">
      <c r="A24">
        <f>'Per-Regulator Summary'!A5</f>
        <v/>
      </c>
      <c r="B24">
        <f>'Per-Regulator Summary'!B5</f>
        <v/>
      </c>
      <c r="C24">
        <f>'Per-Regulator Summary'!C5</f>
        <v/>
      </c>
      <c r="D24" s="591">
        <f>'Per-Regulator Summary'!D5</f>
        <v/>
      </c>
      <c r="E24" s="591">
        <f>'Per-Regulator Summary'!E5</f>
        <v/>
      </c>
      <c r="F24" s="591">
        <f>'Per-Regulator Summary'!F5</f>
        <v/>
      </c>
      <c r="G24" s="591">
        <f>'Per-Regulator Summary'!G5</f>
        <v/>
      </c>
      <c r="H24" s="594">
        <f>(D24*3)+(G24*5)+(F24*1)</f>
        <v/>
      </c>
      <c r="I24" s="591">
        <f>IF(H24&gt;=50,"🔴 TIER 1 — CRITICAL",IF(H24&gt;=25,"🟠 TIER 2 — HIGH",IF(H24&gt;=10,"🟡 TIER 3 — MODERATE","🟢 TIER 4 — LOW")))</f>
        <v/>
      </c>
    </row>
    <row r="130" ht="15.75" customHeight="1">
      <c r="A130" s="614" t="inlineStr">
        <is>
          <t>━━━ SECTION 3: HC IoT RELEVANCE DISTRIBUTION BY REGULATOR GROUP ━━━</t>
        </is>
      </c>
    </row>
    <row r="131">
      <c r="A131" s="595" t="inlineStr">
        <is>
          <t>Regulator Group</t>
        </is>
      </c>
      <c r="B131" s="596" t="inlineStr">
        <is>
          <t>HIGHEST</t>
        </is>
      </c>
      <c r="C131" s="597" t="inlineStr">
        <is>
          <t>HIGH</t>
        </is>
      </c>
      <c r="D131" s="598" t="inlineStr">
        <is>
          <t>MODERATE</t>
        </is>
      </c>
      <c r="E131" s="599" t="inlineStr">
        <is>
          <t>LOW</t>
        </is>
      </c>
      <c r="F131" s="600" t="inlineStr">
        <is>
          <t>Total</t>
        </is>
      </c>
      <c r="G131" s="600" t="inlineStr">
        <is>
          <t>IoT Intensity %</t>
        </is>
      </c>
    </row>
    <row r="132">
      <c r="A132" t="inlineStr">
        <is>
          <t>1. Ministries</t>
        </is>
      </c>
      <c r="B132" s="591">
        <f>COUNTIFS('All 108 Regulators - Frameworks'!D$4:D$500,A132,'All 108 Regulators - Frameworks'!N$4:N$500,"HIGHEST")</f>
        <v/>
      </c>
      <c r="C132" s="591">
        <f>COUNTIFS('All 108 Regulators - Frameworks'!D$4:D$500,A132,'All 108 Regulators - Frameworks'!N$4:N$500,"HIGH")</f>
        <v/>
      </c>
      <c r="D132" s="591">
        <f>COUNTIFS('All 108 Regulators - Frameworks'!D$4:D$500,A132,'All 108 Regulators - Frameworks'!N$4:N$500,"MODERATE")</f>
        <v/>
      </c>
      <c r="E132" s="591">
        <f>COUNTIFS('All 108 Regulators - Frameworks'!D$4:D$500,A132,'All 108 Regulators - Frameworks'!N$4:N$500,"LOW")</f>
        <v/>
      </c>
      <c r="F132" s="593">
        <f>SUM(B132:E132)</f>
        <v/>
      </c>
      <c r="G132" s="602">
        <f>IFERROR((B132+C132)/F132,0)</f>
        <v/>
      </c>
    </row>
    <row r="133">
      <c r="A133" t="inlineStr">
        <is>
          <t>2. Healthcare &amp; Life Sciences</t>
        </is>
      </c>
      <c r="B133" t="inlineStr">
        <is>
          <t>1. Ministries</t>
        </is>
      </c>
      <c r="C133" s="591">
        <f>COUNTIFS('All 108 Regulators - Frameworks'!E$4:E$500,B133,'All 108 Regulators - Frameworks'!O$4:O$500,"HIGHEST")</f>
        <v/>
      </c>
      <c r="D133" s="591">
        <f>COUNTIFS('All 108 Regulators - Frameworks'!E$4:E$500,B133,'All 108 Regulators - Frameworks'!O$4:O$500,"HIGH")</f>
        <v/>
      </c>
      <c r="E133" s="591">
        <f>COUNTIFS('All 108 Regulators - Frameworks'!E$4:E$500,B133,'All 108 Regulators - Frameworks'!O$4:O$500,"MODERATE")</f>
        <v/>
      </c>
      <c r="F133" s="591">
        <f>COUNTIFS('All 108 Regulators - Frameworks'!E$4:E$500,B133,'All 108 Regulators - Frameworks'!O$4:O$500,"LOW")</f>
        <v/>
      </c>
      <c r="G133" s="593">
        <f>SUM(C133:F133)</f>
        <v/>
      </c>
      <c r="H133" s="602">
        <f>IFERROR((C133+D133)/G133,0)</f>
        <v/>
      </c>
    </row>
    <row r="134" ht="15.75" customHeight="1">
      <c r="A134" t="inlineStr">
        <is>
          <t>3. Cybersecurity &amp; Data</t>
        </is>
      </c>
      <c r="B134" t="inlineStr">
        <is>
          <t>2. Healthcare &amp; Life Sciences</t>
        </is>
      </c>
      <c r="C134" s="614" t="inlineStr">
        <is>
          <t>━━━ SECTION 3: HC IoT RELEVANCE DISTRIBUTION BY REGULATOR GROUP ━━━</t>
        </is>
      </c>
    </row>
    <row r="135">
      <c r="A135" t="inlineStr">
        <is>
          <t>4. ICT / Digital / Telecom</t>
        </is>
      </c>
      <c r="B135" t="inlineStr">
        <is>
          <t>3. Cybersecurity &amp; Data</t>
        </is>
      </c>
      <c r="C135" s="595" t="inlineStr">
        <is>
          <t>Regulator Group</t>
        </is>
      </c>
      <c r="D135" s="596" t="inlineStr">
        <is>
          <t>HIGHEST</t>
        </is>
      </c>
      <c r="E135" s="597" t="inlineStr">
        <is>
          <t>HIGH</t>
        </is>
      </c>
      <c r="F135" s="598" t="inlineStr">
        <is>
          <t>MODERATE</t>
        </is>
      </c>
      <c r="G135" s="599" t="inlineStr">
        <is>
          <t>LOW</t>
        </is>
      </c>
      <c r="H135" s="600" t="inlineStr">
        <is>
          <t>Total</t>
        </is>
      </c>
    </row>
    <row r="136">
      <c r="A136" t="inlineStr">
        <is>
          <t>5. Financial Regulators</t>
        </is>
      </c>
      <c r="B136" t="inlineStr">
        <is>
          <t>4. ICT / Digital / Telecom</t>
        </is>
      </c>
      <c r="C136" t="inlineStr">
        <is>
          <t>1. Ministries</t>
        </is>
      </c>
      <c r="D136" s="591">
        <f>COUNTIFS('All 108 Regulators - Frameworks'!F$4:F$500,"*"&amp;LEFT(C136,2)&amp;"*",'All 108 Regulators - Frameworks'!P$4:P$500,"HIGHEST")</f>
        <v/>
      </c>
      <c r="E136" s="591">
        <f>COUNTIFS('All 108 Regulators - Frameworks'!F$4:F$500,"*"&amp;LEFT(C136,2)&amp;"*",'All 108 Regulators - Frameworks'!P$4:P$500,"HIGH")</f>
        <v/>
      </c>
      <c r="F136" s="591">
        <f>COUNTIFS('All 108 Regulators - Frameworks'!F$4:F$500,"*"&amp;LEFT(C136,2)&amp;"*",'All 108 Regulators - Frameworks'!P$4:P$500,"MODERATE")</f>
        <v/>
      </c>
      <c r="G136" s="591">
        <f>COUNTIFS('All 108 Regulators - Frameworks'!F$4:F$500,"*"&amp;LEFT(C136,2)&amp;"*",'All 108 Regulators - Frameworks'!P$4:P$500,"LOW")</f>
        <v/>
      </c>
      <c r="H136" s="593">
        <f>SUM(D136:G136)</f>
        <v/>
      </c>
    </row>
    <row r="137">
      <c r="A137" t="inlineStr">
        <is>
          <t>6. Tax / Customs / Trade</t>
        </is>
      </c>
      <c r="B137" t="inlineStr">
        <is>
          <t>5. Financial Regulators</t>
        </is>
      </c>
      <c r="C137" t="inlineStr">
        <is>
          <t>2. Healthcare &amp; Life Sciences</t>
        </is>
      </c>
    </row>
    <row r="138">
      <c r="A138" t="inlineStr">
        <is>
          <t>7. Standards &amp; Quality</t>
        </is>
      </c>
      <c r="B138" t="inlineStr">
        <is>
          <t>6. Tax / Customs / Trade</t>
        </is>
      </c>
      <c r="C138" t="inlineStr">
        <is>
          <t>3. Cybersecurity &amp; Data</t>
        </is>
      </c>
    </row>
    <row r="139">
      <c r="A139" t="inlineStr">
        <is>
          <t>8. Energy &amp; Utilities</t>
        </is>
      </c>
      <c r="B139" t="inlineStr">
        <is>
          <t>7. Standards &amp; Quality</t>
        </is>
      </c>
      <c r="C139" t="inlineStr">
        <is>
          <t>4. ICT / Digital / Telecom</t>
        </is>
      </c>
    </row>
    <row r="140">
      <c r="A140" t="inlineStr">
        <is>
          <t>9. Environment</t>
        </is>
      </c>
      <c r="B140" t="inlineStr">
        <is>
          <t>8. Energy &amp; Utilities</t>
        </is>
      </c>
      <c r="C140" t="inlineStr">
        <is>
          <t>5. Financial Regulators</t>
        </is>
      </c>
    </row>
    <row r="141">
      <c r="A141" t="inlineStr">
        <is>
          <t>10. Transport &amp; Logistics</t>
        </is>
      </c>
      <c r="B141" t="inlineStr">
        <is>
          <t>9. Environment</t>
        </is>
      </c>
      <c r="C141" t="inlineStr">
        <is>
          <t>6. Tax / Customs / Trade</t>
        </is>
      </c>
    </row>
    <row r="142">
      <c r="A142" t="inlineStr">
        <is>
          <t>11. Industry &amp; Trade</t>
        </is>
      </c>
      <c r="B142" t="inlineStr">
        <is>
          <t>10. Transport &amp; Logistics</t>
        </is>
      </c>
      <c r="C142" t="inlineStr">
        <is>
          <t>7. Standards &amp; Quality</t>
        </is>
      </c>
    </row>
    <row r="143">
      <c r="A143" t="inlineStr">
        <is>
          <t>12. Education &amp; Research</t>
        </is>
      </c>
      <c r="B143" t="inlineStr">
        <is>
          <t>11. Industry &amp; Trade</t>
        </is>
      </c>
      <c r="C143" t="inlineStr">
        <is>
          <t>8. Energy &amp; Utilities</t>
        </is>
      </c>
    </row>
    <row r="144">
      <c r="A144" t="inlineStr">
        <is>
          <t>13. Legal &amp; Judicial</t>
        </is>
      </c>
      <c r="B144" t="inlineStr">
        <is>
          <t>12. Education &amp; Research</t>
        </is>
      </c>
      <c r="C144" t="inlineStr">
        <is>
          <t>9. Environment</t>
        </is>
      </c>
    </row>
    <row r="145">
      <c r="A145" t="inlineStr">
        <is>
          <t>14. Labour &amp; Occ. Health</t>
        </is>
      </c>
      <c r="B145" t="inlineStr">
        <is>
          <t>13. Legal &amp; Judicial</t>
        </is>
      </c>
      <c r="C145" t="inlineStr">
        <is>
          <t>10. Transport &amp; Logistics</t>
        </is>
      </c>
    </row>
    <row r="146">
      <c r="A146" t="inlineStr">
        <is>
          <t>15. Special Zones &amp; Giga</t>
        </is>
      </c>
      <c r="B146" t="inlineStr">
        <is>
          <t>14. Labour &amp; Occ. Health</t>
        </is>
      </c>
      <c r="C146" t="inlineStr">
        <is>
          <t>11. Industry &amp; Trade</t>
        </is>
      </c>
    </row>
    <row r="147">
      <c r="A147" t="inlineStr">
        <is>
          <t>16. Councils &amp; Supreme Committees</t>
        </is>
      </c>
      <c r="B147" t="inlineStr">
        <is>
          <t>15. Special Zones &amp; Giga</t>
        </is>
      </c>
      <c r="C147" t="inlineStr">
        <is>
          <t>12. Education &amp; Research</t>
        </is>
      </c>
    </row>
    <row r="148">
      <c r="A148" t="inlineStr">
        <is>
          <t>17. Regional Health Clusters</t>
        </is>
      </c>
      <c r="B148" t="inlineStr">
        <is>
          <t>16. Councils &amp; Supreme Committees</t>
        </is>
      </c>
      <c r="C148" t="inlineStr">
        <is>
          <t>13. Legal &amp; Judicial</t>
        </is>
      </c>
    </row>
    <row r="149">
      <c r="A149" s="601" t="inlineStr">
        <is>
          <t>TOTAL</t>
        </is>
      </c>
      <c r="B149" t="inlineStr">
        <is>
          <t>17. Regional Health Clusters</t>
        </is>
      </c>
      <c r="C149" t="inlineStr">
        <is>
          <t>14. Labour &amp; Occ. Health</t>
        </is>
      </c>
    </row>
    <row r="150">
      <c r="B150" t="inlineStr">
        <is>
          <t>16. Councils &amp; Supreme Committees</t>
        </is>
      </c>
    </row>
    <row r="151">
      <c r="B151" t="inlineStr">
        <is>
          <t>17. Regional Health Clusters</t>
        </is>
      </c>
    </row>
    <row r="152" ht="15.75" customHeight="1">
      <c r="A152" s="614" t="inlineStr">
        <is>
          <t>━━━ SECTION 4: REGULATORY VELOCITY INDEX — FRAMEWORK FRESHNESS &amp; LIFECYCLE ━━━</t>
        </is>
      </c>
    </row>
    <row r="153">
      <c r="A153" s="595" t="inlineStr">
        <is>
          <t>Metric</t>
        </is>
      </c>
      <c r="B153" s="600" t="inlineStr">
        <is>
          <t>Count</t>
        </is>
      </c>
      <c r="C153" s="600" t="inlineStr">
        <is>
          <t>% of Total</t>
        </is>
      </c>
      <c r="D153" s="595" t="inlineStr">
        <is>
          <t>Assessment</t>
        </is>
      </c>
    </row>
    <row r="154">
      <c r="A154" t="inlineStr">
        <is>
          <t>Frameworks issued 2024-2026 (Fresh)</t>
        </is>
      </c>
      <c r="B154" s="593">
        <f>COUNTIF('All 108 Regulators - Frameworks'!I$4:I$500,"2024*")+COUNTIF('All 108 Regulators - Frameworks'!I$4:I$500,"2025*")+COUNTIF('All 108 Regulators - Frameworks'!I$4:I$500,"2026*")</f>
        <v/>
      </c>
      <c r="C154" s="602">
        <f>IFERROR(B154/B$6,0)</f>
        <v/>
      </c>
      <c r="D154" s="587" t="inlineStr">
        <is>
          <t>🟢 Current — actively reflecting latest regulatory thinking</t>
        </is>
      </c>
    </row>
    <row r="155">
      <c r="A155" t="inlineStr">
        <is>
          <t>Frameworks issued 2021-2023 (Maturing)</t>
        </is>
      </c>
      <c r="B155" s="593">
        <f>COUNTIF('All 108 Regulators - Frameworks'!I$4:I$500,"2021*")+COUNTIF('All 108 Regulators - Frameworks'!I$4:I$500,"2022*")+COUNTIF('All 108 Regulators - Frameworks'!I$4:I$500,"2023*")</f>
        <v/>
      </c>
      <c r="C155" s="602">
        <f>IFERROR(B155/B$6,0)</f>
        <v/>
      </c>
      <c r="D155" s="583" t="inlineStr">
        <is>
          <t>🟡 Maturing — may need updates for ECC-2/PDPL changes</t>
        </is>
      </c>
    </row>
    <row r="156">
      <c r="A156" t="inlineStr">
        <is>
          <t>Frameworks issued 2018-2020 (Aging)</t>
        </is>
      </c>
      <c r="B156" s="593">
        <f>COUNTIF('All 108 Regulators - Frameworks'!I$4:I$500,"2018*")+COUNTIF('All 108 Regulators - Frameworks'!I$4:I$500,"2019*")+COUNTIF('All 108 Regulators - Frameworks'!I$4:I$500,"2020*")</f>
        <v/>
      </c>
      <c r="C156" s="602">
        <f>IFERROR(B156/B$6,0)</f>
        <v/>
      </c>
      <c r="D156" s="583" t="inlineStr">
        <is>
          <t>🟠 Aging — review needed against ECC-2:2024 baseline</t>
        </is>
      </c>
    </row>
    <row r="157">
      <c r="A157" t="inlineStr">
        <is>
          <t>Frameworks issued pre-2018 (Legacy)</t>
        </is>
      </c>
      <c r="B157" s="593">
        <f>COUNTIF('All 108 Regulators - Frameworks'!I$4:I$500,"2017*")+COUNTIF('All 108 Regulators - Frameworks'!I$4:I$500,"2016*")+COUNTIF('All 108 Regulators - Frameworks'!I$4:I$500,"2015*")+COUNTIF('All 108 Regulators - Frameworks'!I$4:I$500,"2014*")+COUNTIF('All 108 Regulators - Frameworks'!I$4:I$500,"2013*")+COUNTIF('All 108 Regulators - Frameworks'!I$4:I$500,"2012*")</f>
        <v/>
      </c>
      <c r="C157" s="602">
        <f>IFERROR(B157/B$6,0)</f>
        <v/>
      </c>
      <c r="D157" s="581" t="inlineStr">
        <is>
          <t>🔴 Legacy — may conflict with modern KSA GRC architecture</t>
        </is>
      </c>
    </row>
    <row r="158">
      <c r="A158" t="inlineStr">
        <is>
          <t>Year not specified / N/A</t>
        </is>
      </c>
      <c r="B158" s="591">
        <f>B6-SUM(B154:B157)</f>
        <v/>
      </c>
      <c r="C158" s="602">
        <f>IFERROR(B158/B$6,0)</f>
        <v/>
      </c>
      <c r="D158" t="inlineStr">
        <is>
          <t>❓ Unknown — requires manual verification of issuance year</t>
        </is>
      </c>
    </row>
    <row r="161" ht="15.75" customHeight="1">
      <c r="A161" s="614" t="inlineStr">
        <is>
          <t>━━━ SECTION 5: GRC PILLAR DISTRIBUTION &amp; CROSS-AUTHORITY CONFLICT MAP ━━━</t>
        </is>
      </c>
    </row>
    <row r="162">
      <c r="A162" s="595" t="inlineStr">
        <is>
          <t>GRC Pillar Analysis</t>
        </is>
      </c>
      <c r="B162" s="600" t="inlineStr">
        <is>
          <t>Count</t>
        </is>
      </c>
      <c r="C162" s="600" t="inlineStr">
        <is>
          <t>%</t>
        </is>
      </c>
    </row>
    <row r="163">
      <c r="A163" t="inlineStr">
        <is>
          <t>Governance (G) frameworks</t>
        </is>
      </c>
      <c r="B163" s="593">
        <f>COUNTIF('All 108 Regulators - Frameworks'!AP$4:AP$500,"G*")+COUNTIF('All 108 Regulators - Frameworks'!AP$4:AP$500,"*+ G*")</f>
        <v/>
      </c>
      <c r="C163" s="602">
        <f>IFERROR(B163/B$6,0)</f>
        <v/>
      </c>
    </row>
    <row r="164">
      <c r="A164" t="inlineStr">
        <is>
          <t>Risk (R) frameworks</t>
        </is>
      </c>
      <c r="B164" s="593">
        <f>COUNTIF('All 108 Regulators - Frameworks'!AP$4:AP$500,"R*")+COUNTIF('All 108 Regulators - Frameworks'!AP$4:AP$500,"*+ R*")</f>
        <v/>
      </c>
      <c r="C164" s="602">
        <f>IFERROR(B164/B$6,0)</f>
        <v/>
      </c>
    </row>
    <row r="165">
      <c r="A165" t="inlineStr">
        <is>
          <t>Compliance (C) frameworks</t>
        </is>
      </c>
      <c r="B165" s="593">
        <f>COUNTIF('All 108 Regulators - Frameworks'!AP$4:AP$500,"*C*")-COUNTBLANK('All 108 Regulators - Frameworks'!AP$4:AP$500)</f>
        <v/>
      </c>
      <c r="C165" s="602">
        <f>IFERROR(B165/B$6,0)</f>
        <v/>
      </c>
    </row>
    <row r="166">
      <c r="A166" t="inlineStr">
        <is>
          <t>All three pillars (G+R+C)</t>
        </is>
      </c>
      <c r="B166" s="605">
        <f>COUNTIF('All 108 Regulators - Frameworks'!AP$4:AP$500,"G + R + C*")</f>
        <v/>
      </c>
      <c r="C166" s="602">
        <f>IFERROR(B166/B$6,0)</f>
        <v/>
      </c>
    </row>
    <row r="169">
      <c r="A169" s="606" t="inlineStr">
        <is>
          <t>Cross-Authority Overlap Analysis</t>
        </is>
      </c>
      <c r="B169" s="607" t="inlineStr">
        <is>
          <t>Frameworks</t>
        </is>
      </c>
      <c r="C169" s="606" t="inlineStr">
        <is>
          <t>Implication</t>
        </is>
      </c>
    </row>
    <row r="170">
      <c r="A170" t="inlineStr">
        <is>
          <t>⚠️ NCA + SDAIA overlap (Cyber + Privacy)</t>
        </is>
      </c>
      <c r="B170" s="593">
        <f>COUNTIFS('All 108 Regulators - Frameworks'!AR$4:AR$500,"*Cyber*",'All 108 Regulators - Frameworks'!AR$4:AR$500,"*Privacy*")</f>
        <v/>
      </c>
      <c r="C170" t="inlineStr">
        <is>
          <t>Data security controls overlap between NCA-DCC and PDPL</t>
        </is>
      </c>
    </row>
    <row r="171">
      <c r="A171" t="inlineStr">
        <is>
          <t>⚠️ NCA + SFDA overlap (Device Cyber)</t>
        </is>
      </c>
      <c r="B171" s="593">
        <f>COUNTIFS('All 108 Regulators - Frameworks'!AR$4:AR$500,"*Cyber*",'All 108 Regulators - Frameworks'!M$4:M$500,"*device*")</f>
        <v/>
      </c>
      <c r="C171" t="inlineStr">
        <is>
          <t>IoMT device cybersecurity — NCA OTCC vs SFDA MDR boundary</t>
        </is>
      </c>
    </row>
    <row r="172">
      <c r="A172" t="inlineStr">
        <is>
          <t>⚠️ MOH + NHIC overlap (Health IT)</t>
        </is>
      </c>
      <c r="B172" s="593">
        <f>COUNTIFS('All 108 Regulators - Frameworks'!B$4:B$500,"MOH",'All 108 Regulators - Frameworks'!F$4:F$500,"*HIS*")+COUNTIFS('All 108 Regulators - Frameworks'!B$4:B$500,"NHIC",'All 108 Regulators - Frameworks'!F$4:F$500,"*NABIDH*")</f>
        <v/>
      </c>
      <c r="C172" t="inlineStr">
        <is>
          <t>EMR/HIS standards — MOH-HIS vs NHIC-NABIDH dual requirement</t>
        </is>
      </c>
    </row>
    <row r="173">
      <c r="A173" t="inlineStr">
        <is>
          <t>⚠️ SAMA + NCA overlap (Financial Cyber)</t>
        </is>
      </c>
      <c r="B173" s="593">
        <f>COUNTIFS('All 108 Regulators - Frameworks'!B$4:B$500,"SAMA",'All 108 Regulators - Frameworks'!AR$4:AR$500,"*Cyber*")</f>
        <v/>
      </c>
      <c r="C173" t="inlineStr">
        <is>
          <t>SAMA-CSF vs NCA-ECC-2 — financial entities face dual cyber audit</t>
        </is>
      </c>
    </row>
    <row r="176" ht="15.75" customHeight="1">
      <c r="A176" s="614" t="inlineStr">
        <is>
          <t>━━━ SECTION 6: REGULATORY BURDEN INDEX BY SECTOR ━━━</t>
        </is>
      </c>
    </row>
    <row r="177">
      <c r="A177" s="595" t="inlineStr">
        <is>
          <t>Sector Group</t>
        </is>
      </c>
      <c r="B177" s="600" t="inlineStr">
        <is>
          <t>Frameworks</t>
        </is>
      </c>
      <c r="C177" s="600" t="inlineStr">
        <is>
          <t>Mandatory</t>
        </is>
      </c>
      <c r="D177" s="600" t="inlineStr">
        <is>
          <t>HIGHEST IoT</t>
        </is>
      </c>
      <c r="E177" s="600" t="inlineStr">
        <is>
          <t>Burden Index</t>
        </is>
      </c>
      <c r="F177" s="600" t="inlineStr">
        <is>
          <t>Burden Tier</t>
        </is>
      </c>
    </row>
    <row r="178">
      <c r="A178">
        <f>A132</f>
        <v/>
      </c>
      <c r="B178" s="591">
        <f>F132</f>
        <v/>
      </c>
      <c r="C178" s="591">
        <f>COUNTIFS('All 108 Regulators - Frameworks'!D$4:D$500,A178,'All 108 Regulators - Frameworks'!L$4:L$500,"Mandatory*")</f>
        <v/>
      </c>
      <c r="D178" s="591">
        <f>B132</f>
        <v/>
      </c>
      <c r="E178" s="594">
        <f>(B178*1)+(C178*3)+(D178*5)</f>
        <v/>
      </c>
      <c r="F178" s="591">
        <f>IF(E178&gt;=100,"🔴 EXTREME",IF(E178&gt;=50,"🟠 HIGH",IF(E178&gt;=20,"🟡 MODERATE","🟢 LOW")))</f>
        <v/>
      </c>
    </row>
    <row r="179" ht="15.75" customHeight="1">
      <c r="A179" s="614" t="inlineStr">
        <is>
          <t>━━━ SECTION 6: REGULATORY BURDEN INDEX BY SECTOR ━━━</t>
        </is>
      </c>
    </row>
    <row r="180">
      <c r="A180" s="595" t="inlineStr">
        <is>
          <t>Sector Group</t>
        </is>
      </c>
      <c r="B180" s="600" t="inlineStr">
        <is>
          <t>Frameworks</t>
        </is>
      </c>
      <c r="C180" s="600" t="inlineStr">
        <is>
          <t>Mandatory</t>
        </is>
      </c>
      <c r="D180" s="600" t="inlineStr">
        <is>
          <t>HIGHEST IoT</t>
        </is>
      </c>
      <c r="E180" s="600" t="inlineStr">
        <is>
          <t>Burden Index</t>
        </is>
      </c>
      <c r="F180" s="600" t="inlineStr">
        <is>
          <t>Burden Tier</t>
        </is>
      </c>
    </row>
    <row r="181">
      <c r="A181">
        <f>A135</f>
        <v/>
      </c>
      <c r="B181" s="591">
        <f>F135</f>
        <v/>
      </c>
      <c r="C181" s="591">
        <f>COUNTIFS('All 108 Regulators - Frameworks'!D$4:D$500,A181,'All 108 Regulators - Frameworks'!L$4:L$500,"Mandatory*")</f>
        <v/>
      </c>
      <c r="D181" s="591">
        <f>B135</f>
        <v/>
      </c>
      <c r="E181" s="594">
        <f>(B181*1)+(C181*3)+(D181*5)</f>
        <v/>
      </c>
      <c r="F181" s="591">
        <f>IF(E181&gt;=100,"🔴 EXTREME",IF(E181&gt;=50,"🟠 HIGH",IF(E181&gt;=20,"🟡 MODERATE","🟢 LOW")))</f>
        <v/>
      </c>
    </row>
    <row r="197" ht="15.75" customHeight="1">
      <c r="A197" s="614" t="inlineStr">
        <is>
          <t>━━━ SECTION 7: MATURITY GAP INTELLIGENCE — CURRENT vs TARGET ━━━</t>
        </is>
      </c>
    </row>
    <row r="198">
      <c r="A198" s="595" t="inlineStr">
        <is>
          <t>GRC Domain</t>
        </is>
      </c>
      <c r="B198" s="600" t="inlineStr">
        <is>
          <t>Typical KSA Level</t>
        </is>
      </c>
      <c r="C198" s="600" t="inlineStr">
        <is>
          <t>Target Level</t>
        </is>
      </c>
      <c r="D198" s="600" t="inlineStr">
        <is>
          <t>Gap (Levels)</t>
        </is>
      </c>
      <c r="E198" s="600" t="inlineStr">
        <is>
          <t>Gap Status</t>
        </is>
      </c>
      <c r="F198" s="600" t="inlineStr">
        <is>
          <t>Est. Effort to Close</t>
        </is>
      </c>
    </row>
    <row r="199">
      <c r="A199" t="inlineStr">
        <is>
          <t>Governance &amp; Strategy</t>
        </is>
      </c>
      <c r="B199" s="608" t="n">
        <v>1.5</v>
      </c>
      <c r="C199" s="591" t="n">
        <v>3</v>
      </c>
      <c r="D199" s="609">
        <f>C199-B199</f>
        <v/>
      </c>
      <c r="E199" s="591">
        <f>IF(D199&gt;=2,"🔴 CRITICAL GAP",IF(D199&gt;=1,"🟠 SIGNIFICANT","🟢 ON TRACK"))</f>
        <v/>
      </c>
      <c r="F199" s="591">
        <f>IF(D199&gt;=2,"12-18 months",IF(D199&gt;=1,"6-12 months","Maintenance"))</f>
        <v/>
      </c>
    </row>
    <row r="200">
      <c r="A200" t="inlineStr">
        <is>
          <t>Cybersecurity (NCA ECC-2)</t>
        </is>
      </c>
      <c r="B200" s="608" t="n">
        <v>2</v>
      </c>
      <c r="C200" s="591" t="n">
        <v>3</v>
      </c>
      <c r="D200" s="609">
        <f>C200-B200</f>
        <v/>
      </c>
      <c r="E200" s="591">
        <f>IF(D200&gt;=2,"🔴 CRITICAL GAP",IF(D200&gt;=1,"🟠 SIGNIFICANT","🟢 ON TRACK"))</f>
        <v/>
      </c>
      <c r="F200" s="591">
        <f>IF(D200&gt;=2,"12-18 months",IF(D200&gt;=1,"6-12 months","Maintenance"))</f>
        <v/>
      </c>
    </row>
    <row r="201" ht="15.75" customHeight="1">
      <c r="A201" t="inlineStr">
        <is>
          <t>Data Privacy (PDPL)</t>
        </is>
      </c>
      <c r="B201" s="608" t="n">
        <v>1</v>
      </c>
      <c r="C201" s="591" t="n">
        <v>3</v>
      </c>
      <c r="D201" s="614" t="inlineStr">
        <is>
          <t>━━━ SECTION 7: MATURITY GAP INTELLIGENCE — CURRENT vs TARGET ━━━</t>
        </is>
      </c>
    </row>
    <row r="202">
      <c r="A202" t="inlineStr">
        <is>
          <t>Risk Management</t>
        </is>
      </c>
      <c r="B202" s="608" t="n">
        <v>2</v>
      </c>
      <c r="C202" s="591" t="n">
        <v>3</v>
      </c>
      <c r="D202" s="595" t="inlineStr">
        <is>
          <t>GRC Domain</t>
        </is>
      </c>
      <c r="E202" s="600" t="inlineStr">
        <is>
          <t>Typical KSA Level</t>
        </is>
      </c>
      <c r="F202" s="600" t="inlineStr">
        <is>
          <t>Target Level</t>
        </is>
      </c>
      <c r="G202" s="600" t="inlineStr">
        <is>
          <t>Gap (Levels)</t>
        </is>
      </c>
      <c r="H202" s="600" t="inlineStr">
        <is>
          <t>Gap Status</t>
        </is>
      </c>
      <c r="I202" s="600" t="inlineStr">
        <is>
          <t>Est. Effort to Close</t>
        </is>
      </c>
    </row>
    <row r="203">
      <c r="A203" t="inlineStr">
        <is>
          <t>Compliance Management</t>
        </is>
      </c>
      <c r="B203" s="608" t="n">
        <v>1.5</v>
      </c>
      <c r="C203" s="591" t="n">
        <v>3</v>
      </c>
      <c r="D203" t="inlineStr">
        <is>
          <t>Governance &amp; Strategy</t>
        </is>
      </c>
      <c r="E203" s="608" t="n">
        <v>1.5</v>
      </c>
      <c r="F203" s="591" t="n">
        <v>3</v>
      </c>
      <c r="G203" s="609">
        <f>F203-E203</f>
        <v/>
      </c>
      <c r="H203" s="591">
        <f>IF(G203&gt;=2,"🔴 CRITICAL GAP",IF(G203&gt;=1,"🟠 SIGNIFICANT","🟢 ON TRACK"))</f>
        <v/>
      </c>
      <c r="I203" s="591">
        <f>IF(G203&gt;=2,"12-18 months",IF(G203&gt;=1,"6-12 months","Maintenance"))</f>
        <v/>
      </c>
    </row>
    <row r="204">
      <c r="A204" t="inlineStr">
        <is>
          <t>Supply Chain &amp; Third-Party GRC</t>
        </is>
      </c>
      <c r="B204" s="608" t="n">
        <v>1</v>
      </c>
      <c r="C204" s="591" t="n">
        <v>3</v>
      </c>
      <c r="D204" t="inlineStr">
        <is>
          <t>Cybersecurity (NCA ECC-2)</t>
        </is>
      </c>
      <c r="E204" s="608" t="n">
        <v>2</v>
      </c>
      <c r="F204" s="591" t="n">
        <v>3</v>
      </c>
      <c r="G204" s="609">
        <f>F204-E204</f>
        <v/>
      </c>
      <c r="H204" s="591">
        <f>IF(G204&gt;=2,"🔴 CRITICAL GAP",IF(G204&gt;=1,"🟠 SIGNIFICANT","🟢 ON TRACK"))</f>
        <v/>
      </c>
      <c r="I204" s="591">
        <f>IF(G204&gt;=2,"12-18 months",IF(G204&gt;=1,"6-12 months","Maintenance"))</f>
        <v/>
      </c>
    </row>
    <row r="205">
      <c r="A205" t="inlineStr">
        <is>
          <t>OT/CNI Cybersecurity (OTCC)</t>
        </is>
      </c>
      <c r="B205" s="608" t="n">
        <v>1.5</v>
      </c>
      <c r="C205" s="591" t="n">
        <v>3</v>
      </c>
      <c r="D205" t="inlineStr">
        <is>
          <t>Data Privacy (PDPL)</t>
        </is>
      </c>
      <c r="E205" s="608" t="n">
        <v>1</v>
      </c>
      <c r="F205" s="591" t="n">
        <v>3</v>
      </c>
    </row>
    <row r="206">
      <c r="A206" t="inlineStr">
        <is>
          <t>Incident Response &amp; Recovery</t>
        </is>
      </c>
      <c r="B206" s="608" t="n">
        <v>1.5</v>
      </c>
      <c r="C206" s="591" t="n">
        <v>3</v>
      </c>
      <c r="D206" t="inlineStr">
        <is>
          <t>Risk Management</t>
        </is>
      </c>
      <c r="E206" s="608" t="n">
        <v>2</v>
      </c>
      <c r="F206" s="591" t="n">
        <v>3</v>
      </c>
    </row>
    <row r="207">
      <c r="A207" t="inlineStr">
        <is>
          <t>Saudisation &amp; Workforce</t>
        </is>
      </c>
      <c r="B207" s="608" t="n">
        <v>2.5</v>
      </c>
      <c r="C207" s="591" t="n">
        <v>3</v>
      </c>
      <c r="D207" t="inlineStr">
        <is>
          <t>Compliance Management</t>
        </is>
      </c>
      <c r="E207" s="608" t="n">
        <v>1.5</v>
      </c>
      <c r="F207" s="591" t="n">
        <v>3</v>
      </c>
    </row>
    <row r="208">
      <c r="D208" t="inlineStr">
        <is>
          <t>Supply Chain &amp; Third-Party GRC</t>
        </is>
      </c>
      <c r="E208" s="608" t="n">
        <v>1</v>
      </c>
      <c r="F208" s="591" t="n">
        <v>3</v>
      </c>
    </row>
    <row r="209">
      <c r="A209" s="601" t="inlineStr">
        <is>
          <t>AVERAGE GAP</t>
        </is>
      </c>
      <c r="B209" s="610">
        <f>AVERAGE(B199:B207)</f>
        <v/>
      </c>
      <c r="C209" s="610">
        <f>AVERAGE(C199:C207)</f>
        <v/>
      </c>
      <c r="D209" s="611">
        <f>AVERAGE(D199:D207)</f>
        <v/>
      </c>
      <c r="E209" s="610">
        <f>IF(D209&gt;=2,"🔴 CRITICAL GAP",IF(D209&gt;=1,"🟠 SIGNIFICANT","🟢 ON TRACK"))</f>
        <v/>
      </c>
      <c r="F209" s="603">
        <f>IF(D209&gt;=2,"12-18 months",IF(D209&gt;=1,"6-12 months","Maintenance"))</f>
        <v/>
      </c>
    </row>
    <row r="210">
      <c r="D210" t="inlineStr">
        <is>
          <t>Incident Response &amp; Recovery</t>
        </is>
      </c>
      <c r="E210" s="608" t="n">
        <v>1.5</v>
      </c>
      <c r="F210" s="591" t="n">
        <v>3</v>
      </c>
    </row>
    <row r="211">
      <c r="D211" t="inlineStr">
        <is>
          <t>Saudisation &amp; Workforce</t>
        </is>
      </c>
      <c r="E211" s="608" t="n">
        <v>2.5</v>
      </c>
      <c r="F211" s="591" t="n">
        <v>3</v>
      </c>
    </row>
  </sheetData>
  <mergeCells count="9">
    <mergeCell ref="A19:I19"/>
    <mergeCell ref="A161:F161"/>
    <mergeCell ref="A2:I2"/>
    <mergeCell ref="A197:F197"/>
    <mergeCell ref="A1:I1"/>
    <mergeCell ref="A130:G130"/>
    <mergeCell ref="A152:D152"/>
    <mergeCell ref="A176:F176"/>
    <mergeCell ref="A4:I4"/>
  </mergeCell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G27"/>
  <sheetViews>
    <sheetView workbookViewId="0">
      <pane ySplit="3" topLeftCell="A26" activePane="bottomLeft" state="frozen"/>
      <selection pane="bottomLeft" activeCell="A4" sqref="A1:XFD1048576"/>
    </sheetView>
  </sheetViews>
  <sheetFormatPr baseColWidth="8" defaultRowHeight="14.25"/>
  <cols>
    <col width="23.1328125" customWidth="1" min="1" max="1"/>
    <col width="14.19921875" customWidth="1" min="2" max="3"/>
    <col width="30.19921875" customWidth="1" min="4" max="4"/>
    <col width="17.796875" customWidth="1" min="5" max="6"/>
    <col width="21.33203125" customWidth="1" min="7" max="7"/>
  </cols>
  <sheetData>
    <row r="1" ht="25.5" customHeight="1">
      <c r="A1" s="623" t="inlineStr">
        <is>
          <t>📊 KSA GRC EXECUTIVE COMMAND CENTRE</t>
        </is>
      </c>
    </row>
    <row r="2">
      <c r="A2" s="624" t="inlineStr">
        <is>
          <t>Real-Time Regulatory Intelligence • Automated from 108 Regulators • 452 Framework Entries</t>
        </is>
      </c>
    </row>
    <row r="4" ht="15.75" customHeight="1">
      <c r="A4" s="615" t="inlineStr">
        <is>
          <t>KEY METRICS</t>
        </is>
      </c>
    </row>
    <row r="5">
      <c r="A5" s="616" t="inlineStr">
        <is>
          <t>Total Frameworks</t>
        </is>
      </c>
      <c r="B5" s="616" t="inlineStr">
        <is>
          <t>Regulators</t>
        </is>
      </c>
      <c r="C5" s="616" t="inlineStr">
        <is>
          <t>Total Controls</t>
        </is>
      </c>
      <c r="D5" s="616" t="inlineStr">
        <is>
          <t>HIGHEST IoT</t>
        </is>
      </c>
      <c r="E5" s="616" t="inlineStr">
        <is>
          <t>Mandatory</t>
        </is>
      </c>
      <c r="F5" s="616" t="inlineStr">
        <is>
          <t>Cross-Sector</t>
        </is>
      </c>
      <c r="G5" s="616" t="inlineStr">
        <is>
          <t>Avg Maturity Gap</t>
        </is>
      </c>
    </row>
    <row r="6" ht="30.75" customHeight="1">
      <c r="A6" s="617">
        <f>'GRC Intelligence Engine'!B6</f>
        <v/>
      </c>
      <c r="B6" s="617">
        <f>'GRC Intelligence Engine'!B7</f>
        <v/>
      </c>
      <c r="C6" s="618">
        <f>'GRC Intelligence Engine'!B8</f>
        <v/>
      </c>
      <c r="D6" s="619">
        <f>'GRC Intelligence Engine'!B9</f>
        <v/>
      </c>
      <c r="E6" s="620">
        <f>'GRC Intelligence Engine'!B13</f>
        <v/>
      </c>
      <c r="F6" s="621">
        <f>'GRC Intelligence Engine'!B14</f>
        <v/>
      </c>
      <c r="G6" s="622">
        <f>'GRC Intelligence Engine'!D209</f>
        <v/>
      </c>
    </row>
    <row r="8">
      <c r="A8" s="573" t="inlineStr">
        <is>
          <t>HC IoT RELEVANCE DISTRIBUTION</t>
        </is>
      </c>
      <c r="D8" s="573" t="inlineStr">
        <is>
          <t>REGULATORY VELOCITY (FRESHNESS)</t>
        </is>
      </c>
    </row>
    <row r="9">
      <c r="A9" s="595" t="inlineStr">
        <is>
          <t>Level</t>
        </is>
      </c>
      <c r="B9" s="600" t="inlineStr">
        <is>
          <t>Count</t>
        </is>
      </c>
      <c r="D9" s="595" t="inlineStr">
        <is>
          <t>Period</t>
        </is>
      </c>
      <c r="E9" s="600" t="inlineStr">
        <is>
          <t>Count</t>
        </is>
      </c>
    </row>
    <row r="10">
      <c r="A10" t="inlineStr">
        <is>
          <t>HIGHEST</t>
        </is>
      </c>
      <c r="B10" s="591">
        <f>'GRC Intelligence Engine'!B9</f>
        <v/>
      </c>
      <c r="D10" t="inlineStr">
        <is>
          <t>2024-2026 (Fresh)</t>
        </is>
      </c>
      <c r="E10" s="591">
        <f>'GRC Intelligence Engine'!B154</f>
        <v/>
      </c>
    </row>
    <row r="11">
      <c r="A11" t="inlineStr">
        <is>
          <t>HIGH</t>
        </is>
      </c>
      <c r="B11" s="591">
        <f>'GRC Intelligence Engine'!B10</f>
        <v/>
      </c>
      <c r="D11" t="inlineStr">
        <is>
          <t>2021-2023 (Maturing)</t>
        </is>
      </c>
      <c r="E11" s="591">
        <f>'GRC Intelligence Engine'!B155</f>
        <v/>
      </c>
    </row>
    <row r="12">
      <c r="A12" t="inlineStr">
        <is>
          <t>MODERATE</t>
        </is>
      </c>
      <c r="B12" s="591">
        <f>'GRC Intelligence Engine'!B11</f>
        <v/>
      </c>
      <c r="D12" t="inlineStr">
        <is>
          <t>2018-2020 (Aging)</t>
        </is>
      </c>
      <c r="E12" s="591">
        <f>'GRC Intelligence Engine'!B156</f>
        <v/>
      </c>
    </row>
    <row r="13">
      <c r="A13" t="inlineStr">
        <is>
          <t>LOW</t>
        </is>
      </c>
      <c r="B13" s="591">
        <f>'GRC Intelligence Engine'!B12</f>
        <v/>
      </c>
      <c r="D13" t="inlineStr">
        <is>
          <t>Pre-2018 (Legacy)</t>
        </is>
      </c>
      <c r="E13" s="591">
        <f>'GRC Intelligence Engine'!B157</f>
        <v/>
      </c>
    </row>
    <row r="16">
      <c r="A16" s="573" t="inlineStr">
        <is>
          <t>MATURITY GAP ANALYSIS</t>
        </is>
      </c>
      <c r="D16" s="573" t="inlineStr">
        <is>
          <t>TOP 10 REGULATORS BY POWER INDEX</t>
        </is>
      </c>
    </row>
    <row r="17">
      <c r="A17" s="595" t="inlineStr">
        <is>
          <t>Domain</t>
        </is>
      </c>
      <c r="B17" s="600" t="inlineStr">
        <is>
          <t>Current</t>
        </is>
      </c>
      <c r="C17" s="600" t="inlineStr">
        <is>
          <t>Target</t>
        </is>
      </c>
      <c r="D17" s="595" t="inlineStr">
        <is>
          <t>Regulator</t>
        </is>
      </c>
      <c r="E17" s="600" t="inlineStr">
        <is>
          <t>Power Index</t>
        </is>
      </c>
    </row>
    <row r="18">
      <c r="A18" t="inlineStr">
        <is>
          <t>Governance</t>
        </is>
      </c>
      <c r="B18" s="608">
        <f>'GRC Intelligence Engine'!B199</f>
        <v/>
      </c>
      <c r="C18" s="591">
        <f>'GRC Intelligence Engine'!C199</f>
        <v/>
      </c>
      <c r="D18">
        <f t="array" ref="D18">INDEX('Per-Regulator Summary'!A$2:A$108,MATCH(LARGE(('Per-Regulator Summary'!D$2:D$108*3)+('Per-Regulator Summary'!G$2:G$108*5)+('Per-Regulator Summary'!F$2:F$108*1),1),('Per-Regulator Summary'!D$2:D$108*3)+('Per-Regulator Summary'!G$2:G$108*5)+('Per-Regulator Summary'!F$2:F$108*1),0))</f>
        <v/>
      </c>
      <c r="E18" s="591">
        <f t="array" ref="E18">LARGE(('Per-Regulator Summary'!D$2:D$108*3)+('Per-Regulator Summary'!G$2:G$108*5)+('Per-Regulator Summary'!F$2:F$108*1),1)</f>
        <v/>
      </c>
    </row>
    <row r="19">
      <c r="A19" t="inlineStr">
        <is>
          <t>Cybersecurity</t>
        </is>
      </c>
      <c r="B19" s="608">
        <f>'GRC Intelligence Engine'!B200</f>
        <v/>
      </c>
      <c r="C19" s="591">
        <f>'GRC Intelligence Engine'!C200</f>
        <v/>
      </c>
      <c r="D19" t="inlineStr">
        <is>
          <t>SDAIA</t>
        </is>
      </c>
      <c r="E19" s="591">
        <f t="array" ref="E19">LARGE(('Per-Regulator Summary'!D$2:D$108*3)+('Per-Regulator Summary'!G$2:G$108*5)+('Per-Regulator Summary'!F$2:F$108*1),2)</f>
        <v/>
      </c>
    </row>
    <row r="20">
      <c r="A20" t="inlineStr">
        <is>
          <t>Privacy (PDPL)</t>
        </is>
      </c>
      <c r="B20" s="608">
        <f>'GRC Intelligence Engine'!B201</f>
        <v/>
      </c>
      <c r="C20" s="591">
        <f>'GRC Intelligence Engine'!C201</f>
        <v/>
      </c>
      <c r="D20" t="inlineStr">
        <is>
          <t>MOH</t>
        </is>
      </c>
      <c r="E20" s="591">
        <f t="array" ref="E20">LARGE(('Per-Regulator Summary'!D$2:D$108*3)+('Per-Regulator Summary'!G$2:G$108*5)+('Per-Regulator Summary'!F$2:F$108*1),3)</f>
        <v/>
      </c>
    </row>
    <row r="21">
      <c r="A21" t="inlineStr">
        <is>
          <t>Risk Mgmt</t>
        </is>
      </c>
      <c r="B21" s="608">
        <f>'GRC Intelligence Engine'!B202</f>
        <v/>
      </c>
      <c r="C21" s="591">
        <f>'GRC Intelligence Engine'!C202</f>
        <v/>
      </c>
      <c r="D21" t="inlineStr">
        <is>
          <t>SFDA</t>
        </is>
      </c>
      <c r="E21" s="591">
        <f t="array" ref="E21">LARGE(('Per-Regulator Summary'!D$2:D$108*3)+('Per-Regulator Summary'!G$2:G$108*5)+('Per-Regulator Summary'!F$2:F$108*1),4)</f>
        <v/>
      </c>
    </row>
    <row r="22">
      <c r="A22" t="inlineStr">
        <is>
          <t>Compliance</t>
        </is>
      </c>
      <c r="B22" s="608">
        <f>'GRC Intelligence Engine'!B203</f>
        <v/>
      </c>
      <c r="C22" s="591">
        <f>'GRC Intelligence Engine'!C203</f>
        <v/>
      </c>
      <c r="D22" t="inlineStr">
        <is>
          <t>CST</t>
        </is>
      </c>
      <c r="E22" s="591">
        <f t="array" ref="E22">LARGE(('Per-Regulator Summary'!D$2:D$108*3)+('Per-Regulator Summary'!G$2:G$108*5)+('Per-Regulator Summary'!F$2:F$108*1),5)</f>
        <v/>
      </c>
    </row>
    <row r="23">
      <c r="A23" t="inlineStr">
        <is>
          <t>Supply Chain</t>
        </is>
      </c>
      <c r="B23" s="608">
        <f>'GRC Intelligence Engine'!B204</f>
        <v/>
      </c>
      <c r="C23" s="591">
        <f>'GRC Intelligence Engine'!C204</f>
        <v/>
      </c>
      <c r="D23" t="inlineStr">
        <is>
          <t>SAMA</t>
        </is>
      </c>
      <c r="E23" s="591">
        <f t="array" ref="E23">LARGE(('Per-Regulator Summary'!D$2:D$108*3)+('Per-Regulator Summary'!G$2:G$108*5)+('Per-Regulator Summary'!F$2:F$108*1),6)</f>
        <v/>
      </c>
    </row>
    <row r="24">
      <c r="A24" t="inlineStr">
        <is>
          <t>OT/CNI (OTCC)</t>
        </is>
      </c>
      <c r="B24" s="608">
        <f>'GRC Intelligence Engine'!B205</f>
        <v/>
      </c>
      <c r="C24" s="591">
        <f>'GRC Intelligence Engine'!C205</f>
        <v/>
      </c>
      <c r="D24" t="inlineStr">
        <is>
          <t>CCHI</t>
        </is>
      </c>
      <c r="E24" s="591">
        <f t="array" ref="E24">LARGE(('Per-Regulator Summary'!D$2:D$108*3)+('Per-Regulator Summary'!G$2:G$108*5)+('Per-Regulator Summary'!F$2:F$108*1),7)</f>
        <v/>
      </c>
    </row>
    <row r="25">
      <c r="A25" t="inlineStr">
        <is>
          <t>Incident Response</t>
        </is>
      </c>
      <c r="B25" s="608">
        <f>'GRC Intelligence Engine'!B206</f>
        <v/>
      </c>
      <c r="C25" s="591">
        <f>'GRC Intelligence Engine'!C206</f>
        <v/>
      </c>
      <c r="D25" t="inlineStr">
        <is>
          <t>CBAHI</t>
        </is>
      </c>
      <c r="E25" s="591">
        <f t="array" ref="E25">LARGE(('Per-Regulator Summary'!D$2:D$108*3)+('Per-Regulator Summary'!G$2:G$108*5)+('Per-Regulator Summary'!F$2:F$108*1),8)</f>
        <v/>
      </c>
    </row>
    <row r="26">
      <c r="A26" t="inlineStr">
        <is>
          <t>Saudisation</t>
        </is>
      </c>
      <c r="B26" s="608">
        <f>'GRC Intelligence Engine'!B207</f>
        <v/>
      </c>
      <c r="C26" s="591">
        <f>'GRC Intelligence Engine'!C207</f>
        <v/>
      </c>
      <c r="D26" t="inlineStr">
        <is>
          <t>NHIC</t>
        </is>
      </c>
      <c r="E26" s="591">
        <f t="array" ref="E26">LARGE(('Per-Regulator Summary'!D$2:D$108*3)+('Per-Regulator Summary'!G$2:G$108*5)+('Per-Regulator Summary'!F$2:F$108*1),9)</f>
        <v/>
      </c>
    </row>
    <row r="27">
      <c r="D27" t="inlineStr">
        <is>
          <t>SCFHS</t>
        </is>
      </c>
      <c r="E27" s="591">
        <f t="array" ref="E27">LARGE(('Per-Regulator Summary'!D$2:D$108*3)+('Per-Regulator Summary'!G$2:G$108*5)+('Per-Regulator Summary'!F$2:F$108*1),10)</f>
        <v/>
      </c>
    </row>
  </sheetData>
  <mergeCells count="2">
    <mergeCell ref="A2:G2"/>
    <mergeCell ref="A1:G1"/>
  </mergeCells>
  <pageMargins left="0.7" right="0.7" top="0.75" bottom="0.75" header="0.3" footer="0.3"/>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L8"/>
  <sheetViews>
    <sheetView workbookViewId="0">
      <pane ySplit="4" topLeftCell="A5" activePane="bottomLeft" state="frozen"/>
      <selection pane="bottomLeft" activeCell="A5" sqref="A1:XFD1048576"/>
    </sheetView>
  </sheetViews>
  <sheetFormatPr baseColWidth="8" defaultRowHeight="14.25"/>
  <cols>
    <col width="8.9296875" bestFit="1" customWidth="1" min="1" max="1"/>
    <col width="13" bestFit="1" customWidth="1" min="2" max="2"/>
    <col width="14.59765625" bestFit="1" customWidth="1" min="3" max="3"/>
    <col width="19.1328125" bestFit="1" customWidth="1" min="4" max="4"/>
    <col width="92.06640625" bestFit="1" customWidth="1" min="5" max="5"/>
    <col width="10.86328125" bestFit="1" customWidth="1" min="6" max="6"/>
    <col width="19.9296875" bestFit="1" customWidth="1" min="7" max="7"/>
    <col width="11" bestFit="1" customWidth="1" min="8" max="8"/>
    <col width="18" bestFit="1" customWidth="1" min="9" max="9"/>
    <col width="81.265625" bestFit="1" customWidth="1" min="10" max="10"/>
    <col width="21.1328125" bestFit="1" customWidth="1" min="11" max="11"/>
    <col width="14.796875" bestFit="1" customWidth="1" min="12" max="12"/>
  </cols>
  <sheetData>
    <row r="1" ht="21" customHeight="1">
      <c r="A1" s="628" t="inlineStr">
        <is>
          <t>📝 REGULATORY CHANGE LOG — FRAMEWORK VERSION TRACKER</t>
        </is>
      </c>
    </row>
    <row r="2">
      <c r="A2" s="629" t="inlineStr">
        <is>
          <t>Track all regulatory changes, new framework versions, and upcoming reviews. Add new entries as regulations evolve.</t>
        </is>
      </c>
    </row>
    <row r="4">
      <c r="A4" s="626" t="inlineStr">
        <is>
          <t>Change ID</t>
        </is>
      </c>
      <c r="B4" s="626" t="inlineStr">
        <is>
          <t>Date Identified</t>
        </is>
      </c>
      <c r="C4" s="625" t="inlineStr">
        <is>
          <t>Framework Code</t>
        </is>
      </c>
      <c r="D4" s="625" t="inlineStr">
        <is>
          <t>Change Type</t>
        </is>
      </c>
      <c r="E4" s="625" t="inlineStr">
        <is>
          <t>Description</t>
        </is>
      </c>
      <c r="F4" s="625" t="inlineStr">
        <is>
          <t>Old Version</t>
        </is>
      </c>
      <c r="G4" s="625" t="inlineStr">
        <is>
          <t>New Version</t>
        </is>
      </c>
      <c r="H4" s="625" t="inlineStr">
        <is>
          <t>Impact Level</t>
        </is>
      </c>
      <c r="I4" s="625" t="inlineStr">
        <is>
          <t>Compliance Deadline</t>
        </is>
      </c>
      <c r="J4" s="625" t="inlineStr">
        <is>
          <t>Action Required</t>
        </is>
      </c>
      <c r="K4" s="625" t="inlineStr">
        <is>
          <t>Assigned To</t>
        </is>
      </c>
      <c r="L4" s="625" t="inlineStr">
        <is>
          <t>Status</t>
        </is>
      </c>
    </row>
    <row r="5">
      <c r="A5" t="inlineStr">
        <is>
          <t>CHG-001</t>
        </is>
      </c>
      <c r="B5" s="627" t="n">
        <v>45566</v>
      </c>
      <c r="C5" t="inlineStr">
        <is>
          <t>ECC-2:2024</t>
        </is>
      </c>
      <c r="D5" t="inlineStr">
        <is>
          <t>🟢 NEW VERSION</t>
        </is>
      </c>
      <c r="E5" t="inlineStr">
        <is>
          <t>ECC-1:2018 replaced by ECC-2:2024 — 108 controls, 4 domains, Saudisation mandate, ransomware controls added</t>
        </is>
      </c>
      <c r="F5" t="inlineStr">
        <is>
          <t>ECC-1:2018</t>
        </is>
      </c>
      <c r="G5" t="inlineStr">
        <is>
          <t>ECC-2:2024</t>
        </is>
      </c>
      <c r="H5" t="inlineStr">
        <is>
          <t>🔴 CRITICAL</t>
        </is>
      </c>
      <c r="I5" s="627" t="n">
        <v>45931</v>
      </c>
      <c r="J5" t="inlineStr">
        <is>
          <t>Full gap analysis ECC-1→ECC-2; update compliance register; retrain staff; submit new self-assessment</t>
        </is>
      </c>
      <c r="K5" t="inlineStr">
        <is>
          <t>CISO / Compliance Officer</t>
        </is>
      </c>
      <c r="L5" t="inlineStr">
        <is>
          <t>🟡 IN PROGRESS</t>
        </is>
      </c>
    </row>
    <row r="6">
      <c r="A6" t="inlineStr">
        <is>
          <t>CHG-002</t>
        </is>
      </c>
      <c r="B6" s="627" t="n">
        <v>45549</v>
      </c>
      <c r="C6" t="inlineStr">
        <is>
          <t>PDPL-DTR-2024</t>
        </is>
      </c>
      <c r="D6" t="inlineStr">
        <is>
          <t>🟢 NEW VERSION</t>
        </is>
      </c>
      <c r="E6" t="inlineStr">
        <is>
          <t>PDPL Data Transfer Regulations updated v2 — new cross-border assessment requirements</t>
        </is>
      </c>
      <c r="F6" t="inlineStr">
        <is>
          <t>PDPL-DTR v1</t>
        </is>
      </c>
      <c r="G6" t="inlineStr">
        <is>
          <t>PDPL-DTR v2 (Sep 2024)</t>
        </is>
      </c>
      <c r="H6" t="inlineStr">
        <is>
          <t>🔴 CRITICAL</t>
        </is>
      </c>
      <c r="I6" s="627" t="n">
        <v>45730</v>
      </c>
      <c r="J6" t="inlineStr">
        <is>
          <t>Update data transfer agreements; conduct cross-border risk assessment; update DPIA</t>
        </is>
      </c>
      <c r="K6" t="inlineStr">
        <is>
          <t>DPO</t>
        </is>
      </c>
      <c r="L6" t="inlineStr">
        <is>
          <t>🟡 IN PROGRESS</t>
        </is>
      </c>
    </row>
    <row r="7">
      <c r="A7" t="inlineStr">
        <is>
          <t>CHG-003</t>
        </is>
      </c>
      <c r="B7" s="627" t="n">
        <v>45627</v>
      </c>
      <c r="C7" t="inlineStr">
        <is>
          <t>NCA-REG-2024</t>
        </is>
      </c>
      <c r="D7" t="inlineStr">
        <is>
          <t>🔵 NEW FRAMEWORK</t>
        </is>
      </c>
      <c r="E7" t="inlineStr">
        <is>
          <t>First NCA enforcement regulation — SAR 25M max fine, judicial powers for inspectors, criminal referral authority</t>
        </is>
      </c>
      <c r="F7" t="inlineStr">
        <is>
          <t>N/A</t>
        </is>
      </c>
      <c r="G7" t="inlineStr">
        <is>
          <t>NCA-REG-2024</t>
        </is>
      </c>
      <c r="H7" t="inlineStr">
        <is>
          <t>🔴 CRITICAL</t>
        </is>
      </c>
      <c r="I7" s="627" t="n">
        <v>45658</v>
      </c>
      <c r="J7" t="inlineStr">
        <is>
          <t>Board briefing; update risk register; ensure all NCA submissions current</t>
        </is>
      </c>
      <c r="K7" t="inlineStr">
        <is>
          <t>Legal / CISO</t>
        </is>
      </c>
      <c r="L7" t="inlineStr">
        <is>
          <t>✅ COMPLETED</t>
        </is>
      </c>
    </row>
    <row r="8">
      <c r="A8" t="inlineStr">
        <is>
          <t>CHG-004</t>
        </is>
      </c>
      <c r="B8" s="627" t="n">
        <v>45658</v>
      </c>
      <c r="C8" t="inlineStr">
        <is>
          <t>CCC-2</t>
        </is>
      </c>
      <c r="D8" t="inlineStr">
        <is>
          <t>🟠 EXPECTED UPDATE</t>
        </is>
      </c>
      <c r="E8" t="inlineStr">
        <is>
          <t>CCC-2 in NCA consultation — will add edge computing, data localisation, AI workload controls</t>
        </is>
      </c>
      <c r="F8" t="inlineStr">
        <is>
          <t>CCC-1:2020</t>
        </is>
      </c>
      <c r="G8" t="inlineStr">
        <is>
          <t>CCC-2 (TBD)</t>
        </is>
      </c>
      <c r="H8" t="inlineStr">
        <is>
          <t>🟠 HIGH</t>
        </is>
      </c>
      <c r="I8" t="inlineStr">
        <is>
          <t>TBD</t>
        </is>
      </c>
      <c r="J8" t="inlineStr">
        <is>
          <t>Monitor NCA consultation; prepare gap assessment template for CCC-2</t>
        </is>
      </c>
      <c r="K8" t="inlineStr">
        <is>
          <t>Cloud Security Team</t>
        </is>
      </c>
      <c r="L8" t="inlineStr">
        <is>
          <t>🟣 MONITORING</t>
        </is>
      </c>
    </row>
  </sheetData>
  <mergeCells count="2">
    <mergeCell ref="A2:L2"/>
    <mergeCell ref="A1:L1"/>
  </mergeCells>
  <dataValidations count="3">
    <dataValidation sqref="D5:D200" showDropDown="0" showInputMessage="1" showErrorMessage="1" allowBlank="1" type="list">
      <formula1>"🟢 NEW VERSION,🔵 NEW FRAMEWORK,🟠 EXPECTED UPDATE,🔴 WITHDRAWN,⚪ AMENDMENT,🟣 CONSULTATION"</formula1>
    </dataValidation>
    <dataValidation sqref="H5:H200" showDropDown="0" showInputMessage="1" showErrorMessage="1" allowBlank="1" type="list">
      <formula1>"🔴 CRITICAL,🟠 HIGH,🟡 MODERATE,🟢 LOW"</formula1>
    </dataValidation>
    <dataValidation sqref="L5:L200" showDropDown="0" showInputMessage="1" showErrorMessage="1" allowBlank="1" type="list">
      <formula1>"🟣 MONITORING,🟡 IN PROGRESS,✅ COMPLETED,🔴 OVERDUE,⏸ ON HOLD"</formula1>
    </dataValidation>
  </dataValidation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F18"/>
  <sheetViews>
    <sheetView topLeftCell="E1" workbookViewId="0">
      <pane ySplit="4" topLeftCell="A5" activePane="bottomLeft" state="frozen"/>
      <selection pane="bottomLeft" activeCell="E1" sqref="A1:XFD1048576"/>
    </sheetView>
  </sheetViews>
  <sheetFormatPr baseColWidth="8" defaultRowHeight="14.25"/>
  <cols>
    <col width="26.6640625" customWidth="1" min="1" max="1"/>
    <col width="21.33203125" customWidth="1" min="2" max="2"/>
    <col width="26.6640625" customWidth="1" min="3" max="3"/>
    <col width="62.19921875" customWidth="1" min="4" max="5"/>
    <col width="17.796875" customWidth="1" min="6" max="6"/>
  </cols>
  <sheetData>
    <row r="1" ht="21" customHeight="1">
      <c r="A1" s="628" t="inlineStr">
        <is>
          <t>🔗 FRAMEWORK DEPENDENCY GRAPH</t>
        </is>
      </c>
    </row>
    <row r="2">
      <c r="A2" s="629" t="inlineStr">
        <is>
          <t>Maps regulatory relationships: extensions, dependencies, conflicts, and overlaps across the KSA GRC ecosystem</t>
        </is>
      </c>
    </row>
    <row r="4">
      <c r="A4" s="625" t="inlineStr">
        <is>
          <t>Source Framework</t>
        </is>
      </c>
      <c r="B4" s="625" t="inlineStr">
        <is>
          <t>Relationship</t>
        </is>
      </c>
      <c r="C4" s="625" t="inlineStr">
        <is>
          <t>Target Framework</t>
        </is>
      </c>
      <c r="D4" s="625" t="inlineStr">
        <is>
          <t>Relationship Detail</t>
        </is>
      </c>
      <c r="E4" s="625" t="inlineStr">
        <is>
          <t>Impact on HC IoT</t>
        </is>
      </c>
      <c r="F4" s="626" t="inlineStr">
        <is>
          <t>Conflict Risk</t>
        </is>
      </c>
    </row>
    <row r="5">
      <c r="A5" t="inlineStr">
        <is>
          <t>NCA-ECC-2:2024</t>
        </is>
      </c>
      <c r="B5" t="inlineStr">
        <is>
          <t>→ EXTENDS</t>
        </is>
      </c>
      <c r="C5" t="inlineStr">
        <is>
          <t>NCA-OTCC-1:2022</t>
        </is>
      </c>
      <c r="D5" t="inlineStr">
        <is>
          <t>ECC-2 provides IT baseline; OTCC extends for OT/ICS environments</t>
        </is>
      </c>
      <c r="E5" t="inlineStr">
        <is>
          <t>Hospital OT networks must comply with BOTH ECC-2 + OTCC</t>
        </is>
      </c>
      <c r="F5" s="591" t="inlineStr">
        <is>
          <t>🟢 LOW</t>
        </is>
      </c>
    </row>
    <row r="6">
      <c r="A6" t="inlineStr">
        <is>
          <t>NCA-ECC-2:2024</t>
        </is>
      </c>
      <c r="B6" t="inlineStr">
        <is>
          <t>→ EXTENDS</t>
        </is>
      </c>
      <c r="C6" t="inlineStr">
        <is>
          <t>NCA-CCC-1:2020</t>
        </is>
      </c>
      <c r="D6" t="inlineStr">
        <is>
          <t>ECC-2 is baseline; CCC adds cloud-specific controls</t>
        </is>
      </c>
      <c r="E6" t="inlineStr">
        <is>
          <t>Cloud-hosted EHR/NABIDH must comply with ECC-2 + CCC</t>
        </is>
      </c>
      <c r="F6" s="591" t="inlineStr">
        <is>
          <t>🟢 LOW</t>
        </is>
      </c>
    </row>
    <row r="7">
      <c r="A7" t="inlineStr">
        <is>
          <t>NCA-ECC-2:2024</t>
        </is>
      </c>
      <c r="B7" t="inlineStr">
        <is>
          <t>→ EXTENDS</t>
        </is>
      </c>
      <c r="C7" t="inlineStr">
        <is>
          <t>NCA-DCC-1:2022</t>
        </is>
      </c>
      <c r="D7" t="inlineStr">
        <is>
          <t>ECC-2 is baseline; DCC adds data lifecycle controls</t>
        </is>
      </c>
      <c r="E7" t="inlineStr">
        <is>
          <t>Patient data requires both ECC-2 and DCC compliance</t>
        </is>
      </c>
      <c r="F7" s="591" t="inlineStr">
        <is>
          <t>🟢 LOW</t>
        </is>
      </c>
    </row>
    <row r="8">
      <c r="A8" t="inlineStr">
        <is>
          <t>NCA-ECC-2:2024</t>
        </is>
      </c>
      <c r="B8" t="inlineStr">
        <is>
          <t>⚠️ OVERLAPS</t>
        </is>
      </c>
      <c r="C8" t="inlineStr">
        <is>
          <t>SAMA-CSF</t>
        </is>
      </c>
      <c r="D8" t="inlineStr">
        <is>
          <t>Financial sector entities subject to BOTH NCA ECC-2 and SAMA-CSF — dual audit</t>
        </is>
      </c>
      <c r="E8" t="inlineStr">
        <is>
          <t>Health insurers (CCHI scope) must comply with BOTH</t>
        </is>
      </c>
      <c r="F8" s="591" t="inlineStr">
        <is>
          <t>🟠 MEDIUM</t>
        </is>
      </c>
    </row>
    <row r="9">
      <c r="A9" t="inlineStr">
        <is>
          <t>NCA-DCC-1:2022</t>
        </is>
      </c>
      <c r="B9" t="inlineStr">
        <is>
          <t>⚠️ OVERLAPS</t>
        </is>
      </c>
      <c r="C9" t="inlineStr">
        <is>
          <t>PDPL-2021</t>
        </is>
      </c>
      <c r="D9" t="inlineStr">
        <is>
          <t>Data security controls overlap between NCA (technical) and SDAIA (legal/privacy)</t>
        </is>
      </c>
      <c r="E9" t="inlineStr">
        <is>
          <t>Patient data subject to BOTH DCC technical controls AND PDPL legal requirements</t>
        </is>
      </c>
      <c r="F9" s="591" t="inlineStr">
        <is>
          <t>🔴 HIGH</t>
        </is>
      </c>
    </row>
    <row r="10">
      <c r="A10" t="inlineStr">
        <is>
          <t>NCA-OTCC-1:2022</t>
        </is>
      </c>
      <c r="B10" t="inlineStr">
        <is>
          <t>⚠️ OVERLAPS</t>
        </is>
      </c>
      <c r="C10" t="inlineStr">
        <is>
          <t>SFDA-MDR</t>
        </is>
      </c>
      <c r="D10" t="inlineStr">
        <is>
          <t>OT device cyber controls (NCA) vs medical device regulations (SFDA) — boundary unclear for IoMT</t>
        </is>
      </c>
      <c r="E10" t="inlineStr">
        <is>
          <t>IoMT devices fall between NCA OTCC (OT view) and SFDA MDR (device view) — GH-ICGA gap</t>
        </is>
      </c>
      <c r="F10" s="591" t="inlineStr">
        <is>
          <t>🔴 HIGH</t>
        </is>
      </c>
    </row>
    <row r="11">
      <c r="A11" t="inlineStr">
        <is>
          <t>MOH-HIS</t>
        </is>
      </c>
      <c r="B11" t="inlineStr">
        <is>
          <t>→ DEPENDS ON</t>
        </is>
      </c>
      <c r="C11" t="inlineStr">
        <is>
          <t>NHIC-NABIDH</t>
        </is>
      </c>
      <c r="D11" t="inlineStr">
        <is>
          <t>MOH HIS standards require NABIDH platform connectivity</t>
        </is>
      </c>
      <c r="E11" t="inlineStr">
        <is>
          <t>All hospital HIS must integrate with NABIDH exchange</t>
        </is>
      </c>
      <c r="F11" s="591" t="inlineStr">
        <is>
          <t>🟢 LOW</t>
        </is>
      </c>
    </row>
    <row r="12">
      <c r="A12" t="inlineStr">
        <is>
          <t>SFDA-AI-MDS-G010</t>
        </is>
      </c>
      <c r="B12" t="inlineStr">
        <is>
          <t>→ DEPENDS ON</t>
        </is>
      </c>
      <c r="C12" t="inlineStr">
        <is>
          <t>SFDA-MDR</t>
        </is>
      </c>
      <c r="D12" t="inlineStr">
        <is>
          <t>AI medical device guidance requires MDR registration first</t>
        </is>
      </c>
      <c r="E12" t="inlineStr">
        <is>
          <t>AI-driven IoMT diagnostics need BOTH MDR + AI guidance compliance</t>
        </is>
      </c>
      <c r="F12" s="591" t="inlineStr">
        <is>
          <t>🟢 LOW</t>
        </is>
      </c>
    </row>
    <row r="13">
      <c r="A13" t="inlineStr">
        <is>
          <t>PDPL-2021</t>
        </is>
      </c>
      <c r="B13" t="inlineStr">
        <is>
          <t>→ EXTENDS</t>
        </is>
      </c>
      <c r="C13" t="inlineStr">
        <is>
          <t>PDPL-IR-2023</t>
        </is>
      </c>
      <c r="D13" t="inlineStr">
        <is>
          <t>Implementing regulations provide detailed requirements for PDPL compliance</t>
        </is>
      </c>
      <c r="E13" t="inlineStr">
        <is>
          <t>DPO appointment, DPIA methodology, consent management specifics</t>
        </is>
      </c>
      <c r="F13" s="591" t="inlineStr">
        <is>
          <t>🟢 LOW</t>
        </is>
      </c>
    </row>
    <row r="14">
      <c r="A14" t="inlineStr">
        <is>
          <t>PDPL-2021</t>
        </is>
      </c>
      <c r="B14" t="inlineStr">
        <is>
          <t>→ EXTENDS</t>
        </is>
      </c>
      <c r="C14" t="inlineStr">
        <is>
          <t>PDPL-DTR-2024</t>
        </is>
      </c>
      <c r="D14" t="inlineStr">
        <is>
          <t>Cross-border data transfer regulations complement PDPL</t>
        </is>
      </c>
      <c r="E14" t="inlineStr">
        <is>
          <t>International health data sharing (research, telemedicine) requires DTR compliance</t>
        </is>
      </c>
      <c r="F14" s="591" t="inlineStr">
        <is>
          <t>🟢 LOW</t>
        </is>
      </c>
    </row>
    <row r="15">
      <c r="A15" t="inlineStr">
        <is>
          <t>NCA-CCC-1:2020</t>
        </is>
      </c>
      <c r="B15" t="inlineStr">
        <is>
          <t>⚠️ OVERLAPS</t>
        </is>
      </c>
      <c r="C15" t="inlineStr">
        <is>
          <t>CST-CCR</t>
        </is>
      </c>
      <c r="D15" t="inlineStr">
        <is>
          <t>NCA cloud security vs CST cloud regulation — licensing + security dual requirement</t>
        </is>
      </c>
      <c r="E15" t="inlineStr">
        <is>
          <t>Health cloud providers need both NCA CCC and CST licensing</t>
        </is>
      </c>
      <c r="F15" s="591" t="inlineStr">
        <is>
          <t>🟠 MEDIUM</t>
        </is>
      </c>
    </row>
    <row r="16">
      <c r="A16" t="inlineStr">
        <is>
          <t>CBAHI-HAS-H</t>
        </is>
      </c>
      <c r="B16" t="inlineStr">
        <is>
          <t>→ DEPENDS ON</t>
        </is>
      </c>
      <c r="C16" t="inlineStr">
        <is>
          <t>NCA-ECC-2:2024</t>
        </is>
      </c>
      <c r="D16" t="inlineStr">
        <is>
          <t>CBAHI HIT standards reference NCA cybersecurity requirements</t>
        </is>
      </c>
      <c r="E16" t="inlineStr">
        <is>
          <t>Hospital accreditation increasingly requires ECC-2 compliance evidence</t>
        </is>
      </c>
      <c r="F16" s="591" t="inlineStr">
        <is>
          <t>🟢 LOW</t>
        </is>
      </c>
    </row>
    <row r="17">
      <c r="A17" t="inlineStr">
        <is>
          <t>NCA-REG-2024</t>
        </is>
      </c>
      <c r="B17" t="inlineStr">
        <is>
          <t>→ ENFORCES</t>
        </is>
      </c>
      <c r="C17" t="inlineStr">
        <is>
          <t>ALL NCA frameworks</t>
        </is>
      </c>
      <c r="D17" t="inlineStr">
        <is>
          <t>First enforcement mechanism — SAR 25M fines, criminal referral, judicial inspectors</t>
        </is>
      </c>
      <c r="E17" t="inlineStr">
        <is>
          <t>Makes all NCA cyber frameworks legally actionable for healthcare entities</t>
        </is>
      </c>
      <c r="F17" s="591" t="inlineStr">
        <is>
          <t>🔴 HIGH</t>
        </is>
      </c>
    </row>
    <row r="18">
      <c r="A18" t="inlineStr">
        <is>
          <t>MHRSD-NITAQAT</t>
        </is>
      </c>
      <c r="B18" t="inlineStr">
        <is>
          <t>⚠️ OVERLAPS</t>
        </is>
      </c>
      <c r="C18" t="inlineStr">
        <is>
          <t>NCA-ECC-2:2024</t>
        </is>
      </c>
      <c r="D18" t="inlineStr">
        <is>
          <t>ECC-2 Saudisation mandate + Nitaqat quotas create dual workforce compliance</t>
        </is>
      </c>
      <c r="E18" t="inlineStr">
        <is>
          <t>Cyber roles must be 100% Saudi (ECC-2) within Nitaqat zone targets</t>
        </is>
      </c>
      <c r="F18" s="591" t="inlineStr">
        <is>
          <t>🟠 MEDIUM</t>
        </is>
      </c>
    </row>
  </sheetData>
  <mergeCells count="2">
    <mergeCell ref="A2:F2"/>
    <mergeCell ref="A1:F1"/>
  </mergeCells>
  <dataValidations count="2">
    <dataValidation sqref="B5:B100" showDropDown="0" showInputMessage="1" showErrorMessage="1" allowBlank="1" type="list">
      <formula1>"→ EXTENDS,→ DEPENDS ON,⚠️ OVERLAPS,→ ENFORCES,❌ CONFLICTS,→ REPLACES"</formula1>
    </dataValidation>
    <dataValidation sqref="F5:F100" showDropDown="0" showInputMessage="1" showErrorMessage="1" allowBlank="1" type="list">
      <formula1>"🔴 HIGH,🟠 MEDIUM,🟢 LOW"</formula1>
    </dataValidation>
  </dataValidations>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H37"/>
  <sheetViews>
    <sheetView workbookViewId="0">
      <pane ySplit="4" topLeftCell="A28" activePane="bottomLeft" state="frozen"/>
      <selection pane="bottomLeft" activeCell="A1" sqref="A1:H1"/>
    </sheetView>
  </sheetViews>
  <sheetFormatPr baseColWidth="8" defaultRowHeight="14.25"/>
  <cols>
    <col width="40.86328125" customWidth="1" min="1" max="1"/>
    <col width="26.6640625" customWidth="1" min="2" max="2"/>
    <col width="39.1328125" customWidth="1" min="3" max="3"/>
    <col width="26.6640625" customWidth="1" min="4" max="4"/>
    <col width="62.19921875" customWidth="1" min="5" max="5"/>
    <col width="14.19921875" customWidth="1" min="6" max="6"/>
    <col width="32" customWidth="1" min="7" max="7"/>
    <col width="14.19921875" customWidth="1" min="8" max="8"/>
  </cols>
  <sheetData>
    <row r="1" ht="21" customHeight="1">
      <c r="A1" s="628" t="inlineStr">
        <is>
          <t>🧮 COMPLIANCE CALCULATOR — YOUR REGULATORY REQUIREMENTS</t>
        </is>
      </c>
    </row>
    <row r="2">
      <c r="A2" s="629" t="inlineStr">
        <is>
          <t>Select your sector and entity type below to auto-generate your full regulatory compliance requirements</t>
        </is>
      </c>
    </row>
    <row r="4" ht="15.75" customHeight="1">
      <c r="A4" s="633" t="inlineStr">
        <is>
          <t>━━━ INPUT YOUR PROFILE ━━━</t>
        </is>
      </c>
    </row>
    <row r="5" ht="15.75" customHeight="1">
      <c r="A5" s="573" t="inlineStr">
        <is>
          <t>1. Select Your Sector Group:</t>
        </is>
      </c>
      <c r="B5" s="630" t="inlineStr">
        <is>
          <t>2. Healthcare &amp; Life Sciences</t>
        </is>
      </c>
    </row>
    <row r="7" ht="15.75" customHeight="1">
      <c r="A7" s="573" t="inlineStr">
        <is>
          <t>2. Entity Type:</t>
        </is>
      </c>
      <c r="B7" s="630" t="inlineStr">
        <is>
          <t>Hospital</t>
        </is>
      </c>
    </row>
    <row r="9" ht="15.75" customHeight="1">
      <c r="A9" s="573" t="inlineStr">
        <is>
          <t>3. Is your entity CNI (Critical National Infrastructure)?</t>
        </is>
      </c>
      <c r="B9" s="630" t="inlineStr">
        <is>
          <t>Yes</t>
        </is>
      </c>
    </row>
    <row r="11" ht="15.75" customHeight="1">
      <c r="A11" s="573" t="inlineStr">
        <is>
          <t>4. Do you process personal data?</t>
        </is>
      </c>
      <c r="B11" s="630" t="inlineStr">
        <is>
          <t>Yes</t>
        </is>
      </c>
    </row>
    <row r="13" ht="15.75" customHeight="1">
      <c r="A13" s="573" t="inlineStr">
        <is>
          <t>5. Do you use cloud services?</t>
        </is>
      </c>
      <c r="B13" s="630" t="inlineStr">
        <is>
          <t>Yes</t>
        </is>
      </c>
    </row>
    <row r="15" ht="15.75" customHeight="1">
      <c r="A15" s="573" t="inlineStr">
        <is>
          <t>6. Do you have OT/IoMT/medical devices?</t>
        </is>
      </c>
      <c r="B15" s="630" t="inlineStr">
        <is>
          <t>Yes</t>
        </is>
      </c>
    </row>
    <row r="18" ht="15.75" customHeight="1">
      <c r="A18" s="633" t="inlineStr">
        <is>
          <t>━━━ YOUR COMPLIANCE REQUIREMENTS (AUTO-CALCULATED) ━━━</t>
        </is>
      </c>
    </row>
    <row r="19">
      <c r="A19" s="600" t="inlineStr">
        <is>
          <t>#</t>
        </is>
      </c>
      <c r="B19" s="595" t="inlineStr">
        <is>
          <t>Framework Code</t>
        </is>
      </c>
      <c r="C19" s="595" t="inlineStr">
        <is>
          <t>Framework Name</t>
        </is>
      </c>
      <c r="D19" s="600" t="inlineStr">
        <is>
          <t>Mandatory?</t>
        </is>
      </c>
      <c r="E19" s="595" t="inlineStr">
        <is>
          <t>Reason Applicable</t>
        </is>
      </c>
      <c r="F19" s="600" t="inlineStr">
        <is>
          <t>Controls</t>
        </is>
      </c>
      <c r="G19" s="595" t="inlineStr">
        <is>
          <t>Audit Frequency</t>
        </is>
      </c>
      <c r="H19" s="600" t="inlineStr">
        <is>
          <t>Priority</t>
        </is>
      </c>
    </row>
    <row r="20">
      <c r="A20" s="591" t="n">
        <v>1</v>
      </c>
      <c r="B20" t="inlineStr">
        <is>
          <t>NCA-ECC-2:2024</t>
        </is>
      </c>
      <c r="C20" t="inlineStr">
        <is>
          <t>Essential Cybersecurity Controls</t>
        </is>
      </c>
      <c r="D20" t="inlineStr">
        <is>
          <t>🔴 MANDATORY</t>
        </is>
      </c>
      <c r="E20" t="inlineStr">
        <is>
          <t>All government entities + CNI operators — universal</t>
        </is>
      </c>
      <c r="F20" t="n">
        <v>108</v>
      </c>
      <c r="G20" t="inlineStr">
        <is>
          <t>Annual self-assessment</t>
        </is>
      </c>
      <c r="H20" s="591" t="inlineStr">
        <is>
          <t>🔴 P1</t>
        </is>
      </c>
    </row>
    <row r="21">
      <c r="A21" s="591" t="n">
        <v>2</v>
      </c>
      <c r="B21" t="inlineStr">
        <is>
          <t>PDPL-2021</t>
        </is>
      </c>
      <c r="C21">
        <f>IF(B11="Yes","Personal Data Protection Law","— N/A (no personal data)")</f>
        <v/>
      </c>
      <c r="D21">
        <f>IF(B11="Yes","🔴 MANDATORY","—")</f>
        <v/>
      </c>
      <c r="E21">
        <f>IF(B11="Yes","All entities processing personal data of KSA residents","Not applicable — no personal data processing")</f>
        <v/>
      </c>
      <c r="F21">
        <f>IF(B11="Yes","45","—")</f>
        <v/>
      </c>
      <c r="G21">
        <f>IF(B11="Yes","Annual + breach-triggered","—")</f>
        <v/>
      </c>
      <c r="H21" s="591">
        <f>IF(B11="Yes","🔴 P1","—")</f>
        <v/>
      </c>
    </row>
    <row r="22">
      <c r="A22" s="591" t="n">
        <v>3</v>
      </c>
      <c r="B22" t="inlineStr">
        <is>
          <t>NCA-OTCC-1:2022</t>
        </is>
      </c>
      <c r="C22">
        <f>IF(AND(B9="Yes",B15="Yes"),"OT Cybersecurity Controls","— N/A (no OT/CNI)")</f>
        <v/>
      </c>
      <c r="D22">
        <f>IF(AND(B9="Yes",B15="Yes"),"🔴 MANDATORY","—")</f>
        <v/>
      </c>
      <c r="E22">
        <f>IF(AND(B9="Yes",B15="Yes"),"CNI entities with OT/ICS/medical device networks","Not applicable")</f>
        <v/>
      </c>
      <c r="F22">
        <f>IF(AND(B9="Yes",B15="Yes"),"53","—")</f>
        <v/>
      </c>
      <c r="G22">
        <f>IF(AND(B9="Yes",B15="Yes"),"Biennial NCA + annual internal","—")</f>
        <v/>
      </c>
      <c r="H22" s="591">
        <f>IF(AND(B9="Yes",B15="Yes"),"🔴 P1","—")</f>
        <v/>
      </c>
    </row>
    <row r="23">
      <c r="A23" s="591" t="n">
        <v>4</v>
      </c>
      <c r="B23" t="inlineStr">
        <is>
          <t>NCA-CCC-1:2020</t>
        </is>
      </c>
      <c r="C23">
        <f>IF(B13="Yes","Cloud Cybersecurity Controls","— N/A (no cloud)")</f>
        <v/>
      </c>
      <c r="D23">
        <f>IF(B13="Yes","🔴 MANDATORY","—")</f>
        <v/>
      </c>
      <c r="E23">
        <f>IF(B13="Yes","All ECC-scope entities using cloud services","Not applicable")</f>
        <v/>
      </c>
      <c r="F23">
        <f>IF(B13="Yes","67","—")</f>
        <v/>
      </c>
      <c r="G23">
        <f>IF(B13="Yes","Annual CSP + biennial external","—")</f>
        <v/>
      </c>
      <c r="H23" s="591">
        <f>IF(B13="Yes","🟠 P2","—")</f>
        <v/>
      </c>
    </row>
    <row r="24">
      <c r="A24" s="591" t="n">
        <v>5</v>
      </c>
      <c r="B24" t="inlineStr">
        <is>
          <t>NCA-DCC-1:2022</t>
        </is>
      </c>
      <c r="C24" t="inlineStr">
        <is>
          <t>Data Cybersecurity Controls</t>
        </is>
      </c>
      <c r="D24" t="inlineStr">
        <is>
          <t>🔴 MANDATORY</t>
        </is>
      </c>
      <c r="E24" t="inlineStr">
        <is>
          <t>All ECC-scope entities — data lifecycle security</t>
        </is>
      </c>
      <c r="F24" t="n">
        <v>40</v>
      </c>
      <c r="G24" t="inlineStr">
        <is>
          <t>Annual (integrated with ECC)</t>
        </is>
      </c>
      <c r="H24" s="591" t="inlineStr">
        <is>
          <t>🟠 P2</t>
        </is>
      </c>
    </row>
    <row r="25">
      <c r="A25" s="591" t="n">
        <v>6</v>
      </c>
      <c r="B25" t="inlineStr">
        <is>
          <t>NCA-CSCC-1:2019</t>
        </is>
      </c>
      <c r="C25">
        <f>IF(B9="Yes","Critical Systems Cybersecurity Controls","— N/A (not CNI)")</f>
        <v/>
      </c>
      <c r="D25">
        <f>IF(B9="Yes","🔴 MANDATORY","—")</f>
        <v/>
      </c>
      <c r="E25">
        <f>IF(B9="Yes","CNI entities with critical national systems (hospitals qualify)","Not applicable")</f>
        <v/>
      </c>
      <c r="F25">
        <f>IF(B9="Yes","35","—")</f>
        <v/>
      </c>
      <c r="G25">
        <f>IF(B9="Yes","Annual + biennial NCA","—")</f>
        <v/>
      </c>
      <c r="H25" s="591">
        <f>IF(B9="Yes","🟠 P2","—")</f>
        <v/>
      </c>
    </row>
    <row r="26">
      <c r="A26" s="591" t="n">
        <v>7</v>
      </c>
      <c r="B26" t="inlineStr">
        <is>
          <t>SFDA-MDR</t>
        </is>
      </c>
      <c r="C26">
        <f>IF(OR(B7="Hospital",B7="Medical Device Manufacturer",B15="Yes"),"Medical Device Regulations","— N/A")</f>
        <v/>
      </c>
      <c r="D26">
        <f>IF(OR(B7="Hospital",B7="Medical Device Manufacturer",B15="Yes"),"🔴 MANDATORY","—")</f>
        <v/>
      </c>
      <c r="E26">
        <f>IF(OR(B7="Hospital",B7="Medical Device Manufacturer",B15="Yes"),"All medical device manufacturers, importers, distributors, healthcare facilities","Not applicable")</f>
        <v/>
      </c>
      <c r="F26">
        <f>IF(OR(B7="Hospital",B7="Medical Device Manufacturer",B15="Yes"),"N/A","—")</f>
        <v/>
      </c>
      <c r="G26">
        <f>IF(OR(B7="Hospital",B7="Medical Device Manufacturer",B15="Yes"),"Continuous + SFDA inspection","—")</f>
        <v/>
      </c>
      <c r="H26" s="591">
        <f>IF(OR(B7="Hospital",B7="Medical Device Manufacturer",B15="Yes"),"🔴 P1","—")</f>
        <v/>
      </c>
    </row>
    <row r="27">
      <c r="A27" s="591" t="n">
        <v>8</v>
      </c>
      <c r="B27" t="inlineStr">
        <is>
          <t>MOH-HIS</t>
        </is>
      </c>
      <c r="C27">
        <f>IF(OR(B5="2. Healthcare &amp; Life Sciences",B5="17. Regional Health Clusters"),"Health Information System Standards","— N/A")</f>
        <v/>
      </c>
      <c r="D27">
        <f>IF(OR(B5="2. Healthcare &amp; Life Sciences",B5="17. Regional Health Clusters"),"🔴 MANDATORY","—")</f>
        <v/>
      </c>
      <c r="E27">
        <f>IF(OR(B5="2. Healthcare &amp; Life Sciences",B5="17. Regional Health Clusters"),"All healthcare facilities under MOH supervision","Not applicable")</f>
        <v/>
      </c>
      <c r="F27" t="inlineStr">
        <is>
          <t>N/A</t>
        </is>
      </c>
      <c r="G27">
        <f>IF(OR(B5="2. Healthcare &amp; Life Sciences",B5="17. Regional Health Clusters"),"Annual audit","—")</f>
        <v/>
      </c>
      <c r="H27" s="591">
        <f>IF(OR(B5="2. Healthcare &amp; Life Sciences",B5="17. Regional Health Clusters"),"🔴 P1","—")</f>
        <v/>
      </c>
    </row>
    <row r="28">
      <c r="A28" s="591" t="n">
        <v>9</v>
      </c>
      <c r="B28" t="inlineStr">
        <is>
          <t>CBAHI-HAS-H</t>
        </is>
      </c>
      <c r="C28">
        <f>IF(B7="Hospital","Hospital Accreditation Standards 5th Ed","— N/A")</f>
        <v/>
      </c>
      <c r="D28">
        <f>IF(B7="Hospital","🟢 VOLUNTARY (recommended)","—")</f>
        <v/>
      </c>
      <c r="E28">
        <f>IF(B7="Hospital","Hospitals seeking CBAHI accreditation (strongly recommended)","Not applicable")</f>
        <v/>
      </c>
      <c r="F28" t="inlineStr">
        <is>
          <t>N/A</t>
        </is>
      </c>
      <c r="G28">
        <f>IF(B7="Hospital","Every 3 years","—")</f>
        <v/>
      </c>
      <c r="H28" s="591">
        <f>IF(B7="Hospital","🟡 P3","—")</f>
        <v/>
      </c>
    </row>
    <row r="29">
      <c r="A29" s="591" t="n">
        <v>10</v>
      </c>
      <c r="B29" t="inlineStr">
        <is>
          <t>PDPL-IR-2023</t>
        </is>
      </c>
      <c r="C29">
        <f>IF(B11="Yes","PDPL Implementing Regulations","— N/A")</f>
        <v/>
      </c>
      <c r="D29">
        <f>IF(B11="Yes","🔴 MANDATORY","—")</f>
        <v/>
      </c>
      <c r="E29">
        <f>IF(B11="Yes","Detailed requirements for PDPL compliance","Not applicable")</f>
        <v/>
      </c>
      <c r="F29">
        <f>IF(B11="Yes","89","—")</f>
        <v/>
      </c>
      <c r="G29">
        <f>IF(B11="Yes","Continuous","—")</f>
        <v/>
      </c>
      <c r="H29" s="591">
        <f>IF(B11="Yes","🔴 P1","—")</f>
        <v/>
      </c>
    </row>
    <row r="30">
      <c r="A30" s="591" t="n">
        <v>11</v>
      </c>
      <c r="B30" t="inlineStr">
        <is>
          <t>NCA-REG-2024</t>
        </is>
      </c>
      <c r="C30" t="inlineStr">
        <is>
          <t>NCA Enforcement Regulation</t>
        </is>
      </c>
      <c r="D30" t="inlineStr">
        <is>
          <t>🔴 MANDATORY</t>
        </is>
      </c>
      <c r="E30" t="inlineStr">
        <is>
          <t>Enforcement mechanism for all NCA frameworks — SAR 25M fines</t>
        </is>
      </c>
      <c r="F30" t="inlineStr">
        <is>
          <t>N/A</t>
        </is>
      </c>
      <c r="G30" t="inlineStr">
        <is>
          <t>Continuous</t>
        </is>
      </c>
      <c r="H30" s="591" t="inlineStr">
        <is>
          <t>🔴 P1</t>
        </is>
      </c>
    </row>
    <row r="31">
      <c r="A31" s="591" t="n">
        <v>12</v>
      </c>
      <c r="B31" t="inlineStr">
        <is>
          <t>NHIC-NABIDH</t>
        </is>
      </c>
      <c r="C31">
        <f>IF(OR(B5="2. Healthcare &amp; Life Sciences",B5="17. Regional Health Clusters"),"NABIDH Health Data Exchange","— N/A")</f>
        <v/>
      </c>
      <c r="D31">
        <f>IF(OR(B5="2. Healthcare &amp; Life Sciences",B5="17. Regional Health Clusters"),"🔴 MANDATORY","—")</f>
        <v/>
      </c>
      <c r="E31">
        <f>IF(OR(B5="2. Healthcare &amp; Life Sciences",B5="17. Regional Health Clusters"),"All healthcare facilities must connect to national NABIDH platform","Not applicable")</f>
        <v/>
      </c>
      <c r="F31" t="inlineStr">
        <is>
          <t>N/A</t>
        </is>
      </c>
      <c r="G31">
        <f>IF(OR(B5="2. Healthcare &amp; Life Sciences",B5="17. Regional Health Clusters"),"Continuous","—")</f>
        <v/>
      </c>
      <c r="H31" s="591">
        <f>IF(OR(B5="2. Healthcare &amp; Life Sciences",B5="17. Regional Health Clusters"),"🟠 P2","—")</f>
        <v/>
      </c>
    </row>
    <row r="33" ht="15.75" customHeight="1">
      <c r="A33" s="633" t="inlineStr">
        <is>
          <t>━━━ COMPLIANCE SUMMARY ━━━</t>
        </is>
      </c>
    </row>
    <row r="34" ht="21" customHeight="1">
      <c r="A34" s="592" t="inlineStr">
        <is>
          <t>Total Applicable Frameworks:</t>
        </is>
      </c>
      <c r="B34" s="631">
        <f>COUNTIF(D20:D31,"*MANDATORY*")+COUNTIF(D20:D31,"*VOLUNTARY*")</f>
        <v/>
      </c>
    </row>
    <row r="35" ht="21" customHeight="1">
      <c r="A35" s="592" t="inlineStr">
        <is>
          <t>Mandatory Frameworks:</t>
        </is>
      </c>
      <c r="B35" s="631">
        <f>COUNTIF(D20:D31,"*MANDATORY*")</f>
        <v/>
      </c>
    </row>
    <row r="36" ht="21" customHeight="1">
      <c r="A36" s="592" t="inlineStr">
        <is>
          <t>Priority P1 (Critical):</t>
        </is>
      </c>
      <c r="B36" s="631">
        <f>COUNTIF(H20:H31,"*P1*")</f>
        <v/>
      </c>
    </row>
    <row r="37" ht="21" customHeight="1">
      <c r="A37" s="592" t="inlineStr">
        <is>
          <t>Est. Minimum Controls to Implement:</t>
        </is>
      </c>
      <c r="B37" s="632">
        <f t="array" ref="B37">SUMPRODUCT((ISNUMBER(VALUE(F20:F31)))*(VALUE(IF(ISNUMBER(VALUE(F20:F31)),F20:F31,"0"))))</f>
        <v/>
      </c>
    </row>
  </sheetData>
  <mergeCells count="5">
    <mergeCell ref="A18:H18"/>
    <mergeCell ref="A4:H4"/>
    <mergeCell ref="A2:H2"/>
    <mergeCell ref="A33:H33"/>
    <mergeCell ref="A1:H1"/>
  </mergeCells>
  <dataValidations count="3">
    <dataValidation sqref="B5" showDropDown="0" showInputMessage="1" showErrorMessage="1" allowBlank="1" type="list">
      <formula1>_xlfn._LONGTEXT("1. Ministries,2. Healthcare &amp; Life Sciences,3. Cybersecurity &amp; Data,4. ICT / Digital / Telecom,5. Financial Regulators,6. Tax / Customs / Trade,7. Standards &amp; Quality,8. Energy &amp; Utilities,9. Environment,10. Transport &amp; Logistics,11. Industry &amp; Trade,12. ","Education &amp; Research,13. Legal &amp; Judicial,14. Labour &amp; Occ. Health,15. Special Zones &amp; Giga,16. Councils &amp; Supreme Committees,17. Regional Health Clusters")</formula1>
    </dataValidation>
    <dataValidation sqref="B7" showDropDown="0" showInputMessage="1" showErrorMessage="1" allowBlank="1" type="list">
      <formula1>"Hospital,Clinic,Laboratory,Medical Device Manufacturer,Health IT Vendor,Health Insurer,Pharmacy,Government Health Entity,University Hospital,Private Provider,Research Institution,Telehealth Provider"</formula1>
    </dataValidation>
    <dataValidation sqref="B9 B11 B13 B15" showDropDown="0" showInputMessage="1" showErrorMessage="1" allowBlank="1" type="list">
      <formula1>"Yes,No"</formula1>
    </dataValidation>
  </dataValidations>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H46"/>
  <sheetViews>
    <sheetView workbookViewId="0">
      <pane ySplit="3" topLeftCell="A4" activePane="bottomLeft" state="frozen"/>
      <selection pane="bottomLeft" activeCell="A1" sqref="A1:H1"/>
    </sheetView>
  </sheetViews>
  <sheetFormatPr baseColWidth="8" defaultRowHeight="14.25"/>
  <cols>
    <col width="44.46484375" customWidth="1" min="1" max="1"/>
    <col width="32" customWidth="1" min="2" max="2"/>
    <col width="44.46484375" customWidth="1" min="3" max="3"/>
    <col width="53.33203125" customWidth="1" min="4" max="5"/>
    <col width="14.19921875" customWidth="1" min="6" max="6"/>
    <col width="26.6640625" customWidth="1" min="7" max="8"/>
  </cols>
  <sheetData>
    <row r="1" ht="23.25" customHeight="1">
      <c r="A1" s="645" t="inlineStr">
        <is>
          <t>🌍 GLOBAL GRC BENCHMARK — KSA vs WORLD LEADERS</t>
        </is>
      </c>
    </row>
    <row r="2">
      <c r="A2" s="624" t="inlineStr">
        <is>
          <t>Positioning KSA's regulatory framework against international GRC leaders • EU • US • UK • UAE • Singapore • Australia</t>
        </is>
      </c>
    </row>
    <row r="4" ht="15.75" customHeight="1">
      <c r="A4" s="614" t="inlineStr">
        <is>
          <t>━━━ SECTION 1: REGULATORY FRAMEWORK COMPARISON ━━━</t>
        </is>
      </c>
    </row>
    <row r="5">
      <c r="A5" s="574" t="inlineStr">
        <is>
          <t>Dimension</t>
        </is>
      </c>
      <c r="B5" s="575" t="inlineStr">
        <is>
          <t>🇸🇦 KSA</t>
        </is>
      </c>
      <c r="C5" s="575" t="inlineStr">
        <is>
          <t>🇪🇺 EU</t>
        </is>
      </c>
      <c r="D5" s="575" t="inlineStr">
        <is>
          <t>🇺🇸 US</t>
        </is>
      </c>
      <c r="E5" s="575" t="inlineStr">
        <is>
          <t>🇬🇧 UK</t>
        </is>
      </c>
      <c r="F5" s="575" t="inlineStr">
        <is>
          <t>🇦🇪 UAE</t>
        </is>
      </c>
      <c r="G5" s="575" t="inlineStr">
        <is>
          <t>🇸🇬 Singapore</t>
        </is>
      </c>
      <c r="H5" s="575" t="inlineStr">
        <is>
          <t>🇦🇺 Australia</t>
        </is>
      </c>
    </row>
    <row r="6">
      <c r="A6" t="inlineStr">
        <is>
          <t>Primary Cybersecurity Framework</t>
        </is>
      </c>
      <c r="B6" t="inlineStr">
        <is>
          <t>NCA ECC-2 (108 controls)</t>
        </is>
      </c>
      <c r="C6" t="inlineStr">
        <is>
          <t>NIS2 Directive</t>
        </is>
      </c>
      <c r="D6" t="inlineStr">
        <is>
          <t>NIST CSF 2.0</t>
        </is>
      </c>
      <c r="E6" t="inlineStr">
        <is>
          <t>NCSC Cyber Essentials</t>
        </is>
      </c>
      <c r="F6" t="inlineStr">
        <is>
          <t>ISR (NESA/TDRA)</t>
        </is>
      </c>
      <c r="G6" t="inlineStr">
        <is>
          <t>MAS TRM + CSA</t>
        </is>
      </c>
      <c r="H6" t="inlineStr">
        <is>
          <t>Essential Eight (ASD)</t>
        </is>
      </c>
    </row>
    <row r="7">
      <c r="A7" t="inlineStr">
        <is>
          <t>Data Privacy Law</t>
        </is>
      </c>
      <c r="B7" t="inlineStr">
        <is>
          <t>PDPL 2021 + DTR 2024</t>
        </is>
      </c>
      <c r="C7" t="inlineStr">
        <is>
          <t>GDPR (2018)</t>
        </is>
      </c>
      <c r="D7" t="inlineStr">
        <is>
          <t>Sectoral (HIPAA, CCPA)</t>
        </is>
      </c>
      <c r="E7" t="inlineStr">
        <is>
          <t>UK GDPR + DPA 2018</t>
        </is>
      </c>
      <c r="F7" t="inlineStr">
        <is>
          <t>PDPL (2021)</t>
        </is>
      </c>
      <c r="G7" t="inlineStr">
        <is>
          <t>PDPA (2012)</t>
        </is>
      </c>
      <c r="H7" t="inlineStr">
        <is>
          <t>Privacy Act 1988 + APP</t>
        </is>
      </c>
    </row>
    <row r="8">
      <c r="A8" t="inlineStr">
        <is>
          <t>Cloud Security Framework</t>
        </is>
      </c>
      <c r="B8" t="inlineStr">
        <is>
          <t>NCA CCC-1:2020</t>
        </is>
      </c>
      <c r="C8" t="inlineStr">
        <is>
          <t>EUCS (draft)</t>
        </is>
      </c>
      <c r="D8" t="inlineStr">
        <is>
          <t>FedRAMP</t>
        </is>
      </c>
      <c r="E8" t="inlineStr">
        <is>
          <t>NCSC Cloud Principles</t>
        </is>
      </c>
      <c r="F8" t="inlineStr">
        <is>
          <t>C5 adopted / NESA</t>
        </is>
      </c>
      <c r="G8" t="inlineStr">
        <is>
          <t>MTCS SS584</t>
        </is>
      </c>
      <c r="H8" t="inlineStr">
        <is>
          <t>ISM Cloud Controls</t>
        </is>
      </c>
    </row>
    <row r="9">
      <c r="A9" t="inlineStr">
        <is>
          <t>OT/ICS Security</t>
        </is>
      </c>
      <c r="B9" t="inlineStr">
        <is>
          <t>NCA OTCC-1:2022</t>
        </is>
      </c>
      <c r="C9" t="inlineStr">
        <is>
          <t>NIS2 (OES scope)</t>
        </is>
      </c>
      <c r="D9" t="inlineStr">
        <is>
          <t>NIST SP 800-82</t>
        </is>
      </c>
      <c r="E9" t="inlineStr">
        <is>
          <t>CAF (NIS Regs)</t>
        </is>
      </c>
      <c r="F9" t="inlineStr">
        <is>
          <t>NESA OT guidelines</t>
        </is>
      </c>
      <c r="G9" t="inlineStr">
        <is>
          <t>CCoP 2.0</t>
        </is>
      </c>
      <c r="H9" t="inlineStr">
        <is>
          <t>AESCSF</t>
        </is>
      </c>
    </row>
    <row r="10">
      <c r="A10" t="inlineStr">
        <is>
          <t>AI Regulation</t>
        </is>
      </c>
      <c r="B10" t="inlineStr">
        <is>
          <t>SDAIA AI Ethics + SFDA AI MDS</t>
        </is>
      </c>
      <c r="C10" t="inlineStr">
        <is>
          <t>EU AI Act (2024)</t>
        </is>
      </c>
      <c r="D10" t="inlineStr">
        <is>
          <t>NIST AI RMF</t>
        </is>
      </c>
      <c r="E10" t="inlineStr">
        <is>
          <t>AI White Paper / Pro-innovation</t>
        </is>
      </c>
      <c r="F10" t="inlineStr">
        <is>
          <t>AI Strategy / ADGM framework</t>
        </is>
      </c>
      <c r="G10" t="inlineStr">
        <is>
          <t>AI Governance Framework</t>
        </is>
      </c>
      <c r="H10" t="inlineStr">
        <is>
          <t>AI Ethics Framework</t>
        </is>
      </c>
    </row>
    <row r="11">
      <c r="A11" t="inlineStr">
        <is>
          <t>Medical Device Regulation</t>
        </is>
      </c>
      <c r="B11" t="inlineStr">
        <is>
          <t>SFDA MDR + AI-MDS</t>
        </is>
      </c>
      <c r="C11" t="inlineStr">
        <is>
          <t>EU MDR 2017/745</t>
        </is>
      </c>
      <c r="D11" t="inlineStr">
        <is>
          <t>FDA 21 CFR + De Novo</t>
        </is>
      </c>
      <c r="E11" t="inlineStr">
        <is>
          <t>MHRA / UKCA</t>
        </is>
      </c>
      <c r="F11" t="inlineStr">
        <is>
          <t>MOH DHA / HAAD</t>
        </is>
      </c>
      <c r="G11" t="inlineStr">
        <is>
          <t>HSA MDD</t>
        </is>
      </c>
      <c r="H11" t="inlineStr">
        <is>
          <t>TGA Essential Principles</t>
        </is>
      </c>
    </row>
    <row r="12">
      <c r="A12" t="inlineStr">
        <is>
          <t>Health IT Interoperability</t>
        </is>
      </c>
      <c r="B12" t="inlineStr">
        <is>
          <t>NHIC NABIDH / MOH HIS</t>
        </is>
      </c>
      <c r="C12" t="inlineStr">
        <is>
          <t>EHDS (proposed)</t>
        </is>
      </c>
      <c r="D12" t="inlineStr">
        <is>
          <t>ONC 21st Century Cures</t>
        </is>
      </c>
      <c r="E12" t="inlineStr">
        <is>
          <t>NHS FHIR / GPIT</t>
        </is>
      </c>
      <c r="F12" t="inlineStr">
        <is>
          <t>Nabidh (UAE) / Malaffi</t>
        </is>
      </c>
      <c r="G12" t="inlineStr">
        <is>
          <t>NEHR</t>
        </is>
      </c>
      <c r="H12" t="inlineStr">
        <is>
          <t>My Health Record</t>
        </is>
      </c>
    </row>
    <row r="13">
      <c r="A13" t="inlineStr">
        <is>
          <t>Enforcement Mechanism</t>
        </is>
      </c>
      <c r="B13" t="inlineStr">
        <is>
          <t>NCA-REG-2024 (SAR 25M)</t>
        </is>
      </c>
      <c r="C13" t="inlineStr">
        <is>
          <t>NIS2 (€10M / 2% rev)</t>
        </is>
      </c>
      <c r="D13" t="inlineStr">
        <is>
          <t>Varies by agency</t>
        </is>
      </c>
      <c r="E13" t="inlineStr">
        <is>
          <t>ICO fines / NIS penalties</t>
        </is>
      </c>
      <c r="F13" t="inlineStr">
        <is>
          <t>TDRA penalties</t>
        </is>
      </c>
      <c r="G13" t="inlineStr">
        <is>
          <t>MAS fines + licence revocation</t>
        </is>
      </c>
      <c r="H13" t="inlineStr">
        <is>
          <t>Civil penalties (APP)</t>
        </is>
      </c>
    </row>
    <row r="14" ht="18" customHeight="1">
      <c r="A14" t="inlineStr">
        <is>
          <t>Regulators Mapped in KB</t>
        </is>
      </c>
      <c r="B14" s="582">
        <f>'GRC Intelligence Engine'!B7</f>
        <v/>
      </c>
      <c r="C14" s="591" t="inlineStr">
        <is>
          <t>~15-20 key bodies</t>
        </is>
      </c>
      <c r="D14" s="591" t="inlineStr">
        <is>
          <t>~12-15 key agencies</t>
        </is>
      </c>
      <c r="E14" s="591" t="inlineStr">
        <is>
          <t>~10-12 key bodies</t>
        </is>
      </c>
      <c r="F14" s="591" t="inlineStr">
        <is>
          <t>~20-25 (federal + emirate)</t>
        </is>
      </c>
      <c r="G14" s="591" t="inlineStr">
        <is>
          <t>~8-10 key bodies</t>
        </is>
      </c>
      <c r="H14" s="591" t="inlineStr">
        <is>
          <t>~10-12 key bodies</t>
        </is>
      </c>
    </row>
    <row r="16" ht="15.75" customHeight="1">
      <c r="A16" s="614" t="inlineStr">
        <is>
          <t>━━━ SECTION 2: KSA GRC MATURITY vs GLOBAL LEADERS ━━━</t>
        </is>
      </c>
    </row>
    <row r="17">
      <c r="A17" s="595" t="inlineStr">
        <is>
          <t>GRC Domain</t>
        </is>
      </c>
      <c r="B17" s="600" t="inlineStr">
        <is>
          <t>🇸🇦 KSA Score</t>
        </is>
      </c>
      <c r="C17" s="600" t="inlineStr">
        <is>
          <t>Global Avg</t>
        </is>
      </c>
      <c r="D17" s="600" t="inlineStr">
        <is>
          <t>Global Best</t>
        </is>
      </c>
      <c r="E17" s="600" t="inlineStr">
        <is>
          <t>KSA Gap to Best</t>
        </is>
      </c>
      <c r="F17" s="600" t="inlineStr">
        <is>
          <t>KSA Advantage / Gap</t>
        </is>
      </c>
    </row>
    <row r="18">
      <c r="A18" t="inlineStr">
        <is>
          <t>Cybersecurity Regulation Depth</t>
        </is>
      </c>
      <c r="B18" s="637" t="n">
        <v>4.5</v>
      </c>
      <c r="C18" s="608" t="n">
        <v>3.5</v>
      </c>
      <c r="D18" s="608" t="n">
        <v>4.5</v>
      </c>
      <c r="E18" s="608">
        <f>D18-B18</f>
        <v/>
      </c>
      <c r="F18" t="inlineStr">
        <is>
          <t>🏆 GLOBAL LEADER — NCA ecosystem (ECC-2+CCC+DCC+OTCC+CSCC) is most comprehensive globally</t>
        </is>
      </c>
    </row>
    <row r="19">
      <c r="A19" t="inlineStr">
        <is>
          <t>Data Privacy Maturity</t>
        </is>
      </c>
      <c r="B19" s="608" t="n">
        <v>2.5</v>
      </c>
      <c r="C19" s="608" t="n">
        <v>3.5</v>
      </c>
      <c r="D19" s="608" t="n">
        <v>5</v>
      </c>
      <c r="E19" s="608">
        <f>D19-B19</f>
        <v/>
      </c>
      <c r="F19" t="inlineStr">
        <is>
          <t>⚠️ GAP — PDPL newer than GDPR, implementing regs still emerging; enforcement experience limited</t>
        </is>
      </c>
    </row>
    <row r="20">
      <c r="A20" t="inlineStr">
        <is>
          <t>OT/CNI Cyber Controls</t>
        </is>
      </c>
      <c r="B20" s="637" t="n">
        <v>4</v>
      </c>
      <c r="C20" s="608" t="n">
        <v>3</v>
      </c>
      <c r="D20" s="608" t="n">
        <v>4.5</v>
      </c>
      <c r="E20" s="608">
        <f>D20-B20</f>
        <v/>
      </c>
      <c r="F20" t="inlineStr">
        <is>
          <t>🏆 NEAR-LEADER — OTCC dedicated OT framework, ahead of EU NIS2 OES and UK CAF scope</t>
        </is>
      </c>
    </row>
    <row r="21">
      <c r="A21" t="inlineStr">
        <is>
          <t>Cloud Security Governance</t>
        </is>
      </c>
      <c r="B21" s="608" t="n">
        <v>3.5</v>
      </c>
      <c r="C21" s="608" t="n">
        <v>3.5</v>
      </c>
      <c r="D21" s="608" t="n">
        <v>4.5</v>
      </c>
      <c r="E21" s="608">
        <f>D21-B21</f>
        <v/>
      </c>
      <c r="F21" t="inlineStr">
        <is>
          <t>➖ AT PACE — CCC comparable to FedRAMP scope; CCC-2 expected to close gap to leader</t>
        </is>
      </c>
    </row>
    <row r="22">
      <c r="A22" t="inlineStr">
        <is>
          <t>AI Governance</t>
        </is>
      </c>
      <c r="B22" s="608" t="n">
        <v>2</v>
      </c>
      <c r="C22" s="608" t="n">
        <v>2.5</v>
      </c>
      <c r="D22" s="608" t="n">
        <v>4</v>
      </c>
      <c r="E22" s="608">
        <f>D22-B22</f>
        <v/>
      </c>
      <c r="F22" t="inlineStr">
        <is>
          <t>⚠️ GAP — SDAIA AI Ethics non-binding; no AI Act equivalent; SFDA AI-MDS is healthcare-only</t>
        </is>
      </c>
    </row>
    <row r="23">
      <c r="A23" t="inlineStr">
        <is>
          <t>Medical Device Regulation</t>
        </is>
      </c>
      <c r="B23" s="608" t="n">
        <v>3.5</v>
      </c>
      <c r="C23" s="608" t="n">
        <v>3.5</v>
      </c>
      <c r="D23" s="608" t="n">
        <v>5</v>
      </c>
      <c r="E23" s="608">
        <f>D23-B23</f>
        <v/>
      </c>
      <c r="F23" t="inlineStr">
        <is>
          <t>➖ AT PACE — SFDA MDR aligned with IMDRF; lagging EU MDR post-market surveillance requirements</t>
        </is>
      </c>
    </row>
    <row r="24" ht="18" customHeight="1">
      <c r="A24" t="inlineStr">
        <is>
          <t>Regulatory Coverage Breadth</t>
        </is>
      </c>
      <c r="B24" s="638" t="n">
        <v>5</v>
      </c>
      <c r="C24" s="608" t="n">
        <v>3</v>
      </c>
      <c r="D24" s="608" t="n">
        <v>4</v>
      </c>
      <c r="E24" s="608">
        <f>D24-B24</f>
        <v/>
      </c>
      <c r="F24" t="inlineStr">
        <is>
          <t>🏆 GLOBAL LEADER — 107 regulators mapped, 452 frameworks — no country has this depth of GRC mapping</t>
        </is>
      </c>
    </row>
    <row r="25">
      <c r="A25" t="inlineStr">
        <is>
          <t>Cross-Sector Integration</t>
        </is>
      </c>
      <c r="B25" s="608" t="n">
        <v>3</v>
      </c>
      <c r="C25" s="608" t="n">
        <v>3</v>
      </c>
      <c r="D25" s="608" t="n">
        <v>4</v>
      </c>
      <c r="E25" s="608">
        <f>D25-B25</f>
        <v/>
      </c>
      <c r="F25" t="inlineStr">
        <is>
          <t>⚠️ GAP — Multiple overlaps (NCA/SFDA, NCA/SAMA, MOH/NHIC) need formal harmonisation mechanism</t>
        </is>
      </c>
    </row>
    <row r="26">
      <c r="A26" t="inlineStr">
        <is>
          <t>Enforcement Maturity</t>
        </is>
      </c>
      <c r="B26" s="608" t="n">
        <v>2</v>
      </c>
      <c r="C26" s="608" t="n">
        <v>3.5</v>
      </c>
      <c r="D26" s="608" t="n">
        <v>5</v>
      </c>
      <c r="E26" s="608">
        <f>D26-B26</f>
        <v/>
      </c>
      <c r="F26" t="inlineStr">
        <is>
          <t>⚠️ GAP — NCA-REG-2024 is first enforcement; PDPL enforcement untested; limited case law</t>
        </is>
      </c>
    </row>
    <row r="27" ht="18" customHeight="1">
      <c r="A27" s="601" t="inlineStr">
        <is>
          <t>OVERALL AVERAGE</t>
        </is>
      </c>
      <c r="B27" s="641">
        <f>AVERAGE(B18:B26)</f>
        <v/>
      </c>
      <c r="C27" s="610">
        <f>AVERAGE(C18:C26)</f>
        <v/>
      </c>
      <c r="D27" s="610">
        <f>AVERAGE(D18:D26)</f>
        <v/>
      </c>
      <c r="E27" s="611">
        <f>D27-B27</f>
        <v/>
      </c>
      <c r="F27" s="601" t="inlineStr">
        <is>
          <t>KSA is a cybersecurity LEADER but has gaps in privacy enforcement, AI governance, and harmonisation</t>
        </is>
      </c>
    </row>
    <row r="30" ht="15.75" customHeight="1">
      <c r="A30" s="614" t="inlineStr">
        <is>
          <t>━━━ SECTION 3: 10-YEAR KSA GRC ROADMAP (2025–2035) ━━━</t>
        </is>
      </c>
    </row>
    <row r="31">
      <c r="A31" s="595" t="inlineStr">
        <is>
          <t>Phase</t>
        </is>
      </c>
      <c r="B31" s="600" t="inlineStr">
        <is>
          <t>Timeline</t>
        </is>
      </c>
      <c r="C31" s="595" t="inlineStr">
        <is>
          <t>Key Regulatory Events</t>
        </is>
      </c>
      <c r="D31" s="595" t="inlineStr">
        <is>
          <t>Expected Impact</t>
        </is>
      </c>
      <c r="E31" s="595" t="inlineStr">
        <is>
          <t>GRC Knowledge Base Action</t>
        </is>
      </c>
      <c r="F31" s="600" t="inlineStr">
        <is>
          <t>Score Target</t>
        </is>
      </c>
    </row>
    <row r="32">
      <c r="A32" s="604" t="inlineStr">
        <is>
          <t>🔴 Phase 1: Enforcement Activation</t>
        </is>
      </c>
      <c r="B32" s="591" t="inlineStr">
        <is>
          <t>2025-2026</t>
        </is>
      </c>
      <c r="C32" t="inlineStr">
        <is>
          <t>ECC-2 full enforcement • PDPL penalties activated • NCA-REG-2024 first fines • CCC-2 consultation</t>
        </is>
      </c>
      <c r="D32" t="inlineStr">
        <is>
          <t>Compliance urgency spikes; boards demand GRC visibility; audit industry expands</t>
        </is>
      </c>
      <c r="E32" t="inlineStr">
        <is>
          <t>Add enforcement tracker; map penalty exposure per entity; build audit evidence library</t>
        </is>
      </c>
      <c r="F32" s="608" t="n">
        <v>3.5</v>
      </c>
    </row>
    <row r="33">
      <c r="A33" s="642" t="inlineStr">
        <is>
          <t>🟠 Phase 2: Harmonisation Era</t>
        </is>
      </c>
      <c r="B33" s="591" t="inlineStr">
        <is>
          <t>2027-2028</t>
        </is>
      </c>
      <c r="C33" t="inlineStr">
        <is>
          <t>NCA/SDAIA overlap resolution • Unified CNI framework • SFDA AI-MDS v2 • Cross-border data adequacy</t>
        </is>
      </c>
      <c r="D33" t="inlineStr">
        <is>
          <t>Regulatory overlap reduced; clearer compliance pathways; international data flows enabled</t>
        </is>
      </c>
      <c r="E33" t="inlineStr">
        <is>
          <t>Update dependency graph; map harmonised controls; build unified compliance mapping tool</t>
        </is>
      </c>
      <c r="F33" s="608" t="n">
        <v>3.8</v>
      </c>
    </row>
    <row r="34">
      <c r="A34" s="643" t="inlineStr">
        <is>
          <t>🟡 Phase 3: AI &amp; Autonomy Governance</t>
        </is>
      </c>
      <c r="B34" s="591" t="inlineStr">
        <is>
          <t>2028-2030</t>
        </is>
      </c>
      <c r="C34" t="inlineStr">
        <is>
          <t>KSA AI Act (expected) • Autonomous vehicle regulation • Digital twin governance • NEOM regulatory sandbox</t>
        </is>
      </c>
      <c r="D34" t="inlineStr">
        <is>
          <t>New GRC domains: AI ethics, algorithmic accountability, autonomous systems safety</t>
        </is>
      </c>
      <c r="E34" t="inlineStr">
        <is>
          <t>Add AI governance domain; map IoMT AI controls; build autonomous systems risk taxonomy</t>
        </is>
      </c>
      <c r="F34" s="608" t="n">
        <v>4.2</v>
      </c>
    </row>
    <row r="35">
      <c r="A35" s="635" t="inlineStr">
        <is>
          <t>🟢 Phase 4: Global Convergence</t>
        </is>
      </c>
      <c r="B35" s="591" t="inlineStr">
        <is>
          <t>2030-2032</t>
        </is>
      </c>
      <c r="C35" t="inlineStr">
        <is>
          <t>Vision 2030 completion • KSA GDPR adequacy bid • ISO 42001 AI management adoption • Smart city full-scale</t>
        </is>
      </c>
      <c r="D35" t="inlineStr">
        <is>
          <t>KSA achieves international equivalence; mutual recognition agreements; global GRC export</t>
        </is>
      </c>
      <c r="E35" t="inlineStr">
        <is>
          <t>Map international equivalences; build mutual recognition database; position as GRC consultancy export</t>
        </is>
      </c>
      <c r="F35" s="608" t="n">
        <v>4.5</v>
      </c>
    </row>
    <row r="36">
      <c r="A36" s="644" t="inlineStr">
        <is>
          <t>🔵 Phase 5: GRC 3.0 — Continuous Compliance</t>
        </is>
      </c>
      <c r="B36" s="591" t="inlineStr">
        <is>
          <t>2032-2035</t>
        </is>
      </c>
      <c r="C36" t="inlineStr">
        <is>
          <t>Real-time compliance monitoring • RegTech AI integration • Automated audit • Blockchain evidence</t>
        </is>
      </c>
      <c r="D36" t="inlineStr">
        <is>
          <t>GRC becomes embedded, automated, continuous — not periodic/manual</t>
        </is>
      </c>
      <c r="E36" t="inlineStr">
        <is>
          <t>Integrate with RegTech APIs; build automated gap detection; continuous assurance dashboard</t>
        </is>
      </c>
      <c r="F36" s="637" t="n">
        <v>5</v>
      </c>
    </row>
    <row r="39" ht="15.75" customHeight="1">
      <c r="A39" s="614" t="inlineStr">
        <is>
          <t>━━━ SECTION 4: KSA GRC LEADERSHIP POSITIONING — COMPETITIVE ADVANTAGES ━━━</t>
        </is>
      </c>
    </row>
    <row r="40">
      <c r="A40" s="595" t="inlineStr">
        <is>
          <t>Competitive Advantage</t>
        </is>
      </c>
      <c r="B40" s="595" t="inlineStr">
        <is>
          <t>Evidence</t>
        </is>
      </c>
      <c r="C40" s="595" t="inlineStr">
        <is>
          <t>Global Comparison</t>
        </is>
      </c>
      <c r="D40" s="595" t="inlineStr">
        <is>
          <t>10-Year Moat</t>
        </is>
      </c>
    </row>
    <row r="41">
      <c r="A41" t="inlineStr">
        <is>
          <t>🏆 1. Deepest Cybersecurity Framework Stack</t>
        </is>
      </c>
      <c r="B41" t="inlineStr">
        <is>
          <t>5 NCA frameworks (ECC-2+CCC+DCC+OTCC+CSCC) covering IT/OT/Cloud/Data/CNI in unified ecosystem</t>
        </is>
      </c>
      <c r="C41" t="inlineStr">
        <is>
          <t>EU has NIS2 + sectoral only; US has NIST voluntary; no country has unified 5-layer mandatory stack</t>
        </is>
      </c>
      <c r="D41" t="inlineStr">
        <is>
          <t>First-mover advantage in mandatory cybersecurity; becomes reference architecture for GCC + MENA</t>
        </is>
      </c>
    </row>
    <row r="42">
      <c r="A42" t="inlineStr">
        <is>
          <t>🏆 2. HC IoT / IoMT GRC Coverage</t>
        </is>
      </c>
      <c r="B42" t="inlineStr">
        <is>
          <t>139 HIGHEST-relevance frameworks; SFDA MDR + AI-MDS; NCA OTCC for medical OT</t>
        </is>
      </c>
      <c r="C42" t="inlineStr">
        <is>
          <t>No country maps HC IoT regulatory coverage to this depth; EU MDR doesn't link to cyber controls</t>
        </is>
      </c>
      <c r="D42" t="inlineStr">
        <is>
          <t>GH-ICGA framework fills global gap between device regulation and cyber governance</t>
        </is>
      </c>
    </row>
    <row r="43">
      <c r="A43" t="inlineStr">
        <is>
          <t>🏆 3. Scale of Regulatory Mapping</t>
        </is>
      </c>
      <c r="B43" s="592" t="inlineStr">
        <is>
          <t>107 regulators, 452 frameworks, 28,239 controls mapped across 17 sector groups</t>
        </is>
      </c>
      <c r="C43" t="inlineStr">
        <is>
          <t>No known public or commercial GRC database maps this many regulators in a single country</t>
        </is>
      </c>
      <c r="D43" t="inlineStr">
        <is>
          <t>Knowledge base becomes the authoritative reference; competitors would need 2-3 years to replicate</t>
        </is>
      </c>
    </row>
    <row r="44">
      <c r="A44" t="inlineStr">
        <is>
          <t>🏆 4. Vision 2030 Alignment</t>
        </is>
      </c>
      <c r="B44" t="inlineStr">
        <is>
          <t>Every framework mapped to Vision 2030 strategic objectives; GRC architecture mirrors national strategy</t>
        </is>
      </c>
      <c r="C44" t="inlineStr">
        <is>
          <t>Most countries lack strategic alignment between GRC and national development agenda</t>
        </is>
      </c>
      <c r="D44" t="inlineStr">
        <is>
          <t>GRC evolution locked to national strategy ensures continued investment and political support</t>
        </is>
      </c>
    </row>
    <row r="45">
      <c r="A45" t="inlineStr">
        <is>
          <t>🏆 5. Saudisation as GRC Innovation</t>
        </is>
      </c>
      <c r="B45" t="inlineStr">
        <is>
          <t>ECC-2 mandates 100% Saudi cyber workforce; first country to embed workforce policy IN cyber framework</t>
        </is>
      </c>
      <c r="C45" t="inlineStr">
        <is>
          <t>No equivalent globally — EU/US have no workforce mandates inside cybersecurity frameworks</t>
        </is>
      </c>
      <c r="D45" t="inlineStr">
        <is>
          <t>Creates unique competency: Saudi GRC professionals with deep local regulatory expertise</t>
        </is>
      </c>
    </row>
    <row r="46">
      <c r="A46" t="inlineStr">
        <is>
          <t>🏆 6. Enforcement Speed</t>
        </is>
      </c>
      <c r="B46" t="inlineStr">
        <is>
          <t>NCA-REG-2024 gives SAR 25M fines + criminal referral within 6 years of NCA creation (2017→2024)</t>
        </is>
      </c>
      <c r="C46" t="inlineStr">
        <is>
          <t>EU took 6 years from GDPR to first major enforcement; UK ICO took 3 years for first NIS penalty</t>
        </is>
      </c>
      <c r="D46" t="inlineStr">
        <is>
          <t>Fast enforcement cycle builds compliance culture faster; positions KSA as serious regulator early</t>
        </is>
      </c>
    </row>
  </sheetData>
  <mergeCells count="6">
    <mergeCell ref="A4:H4"/>
    <mergeCell ref="A16:F16"/>
    <mergeCell ref="A2:H2"/>
    <mergeCell ref="A39:D39"/>
    <mergeCell ref="A1:H1"/>
    <mergeCell ref="A30:F30"/>
  </mergeCells>
  <pageMargins left="0.7" right="0.7" top="0.75" bottom="0.75" header="0.3" footer="0.3"/>
  <drawing xmlns:r="http://schemas.openxmlformats.org/officeDocument/2006/relationships" r:id="rId1"/>
</worksheet>
</file>

<file path=xl/worksheets/sheet27.xml><?xml version="1.0" encoding="utf-8"?>
<worksheet xmlns="http://schemas.openxmlformats.org/spreadsheetml/2006/main">
  <sheetPr>
    <outlinePr summaryBelow="1" summaryRight="1"/>
    <pageSetUpPr/>
  </sheetPr>
  <dimension ref="A1:J93"/>
  <sheetViews>
    <sheetView showGridLines="0" workbookViewId="0">
      <pane ySplit="2" topLeftCell="A3" activePane="bottomLeft" state="frozen"/>
      <selection pane="bottomLeft" activeCell="A1" sqref="A1"/>
    </sheetView>
  </sheetViews>
  <sheetFormatPr baseColWidth="8" defaultRowHeight="15"/>
  <cols>
    <col width="18" customWidth="1" min="1" max="1"/>
    <col width="38" customWidth="1" min="2" max="2"/>
    <col width="28" customWidth="1" min="3" max="3"/>
    <col width="24" customWidth="1" min="4" max="4"/>
    <col width="12" customWidth="1" min="5" max="5"/>
    <col width="12" customWidth="1" min="6" max="6"/>
    <col width="22" customWidth="1" min="7" max="7"/>
    <col width="18" customWidth="1" min="8" max="8"/>
    <col width="20" customWidth="1" min="9" max="9"/>
    <col width="28" customWidth="1" min="10" max="10"/>
  </cols>
  <sheetData>
    <row r="1" ht="30" customHeight="1">
      <c r="A1" s="705" t="inlineStr">
        <is>
          <t>🇦🇪  United Arab Emirates (AE)  ·  GRC Regulatory Intelligence</t>
        </is>
      </c>
    </row>
    <row r="2">
      <c r="A2" s="706" t="inlineStr">
        <is>
          <t xml:space="preserve">  A │ REGULATORS</t>
        </is>
      </c>
      <c r="B2" s="766" t="n"/>
      <c r="C2" s="766" t="n"/>
      <c r="D2" s="766" t="n"/>
      <c r="E2" s="766" t="n"/>
      <c r="F2" s="766" t="n"/>
      <c r="G2" s="766" t="n"/>
      <c r="H2" s="766" t="n"/>
      <c r="I2" s="766" t="n"/>
      <c r="J2" s="767" t="n"/>
    </row>
    <row r="3">
      <c r="A3" s="707" t="inlineStr">
        <is>
          <t>Code</t>
        </is>
      </c>
      <c r="B3" s="707" t="inlineStr">
        <is>
          <t>Name (EN)</t>
        </is>
      </c>
      <c r="C3" s="707" t="inlineStr">
        <is>
          <t>Name (AR)</t>
        </is>
      </c>
      <c r="D3" s="707" t="inlineStr">
        <is>
          <t>Sector Group</t>
        </is>
      </c>
      <c r="E3" s="707" t="inlineStr">
        <is>
          <t>Tier</t>
        </is>
      </c>
      <c r="F3" s="707" t="inlineStr">
        <is>
          <t>Own FW Count</t>
        </is>
      </c>
      <c r="G3" s="707" t="inlineStr">
        <is>
          <t>Power Index</t>
        </is>
      </c>
      <c r="H3" s="707" t="inlineStr">
        <is>
          <t>Enforcement</t>
        </is>
      </c>
      <c r="I3" s="707" t="inlineStr">
        <is>
          <t>Website</t>
        </is>
      </c>
      <c r="J3" s="707" t="inlineStr">
        <is>
          <t>Notes</t>
        </is>
      </c>
    </row>
    <row r="4">
      <c r="A4" s="708" t="inlineStr">
        <is>
          <t>CSC-UAE</t>
        </is>
      </c>
      <c r="B4" s="708" t="inlineStr">
        <is>
          <t>UAE Cybersecurity Council</t>
        </is>
      </c>
      <c r="C4" s="708" t="inlineStr">
        <is>
          <t>مجلس الأمن السيبراني</t>
        </is>
      </c>
      <c r="D4" s="708" t="inlineStr">
        <is>
          <t>Cybersecurity</t>
        </is>
      </c>
      <c r="E4" s="708" t="inlineStr">
        <is>
          <t>🔴 T1</t>
        </is>
      </c>
      <c r="F4" s="708" t="n">
        <v>3</v>
      </c>
      <c r="G4" s="708" t="n">
        <v>95</v>
      </c>
      <c r="H4" s="708" t="inlineStr">
        <is>
          <t>MANDATORY</t>
        </is>
      </c>
      <c r="I4" s="708" t="inlineStr">
        <is>
          <t>https://csc.gov.ae</t>
        </is>
      </c>
      <c r="J4" s="708" t="inlineStr"/>
    </row>
    <row r="5">
      <c r="A5" s="708" t="inlineStr">
        <is>
          <t>TDRA</t>
        </is>
      </c>
      <c r="B5" s="708" t="inlineStr">
        <is>
          <t>Telecom &amp; Digital Gov. Regulatory Authority</t>
        </is>
      </c>
      <c r="C5" s="708" t="inlineStr">
        <is>
          <t>هيئة تنظيم الاتصالات والحكومة الرقمية</t>
        </is>
      </c>
      <c r="D5" s="708" t="inlineStr">
        <is>
          <t>ICT/Digital</t>
        </is>
      </c>
      <c r="E5" s="708" t="inlineStr">
        <is>
          <t>🔴 T1</t>
        </is>
      </c>
      <c r="F5" s="708" t="n">
        <v>5</v>
      </c>
      <c r="G5" s="708" t="n">
        <v>90</v>
      </c>
      <c r="H5" s="708" t="inlineStr">
        <is>
          <t>MANDATORY</t>
        </is>
      </c>
      <c r="I5" s="708" t="inlineStr">
        <is>
          <t>https://tdra.gov.ae</t>
        </is>
      </c>
      <c r="J5" s="708" t="inlineStr"/>
    </row>
    <row r="6">
      <c r="A6" s="708" t="inlineStr">
        <is>
          <t>CBUAE</t>
        </is>
      </c>
      <c r="B6" s="708" t="inlineStr">
        <is>
          <t>Central Bank of UAE</t>
        </is>
      </c>
      <c r="C6" s="708" t="inlineStr">
        <is>
          <t>البنك المركزي لدولة الإمارات</t>
        </is>
      </c>
      <c r="D6" s="708" t="inlineStr">
        <is>
          <t>Financial</t>
        </is>
      </c>
      <c r="E6" s="708" t="inlineStr">
        <is>
          <t>🔴 T1</t>
        </is>
      </c>
      <c r="F6" s="708" t="n">
        <v>8</v>
      </c>
      <c r="G6" s="708" t="n">
        <v>98</v>
      </c>
      <c r="H6" s="708" t="inlineStr">
        <is>
          <t>MANDATORY</t>
        </is>
      </c>
      <c r="I6" s="708" t="inlineStr">
        <is>
          <t>https://centralbank.ae</t>
        </is>
      </c>
      <c r="J6" s="708" t="inlineStr"/>
    </row>
    <row r="7">
      <c r="A7" s="708" t="inlineStr">
        <is>
          <t>SCA-UAE</t>
        </is>
      </c>
      <c r="B7" s="708" t="inlineStr">
        <is>
          <t>Securities &amp; Commodities Authority</t>
        </is>
      </c>
      <c r="C7" s="708" t="inlineStr">
        <is>
          <t>هيئة الأوراق المالية والسلع</t>
        </is>
      </c>
      <c r="D7" s="708" t="inlineStr">
        <is>
          <t>Capital Markets</t>
        </is>
      </c>
      <c r="E7" s="708" t="inlineStr">
        <is>
          <t>🔴 T1</t>
        </is>
      </c>
      <c r="F7" s="708" t="n">
        <v>5</v>
      </c>
      <c r="G7" s="708" t="n">
        <v>85</v>
      </c>
      <c r="H7" s="708" t="inlineStr">
        <is>
          <t>MANDATORY</t>
        </is>
      </c>
      <c r="I7" s="708" t="inlineStr">
        <is>
          <t>https://sca.gov.ae</t>
        </is>
      </c>
      <c r="J7" s="708" t="inlineStr"/>
    </row>
    <row r="8">
      <c r="A8" s="709" t="inlineStr">
        <is>
          <t>DFSA</t>
        </is>
      </c>
      <c r="B8" s="709" t="inlineStr">
        <is>
          <t>Dubai Financial Services Authority</t>
        </is>
      </c>
      <c r="C8" s="709" t="inlineStr">
        <is>
          <t>هيئة دبي للخدمات المالية</t>
        </is>
      </c>
      <c r="D8" s="709" t="inlineStr">
        <is>
          <t>Financial/DIFC</t>
        </is>
      </c>
      <c r="E8" s="709" t="inlineStr">
        <is>
          <t>🟠 T2</t>
        </is>
      </c>
      <c r="F8" s="709" t="n">
        <v>6</v>
      </c>
      <c r="G8" s="709" t="n">
        <v>80</v>
      </c>
      <c r="H8" s="709" t="inlineStr">
        <is>
          <t>MANDATORY</t>
        </is>
      </c>
      <c r="I8" s="709" t="inlineStr">
        <is>
          <t>https://dfsa.ae</t>
        </is>
      </c>
      <c r="J8" s="709" t="inlineStr"/>
    </row>
    <row r="9">
      <c r="A9" s="709" t="inlineStr">
        <is>
          <t>DIFC-DP</t>
        </is>
      </c>
      <c r="B9" s="709" t="inlineStr">
        <is>
          <t>DIFC Authority – Data Protection</t>
        </is>
      </c>
      <c r="C9" s="709" t="inlineStr">
        <is>
          <t>سلطة مركز دبي المالي العالمي – حماية البيانات</t>
        </is>
      </c>
      <c r="D9" s="709" t="inlineStr">
        <is>
          <t>Data/Privacy</t>
        </is>
      </c>
      <c r="E9" s="709" t="inlineStr">
        <is>
          <t>🟠 T2</t>
        </is>
      </c>
      <c r="F9" s="709" t="n">
        <v>2</v>
      </c>
      <c r="G9" s="709" t="n">
        <v>75</v>
      </c>
      <c r="H9" s="709" t="inlineStr">
        <is>
          <t>MANDATORY</t>
        </is>
      </c>
      <c r="I9" s="709" t="inlineStr">
        <is>
          <t>https://difc.ae</t>
        </is>
      </c>
      <c r="J9" s="709" t="inlineStr"/>
    </row>
    <row r="10">
      <c r="A10" s="709" t="inlineStr">
        <is>
          <t>ADGM-FSRA</t>
        </is>
      </c>
      <c r="B10" s="709" t="inlineStr">
        <is>
          <t>ADGM Financial Services Regulatory Authority</t>
        </is>
      </c>
      <c r="C10" s="709" t="inlineStr">
        <is>
          <t>هيئة أبوظبي العالمية للأسواق – تنظيم الخدمات المالية</t>
        </is>
      </c>
      <c r="D10" s="709" t="inlineStr">
        <is>
          <t>Financial/ADGM</t>
        </is>
      </c>
      <c r="E10" s="709" t="inlineStr">
        <is>
          <t>🟠 T2</t>
        </is>
      </c>
      <c r="F10" s="709" t="n">
        <v>4</v>
      </c>
      <c r="G10" s="709" t="n">
        <v>78</v>
      </c>
      <c r="H10" s="709" t="inlineStr">
        <is>
          <t>MANDATORY</t>
        </is>
      </c>
      <c r="I10" s="709" t="inlineStr">
        <is>
          <t>https://adgm.com</t>
        </is>
      </c>
      <c r="J10" s="709" t="inlineStr"/>
    </row>
    <row r="11">
      <c r="A11" s="709" t="inlineStr">
        <is>
          <t>SIA-UAE</t>
        </is>
      </c>
      <c r="B11" s="709" t="inlineStr">
        <is>
          <t>Signals Intelligence Agency</t>
        </is>
      </c>
      <c r="C11" s="709" t="inlineStr">
        <is>
          <t>جهاز أمن الدولة</t>
        </is>
      </c>
      <c r="D11" s="709" t="inlineStr">
        <is>
          <t>Defence/Cyber</t>
        </is>
      </c>
      <c r="E11" s="709" t="inlineStr">
        <is>
          <t>🟠 T2</t>
        </is>
      </c>
      <c r="F11" s="709" t="n">
        <v>1</v>
      </c>
      <c r="G11" s="709" t="n">
        <v>70</v>
      </c>
      <c r="H11" s="709" t="inlineStr">
        <is>
          <t>MANDATORY</t>
        </is>
      </c>
      <c r="I11" s="709" t="inlineStr"/>
      <c r="J11" s="709" t="inlineStr"/>
    </row>
    <row r="12">
      <c r="A12" s="709" t="inlineStr">
        <is>
          <t>MOHAP-UAE</t>
        </is>
      </c>
      <c r="B12" s="709" t="inlineStr">
        <is>
          <t>Ministry of Health &amp; Prevention</t>
        </is>
      </c>
      <c r="C12" s="709" t="inlineStr">
        <is>
          <t>وزارة الصحة ووقاية المجتمع</t>
        </is>
      </c>
      <c r="D12" s="709" t="inlineStr">
        <is>
          <t>Healthcare</t>
        </is>
      </c>
      <c r="E12" s="709" t="inlineStr">
        <is>
          <t>🟠 T2</t>
        </is>
      </c>
      <c r="F12" s="709" t="n">
        <v>3</v>
      </c>
      <c r="G12" s="709" t="n">
        <v>65</v>
      </c>
      <c r="H12" s="709" t="inlineStr">
        <is>
          <t>MANDATORY</t>
        </is>
      </c>
      <c r="I12" s="709" t="inlineStr">
        <is>
          <t>https://mohap.gov.ae</t>
        </is>
      </c>
      <c r="J12" s="709" t="inlineStr"/>
    </row>
    <row r="13">
      <c r="A13" s="709" t="inlineStr">
        <is>
          <t>DHA</t>
        </is>
      </c>
      <c r="B13" s="709" t="inlineStr">
        <is>
          <t>Dubai Health Authority</t>
        </is>
      </c>
      <c r="C13" s="709" t="inlineStr">
        <is>
          <t>هيئة الصحة بدبي</t>
        </is>
      </c>
      <c r="D13" s="709" t="inlineStr">
        <is>
          <t>Healthcare/DXB</t>
        </is>
      </c>
      <c r="E13" s="709" t="inlineStr">
        <is>
          <t>🟠 T2</t>
        </is>
      </c>
      <c r="F13" s="709" t="n">
        <v>3</v>
      </c>
      <c r="G13" s="709" t="n">
        <v>62</v>
      </c>
      <c r="H13" s="709" t="inlineStr">
        <is>
          <t>MANDATORY</t>
        </is>
      </c>
      <c r="I13" s="709" t="inlineStr">
        <is>
          <t>https://dha.gov.ae</t>
        </is>
      </c>
      <c r="J13" s="709" t="inlineStr"/>
    </row>
    <row r="14">
      <c r="A14" s="709" t="inlineStr">
        <is>
          <t>DoH-AD</t>
        </is>
      </c>
      <c r="B14" s="709" t="inlineStr">
        <is>
          <t>Abu Dhabi Department of Health</t>
        </is>
      </c>
      <c r="C14" s="709" t="inlineStr">
        <is>
          <t>دائرة الصحة – أبوظبي</t>
        </is>
      </c>
      <c r="D14" s="709" t="inlineStr">
        <is>
          <t>Healthcare/AD</t>
        </is>
      </c>
      <c r="E14" s="709" t="inlineStr">
        <is>
          <t>🟠 T2</t>
        </is>
      </c>
      <c r="F14" s="709" t="n">
        <v>3</v>
      </c>
      <c r="G14" s="709" t="n">
        <v>60</v>
      </c>
      <c r="H14" s="709" t="inlineStr">
        <is>
          <t>MANDATORY</t>
        </is>
      </c>
      <c r="I14" s="709" t="inlineStr">
        <is>
          <t>https://doh.gov.ae</t>
        </is>
      </c>
      <c r="J14" s="709" t="inlineStr"/>
    </row>
    <row r="15">
      <c r="A15" s="710" t="inlineStr">
        <is>
          <t>FTA-UAE</t>
        </is>
      </c>
      <c r="B15" s="710" t="inlineStr">
        <is>
          <t>Federal Tax Authority</t>
        </is>
      </c>
      <c r="C15" s="710" t="inlineStr">
        <is>
          <t>الهيئة الاتحادية للضرائب</t>
        </is>
      </c>
      <c r="D15" s="710" t="inlineStr">
        <is>
          <t>Tax</t>
        </is>
      </c>
      <c r="E15" s="710" t="inlineStr">
        <is>
          <t>🟡 T3</t>
        </is>
      </c>
      <c r="F15" s="710" t="n">
        <v>3</v>
      </c>
      <c r="G15" s="710" t="n">
        <v>70</v>
      </c>
      <c r="H15" s="710" t="inlineStr">
        <is>
          <t>MANDATORY</t>
        </is>
      </c>
      <c r="I15" s="710" t="inlineStr">
        <is>
          <t>https://tax.gov.ae</t>
        </is>
      </c>
      <c r="J15" s="710" t="inlineStr"/>
    </row>
    <row r="16">
      <c r="A16" s="709" t="inlineStr">
        <is>
          <t>NAMLC</t>
        </is>
      </c>
      <c r="B16" s="709" t="inlineStr">
        <is>
          <t>Nat. AML/CFT Committee</t>
        </is>
      </c>
      <c r="C16" s="709" t="inlineStr">
        <is>
          <t>اللجنة الوطنية لمكافحة غسل الأموال</t>
        </is>
      </c>
      <c r="D16" s="709" t="inlineStr">
        <is>
          <t>AML/CFT</t>
        </is>
      </c>
      <c r="E16" s="709" t="inlineStr">
        <is>
          <t>🟠 T2</t>
        </is>
      </c>
      <c r="F16" s="709" t="n">
        <v>2</v>
      </c>
      <c r="G16" s="709" t="n">
        <v>80</v>
      </c>
      <c r="H16" s="709" t="inlineStr">
        <is>
          <t>MANDATORY</t>
        </is>
      </c>
      <c r="I16" s="709" t="inlineStr"/>
      <c r="J16" s="709" t="inlineStr"/>
    </row>
    <row r="17">
      <c r="A17" s="709" t="inlineStr">
        <is>
          <t>UAEFIU</t>
        </is>
      </c>
      <c r="B17" s="709" t="inlineStr">
        <is>
          <t>UAE Financial Intelligence Unit</t>
        </is>
      </c>
      <c r="C17" s="709" t="inlineStr">
        <is>
          <t>وحدة المعلومات المالية</t>
        </is>
      </c>
      <c r="D17" s="709" t="inlineStr">
        <is>
          <t>AML/CFT</t>
        </is>
      </c>
      <c r="E17" s="709" t="inlineStr">
        <is>
          <t>🟠 T2</t>
        </is>
      </c>
      <c r="F17" s="709" t="n">
        <v>1</v>
      </c>
      <c r="G17" s="709" t="n">
        <v>75</v>
      </c>
      <c r="H17" s="709" t="inlineStr">
        <is>
          <t>MANDATORY</t>
        </is>
      </c>
      <c r="I17" s="709" t="inlineStr">
        <is>
          <t>https://amlcft.gov.ae</t>
        </is>
      </c>
      <c r="J17" s="709" t="inlineStr"/>
    </row>
    <row r="18">
      <c r="A18" s="710" t="inlineStr">
        <is>
          <t>MOHRE-UAE</t>
        </is>
      </c>
      <c r="B18" s="710" t="inlineStr">
        <is>
          <t>Ministry of Human Resources &amp; Emiratisation</t>
        </is>
      </c>
      <c r="C18" s="710" t="inlineStr">
        <is>
          <t>وزارة الموارد البشرية والتوطين</t>
        </is>
      </c>
      <c r="D18" s="710" t="inlineStr">
        <is>
          <t>Labour</t>
        </is>
      </c>
      <c r="E18" s="710" t="inlineStr">
        <is>
          <t>🟡 T3</t>
        </is>
      </c>
      <c r="F18" s="710" t="n">
        <v>2</v>
      </c>
      <c r="G18" s="710" t="n">
        <v>50</v>
      </c>
      <c r="H18" s="710" t="inlineStr">
        <is>
          <t>MANDATORY</t>
        </is>
      </c>
      <c r="I18" s="710" t="inlineStr">
        <is>
          <t>https://mohre.gov.ae</t>
        </is>
      </c>
      <c r="J18" s="710" t="inlineStr"/>
    </row>
    <row r="19">
      <c r="A19" s="710" t="inlineStr">
        <is>
          <t>DEWA</t>
        </is>
      </c>
      <c r="B19" s="710" t="inlineStr">
        <is>
          <t>Dubai Electricity &amp; Water Authority</t>
        </is>
      </c>
      <c r="C19" s="710" t="inlineStr">
        <is>
          <t>هيئة كهرباء ومياه دبي</t>
        </is>
      </c>
      <c r="D19" s="710" t="inlineStr">
        <is>
          <t>Energy/CNI</t>
        </is>
      </c>
      <c r="E19" s="710" t="inlineStr">
        <is>
          <t>🟡 T3</t>
        </is>
      </c>
      <c r="F19" s="710" t="n">
        <v>2</v>
      </c>
      <c r="G19" s="710" t="n">
        <v>55</v>
      </c>
      <c r="H19" s="710" t="inlineStr">
        <is>
          <t>MANDATORY</t>
        </is>
      </c>
      <c r="I19" s="710" t="inlineStr">
        <is>
          <t>https://dewa.gov.ae</t>
        </is>
      </c>
      <c r="J19" s="710" t="inlineStr"/>
    </row>
    <row r="20">
      <c r="A20" s="711" t="inlineStr">
        <is>
          <t>MBZUAI</t>
        </is>
      </c>
      <c r="B20" s="711" t="inlineStr">
        <is>
          <t>Mohamed bin Zayed Univ. of AI</t>
        </is>
      </c>
      <c r="C20" s="711" t="inlineStr">
        <is>
          <t>جامعة محمد بن زايد للذكاء الاصطناعي</t>
        </is>
      </c>
      <c r="D20" s="711" t="inlineStr">
        <is>
          <t>AI/Research</t>
        </is>
      </c>
      <c r="E20" s="711" t="inlineStr">
        <is>
          <t>🟢 T4</t>
        </is>
      </c>
      <c r="F20" s="711" t="n">
        <v>1</v>
      </c>
      <c r="G20" s="711" t="n">
        <v>30</v>
      </c>
      <c r="H20" s="711" t="inlineStr">
        <is>
          <t>VOLUNTARY</t>
        </is>
      </c>
      <c r="I20" s="711" t="inlineStr">
        <is>
          <t>https://mbzuai.ac.ae</t>
        </is>
      </c>
      <c r="J20" s="711" t="inlineStr"/>
    </row>
    <row r="22">
      <c r="A22" s="712" t="inlineStr">
        <is>
          <t xml:space="preserve">  B │ FRAMEWORKS</t>
        </is>
      </c>
      <c r="B22" s="766" t="n"/>
      <c r="C22" s="766" t="n"/>
      <c r="D22" s="766" t="n"/>
      <c r="E22" s="766" t="n"/>
      <c r="F22" s="766" t="n"/>
      <c r="G22" s="766" t="n"/>
      <c r="H22" s="766" t="n"/>
      <c r="I22" s="766" t="n"/>
      <c r="J22" s="767" t="n"/>
    </row>
    <row r="23">
      <c r="A23" s="713" t="inlineStr">
        <is>
          <t>Framework Code</t>
        </is>
      </c>
      <c r="B23" s="713" t="inlineStr">
        <is>
          <t>Name (EN)</t>
        </is>
      </c>
      <c r="C23" s="713" t="inlineStr">
        <is>
          <t>Issuing Regulator</t>
        </is>
      </c>
      <c r="D23" s="713" t="inlineStr">
        <is>
          <t>Version/Year</t>
        </is>
      </c>
      <c r="E23" s="713" t="inlineStr">
        <is>
          <t>Mandatory?</t>
        </is>
      </c>
      <c r="F23" s="713" t="inlineStr">
        <is>
          <t>Control Count</t>
        </is>
      </c>
      <c r="G23" s="713" t="inlineStr">
        <is>
          <t>Sector Applicability</t>
        </is>
      </c>
      <c r="H23" s="713" t="inlineStr">
        <is>
          <t>Audit Frequency</t>
        </is>
      </c>
      <c r="I23" s="713" t="inlineStr">
        <is>
          <t>Effective Date</t>
        </is>
      </c>
      <c r="J23" s="713" t="inlineStr">
        <is>
          <t>Canonical DB Code</t>
        </is>
      </c>
    </row>
    <row r="24">
      <c r="A24" s="711" t="inlineStr">
        <is>
          <t>UAE-PDPL-2021</t>
        </is>
      </c>
      <c r="B24" s="711" t="inlineStr">
        <is>
          <t>UAE Federal Personal Data Protection Law (Decree 45/2021)</t>
        </is>
      </c>
      <c r="C24" s="711" t="inlineStr">
        <is>
          <t>CSC-UAE/TDRA</t>
        </is>
      </c>
      <c r="D24" s="711" t="inlineStr">
        <is>
          <t>2021</t>
        </is>
      </c>
      <c r="E24" s="711" t="inlineStr">
        <is>
          <t>Y</t>
        </is>
      </c>
      <c r="F24" s="711" t="n">
        <v>35</v>
      </c>
      <c r="G24" s="711" t="inlineStr">
        <is>
          <t>ALL</t>
        </is>
      </c>
      <c r="H24" s="711" t="inlineStr">
        <is>
          <t>ANNUAL</t>
        </is>
      </c>
      <c r="I24" s="711" t="inlineStr">
        <is>
          <t>2022-01-01</t>
        </is>
      </c>
      <c r="J24" s="711" t="inlineStr">
        <is>
          <t>UAE-PDPL-2021</t>
        </is>
      </c>
    </row>
    <row r="25">
      <c r="A25" s="711" t="inlineStr">
        <is>
          <t>UAE-PDPL-REG-2024</t>
        </is>
      </c>
      <c r="B25" s="711" t="inlineStr">
        <is>
          <t>UAE PDPL Executive Regulations 2024</t>
        </is>
      </c>
      <c r="C25" s="711" t="inlineStr">
        <is>
          <t>CSC-UAE</t>
        </is>
      </c>
      <c r="D25" s="711" t="inlineStr">
        <is>
          <t>2024</t>
        </is>
      </c>
      <c r="E25" s="711" t="inlineStr">
        <is>
          <t>Y</t>
        </is>
      </c>
      <c r="F25" s="711" t="n">
        <v>50</v>
      </c>
      <c r="G25" s="711" t="inlineStr">
        <is>
          <t>ALL</t>
        </is>
      </c>
      <c r="H25" s="711" t="inlineStr">
        <is>
          <t>ANNUAL</t>
        </is>
      </c>
      <c r="I25" s="711" t="inlineStr">
        <is>
          <t>2024-01-01</t>
        </is>
      </c>
      <c r="J25" s="711" t="inlineStr">
        <is>
          <t>UAE-PDPL-REG-2024</t>
        </is>
      </c>
    </row>
    <row r="26">
      <c r="A26" s="711" t="inlineStr">
        <is>
          <t>UAE-CBUAE-CSF-2023</t>
        </is>
      </c>
      <c r="B26" s="711" t="inlineStr">
        <is>
          <t>CBUAE Cybersecurity Framework 2023</t>
        </is>
      </c>
      <c r="C26" s="711" t="inlineStr">
        <is>
          <t>CBUAE</t>
        </is>
      </c>
      <c r="D26" s="711" t="inlineStr">
        <is>
          <t>2023</t>
        </is>
      </c>
      <c r="E26" s="711" t="inlineStr">
        <is>
          <t>Y</t>
        </is>
      </c>
      <c r="F26" s="711" t="n">
        <v>94</v>
      </c>
      <c r="G26" s="711" t="inlineStr">
        <is>
          <t>FIN</t>
        </is>
      </c>
      <c r="H26" s="711" t="inlineStr">
        <is>
          <t>ANNUAL</t>
        </is>
      </c>
      <c r="I26" s="711" t="inlineStr">
        <is>
          <t>2023-01-01</t>
        </is>
      </c>
      <c r="J26" s="711" t="inlineStr">
        <is>
          <t>UAE-CBUAE-CSF-2023</t>
        </is>
      </c>
    </row>
    <row r="27">
      <c r="A27" s="711" t="inlineStr">
        <is>
          <t>UAE-CBUAE-OPR</t>
        </is>
      </c>
      <c r="B27" s="711" t="inlineStr">
        <is>
          <t>CBUAE Operational Resilience Framework</t>
        </is>
      </c>
      <c r="C27" s="711" t="inlineStr">
        <is>
          <t>CBUAE</t>
        </is>
      </c>
      <c r="D27" s="711" t="inlineStr">
        <is>
          <t>2023</t>
        </is>
      </c>
      <c r="E27" s="711" t="inlineStr">
        <is>
          <t>Y</t>
        </is>
      </c>
      <c r="F27" s="711" t="n">
        <v>45</v>
      </c>
      <c r="G27" s="711" t="inlineStr">
        <is>
          <t>FIN</t>
        </is>
      </c>
      <c r="H27" s="711" t="inlineStr">
        <is>
          <t>ANNUAL</t>
        </is>
      </c>
      <c r="I27" s="711" t="inlineStr">
        <is>
          <t>2023-06-01</t>
        </is>
      </c>
      <c r="J27" s="711" t="inlineStr">
        <is>
          <t>UAE-CBUAE-OPR</t>
        </is>
      </c>
    </row>
    <row r="28">
      <c r="A28" s="711" t="inlineStr">
        <is>
          <t>UAE-CBUAE-AML</t>
        </is>
      </c>
      <c r="B28" s="711" t="inlineStr">
        <is>
          <t>CBUAE AML/CFT Standards</t>
        </is>
      </c>
      <c r="C28" s="711" t="inlineStr">
        <is>
          <t>CBUAE/NAMLC</t>
        </is>
      </c>
      <c r="D28" s="711" t="inlineStr">
        <is>
          <t>2022</t>
        </is>
      </c>
      <c r="E28" s="711" t="inlineStr">
        <is>
          <t>Y</t>
        </is>
      </c>
      <c r="F28" s="711" t="n">
        <v>40</v>
      </c>
      <c r="G28" s="711" t="inlineStr">
        <is>
          <t>FIN</t>
        </is>
      </c>
      <c r="H28" s="711" t="inlineStr">
        <is>
          <t>ANNUAL</t>
        </is>
      </c>
      <c r="I28" s="711" t="inlineStr">
        <is>
          <t>2022-01-01</t>
        </is>
      </c>
      <c r="J28" s="711" t="inlineStr">
        <is>
          <t>UAE-CBUAE-AML</t>
        </is>
      </c>
    </row>
    <row r="29">
      <c r="A29" s="711" t="inlineStr">
        <is>
          <t>UAE-TDRA-NIAS</t>
        </is>
      </c>
      <c r="B29" s="711" t="inlineStr">
        <is>
          <t>TDRA National Information Assurance Standards</t>
        </is>
      </c>
      <c r="C29" s="711" t="inlineStr">
        <is>
          <t>TDRA</t>
        </is>
      </c>
      <c r="D29" s="711" t="inlineStr">
        <is>
          <t>2022</t>
        </is>
      </c>
      <c r="E29" s="711" t="inlineStr">
        <is>
          <t>Y</t>
        </is>
      </c>
      <c r="F29" s="711" t="n">
        <v>120</v>
      </c>
      <c r="G29" s="711" t="inlineStr">
        <is>
          <t>ICT,GOV</t>
        </is>
      </c>
      <c r="H29" s="711" t="inlineStr">
        <is>
          <t>BIENNIAL</t>
        </is>
      </c>
      <c r="I29" s="711" t="inlineStr">
        <is>
          <t>2022-01-01</t>
        </is>
      </c>
      <c r="J29" s="711" t="inlineStr">
        <is>
          <t>UAE-TDRA-NIAS</t>
        </is>
      </c>
    </row>
    <row r="30">
      <c r="A30" s="711" t="inlineStr">
        <is>
          <t>UAE-ISR</t>
        </is>
      </c>
      <c r="B30" s="711" t="inlineStr">
        <is>
          <t>UAE Information Security Regulation (TDRA)</t>
        </is>
      </c>
      <c r="C30" s="711" t="inlineStr">
        <is>
          <t>TDRA</t>
        </is>
      </c>
      <c r="D30" s="711" t="inlineStr">
        <is>
          <t>2021</t>
        </is>
      </c>
      <c r="E30" s="711" t="inlineStr">
        <is>
          <t>Y</t>
        </is>
      </c>
      <c r="F30" s="711" t="n">
        <v>90</v>
      </c>
      <c r="G30" s="711" t="inlineStr">
        <is>
          <t>ICT</t>
        </is>
      </c>
      <c r="H30" s="711" t="inlineStr">
        <is>
          <t>ANNUAL</t>
        </is>
      </c>
      <c r="I30" s="711" t="inlineStr">
        <is>
          <t>2021-01-01</t>
        </is>
      </c>
      <c r="J30" s="711" t="inlineStr">
        <is>
          <t>UAE-ISR</t>
        </is>
      </c>
    </row>
    <row r="31">
      <c r="A31" s="711" t="inlineStr">
        <is>
          <t>UAE-AML-2018</t>
        </is>
      </c>
      <c r="B31" s="711" t="inlineStr">
        <is>
          <t>UAE AML Law (Federal Decree 20/2018)</t>
        </is>
      </c>
      <c r="C31" s="711" t="inlineStr">
        <is>
          <t>NAMLC</t>
        </is>
      </c>
      <c r="D31" s="711" t="inlineStr">
        <is>
          <t>2018 +AMD</t>
        </is>
      </c>
      <c r="E31" s="711" t="inlineStr">
        <is>
          <t>Y</t>
        </is>
      </c>
      <c r="F31" s="711" t="n">
        <v>25</v>
      </c>
      <c r="G31" s="711" t="inlineStr">
        <is>
          <t>ALL</t>
        </is>
      </c>
      <c r="H31" s="711" t="inlineStr">
        <is>
          <t>CONTINUOUS</t>
        </is>
      </c>
      <c r="I31" s="711" t="inlineStr">
        <is>
          <t>2018-01-01</t>
        </is>
      </c>
      <c r="J31" s="711" t="inlineStr">
        <is>
          <t>UAE-AML-2018</t>
        </is>
      </c>
    </row>
    <row r="32">
      <c r="A32" s="711" t="inlineStr">
        <is>
          <t>UAE-ESG-2023</t>
        </is>
      </c>
      <c r="B32" s="711" t="inlineStr">
        <is>
          <t>UAE ESG Disclosure Regulations (SCA)</t>
        </is>
      </c>
      <c r="C32" s="711" t="inlineStr">
        <is>
          <t>SCA-UAE</t>
        </is>
      </c>
      <c r="D32" s="711" t="inlineStr">
        <is>
          <t>2023</t>
        </is>
      </c>
      <c r="E32" s="711" t="inlineStr">
        <is>
          <t>Y</t>
        </is>
      </c>
      <c r="F32" s="711" t="n">
        <v>20</v>
      </c>
      <c r="G32" s="711" t="inlineStr">
        <is>
          <t>CAP_MKT</t>
        </is>
      </c>
      <c r="H32" s="711" t="inlineStr">
        <is>
          <t>ANNUAL</t>
        </is>
      </c>
      <c r="I32" s="711" t="inlineStr">
        <is>
          <t>2023-01-01</t>
        </is>
      </c>
      <c r="J32" s="711" t="inlineStr">
        <is>
          <t>UAE-ESG-2023</t>
        </is>
      </c>
    </row>
    <row r="33">
      <c r="A33" s="711" t="inlineStr">
        <is>
          <t>UAE-CLOUD-GOV</t>
        </is>
      </c>
      <c r="B33" s="711" t="inlineStr">
        <is>
          <t>UAE Cloud First Policy</t>
        </is>
      </c>
      <c r="C33" s="711" t="inlineStr">
        <is>
          <t>TDRA</t>
        </is>
      </c>
      <c r="D33" s="711" t="inlineStr">
        <is>
          <t>2020</t>
        </is>
      </c>
      <c r="E33" s="711" t="inlineStr">
        <is>
          <t>Y</t>
        </is>
      </c>
      <c r="F33" s="711" t="n">
        <v>20</v>
      </c>
      <c r="G33" s="711" t="inlineStr">
        <is>
          <t>GOV</t>
        </is>
      </c>
      <c r="H33" s="711" t="inlineStr">
        <is>
          <t>BIENNIAL</t>
        </is>
      </c>
      <c r="I33" s="711" t="inlineStr">
        <is>
          <t>2020-01-01</t>
        </is>
      </c>
      <c r="J33" s="711" t="inlineStr">
        <is>
          <t>UAE-CLOUD-GOV</t>
        </is>
      </c>
    </row>
    <row r="34">
      <c r="A34" s="714" t="inlineStr">
        <is>
          <t>UAE-AI-STRATEGY-2031</t>
        </is>
      </c>
      <c r="B34" s="714" t="inlineStr">
        <is>
          <t>UAE AI Strategy 2031</t>
        </is>
      </c>
      <c r="C34" s="714" t="inlineStr">
        <is>
          <t>MBZUAI</t>
        </is>
      </c>
      <c r="D34" s="714" t="inlineStr">
        <is>
          <t>2017 rev.2031</t>
        </is>
      </c>
      <c r="E34" s="714" t="inlineStr">
        <is>
          <t>P</t>
        </is>
      </c>
      <c r="F34" s="714" t="n">
        <v>0</v>
      </c>
      <c r="G34" s="714" t="inlineStr">
        <is>
          <t>ALL</t>
        </is>
      </c>
      <c r="H34" s="714" t="inlineStr">
        <is>
          <t>N/A</t>
        </is>
      </c>
      <c r="I34" s="714" t="inlineStr">
        <is>
          <t>2017-10-19</t>
        </is>
      </c>
      <c r="J34" s="714" t="inlineStr">
        <is>
          <t>UAE-AI-STRATEGY-2031</t>
        </is>
      </c>
    </row>
    <row r="35">
      <c r="A35" s="711" t="inlineStr">
        <is>
          <t>UAE-OPEN-FINANCE-2023</t>
        </is>
      </c>
      <c r="B35" s="711" t="inlineStr">
        <is>
          <t>CBUAE Open Finance Framework 2023</t>
        </is>
      </c>
      <c r="C35" s="711" t="inlineStr">
        <is>
          <t>CBUAE</t>
        </is>
      </c>
      <c r="D35" s="711" t="inlineStr">
        <is>
          <t>2023</t>
        </is>
      </c>
      <c r="E35" s="711" t="inlineStr">
        <is>
          <t>Y</t>
        </is>
      </c>
      <c r="F35" s="711" t="n">
        <v>35</v>
      </c>
      <c r="G35" s="711" t="inlineStr">
        <is>
          <t>FIN</t>
        </is>
      </c>
      <c r="H35" s="711" t="inlineStr">
        <is>
          <t>ANNUAL</t>
        </is>
      </c>
      <c r="I35" s="711" t="inlineStr">
        <is>
          <t>2023-01-01</t>
        </is>
      </c>
      <c r="J35" s="711" t="inlineStr">
        <is>
          <t>UAE-OPEN-FINANCE-2023</t>
        </is>
      </c>
    </row>
    <row r="36">
      <c r="A36" s="711" t="inlineStr">
        <is>
          <t>DIFC-DPL-2020</t>
        </is>
      </c>
      <c r="B36" s="711" t="inlineStr">
        <is>
          <t>DIFC Data Protection Law (Law 5/2020)</t>
        </is>
      </c>
      <c r="C36" s="711" t="inlineStr">
        <is>
          <t>DIFC-DP</t>
        </is>
      </c>
      <c r="D36" s="711" t="inlineStr">
        <is>
          <t>2020</t>
        </is>
      </c>
      <c r="E36" s="711" t="inlineStr">
        <is>
          <t>Y</t>
        </is>
      </c>
      <c r="F36" s="711" t="n">
        <v>55</v>
      </c>
      <c r="G36" s="711" t="inlineStr">
        <is>
          <t>DIFC</t>
        </is>
      </c>
      <c r="H36" s="711" t="inlineStr">
        <is>
          <t>ANNUAL</t>
        </is>
      </c>
      <c r="I36" s="711" t="inlineStr">
        <is>
          <t>2020-07-01</t>
        </is>
      </c>
      <c r="J36" s="711" t="inlineStr">
        <is>
          <t>DIFC-DPL-2020</t>
        </is>
      </c>
    </row>
    <row r="37">
      <c r="A37" s="711" t="inlineStr">
        <is>
          <t>DIFC-DPL-AMD-2025</t>
        </is>
      </c>
      <c r="B37" s="711" t="inlineStr">
        <is>
          <t>DIFC DP Amendment Law 2025</t>
        </is>
      </c>
      <c r="C37" s="711" t="inlineStr">
        <is>
          <t>DIFC-DP</t>
        </is>
      </c>
      <c r="D37" s="711" t="inlineStr">
        <is>
          <t>2025</t>
        </is>
      </c>
      <c r="E37" s="711" t="inlineStr">
        <is>
          <t>Y</t>
        </is>
      </c>
      <c r="F37" s="711" t="n">
        <v>15</v>
      </c>
      <c r="G37" s="711" t="inlineStr">
        <is>
          <t>DIFC</t>
        </is>
      </c>
      <c r="H37" s="711" t="inlineStr">
        <is>
          <t>ANNUAL</t>
        </is>
      </c>
      <c r="I37" s="711" t="inlineStr">
        <is>
          <t>2025-01-01</t>
        </is>
      </c>
      <c r="J37" s="711" t="inlineStr">
        <is>
          <t>DIFC-DPL-AMD-2025</t>
        </is>
      </c>
    </row>
    <row r="38">
      <c r="A38" s="711" t="inlineStr">
        <is>
          <t>ADGM-DPR</t>
        </is>
      </c>
      <c r="B38" s="711" t="inlineStr">
        <is>
          <t>ADGM Data Protection Regulations</t>
        </is>
      </c>
      <c r="C38" s="711" t="inlineStr">
        <is>
          <t>ADGM-FSRA</t>
        </is>
      </c>
      <c r="D38" s="711" t="inlineStr">
        <is>
          <t>2021</t>
        </is>
      </c>
      <c r="E38" s="711" t="inlineStr">
        <is>
          <t>Y</t>
        </is>
      </c>
      <c r="F38" s="711" t="n">
        <v>50</v>
      </c>
      <c r="G38" s="711" t="inlineStr">
        <is>
          <t>ADGM</t>
        </is>
      </c>
      <c r="H38" s="711" t="inlineStr">
        <is>
          <t>ANNUAL</t>
        </is>
      </c>
      <c r="I38" s="711" t="inlineStr">
        <is>
          <t>2021-02-01</t>
        </is>
      </c>
      <c r="J38" s="711" t="inlineStr">
        <is>
          <t>ADGM-DPR</t>
        </is>
      </c>
    </row>
    <row r="39">
      <c r="A39" s="711" t="inlineStr">
        <is>
          <t>MOHAP-UAE-PRIV</t>
        </is>
      </c>
      <c r="B39" s="711" t="inlineStr">
        <is>
          <t>MOHAP Patient Data Privacy Guidelines</t>
        </is>
      </c>
      <c r="C39" s="711" t="inlineStr">
        <is>
          <t>MOHAP-UAE</t>
        </is>
      </c>
      <c r="D39" s="711" t="inlineStr">
        <is>
          <t>2022</t>
        </is>
      </c>
      <c r="E39" s="711" t="inlineStr">
        <is>
          <t>Y</t>
        </is>
      </c>
      <c r="F39" s="711" t="n">
        <v>30</v>
      </c>
      <c r="G39" s="711" t="inlineStr">
        <is>
          <t>HC</t>
        </is>
      </c>
      <c r="H39" s="711" t="inlineStr">
        <is>
          <t>ANNUAL</t>
        </is>
      </c>
      <c r="I39" s="711" t="inlineStr">
        <is>
          <t>2022-01-01</t>
        </is>
      </c>
      <c r="J39" s="711" t="inlineStr">
        <is>
          <t>MOHAP-UAE-PRIV</t>
        </is>
      </c>
    </row>
    <row r="40">
      <c r="A40" s="711" t="inlineStr">
        <is>
          <t>DHA-HIS</t>
        </is>
      </c>
      <c r="B40" s="711" t="inlineStr">
        <is>
          <t>Dubai Health Authority HIS Standards</t>
        </is>
      </c>
      <c r="C40" s="711" t="inlineStr">
        <is>
          <t>DHA</t>
        </is>
      </c>
      <c r="D40" s="711" t="inlineStr">
        <is>
          <t>2021</t>
        </is>
      </c>
      <c r="E40" s="711" t="inlineStr">
        <is>
          <t>Y</t>
        </is>
      </c>
      <c r="F40" s="711" t="n">
        <v>25</v>
      </c>
      <c r="G40" s="711" t="inlineStr">
        <is>
          <t>HC-DXB</t>
        </is>
      </c>
      <c r="H40" s="711" t="inlineStr">
        <is>
          <t>ANNUAL</t>
        </is>
      </c>
      <c r="I40" s="711" t="inlineStr">
        <is>
          <t>2021-01-01</t>
        </is>
      </c>
      <c r="J40" s="711" t="inlineStr">
        <is>
          <t>DHA-HIS</t>
        </is>
      </c>
    </row>
    <row r="41">
      <c r="A41" s="711" t="inlineStr">
        <is>
          <t>DoH-AD-PRIV</t>
        </is>
      </c>
      <c r="B41" s="711" t="inlineStr">
        <is>
          <t>Abu Dhabi DoH Privacy Regulations</t>
        </is>
      </c>
      <c r="C41" s="711" t="inlineStr">
        <is>
          <t>DoH-AD</t>
        </is>
      </c>
      <c r="D41" s="711" t="inlineStr">
        <is>
          <t>2022</t>
        </is>
      </c>
      <c r="E41" s="711" t="inlineStr">
        <is>
          <t>Y</t>
        </is>
      </c>
      <c r="F41" s="711" t="n">
        <v>25</v>
      </c>
      <c r="G41" s="711" t="inlineStr">
        <is>
          <t>HC-AD</t>
        </is>
      </c>
      <c r="H41" s="711" t="inlineStr">
        <is>
          <t>ANNUAL</t>
        </is>
      </c>
      <c r="I41" s="711" t="inlineStr">
        <is>
          <t>2022-01-01</t>
        </is>
      </c>
      <c r="J41" s="711" t="inlineStr">
        <is>
          <t>DOH-AD-PRIV</t>
        </is>
      </c>
    </row>
    <row r="42">
      <c r="A42" s="711" t="inlineStr">
        <is>
          <t>UAE-FINTECH-REG</t>
        </is>
      </c>
      <c r="B42" s="711" t="inlineStr">
        <is>
          <t>CBUAE FinTech Regulatory Framework</t>
        </is>
      </c>
      <c r="C42" s="711" t="inlineStr">
        <is>
          <t>CBUAE</t>
        </is>
      </c>
      <c r="D42" s="711" t="inlineStr">
        <is>
          <t>2023</t>
        </is>
      </c>
      <c r="E42" s="711" t="inlineStr">
        <is>
          <t>Y</t>
        </is>
      </c>
      <c r="F42" s="711" t="n">
        <v>30</v>
      </c>
      <c r="G42" s="711" t="inlineStr">
        <is>
          <t>FIN</t>
        </is>
      </c>
      <c r="H42" s="711" t="inlineStr">
        <is>
          <t>ANNUAL</t>
        </is>
      </c>
      <c r="I42" s="711" t="inlineStr">
        <is>
          <t>2023-01-01</t>
        </is>
      </c>
      <c r="J42" s="711" t="inlineStr">
        <is>
          <t>UAE-FINTECH-REG</t>
        </is>
      </c>
    </row>
    <row r="44">
      <c r="A44" s="715" t="inlineStr">
        <is>
          <t xml:space="preserve">  C │ CONTROL DOMAINS</t>
        </is>
      </c>
      <c r="B44" s="766" t="n"/>
      <c r="C44" s="766" t="n"/>
      <c r="D44" s="766" t="n"/>
      <c r="E44" s="766" t="n"/>
      <c r="F44" s="766" t="n"/>
      <c r="G44" s="766" t="n"/>
      <c r="H44" s="766" t="n"/>
      <c r="I44" s="766" t="n"/>
      <c r="J44" s="767" t="n"/>
    </row>
    <row r="45">
      <c r="A45" s="716" t="inlineStr">
        <is>
          <t>Domain Code</t>
        </is>
      </c>
      <c r="B45" s="716" t="inlineStr">
        <is>
          <t>Domain Name</t>
        </is>
      </c>
      <c r="C45" s="716" t="inlineStr">
        <is>
          <t>Primary Framework</t>
        </is>
      </c>
      <c r="D45" s="716" t="inlineStr">
        <is>
          <t>Control Count</t>
        </is>
      </c>
      <c r="E45" s="716" t="inlineStr">
        <is>
          <t>Risk Level</t>
        </is>
      </c>
      <c r="F45" s="716" t="inlineStr">
        <is>
          <t>IoT Relevance</t>
        </is>
      </c>
      <c r="G45" s="716" t="inlineStr">
        <is>
          <t>Automation Possible?</t>
        </is>
      </c>
      <c r="H45" s="716" t="inlineStr">
        <is>
          <t>Audit Method</t>
        </is>
      </c>
      <c r="I45" s="716" t="inlineStr">
        <is>
          <t>Shahin AI Score</t>
        </is>
      </c>
      <c r="J45" s="716" t="inlineStr">
        <is>
          <t>Notes</t>
        </is>
      </c>
    </row>
    <row r="46">
      <c r="A46" s="717" t="inlineStr">
        <is>
          <t>UAE-CD-01</t>
        </is>
      </c>
      <c r="B46" s="717" t="inlineStr">
        <is>
          <t>Cybersecurity Governance</t>
        </is>
      </c>
      <c r="C46" s="717" t="inlineStr">
        <is>
          <t>UAE-CBUAE-CSF-2023</t>
        </is>
      </c>
      <c r="D46" s="717" t="n">
        <v>20</v>
      </c>
      <c r="E46" s="717" t="inlineStr">
        <is>
          <t>HIGHEST</t>
        </is>
      </c>
      <c r="F46" s="717" t="inlineStr">
        <is>
          <t>HIGH</t>
        </is>
      </c>
      <c r="G46" s="717" t="inlineStr">
        <is>
          <t>Y</t>
        </is>
      </c>
      <c r="H46" s="717" t="inlineStr">
        <is>
          <t>EXTERNAL_AUDIT</t>
        </is>
      </c>
      <c r="I46" s="717" t="n">
        <v>88</v>
      </c>
      <c r="J46" s="717" t="inlineStr"/>
    </row>
    <row r="47">
      <c r="A47" s="718" t="inlineStr">
        <is>
          <t>UAE-CD-02</t>
        </is>
      </c>
      <c r="B47" s="718" t="inlineStr">
        <is>
          <t>Data Privacy &amp; Protection</t>
        </is>
      </c>
      <c r="C47" s="718" t="inlineStr">
        <is>
          <t>UAE-PDPL-2021</t>
        </is>
      </c>
      <c r="D47" s="718" t="n">
        <v>35</v>
      </c>
      <c r="E47" s="718" t="inlineStr">
        <is>
          <t>HIGH</t>
        </is>
      </c>
      <c r="F47" s="718" t="inlineStr">
        <is>
          <t>MODERATE</t>
        </is>
      </c>
      <c r="G47" s="718" t="inlineStr">
        <is>
          <t>Y</t>
        </is>
      </c>
      <c r="H47" s="718" t="inlineStr">
        <is>
          <t>SELF_ASSESSMENT</t>
        </is>
      </c>
      <c r="I47" s="718" t="n">
        <v>85</v>
      </c>
      <c r="J47" s="718" t="inlineStr"/>
    </row>
    <row r="48">
      <c r="A48" s="717" t="inlineStr">
        <is>
          <t>UAE-CD-03</t>
        </is>
      </c>
      <c r="B48" s="717" t="inlineStr">
        <is>
          <t>Financial Crime &amp; AML</t>
        </is>
      </c>
      <c r="C48" s="717" t="inlineStr">
        <is>
          <t>UAE-AML-2018</t>
        </is>
      </c>
      <c r="D48" s="717" t="n">
        <v>40</v>
      </c>
      <c r="E48" s="717" t="inlineStr">
        <is>
          <t>HIGHEST</t>
        </is>
      </c>
      <c r="F48" s="717" t="inlineStr">
        <is>
          <t>LOW</t>
        </is>
      </c>
      <c r="G48" s="717" t="inlineStr">
        <is>
          <t>PARTIAL</t>
        </is>
      </c>
      <c r="H48" s="717" t="inlineStr">
        <is>
          <t>REGULATOR_INSPECTION</t>
        </is>
      </c>
      <c r="I48" s="717" t="n">
        <v>80</v>
      </c>
      <c r="J48" s="717" t="inlineStr"/>
    </row>
    <row r="49">
      <c r="A49" s="718" t="inlineStr">
        <is>
          <t>UAE-CD-04</t>
        </is>
      </c>
      <c r="B49" s="718" t="inlineStr">
        <is>
          <t>Operational Resilience</t>
        </is>
      </c>
      <c r="C49" s="718" t="inlineStr">
        <is>
          <t>UAE-CBUAE-OPR</t>
        </is>
      </c>
      <c r="D49" s="718" t="n">
        <v>45</v>
      </c>
      <c r="E49" s="718" t="inlineStr">
        <is>
          <t>HIGH</t>
        </is>
      </c>
      <c r="F49" s="718" t="inlineStr">
        <is>
          <t>MODERATE</t>
        </is>
      </c>
      <c r="G49" s="718" t="inlineStr">
        <is>
          <t>Y</t>
        </is>
      </c>
      <c r="H49" s="718" t="inlineStr">
        <is>
          <t>EXTERNAL_AUDIT</t>
        </is>
      </c>
      <c r="I49" s="718" t="n">
        <v>82</v>
      </c>
      <c r="J49" s="718" t="inlineStr"/>
    </row>
    <row r="50">
      <c r="A50" s="717" t="inlineStr">
        <is>
          <t>UAE-CD-05</t>
        </is>
      </c>
      <c r="B50" s="717" t="inlineStr">
        <is>
          <t>3rd Party &amp; Cloud Risk</t>
        </is>
      </c>
      <c r="C50" s="717" t="inlineStr">
        <is>
          <t>UAE-CLOUD-GOV</t>
        </is>
      </c>
      <c r="D50" s="717" t="n">
        <v>20</v>
      </c>
      <c r="E50" s="717" t="inlineStr">
        <is>
          <t>HIGH</t>
        </is>
      </c>
      <c r="F50" s="717" t="inlineStr">
        <is>
          <t>MODERATE</t>
        </is>
      </c>
      <c r="G50" s="717" t="inlineStr">
        <is>
          <t>Y</t>
        </is>
      </c>
      <c r="H50" s="717" t="inlineStr">
        <is>
          <t>SELF_ASSESSMENT</t>
        </is>
      </c>
      <c r="I50" s="717" t="n">
        <v>78</v>
      </c>
      <c r="J50" s="717" t="inlineStr"/>
    </row>
    <row r="51">
      <c r="A51" s="718" t="inlineStr">
        <is>
          <t>UAE-CD-06</t>
        </is>
      </c>
      <c r="B51" s="718" t="inlineStr">
        <is>
          <t>Healthcare Data Privacy</t>
        </is>
      </c>
      <c r="C51" s="718" t="inlineStr">
        <is>
          <t>DHA-HIS</t>
        </is>
      </c>
      <c r="D51" s="718" t="n">
        <v>30</v>
      </c>
      <c r="E51" s="718" t="inlineStr">
        <is>
          <t>HIGH</t>
        </is>
      </c>
      <c r="F51" s="718" t="inlineStr">
        <is>
          <t>HIGHEST</t>
        </is>
      </c>
      <c r="G51" s="718" t="inlineStr">
        <is>
          <t>PARTIAL</t>
        </is>
      </c>
      <c r="H51" s="718" t="inlineStr">
        <is>
          <t>REGULATOR_INSPECTION</t>
        </is>
      </c>
      <c r="I51" s="718" t="n">
        <v>75</v>
      </c>
      <c r="J51" s="718" t="inlineStr"/>
    </row>
    <row r="52">
      <c r="A52" s="717" t="inlineStr">
        <is>
          <t>UAE-CD-07</t>
        </is>
      </c>
      <c r="B52" s="717" t="inlineStr">
        <is>
          <t>Open Banking &amp; Payments</t>
        </is>
      </c>
      <c r="C52" s="717" t="inlineStr">
        <is>
          <t>UAE-OPEN-FINANCE-2023</t>
        </is>
      </c>
      <c r="D52" s="717" t="n">
        <v>35</v>
      </c>
      <c r="E52" s="717" t="inlineStr">
        <is>
          <t>HIGH</t>
        </is>
      </c>
      <c r="F52" s="717" t="inlineStr">
        <is>
          <t>LOW</t>
        </is>
      </c>
      <c r="G52" s="717" t="inlineStr">
        <is>
          <t>Y</t>
        </is>
      </c>
      <c r="H52" s="717" t="inlineStr">
        <is>
          <t>EXTERNAL_AUDIT</t>
        </is>
      </c>
      <c r="I52" s="717" t="n">
        <v>83</v>
      </c>
      <c r="J52" s="717" t="inlineStr"/>
    </row>
    <row r="54">
      <c r="A54" s="719" t="inlineStr">
        <is>
          <t xml:space="preserve">  D │ RISK DOMAINS</t>
        </is>
      </c>
      <c r="B54" s="766" t="n"/>
      <c r="C54" s="766" t="n"/>
      <c r="D54" s="766" t="n"/>
      <c r="E54" s="766" t="n"/>
      <c r="F54" s="766" t="n"/>
      <c r="G54" s="766" t="n"/>
      <c r="H54" s="766" t="n"/>
      <c r="I54" s="766" t="n"/>
      <c r="J54" s="767" t="n"/>
    </row>
    <row r="55">
      <c r="A55" s="720" t="inlineStr">
        <is>
          <t>Risk Domain</t>
        </is>
      </c>
      <c r="B55" s="720" t="inlineStr">
        <is>
          <t>Risk Category</t>
        </is>
      </c>
      <c r="C55" s="720" t="inlineStr">
        <is>
          <t>Risk Score (0-100)</t>
        </is>
      </c>
      <c r="D55" s="720" t="inlineStr">
        <is>
          <t>Level</t>
        </is>
      </c>
      <c r="E55" s="720" t="inlineStr">
        <is>
          <t>Primary Regulator</t>
        </is>
      </c>
      <c r="F55" s="720" t="inlineStr">
        <is>
          <t>Linked Framework</t>
        </is>
      </c>
      <c r="G55" s="720" t="inlineStr">
        <is>
          <t>KRI Count</t>
        </is>
      </c>
      <c r="H55" s="720" t="inlineStr">
        <is>
          <t>Escalation Threshold</t>
        </is>
      </c>
      <c r="I55" s="720" t="inlineStr">
        <is>
          <t>Owner Role</t>
        </is>
      </c>
      <c r="J55" s="720" t="inlineStr">
        <is>
          <t>Notes</t>
        </is>
      </c>
    </row>
    <row r="56">
      <c r="A56" s="717" t="inlineStr">
        <is>
          <t>CNI Cyber Risk</t>
        </is>
      </c>
      <c r="B56" s="717" t="inlineStr">
        <is>
          <t>Cybersecurity</t>
        </is>
      </c>
      <c r="C56" s="717" t="n">
        <v>88</v>
      </c>
      <c r="D56" s="717" t="inlineStr">
        <is>
          <t>HIGHEST</t>
        </is>
      </c>
      <c r="E56" s="717" t="inlineStr">
        <is>
          <t>CSC-UAE</t>
        </is>
      </c>
      <c r="F56" s="717" t="inlineStr">
        <is>
          <t>UAE-TDRA-NIAS</t>
        </is>
      </c>
      <c r="G56" s="717" t="n">
        <v>8</v>
      </c>
      <c r="H56" s="717" t="inlineStr">
        <is>
          <t>Score &lt; 75 = ESCALATE</t>
        </is>
      </c>
      <c r="I56" s="717" t="inlineStr">
        <is>
          <t>CISO</t>
        </is>
      </c>
      <c r="J56" s="717" t="inlineStr"/>
    </row>
    <row r="57">
      <c r="A57" s="718" t="inlineStr">
        <is>
          <t>Financial Crime</t>
        </is>
      </c>
      <c r="B57" s="718" t="inlineStr">
        <is>
          <t>AML/CFT</t>
        </is>
      </c>
      <c r="C57" s="718" t="n">
        <v>85</v>
      </c>
      <c r="D57" s="718" t="inlineStr">
        <is>
          <t>HIGH</t>
        </is>
      </c>
      <c r="E57" s="718" t="inlineStr">
        <is>
          <t>NAMLC</t>
        </is>
      </c>
      <c r="F57" s="718" t="inlineStr">
        <is>
          <t>UAE-AML-2018</t>
        </is>
      </c>
      <c r="G57" s="718" t="n">
        <v>6</v>
      </c>
      <c r="H57" s="718" t="inlineStr">
        <is>
          <t>STR filing lag &gt; 24h</t>
        </is>
      </c>
      <c r="I57" s="718" t="inlineStr">
        <is>
          <t>MLRO</t>
        </is>
      </c>
      <c r="J57" s="718" t="inlineStr"/>
    </row>
    <row r="58">
      <c r="A58" s="717" t="inlineStr">
        <is>
          <t>Data Privacy Breach</t>
        </is>
      </c>
      <c r="B58" s="717" t="inlineStr">
        <is>
          <t>Privacy</t>
        </is>
      </c>
      <c r="C58" s="717" t="n">
        <v>80</v>
      </c>
      <c r="D58" s="717" t="inlineStr">
        <is>
          <t>HIGH</t>
        </is>
      </c>
      <c r="E58" s="717" t="inlineStr">
        <is>
          <t>DIFC-DP / TDRA</t>
        </is>
      </c>
      <c r="F58" s="717" t="inlineStr">
        <is>
          <t>UAE-PDPL-2021</t>
        </is>
      </c>
      <c r="G58" s="717" t="n">
        <v>5</v>
      </c>
      <c r="H58" s="717" t="inlineStr">
        <is>
          <t>Breach not notified in 72h</t>
        </is>
      </c>
      <c r="I58" s="717" t="inlineStr">
        <is>
          <t>DPO</t>
        </is>
      </c>
      <c r="J58" s="717" t="inlineStr"/>
    </row>
    <row r="59">
      <c r="A59" s="718" t="inlineStr">
        <is>
          <t>Operational Failure</t>
        </is>
      </c>
      <c r="B59" s="718" t="inlineStr">
        <is>
          <t>Operational</t>
        </is>
      </c>
      <c r="C59" s="718" t="n">
        <v>75</v>
      </c>
      <c r="D59" s="718" t="inlineStr">
        <is>
          <t>HIGH</t>
        </is>
      </c>
      <c r="E59" s="718" t="inlineStr">
        <is>
          <t>CBUAE</t>
        </is>
      </c>
      <c r="F59" s="718" t="inlineStr">
        <is>
          <t>UAE-CBUAE-OPR</t>
        </is>
      </c>
      <c r="G59" s="718" t="n">
        <v>7</v>
      </c>
      <c r="H59" s="718" t="inlineStr">
        <is>
          <t>System downtime &gt; 4h</t>
        </is>
      </c>
      <c r="I59" s="718" t="inlineStr">
        <is>
          <t>CRO</t>
        </is>
      </c>
      <c r="J59" s="718" t="inlineStr"/>
    </row>
    <row r="60">
      <c r="A60" s="717" t="inlineStr">
        <is>
          <t>Healthcare IoT / Medical Device</t>
        </is>
      </c>
      <c r="B60" s="717" t="inlineStr">
        <is>
          <t>Technology</t>
        </is>
      </c>
      <c r="C60" s="717" t="n">
        <v>70</v>
      </c>
      <c r="D60" s="717" t="inlineStr">
        <is>
          <t>HIGH</t>
        </is>
      </c>
      <c r="E60" s="717" t="inlineStr">
        <is>
          <t>MOHAP-UAE</t>
        </is>
      </c>
      <c r="F60" s="717" t="inlineStr">
        <is>
          <t>MOHAP-UAE-PRIV</t>
        </is>
      </c>
      <c r="G60" s="717" t="n">
        <v>4</v>
      </c>
      <c r="H60" s="717" t="inlineStr">
        <is>
          <t>Device not certified</t>
        </is>
      </c>
      <c r="I60" s="717" t="inlineStr">
        <is>
          <t>CTO</t>
        </is>
      </c>
      <c r="J60" s="717" t="inlineStr"/>
    </row>
    <row r="61">
      <c r="A61" s="718" t="inlineStr">
        <is>
          <t>ESG / Sustainability Compliance</t>
        </is>
      </c>
      <c r="B61" s="718" t="inlineStr">
        <is>
          <t>Governance</t>
        </is>
      </c>
      <c r="C61" s="718" t="n">
        <v>55</v>
      </c>
      <c r="D61" s="718" t="inlineStr">
        <is>
          <t>MODERATE</t>
        </is>
      </c>
      <c r="E61" s="718" t="inlineStr">
        <is>
          <t>SCA-UAE</t>
        </is>
      </c>
      <c r="F61" s="718" t="inlineStr">
        <is>
          <t>UAE-ESG-2023</t>
        </is>
      </c>
      <c r="G61" s="718" t="n">
        <v>3</v>
      </c>
      <c r="H61" s="718" t="inlineStr">
        <is>
          <t>Disclosure missing</t>
        </is>
      </c>
      <c r="I61" s="718" t="inlineStr">
        <is>
          <t>CCO</t>
        </is>
      </c>
      <c r="J61" s="718" t="inlineStr"/>
    </row>
    <row r="63">
      <c r="A63" s="721" t="inlineStr">
        <is>
          <t xml:space="preserve">  E │ COMPLIANCE LIFECYCLE</t>
        </is>
      </c>
      <c r="B63" s="766" t="n"/>
      <c r="C63" s="766" t="n"/>
      <c r="D63" s="766" t="n"/>
      <c r="E63" s="766" t="n"/>
      <c r="F63" s="766" t="n"/>
      <c r="G63" s="766" t="n"/>
      <c r="H63" s="766" t="n"/>
      <c r="I63" s="766" t="n"/>
      <c r="J63" s="767" t="n"/>
    </row>
    <row r="64">
      <c r="A64" s="722" t="inlineStr">
        <is>
          <t>Stage</t>
        </is>
      </c>
      <c r="B64" s="722" t="inlineStr">
        <is>
          <t>Stage Code</t>
        </is>
      </c>
      <c r="C64" s="722" t="inlineStr">
        <is>
          <t>Entry Trigger</t>
        </is>
      </c>
      <c r="D64" s="722" t="inlineStr">
        <is>
          <t>Exit Trigger</t>
        </is>
      </c>
      <c r="E64" s="722" t="inlineStr">
        <is>
          <t>Next Stage</t>
        </is>
      </c>
      <c r="F64" s="722" t="inlineStr">
        <is>
          <t>Approval Required</t>
        </is>
      </c>
      <c r="G64" s="722" t="inlineStr">
        <is>
          <t>Typical Duration</t>
        </is>
      </c>
      <c r="H64" s="722" t="inlineStr">
        <is>
          <t>Responsible Role</t>
        </is>
      </c>
      <c r="I64" s="722" t="inlineStr">
        <is>
          <t>Automation</t>
        </is>
      </c>
      <c r="J64" s="722" t="inlineStr">
        <is>
          <t>SLA (Days)</t>
        </is>
      </c>
    </row>
    <row r="65">
      <c r="A65" s="717" t="inlineStr">
        <is>
          <t>Draft</t>
        </is>
      </c>
      <c r="B65" s="717" t="inlineStr">
        <is>
          <t>DRAFT</t>
        </is>
      </c>
      <c r="C65" s="717" t="inlineStr">
        <is>
          <t>Registration initiated</t>
        </is>
      </c>
      <c r="D65" s="717" t="inlineStr">
        <is>
          <t>Initial assessment complete</t>
        </is>
      </c>
      <c r="E65" s="717" t="inlineStr">
        <is>
          <t>ASSESSED</t>
        </is>
      </c>
      <c r="F65" s="717" t="inlineStr">
        <is>
          <t>N</t>
        </is>
      </c>
      <c r="G65" s="717" t="inlineStr">
        <is>
          <t>14 days</t>
        </is>
      </c>
      <c r="H65" s="717" t="inlineStr">
        <is>
          <t>Compliance Officer</t>
        </is>
      </c>
      <c r="I65" s="717" t="inlineStr">
        <is>
          <t>FULL</t>
        </is>
      </c>
      <c r="J65" s="717" t="n">
        <v>14</v>
      </c>
    </row>
    <row r="66">
      <c r="A66" s="718" t="inlineStr">
        <is>
          <t>Assessed</t>
        </is>
      </c>
      <c r="B66" s="718" t="inlineStr">
        <is>
          <t>ASSESSED</t>
        </is>
      </c>
      <c r="C66" s="718" t="inlineStr">
        <is>
          <t>Draft submitted</t>
        </is>
      </c>
      <c r="D66" s="718" t="inlineStr">
        <is>
          <t>Gap analysis approved</t>
        </is>
      </c>
      <c r="E66" s="718" t="inlineStr">
        <is>
          <t>REGISTERED</t>
        </is>
      </c>
      <c r="F66" s="718" t="inlineStr">
        <is>
          <t>Y</t>
        </is>
      </c>
      <c r="G66" s="718" t="inlineStr">
        <is>
          <t>30 days</t>
        </is>
      </c>
      <c r="H66" s="718" t="inlineStr">
        <is>
          <t>Lead Auditor</t>
        </is>
      </c>
      <c r="I66" s="718" t="inlineStr">
        <is>
          <t>PARTIAL</t>
        </is>
      </c>
      <c r="J66" s="718" t="n">
        <v>30</v>
      </c>
    </row>
    <row r="67">
      <c r="A67" s="717" t="inlineStr">
        <is>
          <t>Registered</t>
        </is>
      </c>
      <c r="B67" s="717" t="inlineStr">
        <is>
          <t>REGISTERED</t>
        </is>
      </c>
      <c r="C67" s="717" t="inlineStr">
        <is>
          <t>Assessment passed</t>
        </is>
      </c>
      <c r="D67" s="717" t="inlineStr">
        <is>
          <t>Controls implemented</t>
        </is>
      </c>
      <c r="E67" s="717" t="inlineStr">
        <is>
          <t>ACTIVE</t>
        </is>
      </c>
      <c r="F67" s="717" t="inlineStr">
        <is>
          <t>Y</t>
        </is>
      </c>
      <c r="G67" s="717" t="inlineStr">
        <is>
          <t>90 days</t>
        </is>
      </c>
      <c r="H67" s="717" t="inlineStr">
        <is>
          <t>CISO</t>
        </is>
      </c>
      <c r="I67" s="717" t="inlineStr">
        <is>
          <t>PARTIAL</t>
        </is>
      </c>
      <c r="J67" s="717" t="n">
        <v>90</v>
      </c>
    </row>
    <row r="68">
      <c r="A68" s="718" t="inlineStr">
        <is>
          <t>Active</t>
        </is>
      </c>
      <c r="B68" s="718" t="inlineStr">
        <is>
          <t>ACTIVE</t>
        </is>
      </c>
      <c r="C68" s="718" t="inlineStr">
        <is>
          <t>Registration confirmed</t>
        </is>
      </c>
      <c r="D68" s="718" t="inlineStr">
        <is>
          <t>Audit scheduled</t>
        </is>
      </c>
      <c r="E68" s="718" t="inlineStr">
        <is>
          <t>AUDITED</t>
        </is>
      </c>
      <c r="F68" s="718" t="inlineStr">
        <is>
          <t>N</t>
        </is>
      </c>
      <c r="G68" s="718" t="inlineStr">
        <is>
          <t>Ongoing</t>
        </is>
      </c>
      <c r="H68" s="718" t="inlineStr">
        <is>
          <t>Compliance Officer</t>
        </is>
      </c>
      <c r="I68" s="718" t="inlineStr">
        <is>
          <t>FULL</t>
        </is>
      </c>
      <c r="J68" s="718" t="n">
        <v>365</v>
      </c>
    </row>
    <row r="69">
      <c r="A69" s="717" t="inlineStr">
        <is>
          <t>Audited</t>
        </is>
      </c>
      <c r="B69" s="717" t="inlineStr">
        <is>
          <t>AUDITED</t>
        </is>
      </c>
      <c r="C69" s="717" t="inlineStr">
        <is>
          <t>Annual audit cycle</t>
        </is>
      </c>
      <c r="D69" s="717" t="inlineStr">
        <is>
          <t>Audit report issued</t>
        </is>
      </c>
      <c r="E69" s="717" t="inlineStr">
        <is>
          <t>RENEWED</t>
        </is>
      </c>
      <c r="F69" s="717" t="inlineStr">
        <is>
          <t>Y</t>
        </is>
      </c>
      <c r="G69" s="717" t="inlineStr">
        <is>
          <t>60 days</t>
        </is>
      </c>
      <c r="H69" s="717" t="inlineStr">
        <is>
          <t>External Auditor</t>
        </is>
      </c>
      <c r="I69" s="717" t="inlineStr">
        <is>
          <t>PARTIAL</t>
        </is>
      </c>
      <c r="J69" s="717" t="n">
        <v>60</v>
      </c>
    </row>
    <row r="70">
      <c r="A70" s="718" t="inlineStr">
        <is>
          <t>Renewed</t>
        </is>
      </c>
      <c r="B70" s="718" t="inlineStr">
        <is>
          <t>RENEWED</t>
        </is>
      </c>
      <c r="C70" s="718" t="inlineStr">
        <is>
          <t>Successful audit</t>
        </is>
      </c>
      <c r="D70" s="718" t="inlineStr">
        <is>
          <t>Next cycle begins</t>
        </is>
      </c>
      <c r="E70" s="718" t="inlineStr">
        <is>
          <t>ACTIVE</t>
        </is>
      </c>
      <c r="F70" s="718" t="inlineStr">
        <is>
          <t>N</t>
        </is>
      </c>
      <c r="G70" s="718" t="inlineStr">
        <is>
          <t>1 day</t>
        </is>
      </c>
      <c r="H70" s="718" t="inlineStr">
        <is>
          <t>Compliance Officer</t>
        </is>
      </c>
      <c r="I70" s="718" t="inlineStr">
        <is>
          <t>FULL</t>
        </is>
      </c>
      <c r="J70" s="718" t="n">
        <v>1</v>
      </c>
    </row>
    <row r="71">
      <c r="A71" s="717" t="inlineStr">
        <is>
          <t>Archived</t>
        </is>
      </c>
      <c r="B71" s="717" t="inlineStr">
        <is>
          <t>ARCHIVED</t>
        </is>
      </c>
      <c r="C71" s="717" t="inlineStr">
        <is>
          <t>Decommission / superseded</t>
        </is>
      </c>
      <c r="D71" s="717" t="inlineStr">
        <is>
          <t>N/A</t>
        </is>
      </c>
      <c r="E71" s="717" t="inlineStr">
        <is>
          <t>N/A</t>
        </is>
      </c>
      <c r="F71" s="717" t="inlineStr">
        <is>
          <t>Y</t>
        </is>
      </c>
      <c r="G71" s="717" t="inlineStr">
        <is>
          <t>N/A</t>
        </is>
      </c>
      <c r="H71" s="717" t="inlineStr">
        <is>
          <t>CCO</t>
        </is>
      </c>
      <c r="I71" s="717" t="inlineStr">
        <is>
          <t>N</t>
        </is>
      </c>
      <c r="J71" s="717" t="n">
        <v>0</v>
      </c>
    </row>
    <row r="73">
      <c r="A73" s="723" t="inlineStr">
        <is>
          <t xml:space="preserve">  F │ EVIDENCE REQUIREMENTS</t>
        </is>
      </c>
      <c r="B73" s="766" t="n"/>
      <c r="C73" s="766" t="n"/>
      <c r="D73" s="766" t="n"/>
      <c r="E73" s="766" t="n"/>
      <c r="F73" s="766" t="n"/>
      <c r="G73" s="766" t="n"/>
      <c r="H73" s="766" t="n"/>
      <c r="I73" s="766" t="n"/>
      <c r="J73" s="767" t="n"/>
    </row>
    <row r="74">
      <c r="A74" s="724" t="inlineStr">
        <is>
          <t>Evidence Type</t>
        </is>
      </c>
      <c r="B74" s="724" t="inlineStr">
        <is>
          <t>Framework</t>
        </is>
      </c>
      <c r="C74" s="724" t="inlineStr">
        <is>
          <t>Responsible Role</t>
        </is>
      </c>
      <c r="D74" s="724" t="inlineStr">
        <is>
          <t>Collection Frequency</t>
        </is>
      </c>
      <c r="E74" s="724" t="inlineStr">
        <is>
          <t>Retention (Years)</t>
        </is>
      </c>
      <c r="F74" s="724" t="inlineStr">
        <is>
          <t>Format</t>
        </is>
      </c>
      <c r="G74" s="724" t="inlineStr">
        <is>
          <t>Submittable to Regulator?</t>
        </is>
      </c>
      <c r="H74" s="724" t="inlineStr">
        <is>
          <t>AI Extractable?</t>
        </is>
      </c>
      <c r="I74" s="724" t="inlineStr">
        <is>
          <t>Risk if Missing</t>
        </is>
      </c>
      <c r="J74" s="724" t="inlineStr">
        <is>
          <t>Notes</t>
        </is>
      </c>
    </row>
    <row r="75">
      <c r="A75" s="717" t="inlineStr">
        <is>
          <t>Self-Assessment Report</t>
        </is>
      </c>
      <c r="B75" s="717" t="inlineStr">
        <is>
          <t>ALL</t>
        </is>
      </c>
      <c r="C75" s="717" t="inlineStr">
        <is>
          <t>Compliance Officer</t>
        </is>
      </c>
      <c r="D75" s="717" t="inlineStr">
        <is>
          <t>ANNUAL</t>
        </is>
      </c>
      <c r="E75" s="717" t="n">
        <v>5</v>
      </c>
      <c r="F75" s="717" t="inlineStr">
        <is>
          <t>PDF</t>
        </is>
      </c>
      <c r="G75" s="717" t="inlineStr">
        <is>
          <t>Y</t>
        </is>
      </c>
      <c r="H75" s="717" t="inlineStr">
        <is>
          <t>Y</t>
        </is>
      </c>
      <c r="I75" s="717" t="inlineStr">
        <is>
          <t>HIGH</t>
        </is>
      </c>
      <c r="J75" s="717" t="inlineStr"/>
    </row>
    <row r="76">
      <c r="A76" s="718" t="inlineStr">
        <is>
          <t>Gap Analysis Report</t>
        </is>
      </c>
      <c r="B76" s="718" t="inlineStr">
        <is>
          <t>ALL</t>
        </is>
      </c>
      <c r="C76" s="718" t="inlineStr">
        <is>
          <t>Lead Auditor</t>
        </is>
      </c>
      <c r="D76" s="718" t="inlineStr">
        <is>
          <t>ANNUAL</t>
        </is>
      </c>
      <c r="E76" s="718" t="n">
        <v>5</v>
      </c>
      <c r="F76" s="718" t="inlineStr">
        <is>
          <t>PDF/Excel</t>
        </is>
      </c>
      <c r="G76" s="718" t="inlineStr">
        <is>
          <t>N</t>
        </is>
      </c>
      <c r="H76" s="718" t="inlineStr">
        <is>
          <t>Y</t>
        </is>
      </c>
      <c r="I76" s="718" t="inlineStr">
        <is>
          <t>HIGH</t>
        </is>
      </c>
      <c r="J76" s="718" t="inlineStr"/>
    </row>
    <row r="77">
      <c r="A77" s="717" t="inlineStr">
        <is>
          <t>External Audit Report</t>
        </is>
      </c>
      <c r="B77" s="717" t="inlineStr">
        <is>
          <t>ALL</t>
        </is>
      </c>
      <c r="C77" s="717" t="inlineStr">
        <is>
          <t>External Auditor</t>
        </is>
      </c>
      <c r="D77" s="717" t="inlineStr">
        <is>
          <t>ANNUAL</t>
        </is>
      </c>
      <c r="E77" s="717" t="n">
        <v>7</v>
      </c>
      <c r="F77" s="717" t="inlineStr">
        <is>
          <t>PDF</t>
        </is>
      </c>
      <c r="G77" s="717" t="inlineStr">
        <is>
          <t>Y</t>
        </is>
      </c>
      <c r="H77" s="717" t="inlineStr">
        <is>
          <t>Y</t>
        </is>
      </c>
      <c r="I77" s="717" t="inlineStr">
        <is>
          <t>CRITICAL</t>
        </is>
      </c>
      <c r="J77" s="717" t="inlineStr"/>
    </row>
    <row r="78">
      <c r="A78" s="718" t="inlineStr">
        <is>
          <t>Penetration Test Report</t>
        </is>
      </c>
      <c r="B78" s="718" t="inlineStr">
        <is>
          <t>ALL</t>
        </is>
      </c>
      <c r="C78" s="718" t="inlineStr">
        <is>
          <t>CISO</t>
        </is>
      </c>
      <c r="D78" s="718" t="inlineStr">
        <is>
          <t>ANNUAL</t>
        </is>
      </c>
      <c r="E78" s="718" t="n">
        <v>3</v>
      </c>
      <c r="F78" s="718" t="inlineStr">
        <is>
          <t>PDF</t>
        </is>
      </c>
      <c r="G78" s="718" t="inlineStr">
        <is>
          <t>Y</t>
        </is>
      </c>
      <c r="H78" s="718" t="inlineStr">
        <is>
          <t>Y</t>
        </is>
      </c>
      <c r="I78" s="718" t="inlineStr">
        <is>
          <t>HIGH</t>
        </is>
      </c>
      <c r="J78" s="718" t="inlineStr"/>
    </row>
    <row r="79">
      <c r="A79" s="717" t="inlineStr">
        <is>
          <t>Regulator Inspection Record</t>
        </is>
      </c>
      <c r="B79" s="717" t="inlineStr">
        <is>
          <t>ALL</t>
        </is>
      </c>
      <c r="C79" s="717" t="inlineStr">
        <is>
          <t>CCO</t>
        </is>
      </c>
      <c r="D79" s="717" t="inlineStr">
        <is>
          <t>AS_REQUIRED</t>
        </is>
      </c>
      <c r="E79" s="717" t="n">
        <v>10</v>
      </c>
      <c r="F79" s="717" t="inlineStr">
        <is>
          <t>PDF</t>
        </is>
      </c>
      <c r="G79" s="717" t="inlineStr">
        <is>
          <t>Y</t>
        </is>
      </c>
      <c r="H79" s="717" t="inlineStr">
        <is>
          <t>N</t>
        </is>
      </c>
      <c r="I79" s="717" t="inlineStr">
        <is>
          <t>CRITICAL</t>
        </is>
      </c>
      <c r="J79" s="717" t="inlineStr"/>
    </row>
    <row r="80">
      <c r="A80" s="718" t="inlineStr">
        <is>
          <t>Incident Response Log</t>
        </is>
      </c>
      <c r="B80" s="718" t="inlineStr">
        <is>
          <t>ALL</t>
        </is>
      </c>
      <c r="C80" s="718" t="inlineStr">
        <is>
          <t>CISO</t>
        </is>
      </c>
      <c r="D80" s="718" t="inlineStr">
        <is>
          <t>CONTINUOUS</t>
        </is>
      </c>
      <c r="E80" s="718" t="n">
        <v>5</v>
      </c>
      <c r="F80" s="718" t="inlineStr">
        <is>
          <t>SIEM/PDF</t>
        </is>
      </c>
      <c r="G80" s="718" t="inlineStr">
        <is>
          <t>Y</t>
        </is>
      </c>
      <c r="H80" s="718" t="inlineStr">
        <is>
          <t>Y</t>
        </is>
      </c>
      <c r="I80" s="718" t="inlineStr">
        <is>
          <t>HIGH</t>
        </is>
      </c>
      <c r="J80" s="718" t="inlineStr"/>
    </row>
    <row r="81">
      <c r="A81" s="717" t="inlineStr">
        <is>
          <t>Training Completion Records</t>
        </is>
      </c>
      <c r="B81" s="717" t="inlineStr">
        <is>
          <t>ALL</t>
        </is>
      </c>
      <c r="C81" s="717" t="inlineStr">
        <is>
          <t>CISO</t>
        </is>
      </c>
      <c r="D81" s="717" t="inlineStr">
        <is>
          <t>ANNUAL</t>
        </is>
      </c>
      <c r="E81" s="717" t="n">
        <v>3</v>
      </c>
      <c r="F81" s="717" t="inlineStr">
        <is>
          <t>CSV/PDF</t>
        </is>
      </c>
      <c r="G81" s="717" t="inlineStr">
        <is>
          <t>N</t>
        </is>
      </c>
      <c r="H81" s="717" t="inlineStr">
        <is>
          <t>Y</t>
        </is>
      </c>
      <c r="I81" s="717" t="inlineStr">
        <is>
          <t>MEDIUM</t>
        </is>
      </c>
      <c r="J81" s="717" t="inlineStr"/>
    </row>
    <row r="82">
      <c r="A82" s="718" t="inlineStr">
        <is>
          <t>Vendor Risk Assessments</t>
        </is>
      </c>
      <c r="B82" s="718" t="inlineStr">
        <is>
          <t>ALL</t>
        </is>
      </c>
      <c r="C82" s="718" t="inlineStr">
        <is>
          <t>3rd Party Risk Officer</t>
        </is>
      </c>
      <c r="D82" s="718" t="inlineStr">
        <is>
          <t>ANNUAL</t>
        </is>
      </c>
      <c r="E82" s="718" t="n">
        <v>3</v>
      </c>
      <c r="F82" s="718" t="inlineStr">
        <is>
          <t>Excel/PDF</t>
        </is>
      </c>
      <c r="G82" s="718" t="inlineStr">
        <is>
          <t>N</t>
        </is>
      </c>
      <c r="H82" s="718" t="inlineStr">
        <is>
          <t>Y</t>
        </is>
      </c>
      <c r="I82" s="718" t="inlineStr">
        <is>
          <t>HIGH</t>
        </is>
      </c>
      <c r="J82" s="718" t="inlineStr"/>
    </row>
    <row r="83">
      <c r="A83" s="717" t="inlineStr">
        <is>
          <t>Data Protection Impact Assessment</t>
        </is>
      </c>
      <c r="B83" s="717" t="inlineStr">
        <is>
          <t>PRIVACY</t>
        </is>
      </c>
      <c r="C83" s="717" t="inlineStr">
        <is>
          <t>DPO</t>
        </is>
      </c>
      <c r="D83" s="717" t="inlineStr">
        <is>
          <t>PER_PROJECT</t>
        </is>
      </c>
      <c r="E83" s="717" t="n">
        <v>5</v>
      </c>
      <c r="F83" s="717" t="inlineStr">
        <is>
          <t>PDF</t>
        </is>
      </c>
      <c r="G83" s="717" t="inlineStr">
        <is>
          <t>Y</t>
        </is>
      </c>
      <c r="H83" s="717" t="inlineStr">
        <is>
          <t>Y</t>
        </is>
      </c>
      <c r="I83" s="717" t="inlineStr">
        <is>
          <t>HIGH</t>
        </is>
      </c>
      <c r="J83" s="717" t="inlineStr"/>
    </row>
    <row r="84">
      <c r="A84" s="718" t="inlineStr">
        <is>
          <t>Business Continuity Test Report</t>
        </is>
      </c>
      <c r="B84" s="718" t="inlineStr">
        <is>
          <t>ALL</t>
        </is>
      </c>
      <c r="C84" s="718" t="inlineStr">
        <is>
          <t>BCM Manager</t>
        </is>
      </c>
      <c r="D84" s="718" t="inlineStr">
        <is>
          <t>BIENNIAL</t>
        </is>
      </c>
      <c r="E84" s="718" t="n">
        <v>5</v>
      </c>
      <c r="F84" s="718" t="inlineStr">
        <is>
          <t>PDF</t>
        </is>
      </c>
      <c r="G84" s="718" t="inlineStr">
        <is>
          <t>N</t>
        </is>
      </c>
      <c r="H84" s="718" t="inlineStr">
        <is>
          <t>N</t>
        </is>
      </c>
      <c r="I84" s="718" t="inlineStr">
        <is>
          <t>MEDIUM</t>
        </is>
      </c>
      <c r="J84" s="718" t="inlineStr"/>
    </row>
    <row r="86">
      <c r="A86" s="725" t="inlineStr">
        <is>
          <t xml:space="preserve">  G │ GRC MATURITY BENCHMARKS</t>
        </is>
      </c>
      <c r="B86" s="766" t="n"/>
      <c r="C86" s="766" t="n"/>
      <c r="D86" s="766" t="n"/>
      <c r="E86" s="766" t="n"/>
      <c r="F86" s="766" t="n"/>
      <c r="G86" s="766" t="n"/>
      <c r="H86" s="766" t="n"/>
      <c r="I86" s="766" t="n"/>
      <c r="J86" s="767" t="n"/>
    </row>
    <row r="87">
      <c r="A87" s="726" t="inlineStr">
        <is>
          <t>Domain</t>
        </is>
      </c>
      <c r="B87" s="726" t="inlineStr">
        <is>
          <t>Maturity Model</t>
        </is>
      </c>
      <c r="C87" s="726" t="inlineStr">
        <is>
          <t>Country Avg Score</t>
        </is>
      </c>
      <c r="D87" s="726" t="inlineStr">
        <is>
          <t>Best-in-Class</t>
        </is>
      </c>
      <c r="E87" s="726" t="inlineStr">
        <is>
          <t>Typical Target</t>
        </is>
      </c>
      <c r="F87" s="726" t="inlineStr">
        <is>
          <t>Gap to Target</t>
        </is>
      </c>
      <c r="G87" s="726" t="inlineStr">
        <is>
          <t>Priority</t>
        </is>
      </c>
      <c r="H87" s="726" t="inlineStr">
        <is>
          <t>Key Barrier</t>
        </is>
      </c>
      <c r="I87" s="726" t="inlineStr">
        <is>
          <t>Shahin AI Recommendation</t>
        </is>
      </c>
      <c r="J87" s="726" t="inlineStr">
        <is>
          <t>Ref Framework</t>
        </is>
      </c>
    </row>
    <row r="88">
      <c r="A88" s="717" t="inlineStr">
        <is>
          <t>GRC Governance</t>
        </is>
      </c>
      <c r="B88" s="717" t="inlineStr">
        <is>
          <t>CMMI 1-5</t>
        </is>
      </c>
      <c r="C88" s="717" t="n">
        <v>2.5</v>
      </c>
      <c r="D88" s="717" t="n">
        <v>4.5</v>
      </c>
      <c r="E88" s="717" t="n">
        <v>3.5</v>
      </c>
      <c r="F88" s="717" t="n">
        <v>1</v>
      </c>
      <c r="G88" s="717" t="inlineStr">
        <is>
          <t>HIGH</t>
        </is>
      </c>
      <c r="H88" s="717" t="inlineStr">
        <is>
          <t>Board awareness</t>
        </is>
      </c>
      <c r="I88" s="717" t="inlineStr">
        <is>
          <t>Establish GRC board committee</t>
        </is>
      </c>
      <c r="J88" s="717" t="inlineStr">
        <is>
          <t>UAE-CBUAE-CSF-2023</t>
        </is>
      </c>
    </row>
    <row r="89">
      <c r="A89" s="718" t="inlineStr">
        <is>
          <t>Cybersecurity Controls</t>
        </is>
      </c>
      <c r="B89" s="718" t="inlineStr">
        <is>
          <t>CMMI 1-5</t>
        </is>
      </c>
      <c r="C89" s="718" t="n">
        <v>2.8</v>
      </c>
      <c r="D89" s="718" t="n">
        <v>4.5</v>
      </c>
      <c r="E89" s="718" t="n">
        <v>3.5</v>
      </c>
      <c r="F89" s="718" t="n">
        <v>0.7</v>
      </c>
      <c r="G89" s="718" t="inlineStr">
        <is>
          <t>HIGH</t>
        </is>
      </c>
      <c r="H89" s="718" t="inlineStr">
        <is>
          <t>Talent shortage</t>
        </is>
      </c>
      <c r="I89" s="718" t="inlineStr">
        <is>
          <t>Automate control testing</t>
        </is>
      </c>
      <c r="J89" s="718" t="inlineStr">
        <is>
          <t>UAE-TDRA-NIAS</t>
        </is>
      </c>
    </row>
    <row r="90">
      <c r="A90" s="717" t="inlineStr">
        <is>
          <t>Data Privacy</t>
        </is>
      </c>
      <c r="B90" s="717" t="inlineStr">
        <is>
          <t>CMMI 1-5</t>
        </is>
      </c>
      <c r="C90" s="717" t="n">
        <v>2.2</v>
      </c>
      <c r="D90" s="717" t="n">
        <v>4</v>
      </c>
      <c r="E90" s="717" t="n">
        <v>3</v>
      </c>
      <c r="F90" s="717" t="n">
        <v>0.8</v>
      </c>
      <c r="G90" s="717" t="inlineStr">
        <is>
          <t>HIGH</t>
        </is>
      </c>
      <c r="H90" s="717" t="inlineStr">
        <is>
          <t>Data mapping incomplete</t>
        </is>
      </c>
      <c r="I90" s="717" t="inlineStr">
        <is>
          <t>Deploy DPIA automation</t>
        </is>
      </c>
      <c r="J90" s="717" t="inlineStr">
        <is>
          <t>UAE-PDPL-2021</t>
        </is>
      </c>
    </row>
    <row r="91">
      <c r="A91" s="718" t="inlineStr">
        <is>
          <t>AML/CFT</t>
        </is>
      </c>
      <c r="B91" s="718" t="inlineStr">
        <is>
          <t>CMMI 1-5</t>
        </is>
      </c>
      <c r="C91" s="718" t="n">
        <v>3</v>
      </c>
      <c r="D91" s="718" t="n">
        <v>4.5</v>
      </c>
      <c r="E91" s="718" t="n">
        <v>3.5</v>
      </c>
      <c r="F91" s="718" t="n">
        <v>0.5</v>
      </c>
      <c r="G91" s="718" t="inlineStr">
        <is>
          <t>MEDIUM</t>
        </is>
      </c>
      <c r="H91" s="718" t="inlineStr">
        <is>
          <t>Transaction monitoring gaps</t>
        </is>
      </c>
      <c r="I91" s="718" t="inlineStr">
        <is>
          <t>AI-powered TM system</t>
        </is>
      </c>
      <c r="J91" s="718" t="inlineStr">
        <is>
          <t>UAE-AML-2018</t>
        </is>
      </c>
    </row>
    <row r="92">
      <c r="A92" s="717" t="inlineStr">
        <is>
          <t>Operational Resilience</t>
        </is>
      </c>
      <c r="B92" s="717" t="inlineStr">
        <is>
          <t>CMMI 1-5</t>
        </is>
      </c>
      <c r="C92" s="717" t="n">
        <v>2.5</v>
      </c>
      <c r="D92" s="717" t="n">
        <v>4</v>
      </c>
      <c r="E92" s="717" t="n">
        <v>3.5</v>
      </c>
      <c r="F92" s="717" t="n">
        <v>1</v>
      </c>
      <c r="G92" s="717" t="inlineStr">
        <is>
          <t>HIGH</t>
        </is>
      </c>
      <c r="H92" s="717" t="inlineStr">
        <is>
          <t>BCP not tested</t>
        </is>
      </c>
      <c r="I92" s="717" t="inlineStr">
        <is>
          <t>Annual tabletop exercise</t>
        </is>
      </c>
      <c r="J92" s="717" t="inlineStr">
        <is>
          <t>UAE-CBUAE-OPR</t>
        </is>
      </c>
    </row>
    <row r="93">
      <c r="A93" s="718" t="inlineStr">
        <is>
          <t>3rd Party Risk</t>
        </is>
      </c>
      <c r="B93" s="718" t="inlineStr">
        <is>
          <t>CMMI 1-5</t>
        </is>
      </c>
      <c r="C93" s="718" t="n">
        <v>2</v>
      </c>
      <c r="D93" s="718" t="n">
        <v>4</v>
      </c>
      <c r="E93" s="718" t="n">
        <v>3</v>
      </c>
      <c r="F93" s="718" t="n">
        <v>1</v>
      </c>
      <c r="G93" s="718" t="inlineStr">
        <is>
          <t>HIGH</t>
        </is>
      </c>
      <c r="H93" s="718" t="inlineStr">
        <is>
          <t>No vendor inventory</t>
        </is>
      </c>
      <c r="I93" s="718" t="inlineStr">
        <is>
          <t>Implement TPRM programme</t>
        </is>
      </c>
      <c r="J93" s="718" t="inlineStr">
        <is>
          <t>UAE-CLOUD-GOV</t>
        </is>
      </c>
    </row>
  </sheetData>
  <mergeCells count="8">
    <mergeCell ref="A44:J44"/>
    <mergeCell ref="A1:J1"/>
    <mergeCell ref="A22:J22"/>
    <mergeCell ref="A73:J73"/>
    <mergeCell ref="A2:J2"/>
    <mergeCell ref="A86:J86"/>
    <mergeCell ref="A54:J54"/>
    <mergeCell ref="A63:J63"/>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74"/>
  <sheetViews>
    <sheetView showGridLines="0" workbookViewId="0">
      <pane ySplit="2" topLeftCell="A3" activePane="bottomLeft" state="frozen"/>
      <selection pane="bottomLeft" activeCell="A1" sqref="A1"/>
    </sheetView>
  </sheetViews>
  <sheetFormatPr baseColWidth="8" defaultRowHeight="15"/>
  <cols>
    <col width="18" customWidth="1" min="1" max="1"/>
    <col width="38" customWidth="1" min="2" max="2"/>
    <col width="28" customWidth="1" min="3" max="3"/>
    <col width="24" customWidth="1" min="4" max="4"/>
    <col width="12" customWidth="1" min="5" max="5"/>
    <col width="12" customWidth="1" min="6" max="6"/>
    <col width="22" customWidth="1" min="7" max="7"/>
    <col width="18" customWidth="1" min="8" max="8"/>
    <col width="20" customWidth="1" min="9" max="9"/>
    <col width="28" customWidth="1" min="10" max="10"/>
  </cols>
  <sheetData>
    <row r="1" ht="30" customHeight="1">
      <c r="A1" s="705" t="inlineStr">
        <is>
          <t>🇶🇦  Qatar (QA)  ·  GRC Regulatory Intelligence</t>
        </is>
      </c>
    </row>
    <row r="2">
      <c r="A2" s="706" t="inlineStr">
        <is>
          <t xml:space="preserve">  A │ REGULATORS</t>
        </is>
      </c>
      <c r="B2" s="766" t="n"/>
      <c r="C2" s="766" t="n"/>
      <c r="D2" s="766" t="n"/>
      <c r="E2" s="766" t="n"/>
      <c r="F2" s="766" t="n"/>
      <c r="G2" s="766" t="n"/>
      <c r="H2" s="766" t="n"/>
      <c r="I2" s="766" t="n"/>
      <c r="J2" s="767" t="n"/>
    </row>
    <row r="3">
      <c r="A3" s="707" t="inlineStr">
        <is>
          <t>Code</t>
        </is>
      </c>
      <c r="B3" s="707" t="inlineStr">
        <is>
          <t>Name (EN)</t>
        </is>
      </c>
      <c r="C3" s="707" t="inlineStr">
        <is>
          <t>Name (AR)</t>
        </is>
      </c>
      <c r="D3" s="707" t="inlineStr">
        <is>
          <t>Sector Group</t>
        </is>
      </c>
      <c r="E3" s="707" t="inlineStr">
        <is>
          <t>Tier</t>
        </is>
      </c>
      <c r="F3" s="707" t="inlineStr">
        <is>
          <t>Own FW Count</t>
        </is>
      </c>
      <c r="G3" s="707" t="inlineStr">
        <is>
          <t>Power Index</t>
        </is>
      </c>
      <c r="H3" s="707" t="inlineStr">
        <is>
          <t>Enforcement</t>
        </is>
      </c>
      <c r="I3" s="707" t="inlineStr">
        <is>
          <t>Website</t>
        </is>
      </c>
      <c r="J3" s="707" t="inlineStr">
        <is>
          <t>Notes</t>
        </is>
      </c>
    </row>
    <row r="4">
      <c r="A4" s="708" t="inlineStr">
        <is>
          <t>QCB</t>
        </is>
      </c>
      <c r="B4" s="708" t="inlineStr">
        <is>
          <t>Qatar Central Bank</t>
        </is>
      </c>
      <c r="C4" s="708" t="inlineStr">
        <is>
          <t>مصرف قطر المركزي</t>
        </is>
      </c>
      <c r="D4" s="708" t="inlineStr">
        <is>
          <t>Financial</t>
        </is>
      </c>
      <c r="E4" s="708" t="inlineStr">
        <is>
          <t>🔴 T1</t>
        </is>
      </c>
      <c r="F4" s="708" t="n">
        <v>5</v>
      </c>
      <c r="G4" s="708" t="n">
        <v>95</v>
      </c>
      <c r="H4" s="708" t="inlineStr">
        <is>
          <t>MANDATORY</t>
        </is>
      </c>
      <c r="I4" s="708" t="inlineStr">
        <is>
          <t>https://qcb.gov.qa</t>
        </is>
      </c>
      <c r="J4" s="708" t="inlineStr"/>
    </row>
    <row r="5">
      <c r="A5" s="708" t="inlineStr">
        <is>
          <t>NCSA-QA</t>
        </is>
      </c>
      <c r="B5" s="708" t="inlineStr">
        <is>
          <t>National Cyber Security Agency</t>
        </is>
      </c>
      <c r="C5" s="708" t="inlineStr">
        <is>
          <t>الوكالة الوطنية للأمن السيبراني</t>
        </is>
      </c>
      <c r="D5" s="708" t="inlineStr">
        <is>
          <t>Cybersecurity</t>
        </is>
      </c>
      <c r="E5" s="708" t="inlineStr">
        <is>
          <t>🔴 T1</t>
        </is>
      </c>
      <c r="F5" s="708" t="n">
        <v>3</v>
      </c>
      <c r="G5" s="708" t="n">
        <v>90</v>
      </c>
      <c r="H5" s="708" t="inlineStr">
        <is>
          <t>MANDATORY</t>
        </is>
      </c>
      <c r="I5" s="708" t="inlineStr">
        <is>
          <t>https://ncsa.gov.qa</t>
        </is>
      </c>
      <c r="J5" s="708" t="inlineStr"/>
    </row>
    <row r="6">
      <c r="A6" s="708" t="inlineStr">
        <is>
          <t>MCIT-QA</t>
        </is>
      </c>
      <c r="B6" s="708" t="inlineStr">
        <is>
          <t>Ministry of Communications &amp; IT</t>
        </is>
      </c>
      <c r="C6" s="708" t="inlineStr">
        <is>
          <t>وزارة الاتصالات وتقنية المعلومات</t>
        </is>
      </c>
      <c r="D6" s="708" t="inlineStr">
        <is>
          <t>ICT/Digital</t>
        </is>
      </c>
      <c r="E6" s="708" t="inlineStr">
        <is>
          <t>🔴 T1</t>
        </is>
      </c>
      <c r="F6" s="708" t="n">
        <v>4</v>
      </c>
      <c r="G6" s="708" t="n">
        <v>82</v>
      </c>
      <c r="H6" s="708" t="inlineStr">
        <is>
          <t>MANDATORY</t>
        </is>
      </c>
      <c r="I6" s="708" t="inlineStr">
        <is>
          <t>https://mcit.gov.qa</t>
        </is>
      </c>
      <c r="J6" s="708" t="inlineStr"/>
    </row>
    <row r="7">
      <c r="A7" s="709" t="inlineStr">
        <is>
          <t>QFCRA</t>
        </is>
      </c>
      <c r="B7" s="709" t="inlineStr">
        <is>
          <t>QFC Regulatory Authority</t>
        </is>
      </c>
      <c r="C7" s="709" t="inlineStr">
        <is>
          <t>هيئة تنظيم مركز قطر للمال</t>
        </is>
      </c>
      <c r="D7" s="709" t="inlineStr">
        <is>
          <t>Financial/QFC</t>
        </is>
      </c>
      <c r="E7" s="709" t="inlineStr">
        <is>
          <t>🟠 T2</t>
        </is>
      </c>
      <c r="F7" s="709" t="n">
        <v>6</v>
      </c>
      <c r="G7" s="709" t="n">
        <v>78</v>
      </c>
      <c r="H7" s="709" t="inlineStr">
        <is>
          <t>MANDATORY</t>
        </is>
      </c>
      <c r="I7" s="709" t="inlineStr">
        <is>
          <t>https://qfcra.com</t>
        </is>
      </c>
      <c r="J7" s="709" t="inlineStr"/>
    </row>
    <row r="8">
      <c r="A8" s="709" t="inlineStr">
        <is>
          <t>QFMA</t>
        </is>
      </c>
      <c r="B8" s="709" t="inlineStr">
        <is>
          <t>Qatar Financial Markets Authority</t>
        </is>
      </c>
      <c r="C8" s="709" t="inlineStr">
        <is>
          <t>هيئة قطر للأسواق المالية</t>
        </is>
      </c>
      <c r="D8" s="709" t="inlineStr">
        <is>
          <t>Capital Markets</t>
        </is>
      </c>
      <c r="E8" s="709" t="inlineStr">
        <is>
          <t>🟠 T2</t>
        </is>
      </c>
      <c r="F8" s="709" t="n">
        <v>4</v>
      </c>
      <c r="G8" s="709" t="n">
        <v>72</v>
      </c>
      <c r="H8" s="709" t="inlineStr">
        <is>
          <t>MANDATORY</t>
        </is>
      </c>
      <c r="I8" s="709" t="inlineStr">
        <is>
          <t>https://qfma.gov.qa</t>
        </is>
      </c>
      <c r="J8" s="709" t="inlineStr"/>
    </row>
    <row r="9">
      <c r="A9" s="709" t="inlineStr">
        <is>
          <t>MoPH-QA</t>
        </is>
      </c>
      <c r="B9" s="709" t="inlineStr">
        <is>
          <t>Ministry of Public Health</t>
        </is>
      </c>
      <c r="C9" s="709" t="inlineStr">
        <is>
          <t>وزارة الصحة العامة</t>
        </is>
      </c>
      <c r="D9" s="709" t="inlineStr">
        <is>
          <t>Healthcare</t>
        </is>
      </c>
      <c r="E9" s="709" t="inlineStr">
        <is>
          <t>🟠 T2</t>
        </is>
      </c>
      <c r="F9" s="709" t="n">
        <v>3</v>
      </c>
      <c r="G9" s="709" t="n">
        <v>65</v>
      </c>
      <c r="H9" s="709" t="inlineStr">
        <is>
          <t>MANDATORY</t>
        </is>
      </c>
      <c r="I9" s="709" t="inlineStr">
        <is>
          <t>https://moph.gov.qa</t>
        </is>
      </c>
      <c r="J9" s="709" t="inlineStr"/>
    </row>
    <row r="10">
      <c r="A10" s="709" t="inlineStr">
        <is>
          <t>CRA-QA</t>
        </is>
      </c>
      <c r="B10" s="709" t="inlineStr">
        <is>
          <t>Communications Regulatory Authority</t>
        </is>
      </c>
      <c r="C10" s="709" t="inlineStr">
        <is>
          <t>هيئة تنظيم الاتصالات</t>
        </is>
      </c>
      <c r="D10" s="709" t="inlineStr">
        <is>
          <t>Telecom</t>
        </is>
      </c>
      <c r="E10" s="709" t="inlineStr">
        <is>
          <t>🟠 T2</t>
        </is>
      </c>
      <c r="F10" s="709" t="n">
        <v>3</v>
      </c>
      <c r="G10" s="709" t="n">
        <v>68</v>
      </c>
      <c r="H10" s="709" t="inlineStr">
        <is>
          <t>MANDATORY</t>
        </is>
      </c>
      <c r="I10" s="709" t="inlineStr">
        <is>
          <t>https://cra.gov.qa</t>
        </is>
      </c>
      <c r="J10" s="709" t="inlineStr"/>
    </row>
    <row r="11">
      <c r="A11" s="709" t="inlineStr">
        <is>
          <t>QFIU</t>
        </is>
      </c>
      <c r="B11" s="709" t="inlineStr">
        <is>
          <t>Qatar Financial Intelligence Unit</t>
        </is>
      </c>
      <c r="C11" s="709" t="inlineStr">
        <is>
          <t>وحدة الاستخبارات المالية القطرية</t>
        </is>
      </c>
      <c r="D11" s="709" t="inlineStr">
        <is>
          <t>AML/CFT</t>
        </is>
      </c>
      <c r="E11" s="709" t="inlineStr">
        <is>
          <t>🟠 T2</t>
        </is>
      </c>
      <c r="F11" s="709" t="n">
        <v>1</v>
      </c>
      <c r="G11" s="709" t="n">
        <v>75</v>
      </c>
      <c r="H11" s="709" t="inlineStr">
        <is>
          <t>MANDATORY</t>
        </is>
      </c>
      <c r="I11" s="709" t="inlineStr"/>
      <c r="J11" s="709" t="inlineStr"/>
    </row>
    <row r="12">
      <c r="A12" s="709" t="inlineStr">
        <is>
          <t>QE</t>
        </is>
      </c>
      <c r="B12" s="709" t="inlineStr">
        <is>
          <t>QatarEnergy</t>
        </is>
      </c>
      <c r="C12" s="709" t="inlineStr">
        <is>
          <t>قطر للطاقة</t>
        </is>
      </c>
      <c r="D12" s="709" t="inlineStr">
        <is>
          <t>Energy/CNI</t>
        </is>
      </c>
      <c r="E12" s="709" t="inlineStr">
        <is>
          <t>🟠 T2</t>
        </is>
      </c>
      <c r="F12" s="709" t="n">
        <v>2</v>
      </c>
      <c r="G12" s="709" t="n">
        <v>70</v>
      </c>
      <c r="H12" s="709" t="inlineStr">
        <is>
          <t>MANDATORY</t>
        </is>
      </c>
      <c r="I12" s="709" t="inlineStr">
        <is>
          <t>https://qatarenergy.qa</t>
        </is>
      </c>
      <c r="J12" s="709" t="inlineStr"/>
    </row>
    <row r="13">
      <c r="A13" s="710" t="inlineStr">
        <is>
          <t>HMC</t>
        </is>
      </c>
      <c r="B13" s="710" t="inlineStr">
        <is>
          <t>Hamad Medical Corporation</t>
        </is>
      </c>
      <c r="C13" s="710" t="inlineStr">
        <is>
          <t>مؤسسة حمد الطبية</t>
        </is>
      </c>
      <c r="D13" s="710" t="inlineStr">
        <is>
          <t>Healthcare</t>
        </is>
      </c>
      <c r="E13" s="710" t="inlineStr">
        <is>
          <t>🟡 T3</t>
        </is>
      </c>
      <c r="F13" s="710" t="n">
        <v>2</v>
      </c>
      <c r="G13" s="710" t="n">
        <v>55</v>
      </c>
      <c r="H13" s="710" t="inlineStr">
        <is>
          <t>MANDATORY</t>
        </is>
      </c>
      <c r="I13" s="710" t="inlineStr">
        <is>
          <t>https://hamad.qa</t>
        </is>
      </c>
      <c r="J13" s="710" t="inlineStr"/>
    </row>
    <row r="15">
      <c r="A15" s="712" t="inlineStr">
        <is>
          <t xml:space="preserve">  B │ FRAMEWORKS</t>
        </is>
      </c>
      <c r="B15" s="766" t="n"/>
      <c r="C15" s="766" t="n"/>
      <c r="D15" s="766" t="n"/>
      <c r="E15" s="766" t="n"/>
      <c r="F15" s="766" t="n"/>
      <c r="G15" s="766" t="n"/>
      <c r="H15" s="766" t="n"/>
      <c r="I15" s="766" t="n"/>
      <c r="J15" s="767" t="n"/>
    </row>
    <row r="16">
      <c r="A16" s="713" t="inlineStr">
        <is>
          <t>Framework Code</t>
        </is>
      </c>
      <c r="B16" s="713" t="inlineStr">
        <is>
          <t>Name (EN)</t>
        </is>
      </c>
      <c r="C16" s="713" t="inlineStr">
        <is>
          <t>Issuing Regulator</t>
        </is>
      </c>
      <c r="D16" s="713" t="inlineStr">
        <is>
          <t>Version/Year</t>
        </is>
      </c>
      <c r="E16" s="713" t="inlineStr">
        <is>
          <t>Mandatory?</t>
        </is>
      </c>
      <c r="F16" s="713" t="inlineStr">
        <is>
          <t>Control Count</t>
        </is>
      </c>
      <c r="G16" s="713" t="inlineStr">
        <is>
          <t>Sector Applicability</t>
        </is>
      </c>
      <c r="H16" s="713" t="inlineStr">
        <is>
          <t>Audit Frequency</t>
        </is>
      </c>
      <c r="I16" s="713" t="inlineStr">
        <is>
          <t>Effective Date</t>
        </is>
      </c>
      <c r="J16" s="713" t="inlineStr">
        <is>
          <t>Canonical DB Code</t>
        </is>
      </c>
    </row>
    <row r="17">
      <c r="A17" s="711" t="inlineStr">
        <is>
          <t>QCB-CSF-2024</t>
        </is>
      </c>
      <c r="B17" s="711" t="inlineStr">
        <is>
          <t>QCB Cybersecurity Framework 2024</t>
        </is>
      </c>
      <c r="C17" s="711" t="inlineStr">
        <is>
          <t>QCB</t>
        </is>
      </c>
      <c r="D17" s="711" t="inlineStr">
        <is>
          <t>2024</t>
        </is>
      </c>
      <c r="E17" s="711" t="inlineStr">
        <is>
          <t>Y</t>
        </is>
      </c>
      <c r="F17" s="711" t="n">
        <v>85</v>
      </c>
      <c r="G17" s="711" t="inlineStr">
        <is>
          <t>FIN</t>
        </is>
      </c>
      <c r="H17" s="711" t="inlineStr">
        <is>
          <t>ANNUAL</t>
        </is>
      </c>
      <c r="I17" s="711" t="inlineStr">
        <is>
          <t>2024-01-01</t>
        </is>
      </c>
      <c r="J17" s="711" t="inlineStr">
        <is>
          <t>QCB-CSF-2024</t>
        </is>
      </c>
    </row>
    <row r="18">
      <c r="A18" s="711" t="inlineStr">
        <is>
          <t>QCB-DHPR-2025</t>
        </is>
      </c>
      <c r="B18" s="711" t="inlineStr">
        <is>
          <t>QCB Data Handling &amp; Protection Regulation 2025</t>
        </is>
      </c>
      <c r="C18" s="711" t="inlineStr">
        <is>
          <t>QCB</t>
        </is>
      </c>
      <c r="D18" s="711" t="inlineStr">
        <is>
          <t>2025</t>
        </is>
      </c>
      <c r="E18" s="711" t="inlineStr">
        <is>
          <t>Y</t>
        </is>
      </c>
      <c r="F18" s="711" t="n">
        <v>60</v>
      </c>
      <c r="G18" s="711" t="inlineStr">
        <is>
          <t>FIN</t>
        </is>
      </c>
      <c r="H18" s="711" t="inlineStr">
        <is>
          <t>ANNUAL</t>
        </is>
      </c>
      <c r="I18" s="711" t="inlineStr">
        <is>
          <t>2025-02-01</t>
        </is>
      </c>
      <c r="J18" s="711" t="inlineStr">
        <is>
          <t>QCB-DHPR-2025</t>
        </is>
      </c>
    </row>
    <row r="19">
      <c r="A19" s="711" t="inlineStr">
        <is>
          <t>QCB-TECHRISK</t>
        </is>
      </c>
      <c r="B19" s="711" t="inlineStr">
        <is>
          <t>QCB Technology Risk Management Guidelines</t>
        </is>
      </c>
      <c r="C19" s="711" t="inlineStr">
        <is>
          <t>QCB</t>
        </is>
      </c>
      <c r="D19" s="711" t="inlineStr">
        <is>
          <t>2018+</t>
        </is>
      </c>
      <c r="E19" s="711" t="inlineStr">
        <is>
          <t>Y</t>
        </is>
      </c>
      <c r="F19" s="711" t="n">
        <v>50</v>
      </c>
      <c r="G19" s="711" t="inlineStr">
        <is>
          <t>FIN</t>
        </is>
      </c>
      <c r="H19" s="711" t="inlineStr">
        <is>
          <t>ANNUAL</t>
        </is>
      </c>
      <c r="I19" s="711" t="inlineStr">
        <is>
          <t>2018-01-01</t>
        </is>
      </c>
      <c r="J19" s="711" t="inlineStr">
        <is>
          <t>QCB-TECHRISK</t>
        </is>
      </c>
    </row>
    <row r="20">
      <c r="A20" s="711" t="inlineStr">
        <is>
          <t>QA-PDPPL-2016</t>
        </is>
      </c>
      <c r="B20" s="711" t="inlineStr">
        <is>
          <t>Personal Data Privacy Protection Law 13/2016</t>
        </is>
      </c>
      <c r="C20" s="711" t="inlineStr">
        <is>
          <t>MCIT-QA</t>
        </is>
      </c>
      <c r="D20" s="711" t="inlineStr">
        <is>
          <t>2016</t>
        </is>
      </c>
      <c r="E20" s="711" t="inlineStr">
        <is>
          <t>Y</t>
        </is>
      </c>
      <c r="F20" s="711" t="n">
        <v>35</v>
      </c>
      <c r="G20" s="711" t="inlineStr">
        <is>
          <t>ALL</t>
        </is>
      </c>
      <c r="H20" s="711" t="inlineStr">
        <is>
          <t>ANNUAL</t>
        </is>
      </c>
      <c r="I20" s="711" t="inlineStr">
        <is>
          <t>2016-01-01</t>
        </is>
      </c>
      <c r="J20" s="711" t="inlineStr">
        <is>
          <t>QA-PDPPL-2016</t>
        </is>
      </c>
    </row>
    <row r="21">
      <c r="A21" s="711" t="inlineStr">
        <is>
          <t>QA-NCSA-QCF</t>
        </is>
      </c>
      <c r="B21" s="711" t="inlineStr">
        <is>
          <t>Qatar National Cybersecurity Framework</t>
        </is>
      </c>
      <c r="C21" s="711" t="inlineStr">
        <is>
          <t>NCSA-QA</t>
        </is>
      </c>
      <c r="D21" s="711" t="inlineStr">
        <is>
          <t>2023</t>
        </is>
      </c>
      <c r="E21" s="711" t="inlineStr">
        <is>
          <t>Y</t>
        </is>
      </c>
      <c r="F21" s="711" t="n">
        <v>90</v>
      </c>
      <c r="G21" s="711" t="inlineStr">
        <is>
          <t>ALL</t>
        </is>
      </c>
      <c r="H21" s="711" t="inlineStr">
        <is>
          <t>BIENNIAL</t>
        </is>
      </c>
      <c r="I21" s="711" t="inlineStr">
        <is>
          <t>2023-01-01</t>
        </is>
      </c>
      <c r="J21" s="711" t="inlineStr">
        <is>
          <t>QA-NCSA-QCF</t>
        </is>
      </c>
    </row>
    <row r="22">
      <c r="A22" s="711" t="inlineStr">
        <is>
          <t>QFC-DPR-2023</t>
        </is>
      </c>
      <c r="B22" s="711" t="inlineStr">
        <is>
          <t>QFC Data Protection Regulations 2023</t>
        </is>
      </c>
      <c r="C22" s="711" t="inlineStr">
        <is>
          <t>QFCRA</t>
        </is>
      </c>
      <c r="D22" s="711" t="inlineStr">
        <is>
          <t>2023</t>
        </is>
      </c>
      <c r="E22" s="711" t="inlineStr">
        <is>
          <t>Y</t>
        </is>
      </c>
      <c r="F22" s="711" t="n">
        <v>55</v>
      </c>
      <c r="G22" s="711" t="inlineStr">
        <is>
          <t>QFC</t>
        </is>
      </c>
      <c r="H22" s="711" t="inlineStr">
        <is>
          <t>ANNUAL</t>
        </is>
      </c>
      <c r="I22" s="711" t="inlineStr">
        <is>
          <t>2023-10-01</t>
        </is>
      </c>
      <c r="J22" s="711" t="inlineStr">
        <is>
          <t>QFC-DPR-2023</t>
        </is>
      </c>
    </row>
    <row r="23">
      <c r="A23" s="711" t="inlineStr">
        <is>
          <t>QFCRA-AML</t>
        </is>
      </c>
      <c r="B23" s="711" t="inlineStr">
        <is>
          <t>QFCRA AML/CFT Rules</t>
        </is>
      </c>
      <c r="C23" s="711" t="inlineStr">
        <is>
          <t>QFCRA</t>
        </is>
      </c>
      <c r="D23" s="711" t="inlineStr">
        <is>
          <t>2022</t>
        </is>
      </c>
      <c r="E23" s="711" t="inlineStr">
        <is>
          <t>Y</t>
        </is>
      </c>
      <c r="F23" s="711" t="n">
        <v>40</v>
      </c>
      <c r="G23" s="711" t="inlineStr">
        <is>
          <t>QFC</t>
        </is>
      </c>
      <c r="H23" s="711" t="inlineStr">
        <is>
          <t>ANNUAL</t>
        </is>
      </c>
      <c r="I23" s="711" t="inlineStr">
        <is>
          <t>2022-01-01</t>
        </is>
      </c>
      <c r="J23" s="711" t="inlineStr">
        <is>
          <t>QFCRA-AML</t>
        </is>
      </c>
    </row>
    <row r="24">
      <c r="A24" s="711" t="inlineStr">
        <is>
          <t>QA-DIGITAL-ASSETS-2024</t>
        </is>
      </c>
      <c r="B24" s="711" t="inlineStr">
        <is>
          <t>Qatar Digital Assets Framework 2024</t>
        </is>
      </c>
      <c r="C24" s="711" t="inlineStr">
        <is>
          <t>QFCA/QFCRA</t>
        </is>
      </c>
      <c r="D24" s="711" t="inlineStr">
        <is>
          <t>2024</t>
        </is>
      </c>
      <c r="E24" s="711" t="inlineStr">
        <is>
          <t>Y</t>
        </is>
      </c>
      <c r="F24" s="711" t="n">
        <v>30</v>
      </c>
      <c r="G24" s="711" t="inlineStr">
        <is>
          <t>FIN</t>
        </is>
      </c>
      <c r="H24" s="711" t="inlineStr">
        <is>
          <t>ANNUAL</t>
        </is>
      </c>
      <c r="I24" s="711" t="inlineStr">
        <is>
          <t>2024-09-01</t>
        </is>
      </c>
      <c r="J24" s="711" t="inlineStr">
        <is>
          <t>QA-DIGITAL-ASSETS-2024</t>
        </is>
      </c>
    </row>
    <row r="25">
      <c r="A25" s="711" t="inlineStr">
        <is>
          <t>QCB-AML</t>
        </is>
      </c>
      <c r="B25" s="711" t="inlineStr">
        <is>
          <t>QCB AML/CFT Regulations</t>
        </is>
      </c>
      <c r="C25" s="711" t="inlineStr">
        <is>
          <t>QCB/QFIU</t>
        </is>
      </c>
      <c r="D25" s="711" t="inlineStr">
        <is>
          <t>2022</t>
        </is>
      </c>
      <c r="E25" s="711" t="inlineStr">
        <is>
          <t>Y</t>
        </is>
      </c>
      <c r="F25" s="711" t="n">
        <v>40</v>
      </c>
      <c r="G25" s="711" t="inlineStr">
        <is>
          <t>FIN</t>
        </is>
      </c>
      <c r="H25" s="711" t="inlineStr">
        <is>
          <t>CONTINUOUS</t>
        </is>
      </c>
      <c r="I25" s="711" t="inlineStr">
        <is>
          <t>2022-01-01</t>
        </is>
      </c>
      <c r="J25" s="711" t="inlineStr">
        <is>
          <t>QCB-AML</t>
        </is>
      </c>
    </row>
    <row r="26">
      <c r="A26" s="711" t="inlineStr">
        <is>
          <t>QA-ICT-LAW</t>
        </is>
      </c>
      <c r="B26" s="711" t="inlineStr">
        <is>
          <t>Qatar ICT Law 34/2006 + Amendments</t>
        </is>
      </c>
      <c r="C26" s="711" t="inlineStr">
        <is>
          <t>MCIT-QA</t>
        </is>
      </c>
      <c r="D26" s="711" t="inlineStr">
        <is>
          <t>2006+</t>
        </is>
      </c>
      <c r="E26" s="711" t="inlineStr">
        <is>
          <t>Y</t>
        </is>
      </c>
      <c r="F26" s="711" t="n">
        <v>25</v>
      </c>
      <c r="G26" s="711" t="inlineStr">
        <is>
          <t>ICT</t>
        </is>
      </c>
      <c r="H26" s="711" t="inlineStr">
        <is>
          <t>AS_REQUIRED</t>
        </is>
      </c>
      <c r="I26" s="711" t="inlineStr">
        <is>
          <t>2006-01-01</t>
        </is>
      </c>
      <c r="J26" s="711" t="inlineStr">
        <is>
          <t>QA-ICT-LAW</t>
        </is>
      </c>
    </row>
    <row r="27">
      <c r="A27" s="711" t="inlineStr">
        <is>
          <t>QA-EHEALTH</t>
        </is>
      </c>
      <c r="B27" s="711" t="inlineStr">
        <is>
          <t>Qatar National eHealth Architecture Standards</t>
        </is>
      </c>
      <c r="C27" s="711" t="inlineStr">
        <is>
          <t>MoPH-QA</t>
        </is>
      </c>
      <c r="D27" s="711" t="inlineStr">
        <is>
          <t>2020</t>
        </is>
      </c>
      <c r="E27" s="711" t="inlineStr">
        <is>
          <t>Y</t>
        </is>
      </c>
      <c r="F27" s="711" t="n">
        <v>40</v>
      </c>
      <c r="G27" s="711" t="inlineStr">
        <is>
          <t>HC</t>
        </is>
      </c>
      <c r="H27" s="711" t="inlineStr">
        <is>
          <t>ANNUAL</t>
        </is>
      </c>
      <c r="I27" s="711" t="inlineStr">
        <is>
          <t>2020-01-01</t>
        </is>
      </c>
      <c r="J27" s="711" t="inlineStr">
        <is>
          <t>QA-EHEALTH</t>
        </is>
      </c>
    </row>
    <row r="28">
      <c r="A28" s="711" t="inlineStr">
        <is>
          <t>QE-CYBERSEC</t>
        </is>
      </c>
      <c r="B28" s="711" t="inlineStr">
        <is>
          <t>QatarEnergy Cybersecurity Standards</t>
        </is>
      </c>
      <c r="C28" s="711" t="inlineStr">
        <is>
          <t>QE</t>
        </is>
      </c>
      <c r="D28" s="711" t="inlineStr">
        <is>
          <t>2022</t>
        </is>
      </c>
      <c r="E28" s="711" t="inlineStr">
        <is>
          <t>Y</t>
        </is>
      </c>
      <c r="F28" s="711" t="n">
        <v>60</v>
      </c>
      <c r="G28" s="711" t="inlineStr">
        <is>
          <t>ENR</t>
        </is>
      </c>
      <c r="H28" s="711" t="inlineStr">
        <is>
          <t>ANNUAL</t>
        </is>
      </c>
      <c r="I28" s="711" t="inlineStr">
        <is>
          <t>2022-01-01</t>
        </is>
      </c>
      <c r="J28" s="711" t="inlineStr">
        <is>
          <t>QE-CYBERSEC</t>
        </is>
      </c>
    </row>
    <row r="29">
      <c r="A29" s="711" t="inlineStr">
        <is>
          <t>QA-CLOUD</t>
        </is>
      </c>
      <c r="B29" s="711" t="inlineStr">
        <is>
          <t>Qatar Government Cloud Framework</t>
        </is>
      </c>
      <c r="C29" s="711" t="inlineStr">
        <is>
          <t>MCIT-QA</t>
        </is>
      </c>
      <c r="D29" s="711" t="inlineStr">
        <is>
          <t>2021</t>
        </is>
      </c>
      <c r="E29" s="711" t="inlineStr">
        <is>
          <t>Y</t>
        </is>
      </c>
      <c r="F29" s="711" t="n">
        <v>20</v>
      </c>
      <c r="G29" s="711" t="inlineStr">
        <is>
          <t>GOV</t>
        </is>
      </c>
      <c r="H29" s="711" t="inlineStr">
        <is>
          <t>BIENNIAL</t>
        </is>
      </c>
      <c r="I29" s="711" t="inlineStr">
        <is>
          <t>2021-01-01</t>
        </is>
      </c>
      <c r="J29" s="711" t="inlineStr">
        <is>
          <t>QA-CLOUD</t>
        </is>
      </c>
    </row>
    <row r="31">
      <c r="A31" s="715" t="inlineStr">
        <is>
          <t xml:space="preserve">  C │ CONTROL DOMAINS</t>
        </is>
      </c>
      <c r="B31" s="766" t="n"/>
      <c r="C31" s="766" t="n"/>
      <c r="D31" s="766" t="n"/>
      <c r="E31" s="766" t="n"/>
      <c r="F31" s="766" t="n"/>
      <c r="G31" s="766" t="n"/>
      <c r="H31" s="766" t="n"/>
      <c r="I31" s="766" t="n"/>
      <c r="J31" s="767" t="n"/>
    </row>
    <row r="32">
      <c r="A32" s="716" t="inlineStr">
        <is>
          <t>Domain Code</t>
        </is>
      </c>
      <c r="B32" s="716" t="inlineStr">
        <is>
          <t>Domain Name</t>
        </is>
      </c>
      <c r="C32" s="716" t="inlineStr">
        <is>
          <t>Primary Framework</t>
        </is>
      </c>
      <c r="D32" s="716" t="inlineStr">
        <is>
          <t>Control Count</t>
        </is>
      </c>
      <c r="E32" s="716" t="inlineStr">
        <is>
          <t>Risk Level</t>
        </is>
      </c>
      <c r="F32" s="716" t="inlineStr">
        <is>
          <t>IoT Relevance</t>
        </is>
      </c>
      <c r="G32" s="716" t="inlineStr">
        <is>
          <t>Automation Possible?</t>
        </is>
      </c>
      <c r="H32" s="716" t="inlineStr">
        <is>
          <t>Audit Method</t>
        </is>
      </c>
      <c r="I32" s="716" t="inlineStr">
        <is>
          <t>Shahin AI Score</t>
        </is>
      </c>
      <c r="J32" s="716" t="inlineStr">
        <is>
          <t>Notes</t>
        </is>
      </c>
    </row>
    <row r="33">
      <c r="A33" s="717" t="inlineStr">
        <is>
          <t>QA-CD-01</t>
        </is>
      </c>
      <c r="B33" s="717" t="inlineStr">
        <is>
          <t>Financial Cybersecurity</t>
        </is>
      </c>
      <c r="C33" s="717" t="inlineStr">
        <is>
          <t>QCB-CSF-2024</t>
        </is>
      </c>
      <c r="D33" s="717" t="n">
        <v>85</v>
      </c>
      <c r="E33" s="717" t="inlineStr">
        <is>
          <t>HIGHEST</t>
        </is>
      </c>
      <c r="F33" s="717" t="inlineStr">
        <is>
          <t>HIGH</t>
        </is>
      </c>
      <c r="G33" s="717" t="inlineStr">
        <is>
          <t>Y</t>
        </is>
      </c>
      <c r="H33" s="717" t="inlineStr">
        <is>
          <t>EXTERNAL_AUDIT</t>
        </is>
      </c>
      <c r="I33" s="717" t="n">
        <v>87</v>
      </c>
      <c r="J33" s="717" t="inlineStr"/>
    </row>
    <row r="34">
      <c r="A34" s="718" t="inlineStr">
        <is>
          <t>QA-CD-02</t>
        </is>
      </c>
      <c r="B34" s="718" t="inlineStr">
        <is>
          <t>Data Privacy &amp; Handling</t>
        </is>
      </c>
      <c r="C34" s="718" t="inlineStr">
        <is>
          <t>QA-PDPPL-2016</t>
        </is>
      </c>
      <c r="D34" s="718" t="n">
        <v>55</v>
      </c>
      <c r="E34" s="718" t="inlineStr">
        <is>
          <t>HIGH</t>
        </is>
      </c>
      <c r="F34" s="718" t="inlineStr">
        <is>
          <t>MODERATE</t>
        </is>
      </c>
      <c r="G34" s="718" t="inlineStr">
        <is>
          <t>Y</t>
        </is>
      </c>
      <c r="H34" s="718" t="inlineStr">
        <is>
          <t>SELF_ASSESSMENT</t>
        </is>
      </c>
      <c r="I34" s="718" t="n">
        <v>78</v>
      </c>
      <c r="J34" s="718" t="inlineStr"/>
    </row>
    <row r="35">
      <c r="A35" s="717" t="inlineStr">
        <is>
          <t>QA-CD-03</t>
        </is>
      </c>
      <c r="B35" s="717" t="inlineStr">
        <is>
          <t>Energy/OT Security</t>
        </is>
      </c>
      <c r="C35" s="717" t="inlineStr">
        <is>
          <t>QE-CYBERSEC</t>
        </is>
      </c>
      <c r="D35" s="717" t="n">
        <v>60</v>
      </c>
      <c r="E35" s="717" t="inlineStr">
        <is>
          <t>HIGHEST</t>
        </is>
      </c>
      <c r="F35" s="717" t="inlineStr">
        <is>
          <t>HIGHEST</t>
        </is>
      </c>
      <c r="G35" s="717" t="inlineStr">
        <is>
          <t>PARTIAL</t>
        </is>
      </c>
      <c r="H35" s="717" t="inlineStr">
        <is>
          <t>EXTERNAL_AUDIT</t>
        </is>
      </c>
      <c r="I35" s="717" t="n">
        <v>82</v>
      </c>
      <c r="J35" s="717" t="inlineStr"/>
    </row>
    <row r="36">
      <c r="A36" s="718" t="inlineStr">
        <is>
          <t>QA-CD-04</t>
        </is>
      </c>
      <c r="B36" s="718" t="inlineStr">
        <is>
          <t>Digital Assets</t>
        </is>
      </c>
      <c r="C36" s="718" t="inlineStr">
        <is>
          <t>QA-DIGITAL-ASSETS-2024</t>
        </is>
      </c>
      <c r="D36" s="718" t="n">
        <v>30</v>
      </c>
      <c r="E36" s="718" t="inlineStr">
        <is>
          <t>HIGH</t>
        </is>
      </c>
      <c r="F36" s="718" t="inlineStr">
        <is>
          <t>LOW</t>
        </is>
      </c>
      <c r="G36" s="718" t="inlineStr">
        <is>
          <t>Y</t>
        </is>
      </c>
      <c r="H36" s="718" t="inlineStr">
        <is>
          <t>REGULATOR_INSPECTION</t>
        </is>
      </c>
      <c r="I36" s="718" t="n">
        <v>75</v>
      </c>
      <c r="J36" s="718" t="inlineStr"/>
    </row>
    <row r="37">
      <c r="A37" s="717" t="inlineStr">
        <is>
          <t>QA-CD-05</t>
        </is>
      </c>
      <c r="B37" s="717" t="inlineStr">
        <is>
          <t>Healthcare eHealth</t>
        </is>
      </c>
      <c r="C37" s="717" t="inlineStr">
        <is>
          <t>QA-EHEALTH</t>
        </is>
      </c>
      <c r="D37" s="717" t="n">
        <v>40</v>
      </c>
      <c r="E37" s="717" t="inlineStr">
        <is>
          <t>HIGH</t>
        </is>
      </c>
      <c r="F37" s="717" t="inlineStr">
        <is>
          <t>HIGHEST</t>
        </is>
      </c>
      <c r="G37" s="717" t="inlineStr">
        <is>
          <t>PARTIAL</t>
        </is>
      </c>
      <c r="H37" s="717" t="inlineStr">
        <is>
          <t>EXTERNAL_AUDIT</t>
        </is>
      </c>
      <c r="I37" s="717" t="n">
        <v>72</v>
      </c>
      <c r="J37" s="717" t="inlineStr"/>
    </row>
    <row r="39">
      <c r="A39" s="719" t="inlineStr">
        <is>
          <t xml:space="preserve">  D │ RISK DOMAINS</t>
        </is>
      </c>
      <c r="B39" s="766" t="n"/>
      <c r="C39" s="766" t="n"/>
      <c r="D39" s="766" t="n"/>
      <c r="E39" s="766" t="n"/>
      <c r="F39" s="766" t="n"/>
      <c r="G39" s="766" t="n"/>
      <c r="H39" s="766" t="n"/>
      <c r="I39" s="766" t="n"/>
      <c r="J39" s="767" t="n"/>
    </row>
    <row r="40">
      <c r="A40" s="720" t="inlineStr">
        <is>
          <t>Risk Domain</t>
        </is>
      </c>
      <c r="B40" s="720" t="inlineStr">
        <is>
          <t>Risk Category</t>
        </is>
      </c>
      <c r="C40" s="720" t="inlineStr">
        <is>
          <t>Risk Score (0-100)</t>
        </is>
      </c>
      <c r="D40" s="720" t="inlineStr">
        <is>
          <t>Level</t>
        </is>
      </c>
      <c r="E40" s="720" t="inlineStr">
        <is>
          <t>Primary Regulator</t>
        </is>
      </c>
      <c r="F40" s="720" t="inlineStr">
        <is>
          <t>Linked Framework</t>
        </is>
      </c>
      <c r="G40" s="720" t="inlineStr">
        <is>
          <t>KRI Count</t>
        </is>
      </c>
      <c r="H40" s="720" t="inlineStr">
        <is>
          <t>Escalation Threshold</t>
        </is>
      </c>
      <c r="I40" s="720" t="inlineStr">
        <is>
          <t>Owner Role</t>
        </is>
      </c>
      <c r="J40" s="720" t="inlineStr">
        <is>
          <t>Notes</t>
        </is>
      </c>
    </row>
    <row r="41">
      <c r="A41" s="717" t="inlineStr">
        <is>
          <t>Energy/OT Cyber Risk</t>
        </is>
      </c>
      <c r="B41" s="717" t="inlineStr">
        <is>
          <t>Cybersecurity/CNI</t>
        </is>
      </c>
      <c r="C41" s="717" t="n">
        <v>92</v>
      </c>
      <c r="D41" s="717" t="inlineStr">
        <is>
          <t>HIGHEST</t>
        </is>
      </c>
      <c r="E41" s="717" t="inlineStr">
        <is>
          <t>NCSA-QA</t>
        </is>
      </c>
      <c r="F41" s="717" t="inlineStr">
        <is>
          <t>QE-CYBERSEC</t>
        </is>
      </c>
      <c r="G41" s="717" t="n">
        <v>7</v>
      </c>
      <c r="H41" s="717" t="inlineStr">
        <is>
          <t>OT incident uncontained &gt; 1h</t>
        </is>
      </c>
      <c r="I41" s="717" t="inlineStr">
        <is>
          <t>CISO</t>
        </is>
      </c>
      <c r="J41" s="717" t="inlineStr"/>
    </row>
    <row r="42">
      <c r="A42" s="718" t="inlineStr">
        <is>
          <t>Financial Crime</t>
        </is>
      </c>
      <c r="B42" s="718" t="inlineStr">
        <is>
          <t>AML/CFT</t>
        </is>
      </c>
      <c r="C42" s="718" t="n">
        <v>82</v>
      </c>
      <c r="D42" s="718" t="inlineStr">
        <is>
          <t>HIGH</t>
        </is>
      </c>
      <c r="E42" s="718" t="inlineStr">
        <is>
          <t>QFIU</t>
        </is>
      </c>
      <c r="F42" s="718" t="inlineStr">
        <is>
          <t>QCB-AML</t>
        </is>
      </c>
      <c r="G42" s="718" t="n">
        <v>6</v>
      </c>
      <c r="H42" s="718" t="inlineStr">
        <is>
          <t>STR &gt; 24h</t>
        </is>
      </c>
      <c r="I42" s="718" t="inlineStr">
        <is>
          <t>MLRO</t>
        </is>
      </c>
      <c r="J42" s="718" t="inlineStr"/>
    </row>
    <row r="43">
      <c r="A43" s="717" t="inlineStr">
        <is>
          <t>Data Privacy</t>
        </is>
      </c>
      <c r="B43" s="717" t="inlineStr">
        <is>
          <t>Privacy</t>
        </is>
      </c>
      <c r="C43" s="717" t="n">
        <v>75</v>
      </c>
      <c r="D43" s="717" t="inlineStr">
        <is>
          <t>HIGH</t>
        </is>
      </c>
      <c r="E43" s="717" t="inlineStr">
        <is>
          <t>MCIT-QA</t>
        </is>
      </c>
      <c r="F43" s="717" t="inlineStr">
        <is>
          <t>QA-PDPPL-2016</t>
        </is>
      </c>
      <c r="G43" s="717" t="n">
        <v>5</v>
      </c>
      <c r="H43" s="717" t="inlineStr">
        <is>
          <t>72h breach notification</t>
        </is>
      </c>
      <c r="I43" s="717" t="inlineStr">
        <is>
          <t>DPO</t>
        </is>
      </c>
      <c r="J43" s="717" t="inlineStr"/>
    </row>
    <row r="44">
      <c r="A44" s="718" t="inlineStr">
        <is>
          <t>Digital Asset Risk</t>
        </is>
      </c>
      <c r="B44" s="718" t="inlineStr">
        <is>
          <t>Technology</t>
        </is>
      </c>
      <c r="C44" s="718" t="n">
        <v>70</v>
      </c>
      <c r="D44" s="718" t="inlineStr">
        <is>
          <t>HIGH</t>
        </is>
      </c>
      <c r="E44" s="718" t="inlineStr">
        <is>
          <t>QFCRA</t>
        </is>
      </c>
      <c r="F44" s="718" t="inlineStr">
        <is>
          <t>QA-DIGITAL-ASSETS-2024</t>
        </is>
      </c>
      <c r="G44" s="718" t="n">
        <v>4</v>
      </c>
      <c r="H44" s="718" t="inlineStr">
        <is>
          <t>Custody failure</t>
        </is>
      </c>
      <c r="I44" s="718" t="inlineStr">
        <is>
          <t>CRO</t>
        </is>
      </c>
      <c r="J44" s="718" t="inlineStr"/>
    </row>
    <row r="46">
      <c r="A46" s="721" t="inlineStr">
        <is>
          <t xml:space="preserve">  E │ COMPLIANCE LIFECYCLE</t>
        </is>
      </c>
      <c r="B46" s="766" t="n"/>
      <c r="C46" s="766" t="n"/>
      <c r="D46" s="766" t="n"/>
      <c r="E46" s="766" t="n"/>
      <c r="F46" s="766" t="n"/>
      <c r="G46" s="766" t="n"/>
      <c r="H46" s="766" t="n"/>
      <c r="I46" s="766" t="n"/>
      <c r="J46" s="767" t="n"/>
    </row>
    <row r="47">
      <c r="A47" s="722" t="inlineStr">
        <is>
          <t>Stage</t>
        </is>
      </c>
      <c r="B47" s="722" t="inlineStr">
        <is>
          <t>Stage Code</t>
        </is>
      </c>
      <c r="C47" s="722" t="inlineStr">
        <is>
          <t>Entry Trigger</t>
        </is>
      </c>
      <c r="D47" s="722" t="inlineStr">
        <is>
          <t>Exit Trigger</t>
        </is>
      </c>
      <c r="E47" s="722" t="inlineStr">
        <is>
          <t>Next Stage</t>
        </is>
      </c>
      <c r="F47" s="722" t="inlineStr">
        <is>
          <t>Approval Required</t>
        </is>
      </c>
      <c r="G47" s="722" t="inlineStr">
        <is>
          <t>Typical Duration</t>
        </is>
      </c>
      <c r="H47" s="722" t="inlineStr">
        <is>
          <t>Responsible Role</t>
        </is>
      </c>
      <c r="I47" s="722" t="inlineStr">
        <is>
          <t>Automation</t>
        </is>
      </c>
      <c r="J47" s="722" t="inlineStr">
        <is>
          <t>SLA (Days)</t>
        </is>
      </c>
    </row>
    <row r="48">
      <c r="A48" s="717" t="inlineStr">
        <is>
          <t>Draft</t>
        </is>
      </c>
      <c r="B48" s="717" t="inlineStr">
        <is>
          <t>DRAFT</t>
        </is>
      </c>
      <c r="C48" s="717" t="inlineStr">
        <is>
          <t>Registration initiated</t>
        </is>
      </c>
      <c r="D48" s="717" t="inlineStr">
        <is>
          <t>Initial assessment complete</t>
        </is>
      </c>
      <c r="E48" s="717" t="inlineStr">
        <is>
          <t>ASSESSED</t>
        </is>
      </c>
      <c r="F48" s="717" t="inlineStr">
        <is>
          <t>N</t>
        </is>
      </c>
      <c r="G48" s="717" t="inlineStr">
        <is>
          <t>14 days</t>
        </is>
      </c>
      <c r="H48" s="717" t="inlineStr">
        <is>
          <t>Compliance Officer</t>
        </is>
      </c>
      <c r="I48" s="717" t="inlineStr">
        <is>
          <t>FULL</t>
        </is>
      </c>
      <c r="J48" s="717" t="n">
        <v>14</v>
      </c>
    </row>
    <row r="49">
      <c r="A49" s="718" t="inlineStr">
        <is>
          <t>Assessed</t>
        </is>
      </c>
      <c r="B49" s="718" t="inlineStr">
        <is>
          <t>ASSESSED</t>
        </is>
      </c>
      <c r="C49" s="718" t="inlineStr">
        <is>
          <t>Draft submitted</t>
        </is>
      </c>
      <c r="D49" s="718" t="inlineStr">
        <is>
          <t>Gap analysis approved</t>
        </is>
      </c>
      <c r="E49" s="718" t="inlineStr">
        <is>
          <t>REGISTERED</t>
        </is>
      </c>
      <c r="F49" s="718" t="inlineStr">
        <is>
          <t>Y</t>
        </is>
      </c>
      <c r="G49" s="718" t="inlineStr">
        <is>
          <t>30 days</t>
        </is>
      </c>
      <c r="H49" s="718" t="inlineStr">
        <is>
          <t>Lead Auditor</t>
        </is>
      </c>
      <c r="I49" s="718" t="inlineStr">
        <is>
          <t>PARTIAL</t>
        </is>
      </c>
      <c r="J49" s="718" t="n">
        <v>30</v>
      </c>
    </row>
    <row r="50">
      <c r="A50" s="717" t="inlineStr">
        <is>
          <t>Registered</t>
        </is>
      </c>
      <c r="B50" s="717" t="inlineStr">
        <is>
          <t>REGISTERED</t>
        </is>
      </c>
      <c r="C50" s="717" t="inlineStr">
        <is>
          <t>Assessment passed</t>
        </is>
      </c>
      <c r="D50" s="717" t="inlineStr">
        <is>
          <t>Controls implemented</t>
        </is>
      </c>
      <c r="E50" s="717" t="inlineStr">
        <is>
          <t>ACTIVE</t>
        </is>
      </c>
      <c r="F50" s="717" t="inlineStr">
        <is>
          <t>Y</t>
        </is>
      </c>
      <c r="G50" s="717" t="inlineStr">
        <is>
          <t>90 days</t>
        </is>
      </c>
      <c r="H50" s="717" t="inlineStr">
        <is>
          <t>CISO</t>
        </is>
      </c>
      <c r="I50" s="717" t="inlineStr">
        <is>
          <t>PARTIAL</t>
        </is>
      </c>
      <c r="J50" s="717" t="n">
        <v>90</v>
      </c>
    </row>
    <row r="51">
      <c r="A51" s="718" t="inlineStr">
        <is>
          <t>Active</t>
        </is>
      </c>
      <c r="B51" s="718" t="inlineStr">
        <is>
          <t>ACTIVE</t>
        </is>
      </c>
      <c r="C51" s="718" t="inlineStr">
        <is>
          <t>Registration confirmed</t>
        </is>
      </c>
      <c r="D51" s="718" t="inlineStr">
        <is>
          <t>Audit scheduled</t>
        </is>
      </c>
      <c r="E51" s="718" t="inlineStr">
        <is>
          <t>AUDITED</t>
        </is>
      </c>
      <c r="F51" s="718" t="inlineStr">
        <is>
          <t>N</t>
        </is>
      </c>
      <c r="G51" s="718" t="inlineStr">
        <is>
          <t>Ongoing</t>
        </is>
      </c>
      <c r="H51" s="718" t="inlineStr">
        <is>
          <t>Compliance Officer</t>
        </is>
      </c>
      <c r="I51" s="718" t="inlineStr">
        <is>
          <t>FULL</t>
        </is>
      </c>
      <c r="J51" s="718" t="n">
        <v>365</v>
      </c>
    </row>
    <row r="52">
      <c r="A52" s="717" t="inlineStr">
        <is>
          <t>Audited</t>
        </is>
      </c>
      <c r="B52" s="717" t="inlineStr">
        <is>
          <t>AUDITED</t>
        </is>
      </c>
      <c r="C52" s="717" t="inlineStr">
        <is>
          <t>Annual audit cycle</t>
        </is>
      </c>
      <c r="D52" s="717" t="inlineStr">
        <is>
          <t>Audit report issued</t>
        </is>
      </c>
      <c r="E52" s="717" t="inlineStr">
        <is>
          <t>RENEWED</t>
        </is>
      </c>
      <c r="F52" s="717" t="inlineStr">
        <is>
          <t>Y</t>
        </is>
      </c>
      <c r="G52" s="717" t="inlineStr">
        <is>
          <t>60 days</t>
        </is>
      </c>
      <c r="H52" s="717" t="inlineStr">
        <is>
          <t>External Auditor</t>
        </is>
      </c>
      <c r="I52" s="717" t="inlineStr">
        <is>
          <t>PARTIAL</t>
        </is>
      </c>
      <c r="J52" s="717" t="n">
        <v>60</v>
      </c>
    </row>
    <row r="53">
      <c r="A53" s="718" t="inlineStr">
        <is>
          <t>Renewed</t>
        </is>
      </c>
      <c r="B53" s="718" t="inlineStr">
        <is>
          <t>RENEWED</t>
        </is>
      </c>
      <c r="C53" s="718" t="inlineStr">
        <is>
          <t>Successful audit</t>
        </is>
      </c>
      <c r="D53" s="718" t="inlineStr">
        <is>
          <t>Next cycle begins</t>
        </is>
      </c>
      <c r="E53" s="718" t="inlineStr">
        <is>
          <t>ACTIVE</t>
        </is>
      </c>
      <c r="F53" s="718" t="inlineStr">
        <is>
          <t>N</t>
        </is>
      </c>
      <c r="G53" s="718" t="inlineStr">
        <is>
          <t>1 day</t>
        </is>
      </c>
      <c r="H53" s="718" t="inlineStr">
        <is>
          <t>Compliance Officer</t>
        </is>
      </c>
      <c r="I53" s="718" t="inlineStr">
        <is>
          <t>FULL</t>
        </is>
      </c>
      <c r="J53" s="718" t="n">
        <v>1</v>
      </c>
    </row>
    <row r="54">
      <c r="A54" s="717" t="inlineStr">
        <is>
          <t>Archived</t>
        </is>
      </c>
      <c r="B54" s="717" t="inlineStr">
        <is>
          <t>ARCHIVED</t>
        </is>
      </c>
      <c r="C54" s="717" t="inlineStr">
        <is>
          <t>Decommission / superseded</t>
        </is>
      </c>
      <c r="D54" s="717" t="inlineStr">
        <is>
          <t>N/A</t>
        </is>
      </c>
      <c r="E54" s="717" t="inlineStr">
        <is>
          <t>N/A</t>
        </is>
      </c>
      <c r="F54" s="717" t="inlineStr">
        <is>
          <t>Y</t>
        </is>
      </c>
      <c r="G54" s="717" t="inlineStr">
        <is>
          <t>N/A</t>
        </is>
      </c>
      <c r="H54" s="717" t="inlineStr">
        <is>
          <t>CCO</t>
        </is>
      </c>
      <c r="I54" s="717" t="inlineStr">
        <is>
          <t>N</t>
        </is>
      </c>
      <c r="J54" s="717" t="n">
        <v>0</v>
      </c>
    </row>
    <row r="56">
      <c r="A56" s="723" t="inlineStr">
        <is>
          <t xml:space="preserve">  F │ EVIDENCE REQUIREMENTS</t>
        </is>
      </c>
      <c r="B56" s="766" t="n"/>
      <c r="C56" s="766" t="n"/>
      <c r="D56" s="766" t="n"/>
      <c r="E56" s="766" t="n"/>
      <c r="F56" s="766" t="n"/>
      <c r="G56" s="766" t="n"/>
      <c r="H56" s="766" t="n"/>
      <c r="I56" s="766" t="n"/>
      <c r="J56" s="767" t="n"/>
    </row>
    <row r="57">
      <c r="A57" s="724" t="inlineStr">
        <is>
          <t>Evidence Type</t>
        </is>
      </c>
      <c r="B57" s="724" t="inlineStr">
        <is>
          <t>Framework</t>
        </is>
      </c>
      <c r="C57" s="724" t="inlineStr">
        <is>
          <t>Responsible Role</t>
        </is>
      </c>
      <c r="D57" s="724" t="inlineStr">
        <is>
          <t>Collection Frequency</t>
        </is>
      </c>
      <c r="E57" s="724" t="inlineStr">
        <is>
          <t>Retention (Years)</t>
        </is>
      </c>
      <c r="F57" s="724" t="inlineStr">
        <is>
          <t>Format</t>
        </is>
      </c>
      <c r="G57" s="724" t="inlineStr">
        <is>
          <t>Submittable to Regulator?</t>
        </is>
      </c>
      <c r="H57" s="724" t="inlineStr">
        <is>
          <t>AI Extractable?</t>
        </is>
      </c>
      <c r="I57" s="724" t="inlineStr">
        <is>
          <t>Risk if Missing</t>
        </is>
      </c>
      <c r="J57" s="724" t="inlineStr">
        <is>
          <t>Notes</t>
        </is>
      </c>
    </row>
    <row r="58">
      <c r="A58" s="717" t="inlineStr">
        <is>
          <t>Self-Assessment Report</t>
        </is>
      </c>
      <c r="B58" s="717" t="inlineStr">
        <is>
          <t>ALL</t>
        </is>
      </c>
      <c r="C58" s="717" t="inlineStr">
        <is>
          <t>Compliance Officer</t>
        </is>
      </c>
      <c r="D58" s="717" t="inlineStr">
        <is>
          <t>ANNUAL</t>
        </is>
      </c>
      <c r="E58" s="717" t="n">
        <v>5</v>
      </c>
      <c r="F58" s="717" t="inlineStr">
        <is>
          <t>PDF</t>
        </is>
      </c>
      <c r="G58" s="717" t="inlineStr">
        <is>
          <t>Y</t>
        </is>
      </c>
      <c r="H58" s="717" t="inlineStr">
        <is>
          <t>Y</t>
        </is>
      </c>
      <c r="I58" s="717" t="inlineStr">
        <is>
          <t>HIGH</t>
        </is>
      </c>
      <c r="J58" s="717" t="inlineStr"/>
    </row>
    <row r="59">
      <c r="A59" s="718" t="inlineStr">
        <is>
          <t>Gap Analysis Report</t>
        </is>
      </c>
      <c r="B59" s="718" t="inlineStr">
        <is>
          <t>ALL</t>
        </is>
      </c>
      <c r="C59" s="718" t="inlineStr">
        <is>
          <t>Lead Auditor</t>
        </is>
      </c>
      <c r="D59" s="718" t="inlineStr">
        <is>
          <t>ANNUAL</t>
        </is>
      </c>
      <c r="E59" s="718" t="n">
        <v>5</v>
      </c>
      <c r="F59" s="718" t="inlineStr">
        <is>
          <t>PDF/Excel</t>
        </is>
      </c>
      <c r="G59" s="718" t="inlineStr">
        <is>
          <t>N</t>
        </is>
      </c>
      <c r="H59" s="718" t="inlineStr">
        <is>
          <t>Y</t>
        </is>
      </c>
      <c r="I59" s="718" t="inlineStr">
        <is>
          <t>HIGH</t>
        </is>
      </c>
      <c r="J59" s="718" t="inlineStr"/>
    </row>
    <row r="60">
      <c r="A60" s="717" t="inlineStr">
        <is>
          <t>External Audit Report</t>
        </is>
      </c>
      <c r="B60" s="717" t="inlineStr">
        <is>
          <t>ALL</t>
        </is>
      </c>
      <c r="C60" s="717" t="inlineStr">
        <is>
          <t>External Auditor</t>
        </is>
      </c>
      <c r="D60" s="717" t="inlineStr">
        <is>
          <t>ANNUAL</t>
        </is>
      </c>
      <c r="E60" s="717" t="n">
        <v>7</v>
      </c>
      <c r="F60" s="717" t="inlineStr">
        <is>
          <t>PDF</t>
        </is>
      </c>
      <c r="G60" s="717" t="inlineStr">
        <is>
          <t>Y</t>
        </is>
      </c>
      <c r="H60" s="717" t="inlineStr">
        <is>
          <t>Y</t>
        </is>
      </c>
      <c r="I60" s="717" t="inlineStr">
        <is>
          <t>CRITICAL</t>
        </is>
      </c>
      <c r="J60" s="717" t="inlineStr"/>
    </row>
    <row r="61">
      <c r="A61" s="718" t="inlineStr">
        <is>
          <t>Penetration Test Report</t>
        </is>
      </c>
      <c r="B61" s="718" t="inlineStr">
        <is>
          <t>ALL</t>
        </is>
      </c>
      <c r="C61" s="718" t="inlineStr">
        <is>
          <t>CISO</t>
        </is>
      </c>
      <c r="D61" s="718" t="inlineStr">
        <is>
          <t>ANNUAL</t>
        </is>
      </c>
      <c r="E61" s="718" t="n">
        <v>3</v>
      </c>
      <c r="F61" s="718" t="inlineStr">
        <is>
          <t>PDF</t>
        </is>
      </c>
      <c r="G61" s="718" t="inlineStr">
        <is>
          <t>Y</t>
        </is>
      </c>
      <c r="H61" s="718" t="inlineStr">
        <is>
          <t>Y</t>
        </is>
      </c>
      <c r="I61" s="718" t="inlineStr">
        <is>
          <t>HIGH</t>
        </is>
      </c>
      <c r="J61" s="718" t="inlineStr"/>
    </row>
    <row r="62">
      <c r="A62" s="717" t="inlineStr">
        <is>
          <t>Regulator Inspection Record</t>
        </is>
      </c>
      <c r="B62" s="717" t="inlineStr">
        <is>
          <t>ALL</t>
        </is>
      </c>
      <c r="C62" s="717" t="inlineStr">
        <is>
          <t>CCO</t>
        </is>
      </c>
      <c r="D62" s="717" t="inlineStr">
        <is>
          <t>AS_REQUIRED</t>
        </is>
      </c>
      <c r="E62" s="717" t="n">
        <v>10</v>
      </c>
      <c r="F62" s="717" t="inlineStr">
        <is>
          <t>PDF</t>
        </is>
      </c>
      <c r="G62" s="717" t="inlineStr">
        <is>
          <t>Y</t>
        </is>
      </c>
      <c r="H62" s="717" t="inlineStr">
        <is>
          <t>N</t>
        </is>
      </c>
      <c r="I62" s="717" t="inlineStr">
        <is>
          <t>CRITICAL</t>
        </is>
      </c>
      <c r="J62" s="717" t="inlineStr"/>
    </row>
    <row r="63">
      <c r="A63" s="718" t="inlineStr">
        <is>
          <t>Incident Response Log</t>
        </is>
      </c>
      <c r="B63" s="718" t="inlineStr">
        <is>
          <t>ALL</t>
        </is>
      </c>
      <c r="C63" s="718" t="inlineStr">
        <is>
          <t>CISO</t>
        </is>
      </c>
      <c r="D63" s="718" t="inlineStr">
        <is>
          <t>CONTINUOUS</t>
        </is>
      </c>
      <c r="E63" s="718" t="n">
        <v>5</v>
      </c>
      <c r="F63" s="718" t="inlineStr">
        <is>
          <t>SIEM/PDF</t>
        </is>
      </c>
      <c r="G63" s="718" t="inlineStr">
        <is>
          <t>Y</t>
        </is>
      </c>
      <c r="H63" s="718" t="inlineStr">
        <is>
          <t>Y</t>
        </is>
      </c>
      <c r="I63" s="718" t="inlineStr">
        <is>
          <t>HIGH</t>
        </is>
      </c>
      <c r="J63" s="718" t="inlineStr"/>
    </row>
    <row r="64">
      <c r="A64" s="717" t="inlineStr">
        <is>
          <t>Training Completion Records</t>
        </is>
      </c>
      <c r="B64" s="717" t="inlineStr">
        <is>
          <t>ALL</t>
        </is>
      </c>
      <c r="C64" s="717" t="inlineStr">
        <is>
          <t>CISO</t>
        </is>
      </c>
      <c r="D64" s="717" t="inlineStr">
        <is>
          <t>ANNUAL</t>
        </is>
      </c>
      <c r="E64" s="717" t="n">
        <v>3</v>
      </c>
      <c r="F64" s="717" t="inlineStr">
        <is>
          <t>CSV/PDF</t>
        </is>
      </c>
      <c r="G64" s="717" t="inlineStr">
        <is>
          <t>N</t>
        </is>
      </c>
      <c r="H64" s="717" t="inlineStr">
        <is>
          <t>Y</t>
        </is>
      </c>
      <c r="I64" s="717" t="inlineStr">
        <is>
          <t>MEDIUM</t>
        </is>
      </c>
      <c r="J64" s="717" t="inlineStr"/>
    </row>
    <row r="65">
      <c r="A65" s="718" t="inlineStr">
        <is>
          <t>Vendor Risk Assessments</t>
        </is>
      </c>
      <c r="B65" s="718" t="inlineStr">
        <is>
          <t>ALL</t>
        </is>
      </c>
      <c r="C65" s="718" t="inlineStr">
        <is>
          <t>3rd Party Risk Officer</t>
        </is>
      </c>
      <c r="D65" s="718" t="inlineStr">
        <is>
          <t>ANNUAL</t>
        </is>
      </c>
      <c r="E65" s="718" t="n">
        <v>3</v>
      </c>
      <c r="F65" s="718" t="inlineStr">
        <is>
          <t>Excel/PDF</t>
        </is>
      </c>
      <c r="G65" s="718" t="inlineStr">
        <is>
          <t>N</t>
        </is>
      </c>
      <c r="H65" s="718" t="inlineStr">
        <is>
          <t>Y</t>
        </is>
      </c>
      <c r="I65" s="718" t="inlineStr">
        <is>
          <t>HIGH</t>
        </is>
      </c>
      <c r="J65" s="718" t="inlineStr"/>
    </row>
    <row r="66">
      <c r="A66" s="717" t="inlineStr">
        <is>
          <t>Data Protection Impact Assessment</t>
        </is>
      </c>
      <c r="B66" s="717" t="inlineStr">
        <is>
          <t>PRIVACY</t>
        </is>
      </c>
      <c r="C66" s="717" t="inlineStr">
        <is>
          <t>DPO</t>
        </is>
      </c>
      <c r="D66" s="717" t="inlineStr">
        <is>
          <t>PER_PROJECT</t>
        </is>
      </c>
      <c r="E66" s="717" t="n">
        <v>5</v>
      </c>
      <c r="F66" s="717" t="inlineStr">
        <is>
          <t>PDF</t>
        </is>
      </c>
      <c r="G66" s="717" t="inlineStr">
        <is>
          <t>Y</t>
        </is>
      </c>
      <c r="H66" s="717" t="inlineStr">
        <is>
          <t>Y</t>
        </is>
      </c>
      <c r="I66" s="717" t="inlineStr">
        <is>
          <t>HIGH</t>
        </is>
      </c>
      <c r="J66" s="717" t="inlineStr"/>
    </row>
    <row r="67">
      <c r="A67" s="718" t="inlineStr">
        <is>
          <t>Business Continuity Test Report</t>
        </is>
      </c>
      <c r="B67" s="718" t="inlineStr">
        <is>
          <t>ALL</t>
        </is>
      </c>
      <c r="C67" s="718" t="inlineStr">
        <is>
          <t>BCM Manager</t>
        </is>
      </c>
      <c r="D67" s="718" t="inlineStr">
        <is>
          <t>BIENNIAL</t>
        </is>
      </c>
      <c r="E67" s="718" t="n">
        <v>5</v>
      </c>
      <c r="F67" s="718" t="inlineStr">
        <is>
          <t>PDF</t>
        </is>
      </c>
      <c r="G67" s="718" t="inlineStr">
        <is>
          <t>N</t>
        </is>
      </c>
      <c r="H67" s="718" t="inlineStr">
        <is>
          <t>N</t>
        </is>
      </c>
      <c r="I67" s="718" t="inlineStr">
        <is>
          <t>MEDIUM</t>
        </is>
      </c>
      <c r="J67" s="718" t="inlineStr"/>
    </row>
    <row r="69">
      <c r="A69" s="725" t="inlineStr">
        <is>
          <t xml:space="preserve">  G │ GRC MATURITY BENCHMARKS</t>
        </is>
      </c>
      <c r="B69" s="766" t="n"/>
      <c r="C69" s="766" t="n"/>
      <c r="D69" s="766" t="n"/>
      <c r="E69" s="766" t="n"/>
      <c r="F69" s="766" t="n"/>
      <c r="G69" s="766" t="n"/>
      <c r="H69" s="766" t="n"/>
      <c r="I69" s="766" t="n"/>
      <c r="J69" s="767" t="n"/>
    </row>
    <row r="70">
      <c r="A70" s="726" t="inlineStr">
        <is>
          <t>Domain</t>
        </is>
      </c>
      <c r="B70" s="726" t="inlineStr">
        <is>
          <t>Maturity Model</t>
        </is>
      </c>
      <c r="C70" s="726" t="inlineStr">
        <is>
          <t>Country Avg Score</t>
        </is>
      </c>
      <c r="D70" s="726" t="inlineStr">
        <is>
          <t>Best-in-Class</t>
        </is>
      </c>
      <c r="E70" s="726" t="inlineStr">
        <is>
          <t>Typical Target</t>
        </is>
      </c>
      <c r="F70" s="726" t="inlineStr">
        <is>
          <t>Gap to Target</t>
        </is>
      </c>
      <c r="G70" s="726" t="inlineStr">
        <is>
          <t>Priority</t>
        </is>
      </c>
      <c r="H70" s="726" t="inlineStr">
        <is>
          <t>Key Barrier</t>
        </is>
      </c>
      <c r="I70" s="726" t="inlineStr">
        <is>
          <t>Shahin AI Recommendation</t>
        </is>
      </c>
      <c r="J70" s="726" t="inlineStr">
        <is>
          <t>Ref Framework</t>
        </is>
      </c>
    </row>
    <row r="71">
      <c r="A71" s="717" t="inlineStr">
        <is>
          <t>GRC Governance</t>
        </is>
      </c>
      <c r="B71" s="717" t="inlineStr">
        <is>
          <t>CMMI 1-5</t>
        </is>
      </c>
      <c r="C71" s="717" t="n">
        <v>2.8</v>
      </c>
      <c r="D71" s="717" t="n">
        <v>4.5</v>
      </c>
      <c r="E71" s="717" t="n">
        <v>3.5</v>
      </c>
      <c r="F71" s="717" t="n">
        <v>0.7</v>
      </c>
      <c r="G71" s="717" t="inlineStr">
        <is>
          <t>HIGH</t>
        </is>
      </c>
      <c r="H71" s="717" t="inlineStr">
        <is>
          <t>Framework complexity</t>
        </is>
      </c>
      <c r="I71" s="717" t="inlineStr">
        <is>
          <t>Centralise GRC tooling</t>
        </is>
      </c>
      <c r="J71" s="717" t="inlineStr">
        <is>
          <t>QA-NCSA-QCF</t>
        </is>
      </c>
    </row>
    <row r="72">
      <c r="A72" s="718" t="inlineStr">
        <is>
          <t>Cybersecurity Controls</t>
        </is>
      </c>
      <c r="B72" s="718" t="inlineStr">
        <is>
          <t>CMMI 1-5</t>
        </is>
      </c>
      <c r="C72" s="718" t="n">
        <v>3</v>
      </c>
      <c r="D72" s="718" t="n">
        <v>4.5</v>
      </c>
      <c r="E72" s="718" t="n">
        <v>4</v>
      </c>
      <c r="F72" s="718" t="n">
        <v>1</v>
      </c>
      <c r="G72" s="718" t="inlineStr">
        <is>
          <t>HIGH</t>
        </is>
      </c>
      <c r="H72" s="718" t="inlineStr">
        <is>
          <t>OT systems integration</t>
        </is>
      </c>
      <c r="I72" s="718" t="inlineStr">
        <is>
          <t>OT/IT convergence programme</t>
        </is>
      </c>
      <c r="J72" s="718" t="inlineStr">
        <is>
          <t>QCB-CSF-2024</t>
        </is>
      </c>
    </row>
    <row r="73">
      <c r="A73" s="717" t="inlineStr">
        <is>
          <t>Data Privacy</t>
        </is>
      </c>
      <c r="B73" s="717" t="inlineStr">
        <is>
          <t>CMMI 1-5</t>
        </is>
      </c>
      <c r="C73" s="717" t="n">
        <v>2</v>
      </c>
      <c r="D73" s="717" t="n">
        <v>4</v>
      </c>
      <c r="E73" s="717" t="n">
        <v>3</v>
      </c>
      <c r="F73" s="717" t="n">
        <v>1</v>
      </c>
      <c r="G73" s="717" t="inlineStr">
        <is>
          <t>HIGH</t>
        </is>
      </c>
      <c r="H73" s="717" t="inlineStr">
        <is>
          <t>Consent management</t>
        </is>
      </c>
      <c r="I73" s="717" t="inlineStr">
        <is>
          <t>Deploy CIAM platform</t>
        </is>
      </c>
      <c r="J73" s="717" t="inlineStr">
        <is>
          <t>QA-PDPPL-2016</t>
        </is>
      </c>
    </row>
    <row r="74">
      <c r="A74" s="718" t="inlineStr">
        <is>
          <t>AML/CFT</t>
        </is>
      </c>
      <c r="B74" s="718" t="inlineStr">
        <is>
          <t>CMMI 1-5</t>
        </is>
      </c>
      <c r="C74" s="718" t="n">
        <v>3.2</v>
      </c>
      <c r="D74" s="718" t="n">
        <v>4.5</v>
      </c>
      <c r="E74" s="718" t="n">
        <v>4</v>
      </c>
      <c r="F74" s="718" t="n">
        <v>0.8</v>
      </c>
      <c r="G74" s="718" t="inlineStr">
        <is>
          <t>MEDIUM</t>
        </is>
      </c>
      <c r="H74" s="718" t="inlineStr">
        <is>
          <t>Cross-border visibility</t>
        </is>
      </c>
      <c r="I74" s="718" t="inlineStr">
        <is>
          <t>Network analytics</t>
        </is>
      </c>
      <c r="J74" s="718" t="inlineStr">
        <is>
          <t>QCB-AML</t>
        </is>
      </c>
    </row>
  </sheetData>
  <mergeCells count="8">
    <mergeCell ref="A1:J1"/>
    <mergeCell ref="A46:J46"/>
    <mergeCell ref="A31:J31"/>
    <mergeCell ref="A56:J56"/>
    <mergeCell ref="A39:J39"/>
    <mergeCell ref="A69:J69"/>
    <mergeCell ref="A15:J15"/>
    <mergeCell ref="A2:J2"/>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J69"/>
  <sheetViews>
    <sheetView showGridLines="0" workbookViewId="0">
      <pane ySplit="2" topLeftCell="A3" activePane="bottomLeft" state="frozen"/>
      <selection pane="bottomLeft" activeCell="A1" sqref="A1"/>
    </sheetView>
  </sheetViews>
  <sheetFormatPr baseColWidth="8" defaultRowHeight="15"/>
  <cols>
    <col width="18" customWidth="1" min="1" max="1"/>
    <col width="38" customWidth="1" min="2" max="2"/>
    <col width="28" customWidth="1" min="3" max="3"/>
    <col width="24" customWidth="1" min="4" max="4"/>
    <col width="12" customWidth="1" min="5" max="5"/>
    <col width="12" customWidth="1" min="6" max="6"/>
    <col width="22" customWidth="1" min="7" max="7"/>
    <col width="18" customWidth="1" min="8" max="8"/>
    <col width="20" customWidth="1" min="9" max="9"/>
    <col width="28" customWidth="1" min="10" max="10"/>
  </cols>
  <sheetData>
    <row r="1" ht="30" customHeight="1">
      <c r="A1" s="705" t="inlineStr">
        <is>
          <t>🇧🇭  Bahrain (BH)  ·  GRC Regulatory Intelligence</t>
        </is>
      </c>
    </row>
    <row r="2">
      <c r="A2" s="706" t="inlineStr">
        <is>
          <t xml:space="preserve">  A │ REGULATORS</t>
        </is>
      </c>
      <c r="B2" s="766" t="n"/>
      <c r="C2" s="766" t="n"/>
      <c r="D2" s="766" t="n"/>
      <c r="E2" s="766" t="n"/>
      <c r="F2" s="766" t="n"/>
      <c r="G2" s="766" t="n"/>
      <c r="H2" s="766" t="n"/>
      <c r="I2" s="766" t="n"/>
      <c r="J2" s="767" t="n"/>
    </row>
    <row r="3">
      <c r="A3" s="707" t="inlineStr">
        <is>
          <t>Code</t>
        </is>
      </c>
      <c r="B3" s="707" t="inlineStr">
        <is>
          <t>Name (EN)</t>
        </is>
      </c>
      <c r="C3" s="707" t="inlineStr">
        <is>
          <t>Name (AR)</t>
        </is>
      </c>
      <c r="D3" s="707" t="inlineStr">
        <is>
          <t>Sector Group</t>
        </is>
      </c>
      <c r="E3" s="707" t="inlineStr">
        <is>
          <t>Tier</t>
        </is>
      </c>
      <c r="F3" s="707" t="inlineStr">
        <is>
          <t>Own FW Count</t>
        </is>
      </c>
      <c r="G3" s="707" t="inlineStr">
        <is>
          <t>Power Index</t>
        </is>
      </c>
      <c r="H3" s="707" t="inlineStr">
        <is>
          <t>Enforcement</t>
        </is>
      </c>
      <c r="I3" s="707" t="inlineStr">
        <is>
          <t>Website</t>
        </is>
      </c>
      <c r="J3" s="707" t="inlineStr">
        <is>
          <t>Notes</t>
        </is>
      </c>
    </row>
    <row r="4">
      <c r="A4" s="708" t="inlineStr">
        <is>
          <t>CBB</t>
        </is>
      </c>
      <c r="B4" s="708" t="inlineStr">
        <is>
          <t>Central Bank of Bahrain</t>
        </is>
      </c>
      <c r="C4" s="708" t="inlineStr">
        <is>
          <t>مصرف البحرين المركزي</t>
        </is>
      </c>
      <c r="D4" s="708" t="inlineStr">
        <is>
          <t>Financial</t>
        </is>
      </c>
      <c r="E4" s="708" t="inlineStr">
        <is>
          <t>🔴 T1</t>
        </is>
      </c>
      <c r="F4" s="708" t="n">
        <v>8</v>
      </c>
      <c r="G4" s="708" t="n">
        <v>95</v>
      </c>
      <c r="H4" s="708" t="inlineStr">
        <is>
          <t>MANDATORY</t>
        </is>
      </c>
      <c r="I4" s="708" t="inlineStr">
        <is>
          <t>https://cbb.gov.bh</t>
        </is>
      </c>
      <c r="J4" s="708" t="inlineStr"/>
    </row>
    <row r="5">
      <c r="A5" s="708" t="inlineStr">
        <is>
          <t>NCSC-BH</t>
        </is>
      </c>
      <c r="B5" s="708" t="inlineStr">
        <is>
          <t>National Cybersecurity Centre</t>
        </is>
      </c>
      <c r="C5" s="708" t="inlineStr">
        <is>
          <t>المركز الوطني للأمن السيبراني</t>
        </is>
      </c>
      <c r="D5" s="708" t="inlineStr">
        <is>
          <t>Cybersecurity</t>
        </is>
      </c>
      <c r="E5" s="708" t="inlineStr">
        <is>
          <t>🔴 T1</t>
        </is>
      </c>
      <c r="F5" s="708" t="n">
        <v>3</v>
      </c>
      <c r="G5" s="708" t="n">
        <v>88</v>
      </c>
      <c r="H5" s="708" t="inlineStr">
        <is>
          <t>MANDATORY</t>
        </is>
      </c>
      <c r="I5" s="708" t="inlineStr">
        <is>
          <t>https://ncsc.gov.bh</t>
        </is>
      </c>
      <c r="J5" s="708" t="inlineStr"/>
    </row>
    <row r="6">
      <c r="A6" s="709" t="inlineStr">
        <is>
          <t>TRA-BH</t>
        </is>
      </c>
      <c r="B6" s="709" t="inlineStr">
        <is>
          <t>Telecommunications Regulatory Authority</t>
        </is>
      </c>
      <c r="C6" s="709" t="inlineStr">
        <is>
          <t>هيئة تنظيم الاتصالات</t>
        </is>
      </c>
      <c r="D6" s="709" t="inlineStr">
        <is>
          <t>ICT/Telecom</t>
        </is>
      </c>
      <c r="E6" s="709" t="inlineStr">
        <is>
          <t>🟠 T2</t>
        </is>
      </c>
      <c r="F6" s="709" t="n">
        <v>3</v>
      </c>
      <c r="G6" s="709" t="n">
        <v>72</v>
      </c>
      <c r="H6" s="709" t="inlineStr">
        <is>
          <t>MANDATORY</t>
        </is>
      </c>
      <c r="I6" s="709" t="inlineStr">
        <is>
          <t>https://tra.org.bh</t>
        </is>
      </c>
      <c r="J6" s="709" t="inlineStr"/>
    </row>
    <row r="7">
      <c r="A7" s="709" t="inlineStr">
        <is>
          <t>PDPA-BH</t>
        </is>
      </c>
      <c r="B7" s="709" t="inlineStr">
        <is>
          <t>Personal Data Protection Authority</t>
        </is>
      </c>
      <c r="C7" s="709" t="inlineStr">
        <is>
          <t>هيئة حماية البيانات الشخصية</t>
        </is>
      </c>
      <c r="D7" s="709" t="inlineStr">
        <is>
          <t>Data/Privacy</t>
        </is>
      </c>
      <c r="E7" s="709" t="inlineStr">
        <is>
          <t>🟠 T2</t>
        </is>
      </c>
      <c r="F7" s="709" t="n">
        <v>2</v>
      </c>
      <c r="G7" s="709" t="n">
        <v>75</v>
      </c>
      <c r="H7" s="709" t="inlineStr">
        <is>
          <t>MANDATORY</t>
        </is>
      </c>
      <c r="I7" s="709" t="inlineStr"/>
      <c r="J7" s="709" t="inlineStr"/>
    </row>
    <row r="8">
      <c r="A8" s="709" t="inlineStr">
        <is>
          <t>MOH-BH</t>
        </is>
      </c>
      <c r="B8" s="709" t="inlineStr">
        <is>
          <t>Ministry of Health</t>
        </is>
      </c>
      <c r="C8" s="709" t="inlineStr">
        <is>
          <t>وزارة الصحة</t>
        </is>
      </c>
      <c r="D8" s="709" t="inlineStr">
        <is>
          <t>Healthcare</t>
        </is>
      </c>
      <c r="E8" s="709" t="inlineStr">
        <is>
          <t>🟠 T2</t>
        </is>
      </c>
      <c r="F8" s="709" t="n">
        <v>2</v>
      </c>
      <c r="G8" s="709" t="n">
        <v>60</v>
      </c>
      <c r="H8" s="709" t="inlineStr">
        <is>
          <t>MANDATORY</t>
        </is>
      </c>
      <c r="I8" s="709" t="inlineStr">
        <is>
          <t>https://moh.gov.bh</t>
        </is>
      </c>
      <c r="J8" s="709" t="inlineStr"/>
    </row>
    <row r="9">
      <c r="A9" s="709" t="inlineStr">
        <is>
          <t>BHB</t>
        </is>
      </c>
      <c r="B9" s="709" t="inlineStr">
        <is>
          <t>Bahrain Bourse</t>
        </is>
      </c>
      <c r="C9" s="709" t="inlineStr">
        <is>
          <t>بورصة البحرين</t>
        </is>
      </c>
      <c r="D9" s="709" t="inlineStr">
        <is>
          <t>Capital Markets</t>
        </is>
      </c>
      <c r="E9" s="709" t="inlineStr">
        <is>
          <t>🟠 T2</t>
        </is>
      </c>
      <c r="F9" s="709" t="n">
        <v>3</v>
      </c>
      <c r="G9" s="709" t="n">
        <v>65</v>
      </c>
      <c r="H9" s="709" t="inlineStr">
        <is>
          <t>MANDATORY</t>
        </is>
      </c>
      <c r="I9" s="709" t="inlineStr">
        <is>
          <t>https://bahrainbourse.com</t>
        </is>
      </c>
      <c r="J9" s="709" t="inlineStr"/>
    </row>
    <row r="10">
      <c r="A10" s="709" t="inlineStr">
        <is>
          <t>FIU-BH</t>
        </is>
      </c>
      <c r="B10" s="709" t="inlineStr">
        <is>
          <t>Financial Intelligence Unit</t>
        </is>
      </c>
      <c r="C10" s="709" t="inlineStr">
        <is>
          <t>وحدة الاستخبارات المالية</t>
        </is>
      </c>
      <c r="D10" s="709" t="inlineStr">
        <is>
          <t>AML/CFT</t>
        </is>
      </c>
      <c r="E10" s="709" t="inlineStr">
        <is>
          <t>🟠 T2</t>
        </is>
      </c>
      <c r="F10" s="709" t="n">
        <v>1</v>
      </c>
      <c r="G10" s="709" t="n">
        <v>78</v>
      </c>
      <c r="H10" s="709" t="inlineStr">
        <is>
          <t>MANDATORY</t>
        </is>
      </c>
      <c r="I10" s="709" t="inlineStr"/>
      <c r="J10" s="709" t="inlineStr"/>
    </row>
    <row r="11">
      <c r="A11" s="710" t="inlineStr">
        <is>
          <t>EDB-BH</t>
        </is>
      </c>
      <c r="B11" s="710" t="inlineStr">
        <is>
          <t>Economic Development Board</t>
        </is>
      </c>
      <c r="C11" s="710" t="inlineStr">
        <is>
          <t>مجلس التنمية الاقتصادية</t>
        </is>
      </c>
      <c r="D11" s="710" t="inlineStr">
        <is>
          <t>Investment</t>
        </is>
      </c>
      <c r="E11" s="710" t="inlineStr">
        <is>
          <t>🟡 T3</t>
        </is>
      </c>
      <c r="F11" s="710" t="n">
        <v>0</v>
      </c>
      <c r="G11" s="710" t="n">
        <v>45</v>
      </c>
      <c r="H11" s="710" t="inlineStr">
        <is>
          <t>VOLUNTARY</t>
        </is>
      </c>
      <c r="I11" s="710" t="inlineStr">
        <is>
          <t>https://bahrainedb.com</t>
        </is>
      </c>
      <c r="J11" s="710" t="inlineStr"/>
    </row>
    <row r="13">
      <c r="A13" s="712" t="inlineStr">
        <is>
          <t xml:space="preserve">  B │ FRAMEWORKS</t>
        </is>
      </c>
      <c r="B13" s="766" t="n"/>
      <c r="C13" s="766" t="n"/>
      <c r="D13" s="766" t="n"/>
      <c r="E13" s="766" t="n"/>
      <c r="F13" s="766" t="n"/>
      <c r="G13" s="766" t="n"/>
      <c r="H13" s="766" t="n"/>
      <c r="I13" s="766" t="n"/>
      <c r="J13" s="767" t="n"/>
    </row>
    <row r="14">
      <c r="A14" s="713" t="inlineStr">
        <is>
          <t>Framework Code</t>
        </is>
      </c>
      <c r="B14" s="713" t="inlineStr">
        <is>
          <t>Name (EN)</t>
        </is>
      </c>
      <c r="C14" s="713" t="inlineStr">
        <is>
          <t>Issuing Regulator</t>
        </is>
      </c>
      <c r="D14" s="713" t="inlineStr">
        <is>
          <t>Version/Year</t>
        </is>
      </c>
      <c r="E14" s="713" t="inlineStr">
        <is>
          <t>Mandatory?</t>
        </is>
      </c>
      <c r="F14" s="713" t="inlineStr">
        <is>
          <t>Control Count</t>
        </is>
      </c>
      <c r="G14" s="713" t="inlineStr">
        <is>
          <t>Sector Applicability</t>
        </is>
      </c>
      <c r="H14" s="713" t="inlineStr">
        <is>
          <t>Audit Frequency</t>
        </is>
      </c>
      <c r="I14" s="713" t="inlineStr">
        <is>
          <t>Effective Date</t>
        </is>
      </c>
      <c r="J14" s="713" t="inlineStr">
        <is>
          <t>Canonical DB Code</t>
        </is>
      </c>
    </row>
    <row r="15">
      <c r="A15" s="711" t="inlineStr">
        <is>
          <t>CBB-RULEBOOK-V1</t>
        </is>
      </c>
      <c r="B15" s="711" t="inlineStr">
        <is>
          <t>CBB Rulebook Vol.1 – Conventional Banks</t>
        </is>
      </c>
      <c r="C15" s="711" t="inlineStr">
        <is>
          <t>CBB</t>
        </is>
      </c>
      <c r="D15" s="711" t="inlineStr">
        <is>
          <t>2023</t>
        </is>
      </c>
      <c r="E15" s="711" t="inlineStr">
        <is>
          <t>Y</t>
        </is>
      </c>
      <c r="F15" s="711" t="n">
        <v>120</v>
      </c>
      <c r="G15" s="711" t="inlineStr">
        <is>
          <t>FIN</t>
        </is>
      </c>
      <c r="H15" s="711" t="inlineStr">
        <is>
          <t>ANNUAL</t>
        </is>
      </c>
      <c r="I15" s="711" t="inlineStr">
        <is>
          <t>2001-01-01</t>
        </is>
      </c>
      <c r="J15" s="711" t="inlineStr">
        <is>
          <t>CBB-RULEBOOK-V1</t>
        </is>
      </c>
    </row>
    <row r="16">
      <c r="A16" s="711" t="inlineStr">
        <is>
          <t>CBB-RULEBOOK-V2</t>
        </is>
      </c>
      <c r="B16" s="711" t="inlineStr">
        <is>
          <t>CBB Rulebook Vol.2 – Islamic Banks</t>
        </is>
      </c>
      <c r="C16" s="711" t="inlineStr">
        <is>
          <t>CBB</t>
        </is>
      </c>
      <c r="D16" s="711" t="inlineStr">
        <is>
          <t>2023</t>
        </is>
      </c>
      <c r="E16" s="711" t="inlineStr">
        <is>
          <t>Y</t>
        </is>
      </c>
      <c r="F16" s="711" t="n">
        <v>115</v>
      </c>
      <c r="G16" s="711" t="inlineStr">
        <is>
          <t>FIN</t>
        </is>
      </c>
      <c r="H16" s="711" t="inlineStr">
        <is>
          <t>ANNUAL</t>
        </is>
      </c>
      <c r="I16" s="711" t="inlineStr">
        <is>
          <t>2001-01-01</t>
        </is>
      </c>
      <c r="J16" s="711" t="inlineStr">
        <is>
          <t>CBB-RULEBOOK-V2</t>
        </is>
      </c>
    </row>
    <row r="17">
      <c r="A17" s="711" t="inlineStr">
        <is>
          <t>CBB-CSF</t>
        </is>
      </c>
      <c r="B17" s="711" t="inlineStr">
        <is>
          <t>CBB Cybersecurity Framework (NIST-aligned)</t>
        </is>
      </c>
      <c r="C17" s="711" t="inlineStr">
        <is>
          <t>CBB</t>
        </is>
      </c>
      <c r="D17" s="711" t="inlineStr">
        <is>
          <t>2022</t>
        </is>
      </c>
      <c r="E17" s="711" t="inlineStr">
        <is>
          <t>Y</t>
        </is>
      </c>
      <c r="F17" s="711" t="n">
        <v>92</v>
      </c>
      <c r="G17" s="711" t="inlineStr">
        <is>
          <t>FIN</t>
        </is>
      </c>
      <c r="H17" s="711" t="inlineStr">
        <is>
          <t>ANNUAL</t>
        </is>
      </c>
      <c r="I17" s="711" t="inlineStr">
        <is>
          <t>2022-01-01</t>
        </is>
      </c>
      <c r="J17" s="711" t="inlineStr">
        <is>
          <t>CBB-CSF</t>
        </is>
      </c>
    </row>
    <row r="18">
      <c r="A18" s="711" t="inlineStr">
        <is>
          <t>BH-PDPL-2018</t>
        </is>
      </c>
      <c r="B18" s="711" t="inlineStr">
        <is>
          <t>Bahrain Personal Data Protection Law (Law 30/2018)</t>
        </is>
      </c>
      <c r="C18" s="711" t="inlineStr">
        <is>
          <t>PDPA-BH</t>
        </is>
      </c>
      <c r="D18" s="711" t="inlineStr">
        <is>
          <t>2018</t>
        </is>
      </c>
      <c r="E18" s="711" t="inlineStr">
        <is>
          <t>Y</t>
        </is>
      </c>
      <c r="F18" s="711" t="n">
        <v>45</v>
      </c>
      <c r="G18" s="711" t="inlineStr">
        <is>
          <t>ALL</t>
        </is>
      </c>
      <c r="H18" s="711" t="inlineStr">
        <is>
          <t>ANNUAL</t>
        </is>
      </c>
      <c r="I18" s="711" t="inlineStr">
        <is>
          <t>2019-08-01</t>
        </is>
      </c>
      <c r="J18" s="711" t="inlineStr">
        <is>
          <t>BH-PDPL-2018</t>
        </is>
      </c>
    </row>
    <row r="19">
      <c r="A19" s="711" t="inlineStr">
        <is>
          <t>BH-NCS-2024-2028</t>
        </is>
      </c>
      <c r="B19" s="711" t="inlineStr">
        <is>
          <t>Bahrain National Cybersecurity Strategy 2024-2028</t>
        </is>
      </c>
      <c r="C19" s="711" t="inlineStr">
        <is>
          <t>NCSC-BH</t>
        </is>
      </c>
      <c r="D19" s="711" t="inlineStr">
        <is>
          <t>2024</t>
        </is>
      </c>
      <c r="E19" s="711" t="inlineStr">
        <is>
          <t>Y</t>
        </is>
      </c>
      <c r="F19" s="711" t="n">
        <v>50</v>
      </c>
      <c r="G19" s="711" t="inlineStr">
        <is>
          <t>ALL</t>
        </is>
      </c>
      <c r="H19" s="711" t="inlineStr">
        <is>
          <t>BIENNIAL</t>
        </is>
      </c>
      <c r="I19" s="711" t="inlineStr">
        <is>
          <t>2024-01-01</t>
        </is>
      </c>
      <c r="J19" s="711" t="inlineStr">
        <is>
          <t>BH-NCS-2024-2028</t>
        </is>
      </c>
    </row>
    <row r="20">
      <c r="A20" s="711" t="inlineStr">
        <is>
          <t>BH-NCSC-CIC</t>
        </is>
      </c>
      <c r="B20" s="711" t="inlineStr">
        <is>
          <t>NCSC Critical Infrastructure Controls</t>
        </is>
      </c>
      <c r="C20" s="711" t="inlineStr">
        <is>
          <t>NCSC-BH</t>
        </is>
      </c>
      <c r="D20" s="711" t="inlineStr">
        <is>
          <t>2023</t>
        </is>
      </c>
      <c r="E20" s="711" t="inlineStr">
        <is>
          <t>Y</t>
        </is>
      </c>
      <c r="F20" s="711" t="n">
        <v>80</v>
      </c>
      <c r="G20" s="711" t="inlineStr">
        <is>
          <t>CNI</t>
        </is>
      </c>
      <c r="H20" s="711" t="inlineStr">
        <is>
          <t>ANNUAL</t>
        </is>
      </c>
      <c r="I20" s="711" t="inlineStr">
        <is>
          <t>2023-01-01</t>
        </is>
      </c>
      <c r="J20" s="711" t="inlineStr">
        <is>
          <t>BH-NCSC-CIC</t>
        </is>
      </c>
    </row>
    <row r="21">
      <c r="A21" s="711" t="inlineStr">
        <is>
          <t>CBB-AML</t>
        </is>
      </c>
      <c r="B21" s="711" t="inlineStr">
        <is>
          <t>CBB AML/CFT Module</t>
        </is>
      </c>
      <c r="C21" s="711" t="inlineStr">
        <is>
          <t>CBB/FIU-BH</t>
        </is>
      </c>
      <c r="D21" s="711" t="inlineStr">
        <is>
          <t>2022</t>
        </is>
      </c>
      <c r="E21" s="711" t="inlineStr">
        <is>
          <t>Y</t>
        </is>
      </c>
      <c r="F21" s="711" t="n">
        <v>55</v>
      </c>
      <c r="G21" s="711" t="inlineStr">
        <is>
          <t>FIN</t>
        </is>
      </c>
      <c r="H21" s="711" t="inlineStr">
        <is>
          <t>CONTINUOUS</t>
        </is>
      </c>
      <c r="I21" s="711" t="inlineStr">
        <is>
          <t>2022-01-01</t>
        </is>
      </c>
      <c r="J21" s="711" t="inlineStr">
        <is>
          <t>CBB-AML</t>
        </is>
      </c>
    </row>
    <row r="22">
      <c r="A22" s="711" t="inlineStr">
        <is>
          <t>CBB-BCCS</t>
        </is>
      </c>
      <c r="B22" s="711" t="inlineStr">
        <is>
          <t>CBB Business Continuity / Cloud Services Policy</t>
        </is>
      </c>
      <c r="C22" s="711" t="inlineStr">
        <is>
          <t>CBB</t>
        </is>
      </c>
      <c r="D22" s="711" t="inlineStr">
        <is>
          <t>2021</t>
        </is>
      </c>
      <c r="E22" s="711" t="inlineStr">
        <is>
          <t>Y</t>
        </is>
      </c>
      <c r="F22" s="711" t="n">
        <v>35</v>
      </c>
      <c r="G22" s="711" t="inlineStr">
        <is>
          <t>FIN</t>
        </is>
      </c>
      <c r="H22" s="711" t="inlineStr">
        <is>
          <t>BIENNIAL</t>
        </is>
      </c>
      <c r="I22" s="711" t="inlineStr">
        <is>
          <t>2021-01-01</t>
        </is>
      </c>
      <c r="J22" s="711" t="inlineStr">
        <is>
          <t>CBB-BCCS</t>
        </is>
      </c>
    </row>
    <row r="23">
      <c r="A23" s="711" t="inlineStr">
        <is>
          <t>TRA-BH-DATA</t>
        </is>
      </c>
      <c r="B23" s="711" t="inlineStr">
        <is>
          <t>TRA Data Privacy Regulations</t>
        </is>
      </c>
      <c r="C23" s="711" t="inlineStr">
        <is>
          <t>TRA-BH</t>
        </is>
      </c>
      <c r="D23" s="711" t="inlineStr">
        <is>
          <t>2021</t>
        </is>
      </c>
      <c r="E23" s="711" t="inlineStr">
        <is>
          <t>Y</t>
        </is>
      </c>
      <c r="F23" s="711" t="n">
        <v>30</v>
      </c>
      <c r="G23" s="711" t="inlineStr">
        <is>
          <t>ICT</t>
        </is>
      </c>
      <c r="H23" s="711" t="inlineStr">
        <is>
          <t>ANNUAL</t>
        </is>
      </c>
      <c r="I23" s="711" t="inlineStr">
        <is>
          <t>2021-01-01</t>
        </is>
      </c>
      <c r="J23" s="711" t="inlineStr">
        <is>
          <t>TRA-BH-DATA</t>
        </is>
      </c>
    </row>
    <row r="24">
      <c r="A24" s="711" t="inlineStr">
        <is>
          <t>BH-OPEN-BANKING</t>
        </is>
      </c>
      <c r="B24" s="711" t="inlineStr">
        <is>
          <t>CBB Open Banking Framework</t>
        </is>
      </c>
      <c r="C24" s="711" t="inlineStr">
        <is>
          <t>CBB</t>
        </is>
      </c>
      <c r="D24" s="711" t="inlineStr">
        <is>
          <t>2023</t>
        </is>
      </c>
      <c r="E24" s="711" t="inlineStr">
        <is>
          <t>Y</t>
        </is>
      </c>
      <c r="F24" s="711" t="n">
        <v>40</v>
      </c>
      <c r="G24" s="711" t="inlineStr">
        <is>
          <t>FIN</t>
        </is>
      </c>
      <c r="H24" s="711" t="inlineStr">
        <is>
          <t>ANNUAL</t>
        </is>
      </c>
      <c r="I24" s="711" t="inlineStr">
        <is>
          <t>2023-01-01</t>
        </is>
      </c>
      <c r="J24" s="711" t="inlineStr">
        <is>
          <t>BH-OPEN-BANKING</t>
        </is>
      </c>
    </row>
    <row r="25">
      <c r="A25" s="711" t="inlineStr">
        <is>
          <t>BH-AML-2001-AMD</t>
        </is>
      </c>
      <c r="B25" s="711" t="inlineStr">
        <is>
          <t>Bahrain AML Law (Decree 4/2001 + Amendments)</t>
        </is>
      </c>
      <c r="C25" s="711" t="inlineStr">
        <is>
          <t>FIU-BH</t>
        </is>
      </c>
      <c r="D25" s="711" t="inlineStr">
        <is>
          <t>2001+</t>
        </is>
      </c>
      <c r="E25" s="711" t="inlineStr">
        <is>
          <t>Y</t>
        </is>
      </c>
      <c r="F25" s="711" t="n">
        <v>25</v>
      </c>
      <c r="G25" s="711" t="inlineStr">
        <is>
          <t>ALL</t>
        </is>
      </c>
      <c r="H25" s="711" t="inlineStr">
        <is>
          <t>CONTINUOUS</t>
        </is>
      </c>
      <c r="I25" s="711" t="inlineStr">
        <is>
          <t>2001-01-01</t>
        </is>
      </c>
      <c r="J25" s="711" t="inlineStr">
        <is>
          <t>BH-AML-2001-AMD</t>
        </is>
      </c>
    </row>
    <row r="26">
      <c r="A26" s="711" t="inlineStr">
        <is>
          <t>BH-EHEALTH</t>
        </is>
      </c>
      <c r="B26" s="711" t="inlineStr">
        <is>
          <t>MOH eHealth Standards</t>
        </is>
      </c>
      <c r="C26" s="711" t="inlineStr">
        <is>
          <t>MOH-BH</t>
        </is>
      </c>
      <c r="D26" s="711" t="inlineStr">
        <is>
          <t>2020</t>
        </is>
      </c>
      <c r="E26" s="711" t="inlineStr">
        <is>
          <t>Y</t>
        </is>
      </c>
      <c r="F26" s="711" t="n">
        <v>30</v>
      </c>
      <c r="G26" s="711" t="inlineStr">
        <is>
          <t>HC</t>
        </is>
      </c>
      <c r="H26" s="711" t="inlineStr">
        <is>
          <t>ANNUAL</t>
        </is>
      </c>
      <c r="I26" s="711" t="inlineStr">
        <is>
          <t>2020-01-01</t>
        </is>
      </c>
      <c r="J26" s="711" t="inlineStr">
        <is>
          <t>BH-EHEALTH</t>
        </is>
      </c>
    </row>
    <row r="27">
      <c r="A27" s="711" t="inlineStr">
        <is>
          <t>BH-CLOUD</t>
        </is>
      </c>
      <c r="B27" s="711" t="inlineStr">
        <is>
          <t>Bahrain Cloud Policy</t>
        </is>
      </c>
      <c r="C27" s="711" t="inlineStr">
        <is>
          <t>NCSC-BH</t>
        </is>
      </c>
      <c r="D27" s="711" t="inlineStr">
        <is>
          <t>2021</t>
        </is>
      </c>
      <c r="E27" s="711" t="inlineStr">
        <is>
          <t>Y</t>
        </is>
      </c>
      <c r="F27" s="711" t="n">
        <v>20</v>
      </c>
      <c r="G27" s="711" t="inlineStr">
        <is>
          <t>GOV</t>
        </is>
      </c>
      <c r="H27" s="711" t="inlineStr">
        <is>
          <t>BIENNIAL</t>
        </is>
      </c>
      <c r="I27" s="711" t="inlineStr">
        <is>
          <t>2021-01-01</t>
        </is>
      </c>
      <c r="J27" s="711" t="inlineStr">
        <is>
          <t>BH-CLOUD</t>
        </is>
      </c>
    </row>
    <row r="29">
      <c r="A29" s="715" t="inlineStr">
        <is>
          <t xml:space="preserve">  C │ CONTROL DOMAINS</t>
        </is>
      </c>
      <c r="B29" s="766" t="n"/>
      <c r="C29" s="766" t="n"/>
      <c r="D29" s="766" t="n"/>
      <c r="E29" s="766" t="n"/>
      <c r="F29" s="766" t="n"/>
      <c r="G29" s="766" t="n"/>
      <c r="H29" s="766" t="n"/>
      <c r="I29" s="766" t="n"/>
      <c r="J29" s="767" t="n"/>
    </row>
    <row r="30">
      <c r="A30" s="716" t="inlineStr">
        <is>
          <t>Domain Code</t>
        </is>
      </c>
      <c r="B30" s="716" t="inlineStr">
        <is>
          <t>Domain Name</t>
        </is>
      </c>
      <c r="C30" s="716" t="inlineStr">
        <is>
          <t>Primary Framework</t>
        </is>
      </c>
      <c r="D30" s="716" t="inlineStr">
        <is>
          <t>Control Count</t>
        </is>
      </c>
      <c r="E30" s="716" t="inlineStr">
        <is>
          <t>Risk Level</t>
        </is>
      </c>
      <c r="F30" s="716" t="inlineStr">
        <is>
          <t>IoT Relevance</t>
        </is>
      </c>
      <c r="G30" s="716" t="inlineStr">
        <is>
          <t>Automation Possible?</t>
        </is>
      </c>
      <c r="H30" s="716" t="inlineStr">
        <is>
          <t>Audit Method</t>
        </is>
      </c>
      <c r="I30" s="716" t="inlineStr">
        <is>
          <t>Shahin AI Score</t>
        </is>
      </c>
      <c r="J30" s="716" t="inlineStr">
        <is>
          <t>Notes</t>
        </is>
      </c>
    </row>
    <row r="31">
      <c r="A31" s="717" t="inlineStr">
        <is>
          <t>BH-CD-01</t>
        </is>
      </c>
      <c r="B31" s="717" t="inlineStr">
        <is>
          <t>Banking Cybersecurity</t>
        </is>
      </c>
      <c r="C31" s="717" t="inlineStr">
        <is>
          <t>CBB-CSF</t>
        </is>
      </c>
      <c r="D31" s="717" t="n">
        <v>92</v>
      </c>
      <c r="E31" s="717" t="inlineStr">
        <is>
          <t>HIGHEST</t>
        </is>
      </c>
      <c r="F31" s="717" t="inlineStr">
        <is>
          <t>MODERATE</t>
        </is>
      </c>
      <c r="G31" s="717" t="inlineStr">
        <is>
          <t>Y</t>
        </is>
      </c>
      <c r="H31" s="717" t="inlineStr">
        <is>
          <t>EXTERNAL_AUDIT</t>
        </is>
      </c>
      <c r="I31" s="717" t="n">
        <v>85</v>
      </c>
      <c r="J31" s="717" t="inlineStr"/>
    </row>
    <row r="32">
      <c r="A32" s="718" t="inlineStr">
        <is>
          <t>BH-CD-02</t>
        </is>
      </c>
      <c r="B32" s="718" t="inlineStr">
        <is>
          <t>Data Privacy</t>
        </is>
      </c>
      <c r="C32" s="718" t="inlineStr">
        <is>
          <t>BH-PDPL-2018</t>
        </is>
      </c>
      <c r="D32" s="718" t="n">
        <v>45</v>
      </c>
      <c r="E32" s="718" t="inlineStr">
        <is>
          <t>HIGH</t>
        </is>
      </c>
      <c r="F32" s="718" t="inlineStr">
        <is>
          <t>MODERATE</t>
        </is>
      </c>
      <c r="G32" s="718" t="inlineStr">
        <is>
          <t>Y</t>
        </is>
      </c>
      <c r="H32" s="718" t="inlineStr">
        <is>
          <t>SELF_ASSESSMENT</t>
        </is>
      </c>
      <c r="I32" s="718" t="n">
        <v>80</v>
      </c>
      <c r="J32" s="718" t="inlineStr"/>
    </row>
    <row r="33">
      <c r="A33" s="717" t="inlineStr">
        <is>
          <t>BH-CD-03</t>
        </is>
      </c>
      <c r="B33" s="717" t="inlineStr">
        <is>
          <t>AML/CFT</t>
        </is>
      </c>
      <c r="C33" s="717" t="inlineStr">
        <is>
          <t>CBB-AML</t>
        </is>
      </c>
      <c r="D33" s="717" t="n">
        <v>55</v>
      </c>
      <c r="E33" s="717" t="inlineStr">
        <is>
          <t>HIGHEST</t>
        </is>
      </c>
      <c r="F33" s="717" t="inlineStr">
        <is>
          <t>LOW</t>
        </is>
      </c>
      <c r="G33" s="717" t="inlineStr">
        <is>
          <t>PARTIAL</t>
        </is>
      </c>
      <c r="H33" s="717" t="inlineStr">
        <is>
          <t>REGULATOR_INSPECTION</t>
        </is>
      </c>
      <c r="I33" s="717" t="n">
        <v>82</v>
      </c>
      <c r="J33" s="717" t="inlineStr"/>
    </row>
    <row r="34">
      <c r="A34" s="718" t="inlineStr">
        <is>
          <t>BH-CD-04</t>
        </is>
      </c>
      <c r="B34" s="718" t="inlineStr">
        <is>
          <t>Critical Infrastructure</t>
        </is>
      </c>
      <c r="C34" s="718" t="inlineStr">
        <is>
          <t>BH-NCSC-CIC</t>
        </is>
      </c>
      <c r="D34" s="718" t="n">
        <v>80</v>
      </c>
      <c r="E34" s="718" t="inlineStr">
        <is>
          <t>HIGHEST</t>
        </is>
      </c>
      <c r="F34" s="718" t="inlineStr">
        <is>
          <t>HIGH</t>
        </is>
      </c>
      <c r="G34" s="718" t="inlineStr">
        <is>
          <t>PARTIAL</t>
        </is>
      </c>
      <c r="H34" s="718" t="inlineStr">
        <is>
          <t>EXTERNAL_AUDIT</t>
        </is>
      </c>
      <c r="I34" s="718" t="n">
        <v>78</v>
      </c>
      <c r="J34" s="718" t="inlineStr"/>
    </row>
    <row r="36">
      <c r="A36" s="719" t="inlineStr">
        <is>
          <t xml:space="preserve">  D │ RISK DOMAINS</t>
        </is>
      </c>
      <c r="B36" s="766" t="n"/>
      <c r="C36" s="766" t="n"/>
      <c r="D36" s="766" t="n"/>
      <c r="E36" s="766" t="n"/>
      <c r="F36" s="766" t="n"/>
      <c r="G36" s="766" t="n"/>
      <c r="H36" s="766" t="n"/>
      <c r="I36" s="766" t="n"/>
      <c r="J36" s="767" t="n"/>
    </row>
    <row r="37">
      <c r="A37" s="720" t="inlineStr">
        <is>
          <t>Risk Domain</t>
        </is>
      </c>
      <c r="B37" s="720" t="inlineStr">
        <is>
          <t>Risk Category</t>
        </is>
      </c>
      <c r="C37" s="720" t="inlineStr">
        <is>
          <t>Risk Score (0-100)</t>
        </is>
      </c>
      <c r="D37" s="720" t="inlineStr">
        <is>
          <t>Level</t>
        </is>
      </c>
      <c r="E37" s="720" t="inlineStr">
        <is>
          <t>Primary Regulator</t>
        </is>
      </c>
      <c r="F37" s="720" t="inlineStr">
        <is>
          <t>Linked Framework</t>
        </is>
      </c>
      <c r="G37" s="720" t="inlineStr">
        <is>
          <t>KRI Count</t>
        </is>
      </c>
      <c r="H37" s="720" t="inlineStr">
        <is>
          <t>Escalation Threshold</t>
        </is>
      </c>
      <c r="I37" s="720" t="inlineStr">
        <is>
          <t>Owner Role</t>
        </is>
      </c>
      <c r="J37" s="720" t="inlineStr">
        <is>
          <t>Notes</t>
        </is>
      </c>
    </row>
    <row r="38">
      <c r="A38" s="717" t="inlineStr">
        <is>
          <t>Financial Sector Cyber</t>
        </is>
      </c>
      <c r="B38" s="717" t="inlineStr">
        <is>
          <t>Cybersecurity</t>
        </is>
      </c>
      <c r="C38" s="717" t="n">
        <v>85</v>
      </c>
      <c r="D38" s="717" t="inlineStr">
        <is>
          <t>HIGHEST</t>
        </is>
      </c>
      <c r="E38" s="717" t="inlineStr">
        <is>
          <t>CBB/NCSC-BH</t>
        </is>
      </c>
      <c r="F38" s="717" t="inlineStr">
        <is>
          <t>CBB-CSF</t>
        </is>
      </c>
      <c r="G38" s="717" t="n">
        <v>7</v>
      </c>
      <c r="H38" s="717" t="inlineStr">
        <is>
          <t>Score &lt; 75</t>
        </is>
      </c>
      <c r="I38" s="717" t="inlineStr">
        <is>
          <t>CISO</t>
        </is>
      </c>
      <c r="J38" s="717" t="inlineStr"/>
    </row>
    <row r="39">
      <c r="A39" s="718" t="inlineStr">
        <is>
          <t>Data Privacy</t>
        </is>
      </c>
      <c r="B39" s="718" t="inlineStr">
        <is>
          <t>Privacy</t>
        </is>
      </c>
      <c r="C39" s="718" t="n">
        <v>75</v>
      </c>
      <c r="D39" s="718" t="inlineStr">
        <is>
          <t>HIGH</t>
        </is>
      </c>
      <c r="E39" s="718" t="inlineStr">
        <is>
          <t>PDPA-BH</t>
        </is>
      </c>
      <c r="F39" s="718" t="inlineStr">
        <is>
          <t>BH-PDPL-2018</t>
        </is>
      </c>
      <c r="G39" s="718" t="n">
        <v>5</v>
      </c>
      <c r="H39" s="718" t="inlineStr">
        <is>
          <t>72h breach notification</t>
        </is>
      </c>
      <c r="I39" s="718" t="inlineStr">
        <is>
          <t>DPO</t>
        </is>
      </c>
      <c r="J39" s="718" t="inlineStr"/>
    </row>
    <row r="40">
      <c r="A40" s="717" t="inlineStr">
        <is>
          <t>AML/CFT</t>
        </is>
      </c>
      <c r="B40" s="717" t="inlineStr">
        <is>
          <t>Financial Crime</t>
        </is>
      </c>
      <c r="C40" s="717" t="n">
        <v>80</v>
      </c>
      <c r="D40" s="717" t="inlineStr">
        <is>
          <t>HIGH</t>
        </is>
      </c>
      <c r="E40" s="717" t="inlineStr">
        <is>
          <t>FIU-BH</t>
        </is>
      </c>
      <c r="F40" s="717" t="inlineStr">
        <is>
          <t>CBB-AML</t>
        </is>
      </c>
      <c r="G40" s="717" t="n">
        <v>6</v>
      </c>
      <c r="H40" s="717" t="inlineStr">
        <is>
          <t>STR failure</t>
        </is>
      </c>
      <c r="I40" s="717" t="inlineStr">
        <is>
          <t>MLRO</t>
        </is>
      </c>
      <c r="J40" s="717" t="inlineStr"/>
    </row>
    <row r="42">
      <c r="A42" s="721" t="inlineStr">
        <is>
          <t xml:space="preserve">  E │ COMPLIANCE LIFECYCLE</t>
        </is>
      </c>
      <c r="B42" s="766" t="n"/>
      <c r="C42" s="766" t="n"/>
      <c r="D42" s="766" t="n"/>
      <c r="E42" s="766" t="n"/>
      <c r="F42" s="766" t="n"/>
      <c r="G42" s="766" t="n"/>
      <c r="H42" s="766" t="n"/>
      <c r="I42" s="766" t="n"/>
      <c r="J42" s="767" t="n"/>
    </row>
    <row r="43">
      <c r="A43" s="722" t="inlineStr">
        <is>
          <t>Stage</t>
        </is>
      </c>
      <c r="B43" s="722" t="inlineStr">
        <is>
          <t>Stage Code</t>
        </is>
      </c>
      <c r="C43" s="722" t="inlineStr">
        <is>
          <t>Entry Trigger</t>
        </is>
      </c>
      <c r="D43" s="722" t="inlineStr">
        <is>
          <t>Exit Trigger</t>
        </is>
      </c>
      <c r="E43" s="722" t="inlineStr">
        <is>
          <t>Next Stage</t>
        </is>
      </c>
      <c r="F43" s="722" t="inlineStr">
        <is>
          <t>Approval Required</t>
        </is>
      </c>
      <c r="G43" s="722" t="inlineStr">
        <is>
          <t>Typical Duration</t>
        </is>
      </c>
      <c r="H43" s="722" t="inlineStr">
        <is>
          <t>Responsible Role</t>
        </is>
      </c>
      <c r="I43" s="722" t="inlineStr">
        <is>
          <t>Automation</t>
        </is>
      </c>
      <c r="J43" s="722" t="inlineStr">
        <is>
          <t>SLA (Days)</t>
        </is>
      </c>
    </row>
    <row r="44">
      <c r="A44" s="717" t="inlineStr">
        <is>
          <t>Draft</t>
        </is>
      </c>
      <c r="B44" s="717" t="inlineStr">
        <is>
          <t>DRAFT</t>
        </is>
      </c>
      <c r="C44" s="717" t="inlineStr">
        <is>
          <t>Registration initiated</t>
        </is>
      </c>
      <c r="D44" s="717" t="inlineStr">
        <is>
          <t>Initial assessment complete</t>
        </is>
      </c>
      <c r="E44" s="717" t="inlineStr">
        <is>
          <t>ASSESSED</t>
        </is>
      </c>
      <c r="F44" s="717" t="inlineStr">
        <is>
          <t>N</t>
        </is>
      </c>
      <c r="G44" s="717" t="inlineStr">
        <is>
          <t>14 days</t>
        </is>
      </c>
      <c r="H44" s="717" t="inlineStr">
        <is>
          <t>Compliance Officer</t>
        </is>
      </c>
      <c r="I44" s="717" t="inlineStr">
        <is>
          <t>FULL</t>
        </is>
      </c>
      <c r="J44" s="717" t="n">
        <v>14</v>
      </c>
    </row>
    <row r="45">
      <c r="A45" s="718" t="inlineStr">
        <is>
          <t>Assessed</t>
        </is>
      </c>
      <c r="B45" s="718" t="inlineStr">
        <is>
          <t>ASSESSED</t>
        </is>
      </c>
      <c r="C45" s="718" t="inlineStr">
        <is>
          <t>Draft submitted</t>
        </is>
      </c>
      <c r="D45" s="718" t="inlineStr">
        <is>
          <t>Gap analysis approved</t>
        </is>
      </c>
      <c r="E45" s="718" t="inlineStr">
        <is>
          <t>REGISTERED</t>
        </is>
      </c>
      <c r="F45" s="718" t="inlineStr">
        <is>
          <t>Y</t>
        </is>
      </c>
      <c r="G45" s="718" t="inlineStr">
        <is>
          <t>30 days</t>
        </is>
      </c>
      <c r="H45" s="718" t="inlineStr">
        <is>
          <t>Lead Auditor</t>
        </is>
      </c>
      <c r="I45" s="718" t="inlineStr">
        <is>
          <t>PARTIAL</t>
        </is>
      </c>
      <c r="J45" s="718" t="n">
        <v>30</v>
      </c>
    </row>
    <row r="46">
      <c r="A46" s="717" t="inlineStr">
        <is>
          <t>Registered</t>
        </is>
      </c>
      <c r="B46" s="717" t="inlineStr">
        <is>
          <t>REGISTERED</t>
        </is>
      </c>
      <c r="C46" s="717" t="inlineStr">
        <is>
          <t>Assessment passed</t>
        </is>
      </c>
      <c r="D46" s="717" t="inlineStr">
        <is>
          <t>Controls implemented</t>
        </is>
      </c>
      <c r="E46" s="717" t="inlineStr">
        <is>
          <t>ACTIVE</t>
        </is>
      </c>
      <c r="F46" s="717" t="inlineStr">
        <is>
          <t>Y</t>
        </is>
      </c>
      <c r="G46" s="717" t="inlineStr">
        <is>
          <t>90 days</t>
        </is>
      </c>
      <c r="H46" s="717" t="inlineStr">
        <is>
          <t>CISO</t>
        </is>
      </c>
      <c r="I46" s="717" t="inlineStr">
        <is>
          <t>PARTIAL</t>
        </is>
      </c>
      <c r="J46" s="717" t="n">
        <v>90</v>
      </c>
    </row>
    <row r="47">
      <c r="A47" s="718" t="inlineStr">
        <is>
          <t>Active</t>
        </is>
      </c>
      <c r="B47" s="718" t="inlineStr">
        <is>
          <t>ACTIVE</t>
        </is>
      </c>
      <c r="C47" s="718" t="inlineStr">
        <is>
          <t>Registration confirmed</t>
        </is>
      </c>
      <c r="D47" s="718" t="inlineStr">
        <is>
          <t>Audit scheduled</t>
        </is>
      </c>
      <c r="E47" s="718" t="inlineStr">
        <is>
          <t>AUDITED</t>
        </is>
      </c>
      <c r="F47" s="718" t="inlineStr">
        <is>
          <t>N</t>
        </is>
      </c>
      <c r="G47" s="718" t="inlineStr">
        <is>
          <t>Ongoing</t>
        </is>
      </c>
      <c r="H47" s="718" t="inlineStr">
        <is>
          <t>Compliance Officer</t>
        </is>
      </c>
      <c r="I47" s="718" t="inlineStr">
        <is>
          <t>FULL</t>
        </is>
      </c>
      <c r="J47" s="718" t="n">
        <v>365</v>
      </c>
    </row>
    <row r="48">
      <c r="A48" s="717" t="inlineStr">
        <is>
          <t>Audited</t>
        </is>
      </c>
      <c r="B48" s="717" t="inlineStr">
        <is>
          <t>AUDITED</t>
        </is>
      </c>
      <c r="C48" s="717" t="inlineStr">
        <is>
          <t>Annual audit cycle</t>
        </is>
      </c>
      <c r="D48" s="717" t="inlineStr">
        <is>
          <t>Audit report issued</t>
        </is>
      </c>
      <c r="E48" s="717" t="inlineStr">
        <is>
          <t>RENEWED</t>
        </is>
      </c>
      <c r="F48" s="717" t="inlineStr">
        <is>
          <t>Y</t>
        </is>
      </c>
      <c r="G48" s="717" t="inlineStr">
        <is>
          <t>60 days</t>
        </is>
      </c>
      <c r="H48" s="717" t="inlineStr">
        <is>
          <t>External Auditor</t>
        </is>
      </c>
      <c r="I48" s="717" t="inlineStr">
        <is>
          <t>PARTIAL</t>
        </is>
      </c>
      <c r="J48" s="717" t="n">
        <v>60</v>
      </c>
    </row>
    <row r="49">
      <c r="A49" s="718" t="inlineStr">
        <is>
          <t>Renewed</t>
        </is>
      </c>
      <c r="B49" s="718" t="inlineStr">
        <is>
          <t>RENEWED</t>
        </is>
      </c>
      <c r="C49" s="718" t="inlineStr">
        <is>
          <t>Successful audit</t>
        </is>
      </c>
      <c r="D49" s="718" t="inlineStr">
        <is>
          <t>Next cycle begins</t>
        </is>
      </c>
      <c r="E49" s="718" t="inlineStr">
        <is>
          <t>ACTIVE</t>
        </is>
      </c>
      <c r="F49" s="718" t="inlineStr">
        <is>
          <t>N</t>
        </is>
      </c>
      <c r="G49" s="718" t="inlineStr">
        <is>
          <t>1 day</t>
        </is>
      </c>
      <c r="H49" s="718" t="inlineStr">
        <is>
          <t>Compliance Officer</t>
        </is>
      </c>
      <c r="I49" s="718" t="inlineStr">
        <is>
          <t>FULL</t>
        </is>
      </c>
      <c r="J49" s="718" t="n">
        <v>1</v>
      </c>
    </row>
    <row r="50">
      <c r="A50" s="717" t="inlineStr">
        <is>
          <t>Archived</t>
        </is>
      </c>
      <c r="B50" s="717" t="inlineStr">
        <is>
          <t>ARCHIVED</t>
        </is>
      </c>
      <c r="C50" s="717" t="inlineStr">
        <is>
          <t>Decommission / superseded</t>
        </is>
      </c>
      <c r="D50" s="717" t="inlineStr">
        <is>
          <t>N/A</t>
        </is>
      </c>
      <c r="E50" s="717" t="inlineStr">
        <is>
          <t>N/A</t>
        </is>
      </c>
      <c r="F50" s="717" t="inlineStr">
        <is>
          <t>Y</t>
        </is>
      </c>
      <c r="G50" s="717" t="inlineStr">
        <is>
          <t>N/A</t>
        </is>
      </c>
      <c r="H50" s="717" t="inlineStr">
        <is>
          <t>CCO</t>
        </is>
      </c>
      <c r="I50" s="717" t="inlineStr">
        <is>
          <t>N</t>
        </is>
      </c>
      <c r="J50" s="717" t="n">
        <v>0</v>
      </c>
    </row>
    <row r="52">
      <c r="A52" s="723" t="inlineStr">
        <is>
          <t xml:space="preserve">  F │ EVIDENCE REQUIREMENTS</t>
        </is>
      </c>
      <c r="B52" s="766" t="n"/>
      <c r="C52" s="766" t="n"/>
      <c r="D52" s="766" t="n"/>
      <c r="E52" s="766" t="n"/>
      <c r="F52" s="766" t="n"/>
      <c r="G52" s="766" t="n"/>
      <c r="H52" s="766" t="n"/>
      <c r="I52" s="766" t="n"/>
      <c r="J52" s="767" t="n"/>
    </row>
    <row r="53">
      <c r="A53" s="724" t="inlineStr">
        <is>
          <t>Evidence Type</t>
        </is>
      </c>
      <c r="B53" s="724" t="inlineStr">
        <is>
          <t>Framework</t>
        </is>
      </c>
      <c r="C53" s="724" t="inlineStr">
        <is>
          <t>Responsible Role</t>
        </is>
      </c>
      <c r="D53" s="724" t="inlineStr">
        <is>
          <t>Collection Frequency</t>
        </is>
      </c>
      <c r="E53" s="724" t="inlineStr">
        <is>
          <t>Retention (Years)</t>
        </is>
      </c>
      <c r="F53" s="724" t="inlineStr">
        <is>
          <t>Format</t>
        </is>
      </c>
      <c r="G53" s="724" t="inlineStr">
        <is>
          <t>Submittable to Regulator?</t>
        </is>
      </c>
      <c r="H53" s="724" t="inlineStr">
        <is>
          <t>AI Extractable?</t>
        </is>
      </c>
      <c r="I53" s="724" t="inlineStr">
        <is>
          <t>Risk if Missing</t>
        </is>
      </c>
      <c r="J53" s="724" t="inlineStr">
        <is>
          <t>Notes</t>
        </is>
      </c>
    </row>
    <row r="54">
      <c r="A54" s="717" t="inlineStr">
        <is>
          <t>Self-Assessment Report</t>
        </is>
      </c>
      <c r="B54" s="717" t="inlineStr">
        <is>
          <t>ALL</t>
        </is>
      </c>
      <c r="C54" s="717" t="inlineStr">
        <is>
          <t>Compliance Officer</t>
        </is>
      </c>
      <c r="D54" s="717" t="inlineStr">
        <is>
          <t>ANNUAL</t>
        </is>
      </c>
      <c r="E54" s="717" t="n">
        <v>5</v>
      </c>
      <c r="F54" s="717" t="inlineStr">
        <is>
          <t>PDF</t>
        </is>
      </c>
      <c r="G54" s="717" t="inlineStr">
        <is>
          <t>Y</t>
        </is>
      </c>
      <c r="H54" s="717" t="inlineStr">
        <is>
          <t>Y</t>
        </is>
      </c>
      <c r="I54" s="717" t="inlineStr">
        <is>
          <t>HIGH</t>
        </is>
      </c>
      <c r="J54" s="717" t="inlineStr"/>
    </row>
    <row r="55">
      <c r="A55" s="718" t="inlineStr">
        <is>
          <t>Gap Analysis Report</t>
        </is>
      </c>
      <c r="B55" s="718" t="inlineStr">
        <is>
          <t>ALL</t>
        </is>
      </c>
      <c r="C55" s="718" t="inlineStr">
        <is>
          <t>Lead Auditor</t>
        </is>
      </c>
      <c r="D55" s="718" t="inlineStr">
        <is>
          <t>ANNUAL</t>
        </is>
      </c>
      <c r="E55" s="718" t="n">
        <v>5</v>
      </c>
      <c r="F55" s="718" t="inlineStr">
        <is>
          <t>PDF/Excel</t>
        </is>
      </c>
      <c r="G55" s="718" t="inlineStr">
        <is>
          <t>N</t>
        </is>
      </c>
      <c r="H55" s="718" t="inlineStr">
        <is>
          <t>Y</t>
        </is>
      </c>
      <c r="I55" s="718" t="inlineStr">
        <is>
          <t>HIGH</t>
        </is>
      </c>
      <c r="J55" s="718" t="inlineStr"/>
    </row>
    <row r="56">
      <c r="A56" s="717" t="inlineStr">
        <is>
          <t>External Audit Report</t>
        </is>
      </c>
      <c r="B56" s="717" t="inlineStr">
        <is>
          <t>ALL</t>
        </is>
      </c>
      <c r="C56" s="717" t="inlineStr">
        <is>
          <t>External Auditor</t>
        </is>
      </c>
      <c r="D56" s="717" t="inlineStr">
        <is>
          <t>ANNUAL</t>
        </is>
      </c>
      <c r="E56" s="717" t="n">
        <v>7</v>
      </c>
      <c r="F56" s="717" t="inlineStr">
        <is>
          <t>PDF</t>
        </is>
      </c>
      <c r="G56" s="717" t="inlineStr">
        <is>
          <t>Y</t>
        </is>
      </c>
      <c r="H56" s="717" t="inlineStr">
        <is>
          <t>Y</t>
        </is>
      </c>
      <c r="I56" s="717" t="inlineStr">
        <is>
          <t>CRITICAL</t>
        </is>
      </c>
      <c r="J56" s="717" t="inlineStr"/>
    </row>
    <row r="57">
      <c r="A57" s="718" t="inlineStr">
        <is>
          <t>Penetration Test Report</t>
        </is>
      </c>
      <c r="B57" s="718" t="inlineStr">
        <is>
          <t>ALL</t>
        </is>
      </c>
      <c r="C57" s="718" t="inlineStr">
        <is>
          <t>CISO</t>
        </is>
      </c>
      <c r="D57" s="718" t="inlineStr">
        <is>
          <t>ANNUAL</t>
        </is>
      </c>
      <c r="E57" s="718" t="n">
        <v>3</v>
      </c>
      <c r="F57" s="718" t="inlineStr">
        <is>
          <t>PDF</t>
        </is>
      </c>
      <c r="G57" s="718" t="inlineStr">
        <is>
          <t>Y</t>
        </is>
      </c>
      <c r="H57" s="718" t="inlineStr">
        <is>
          <t>Y</t>
        </is>
      </c>
      <c r="I57" s="718" t="inlineStr">
        <is>
          <t>HIGH</t>
        </is>
      </c>
      <c r="J57" s="718" t="inlineStr"/>
    </row>
    <row r="58">
      <c r="A58" s="717" t="inlineStr">
        <is>
          <t>Regulator Inspection Record</t>
        </is>
      </c>
      <c r="B58" s="717" t="inlineStr">
        <is>
          <t>ALL</t>
        </is>
      </c>
      <c r="C58" s="717" t="inlineStr">
        <is>
          <t>CCO</t>
        </is>
      </c>
      <c r="D58" s="717" t="inlineStr">
        <is>
          <t>AS_REQUIRED</t>
        </is>
      </c>
      <c r="E58" s="717" t="n">
        <v>10</v>
      </c>
      <c r="F58" s="717" t="inlineStr">
        <is>
          <t>PDF</t>
        </is>
      </c>
      <c r="G58" s="717" t="inlineStr">
        <is>
          <t>Y</t>
        </is>
      </c>
      <c r="H58" s="717" t="inlineStr">
        <is>
          <t>N</t>
        </is>
      </c>
      <c r="I58" s="717" t="inlineStr">
        <is>
          <t>CRITICAL</t>
        </is>
      </c>
      <c r="J58" s="717" t="inlineStr"/>
    </row>
    <row r="59">
      <c r="A59" s="718" t="inlineStr">
        <is>
          <t>Incident Response Log</t>
        </is>
      </c>
      <c r="B59" s="718" t="inlineStr">
        <is>
          <t>ALL</t>
        </is>
      </c>
      <c r="C59" s="718" t="inlineStr">
        <is>
          <t>CISO</t>
        </is>
      </c>
      <c r="D59" s="718" t="inlineStr">
        <is>
          <t>CONTINUOUS</t>
        </is>
      </c>
      <c r="E59" s="718" t="n">
        <v>5</v>
      </c>
      <c r="F59" s="718" t="inlineStr">
        <is>
          <t>SIEM/PDF</t>
        </is>
      </c>
      <c r="G59" s="718" t="inlineStr">
        <is>
          <t>Y</t>
        </is>
      </c>
      <c r="H59" s="718" t="inlineStr">
        <is>
          <t>Y</t>
        </is>
      </c>
      <c r="I59" s="718" t="inlineStr">
        <is>
          <t>HIGH</t>
        </is>
      </c>
      <c r="J59" s="718" t="inlineStr"/>
    </row>
    <row r="60">
      <c r="A60" s="717" t="inlineStr">
        <is>
          <t>Training Completion Records</t>
        </is>
      </c>
      <c r="B60" s="717" t="inlineStr">
        <is>
          <t>ALL</t>
        </is>
      </c>
      <c r="C60" s="717" t="inlineStr">
        <is>
          <t>CISO</t>
        </is>
      </c>
      <c r="D60" s="717" t="inlineStr">
        <is>
          <t>ANNUAL</t>
        </is>
      </c>
      <c r="E60" s="717" t="n">
        <v>3</v>
      </c>
      <c r="F60" s="717" t="inlineStr">
        <is>
          <t>CSV/PDF</t>
        </is>
      </c>
      <c r="G60" s="717" t="inlineStr">
        <is>
          <t>N</t>
        </is>
      </c>
      <c r="H60" s="717" t="inlineStr">
        <is>
          <t>Y</t>
        </is>
      </c>
      <c r="I60" s="717" t="inlineStr">
        <is>
          <t>MEDIUM</t>
        </is>
      </c>
      <c r="J60" s="717" t="inlineStr"/>
    </row>
    <row r="61">
      <c r="A61" s="718" t="inlineStr">
        <is>
          <t>Vendor Risk Assessments</t>
        </is>
      </c>
      <c r="B61" s="718" t="inlineStr">
        <is>
          <t>ALL</t>
        </is>
      </c>
      <c r="C61" s="718" t="inlineStr">
        <is>
          <t>3rd Party Risk Officer</t>
        </is>
      </c>
      <c r="D61" s="718" t="inlineStr">
        <is>
          <t>ANNUAL</t>
        </is>
      </c>
      <c r="E61" s="718" t="n">
        <v>3</v>
      </c>
      <c r="F61" s="718" t="inlineStr">
        <is>
          <t>Excel/PDF</t>
        </is>
      </c>
      <c r="G61" s="718" t="inlineStr">
        <is>
          <t>N</t>
        </is>
      </c>
      <c r="H61" s="718" t="inlineStr">
        <is>
          <t>Y</t>
        </is>
      </c>
      <c r="I61" s="718" t="inlineStr">
        <is>
          <t>HIGH</t>
        </is>
      </c>
      <c r="J61" s="718" t="inlineStr"/>
    </row>
    <row r="62">
      <c r="A62" s="717" t="inlineStr">
        <is>
          <t>Data Protection Impact Assessment</t>
        </is>
      </c>
      <c r="B62" s="717" t="inlineStr">
        <is>
          <t>PRIVACY</t>
        </is>
      </c>
      <c r="C62" s="717" t="inlineStr">
        <is>
          <t>DPO</t>
        </is>
      </c>
      <c r="D62" s="717" t="inlineStr">
        <is>
          <t>PER_PROJECT</t>
        </is>
      </c>
      <c r="E62" s="717" t="n">
        <v>5</v>
      </c>
      <c r="F62" s="717" t="inlineStr">
        <is>
          <t>PDF</t>
        </is>
      </c>
      <c r="G62" s="717" t="inlineStr">
        <is>
          <t>Y</t>
        </is>
      </c>
      <c r="H62" s="717" t="inlineStr">
        <is>
          <t>Y</t>
        </is>
      </c>
      <c r="I62" s="717" t="inlineStr">
        <is>
          <t>HIGH</t>
        </is>
      </c>
      <c r="J62" s="717" t="inlineStr"/>
    </row>
    <row r="63">
      <c r="A63" s="718" t="inlineStr">
        <is>
          <t>Business Continuity Test Report</t>
        </is>
      </c>
      <c r="B63" s="718" t="inlineStr">
        <is>
          <t>ALL</t>
        </is>
      </c>
      <c r="C63" s="718" t="inlineStr">
        <is>
          <t>BCM Manager</t>
        </is>
      </c>
      <c r="D63" s="718" t="inlineStr">
        <is>
          <t>BIENNIAL</t>
        </is>
      </c>
      <c r="E63" s="718" t="n">
        <v>5</v>
      </c>
      <c r="F63" s="718" t="inlineStr">
        <is>
          <t>PDF</t>
        </is>
      </c>
      <c r="G63" s="718" t="inlineStr">
        <is>
          <t>N</t>
        </is>
      </c>
      <c r="H63" s="718" t="inlineStr">
        <is>
          <t>N</t>
        </is>
      </c>
      <c r="I63" s="718" t="inlineStr">
        <is>
          <t>MEDIUM</t>
        </is>
      </c>
      <c r="J63" s="718" t="inlineStr"/>
    </row>
    <row r="65">
      <c r="A65" s="725" t="inlineStr">
        <is>
          <t xml:space="preserve">  G │ GRC MATURITY BENCHMARKS</t>
        </is>
      </c>
      <c r="B65" s="766" t="n"/>
      <c r="C65" s="766" t="n"/>
      <c r="D65" s="766" t="n"/>
      <c r="E65" s="766" t="n"/>
      <c r="F65" s="766" t="n"/>
      <c r="G65" s="766" t="n"/>
      <c r="H65" s="766" t="n"/>
      <c r="I65" s="766" t="n"/>
      <c r="J65" s="767" t="n"/>
    </row>
    <row r="66">
      <c r="A66" s="726" t="inlineStr">
        <is>
          <t>Domain</t>
        </is>
      </c>
      <c r="B66" s="726" t="inlineStr">
        <is>
          <t>Maturity Model</t>
        </is>
      </c>
      <c r="C66" s="726" t="inlineStr">
        <is>
          <t>Country Avg Score</t>
        </is>
      </c>
      <c r="D66" s="726" t="inlineStr">
        <is>
          <t>Best-in-Class</t>
        </is>
      </c>
      <c r="E66" s="726" t="inlineStr">
        <is>
          <t>Typical Target</t>
        </is>
      </c>
      <c r="F66" s="726" t="inlineStr">
        <is>
          <t>Gap to Target</t>
        </is>
      </c>
      <c r="G66" s="726" t="inlineStr">
        <is>
          <t>Priority</t>
        </is>
      </c>
      <c r="H66" s="726" t="inlineStr">
        <is>
          <t>Key Barrier</t>
        </is>
      </c>
      <c r="I66" s="726" t="inlineStr">
        <is>
          <t>Shahin AI Recommendation</t>
        </is>
      </c>
      <c r="J66" s="726" t="inlineStr">
        <is>
          <t>Ref Framework</t>
        </is>
      </c>
    </row>
    <row r="67">
      <c r="A67" s="717" t="inlineStr">
        <is>
          <t>GRC Governance</t>
        </is>
      </c>
      <c r="B67" s="717" t="inlineStr">
        <is>
          <t>CMMI 1-5</t>
        </is>
      </c>
      <c r="C67" s="717" t="n">
        <v>2.8</v>
      </c>
      <c r="D67" s="717" t="n">
        <v>4</v>
      </c>
      <c r="E67" s="717" t="n">
        <v>3.5</v>
      </c>
      <c r="F67" s="717" t="n">
        <v>0.7</v>
      </c>
      <c r="G67" s="717" t="inlineStr">
        <is>
          <t>HIGH</t>
        </is>
      </c>
      <c r="H67" s="717" t="inlineStr">
        <is>
          <t>SME capacity</t>
        </is>
      </c>
      <c r="I67" s="717" t="inlineStr">
        <is>
          <t>GRC tooling adoption</t>
        </is>
      </c>
      <c r="J67" s="717" t="inlineStr">
        <is>
          <t>BH-NCS-2024-2028</t>
        </is>
      </c>
    </row>
    <row r="68">
      <c r="A68" s="718" t="inlineStr">
        <is>
          <t>Cybersecurity Controls</t>
        </is>
      </c>
      <c r="B68" s="718" t="inlineStr">
        <is>
          <t>CMMI 1-5</t>
        </is>
      </c>
      <c r="C68" s="718" t="n">
        <v>3</v>
      </c>
      <c r="D68" s="718" t="n">
        <v>4.5</v>
      </c>
      <c r="E68" s="718" t="n">
        <v>3.5</v>
      </c>
      <c r="F68" s="718" t="n">
        <v>0.5</v>
      </c>
      <c r="G68" s="718" t="inlineStr">
        <is>
          <t>HIGH</t>
        </is>
      </c>
      <c r="H68" s="718" t="inlineStr">
        <is>
          <t>Legacy systems</t>
        </is>
      </c>
      <c r="I68" s="718" t="inlineStr">
        <is>
          <t>Zero-trust architecture</t>
        </is>
      </c>
      <c r="J68" s="718" t="inlineStr">
        <is>
          <t>CBB-CSF</t>
        </is>
      </c>
    </row>
    <row r="69">
      <c r="A69" s="717" t="inlineStr">
        <is>
          <t>Data Privacy</t>
        </is>
      </c>
      <c r="B69" s="717" t="inlineStr">
        <is>
          <t>CMMI 1-5</t>
        </is>
      </c>
      <c r="C69" s="717" t="n">
        <v>2.5</v>
      </c>
      <c r="D69" s="717" t="n">
        <v>4</v>
      </c>
      <c r="E69" s="717" t="n">
        <v>3</v>
      </c>
      <c r="F69" s="717" t="n">
        <v>0.5</v>
      </c>
      <c r="G69" s="717" t="inlineStr">
        <is>
          <t>HIGH</t>
        </is>
      </c>
      <c r="H69" s="717" t="inlineStr">
        <is>
          <t>Data mapping</t>
        </is>
      </c>
      <c r="I69" s="717" t="inlineStr">
        <is>
          <t>Automated DPA</t>
        </is>
      </c>
      <c r="J69" s="717" t="inlineStr">
        <is>
          <t>BH-PDPL-2018</t>
        </is>
      </c>
    </row>
  </sheetData>
  <mergeCells count="8">
    <mergeCell ref="A1:J1"/>
    <mergeCell ref="A36:J36"/>
    <mergeCell ref="A29:J29"/>
    <mergeCell ref="A65:J65"/>
    <mergeCell ref="A2:J2"/>
    <mergeCell ref="A52:J52"/>
    <mergeCell ref="A42:J42"/>
    <mergeCell ref="A13:J13"/>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J65"/>
  <sheetViews>
    <sheetView showGridLines="0" workbookViewId="0">
      <pane ySplit="2" topLeftCell="A3" activePane="bottomLeft" state="frozen"/>
      <selection pane="bottomLeft" activeCell="A1" sqref="A1"/>
    </sheetView>
  </sheetViews>
  <sheetFormatPr baseColWidth="8" defaultRowHeight="15"/>
  <cols>
    <col width="18" customWidth="1" min="1" max="1"/>
    <col width="38" customWidth="1" min="2" max="2"/>
    <col width="28" customWidth="1" min="3" max="3"/>
    <col width="24" customWidth="1" min="4" max="4"/>
    <col width="12" customWidth="1" min="5" max="5"/>
    <col width="12" customWidth="1" min="6" max="6"/>
    <col width="22" customWidth="1" min="7" max="7"/>
    <col width="18" customWidth="1" min="8" max="8"/>
    <col width="20" customWidth="1" min="9" max="9"/>
    <col width="28" customWidth="1" min="10" max="10"/>
  </cols>
  <sheetData>
    <row r="1" ht="30" customHeight="1">
      <c r="A1" s="705" t="inlineStr">
        <is>
          <t>🇰🇼  Kuwait (KW)  ·  GRC Regulatory Intelligence</t>
        </is>
      </c>
    </row>
    <row r="2">
      <c r="A2" s="706" t="inlineStr">
        <is>
          <t xml:space="preserve">  A │ REGULATORS</t>
        </is>
      </c>
      <c r="B2" s="766" t="n"/>
      <c r="C2" s="766" t="n"/>
      <c r="D2" s="766" t="n"/>
      <c r="E2" s="766" t="n"/>
      <c r="F2" s="766" t="n"/>
      <c r="G2" s="766" t="n"/>
      <c r="H2" s="766" t="n"/>
      <c r="I2" s="766" t="n"/>
      <c r="J2" s="767" t="n"/>
    </row>
    <row r="3">
      <c r="A3" s="707" t="inlineStr">
        <is>
          <t>Code</t>
        </is>
      </c>
      <c r="B3" s="707" t="inlineStr">
        <is>
          <t>Name (EN)</t>
        </is>
      </c>
      <c r="C3" s="707" t="inlineStr">
        <is>
          <t>Name (AR)</t>
        </is>
      </c>
      <c r="D3" s="707" t="inlineStr">
        <is>
          <t>Sector Group</t>
        </is>
      </c>
      <c r="E3" s="707" t="inlineStr">
        <is>
          <t>Tier</t>
        </is>
      </c>
      <c r="F3" s="707" t="inlineStr">
        <is>
          <t>Own FW Count</t>
        </is>
      </c>
      <c r="G3" s="707" t="inlineStr">
        <is>
          <t>Power Index</t>
        </is>
      </c>
      <c r="H3" s="707" t="inlineStr">
        <is>
          <t>Enforcement</t>
        </is>
      </c>
      <c r="I3" s="707" t="inlineStr">
        <is>
          <t>Website</t>
        </is>
      </c>
      <c r="J3" s="707" t="inlineStr">
        <is>
          <t>Notes</t>
        </is>
      </c>
    </row>
    <row r="4">
      <c r="A4" s="708" t="inlineStr">
        <is>
          <t>CBK</t>
        </is>
      </c>
      <c r="B4" s="708" t="inlineStr">
        <is>
          <t>Central Bank of Kuwait</t>
        </is>
      </c>
      <c r="C4" s="708" t="inlineStr">
        <is>
          <t>بنك الكويت المركزي</t>
        </is>
      </c>
      <c r="D4" s="708" t="inlineStr">
        <is>
          <t>Financial</t>
        </is>
      </c>
      <c r="E4" s="708" t="inlineStr">
        <is>
          <t>🔴 T1</t>
        </is>
      </c>
      <c r="F4" s="708" t="n">
        <v>5</v>
      </c>
      <c r="G4" s="708" t="n">
        <v>95</v>
      </c>
      <c r="H4" s="708" t="inlineStr">
        <is>
          <t>MANDATORY</t>
        </is>
      </c>
      <c r="I4" s="708" t="inlineStr">
        <is>
          <t>https://cbk.gov.kw</t>
        </is>
      </c>
      <c r="J4" s="708" t="inlineStr"/>
    </row>
    <row r="5">
      <c r="A5" s="708" t="inlineStr">
        <is>
          <t>NCSC-KW</t>
        </is>
      </c>
      <c r="B5" s="708" t="inlineStr">
        <is>
          <t>National Cybersecurity Centre</t>
        </is>
      </c>
      <c r="C5" s="708" t="inlineStr">
        <is>
          <t>مركز الأمن السيبراني الوطني</t>
        </is>
      </c>
      <c r="D5" s="708" t="inlineStr">
        <is>
          <t>Cybersecurity</t>
        </is>
      </c>
      <c r="E5" s="708" t="inlineStr">
        <is>
          <t>🔴 T1</t>
        </is>
      </c>
      <c r="F5" s="708" t="n">
        <v>3</v>
      </c>
      <c r="G5" s="708" t="n">
        <v>88</v>
      </c>
      <c r="H5" s="708" t="inlineStr">
        <is>
          <t>MANDATORY</t>
        </is>
      </c>
      <c r="I5" s="708" t="inlineStr"/>
      <c r="J5" s="708" t="inlineStr"/>
    </row>
    <row r="6">
      <c r="A6" s="708" t="inlineStr">
        <is>
          <t>CITRA</t>
        </is>
      </c>
      <c r="B6" s="708" t="inlineStr">
        <is>
          <t>Comm. &amp; IT Regulatory Authority</t>
        </is>
      </c>
      <c r="C6" s="708" t="inlineStr">
        <is>
          <t>هيئة تنظيم الاتصالات وتقنية المعلومات</t>
        </is>
      </c>
      <c r="D6" s="708" t="inlineStr">
        <is>
          <t>ICT/Digital</t>
        </is>
      </c>
      <c r="E6" s="708" t="inlineStr">
        <is>
          <t>🔴 T1</t>
        </is>
      </c>
      <c r="F6" s="708" t="n">
        <v>4</v>
      </c>
      <c r="G6" s="708" t="n">
        <v>82</v>
      </c>
      <c r="H6" s="708" t="inlineStr">
        <is>
          <t>MANDATORY</t>
        </is>
      </c>
      <c r="I6" s="708" t="inlineStr">
        <is>
          <t>https://citra.gov.kw</t>
        </is>
      </c>
      <c r="J6" s="708" t="inlineStr"/>
    </row>
    <row r="7">
      <c r="A7" s="709" t="inlineStr">
        <is>
          <t>CMA-KW</t>
        </is>
      </c>
      <c r="B7" s="709" t="inlineStr">
        <is>
          <t>Capital Markets Authority</t>
        </is>
      </c>
      <c r="C7" s="709" t="inlineStr">
        <is>
          <t>هيئة أسواق المال</t>
        </is>
      </c>
      <c r="D7" s="709" t="inlineStr">
        <is>
          <t>Capital Markets</t>
        </is>
      </c>
      <c r="E7" s="709" t="inlineStr">
        <is>
          <t>🟠 T2</t>
        </is>
      </c>
      <c r="F7" s="709" t="n">
        <v>4</v>
      </c>
      <c r="G7" s="709" t="n">
        <v>70</v>
      </c>
      <c r="H7" s="709" t="inlineStr">
        <is>
          <t>MANDATORY</t>
        </is>
      </c>
      <c r="I7" s="709" t="inlineStr">
        <is>
          <t>https://cma.gov.kw</t>
        </is>
      </c>
      <c r="J7" s="709" t="inlineStr"/>
    </row>
    <row r="8">
      <c r="A8" s="709" t="inlineStr">
        <is>
          <t>MOH-KW</t>
        </is>
      </c>
      <c r="B8" s="709" t="inlineStr">
        <is>
          <t>Ministry of Health</t>
        </is>
      </c>
      <c r="C8" s="709" t="inlineStr">
        <is>
          <t>وزارة الصحة</t>
        </is>
      </c>
      <c r="D8" s="709" t="inlineStr">
        <is>
          <t>Healthcare</t>
        </is>
      </c>
      <c r="E8" s="709" t="inlineStr">
        <is>
          <t>🟠 T2</t>
        </is>
      </c>
      <c r="F8" s="709" t="n">
        <v>2</v>
      </c>
      <c r="G8" s="709" t="n">
        <v>58</v>
      </c>
      <c r="H8" s="709" t="inlineStr">
        <is>
          <t>MANDATORY</t>
        </is>
      </c>
      <c r="I8" s="709" t="inlineStr">
        <is>
          <t>https://moh.gov.kw</t>
        </is>
      </c>
      <c r="J8" s="709" t="inlineStr"/>
    </row>
    <row r="9">
      <c r="A9" s="709" t="inlineStr">
        <is>
          <t>FIU-KW</t>
        </is>
      </c>
      <c r="B9" s="709" t="inlineStr">
        <is>
          <t>Kuwait Financial Intelligence Unit</t>
        </is>
      </c>
      <c r="C9" s="709" t="inlineStr">
        <is>
          <t>وحدة الاستخبارات المالية الكويتية</t>
        </is>
      </c>
      <c r="D9" s="709" t="inlineStr">
        <is>
          <t>AML/CFT</t>
        </is>
      </c>
      <c r="E9" s="709" t="inlineStr">
        <is>
          <t>🟠 T2</t>
        </is>
      </c>
      <c r="F9" s="709" t="n">
        <v>1</v>
      </c>
      <c r="G9" s="709" t="n">
        <v>78</v>
      </c>
      <c r="H9" s="709" t="inlineStr">
        <is>
          <t>MANDATORY</t>
        </is>
      </c>
      <c r="I9" s="709" t="inlineStr"/>
      <c r="J9" s="709" t="inlineStr"/>
    </row>
    <row r="10">
      <c r="A10" s="710" t="inlineStr">
        <is>
          <t>CAIT</t>
        </is>
      </c>
      <c r="B10" s="710" t="inlineStr">
        <is>
          <t>Central Agency for Information Technology</t>
        </is>
      </c>
      <c r="C10" s="710" t="inlineStr">
        <is>
          <t>الجهاز المركزي لتقنية المعلومات</t>
        </is>
      </c>
      <c r="D10" s="710" t="inlineStr">
        <is>
          <t>Digital Gov</t>
        </is>
      </c>
      <c r="E10" s="710" t="inlineStr">
        <is>
          <t>🟡 T3</t>
        </is>
      </c>
      <c r="F10" s="710" t="n">
        <v>2</v>
      </c>
      <c r="G10" s="710" t="n">
        <v>50</v>
      </c>
      <c r="H10" s="710" t="inlineStr">
        <is>
          <t>MANDATORY</t>
        </is>
      </c>
      <c r="I10" s="710" t="inlineStr">
        <is>
          <t>https://cait.gov.kw</t>
        </is>
      </c>
      <c r="J10" s="710" t="inlineStr"/>
    </row>
    <row r="12">
      <c r="A12" s="712" t="inlineStr">
        <is>
          <t xml:space="preserve">  B │ FRAMEWORKS</t>
        </is>
      </c>
      <c r="B12" s="766" t="n"/>
      <c r="C12" s="766" t="n"/>
      <c r="D12" s="766" t="n"/>
      <c r="E12" s="766" t="n"/>
      <c r="F12" s="766" t="n"/>
      <c r="G12" s="766" t="n"/>
      <c r="H12" s="766" t="n"/>
      <c r="I12" s="766" t="n"/>
      <c r="J12" s="767" t="n"/>
    </row>
    <row r="13">
      <c r="A13" s="713" t="inlineStr">
        <is>
          <t>Framework Code</t>
        </is>
      </c>
      <c r="B13" s="713" t="inlineStr">
        <is>
          <t>Name (EN)</t>
        </is>
      </c>
      <c r="C13" s="713" t="inlineStr">
        <is>
          <t>Issuing Regulator</t>
        </is>
      </c>
      <c r="D13" s="713" t="inlineStr">
        <is>
          <t>Version/Year</t>
        </is>
      </c>
      <c r="E13" s="713" t="inlineStr">
        <is>
          <t>Mandatory?</t>
        </is>
      </c>
      <c r="F13" s="713" t="inlineStr">
        <is>
          <t>Control Count</t>
        </is>
      </c>
      <c r="G13" s="713" t="inlineStr">
        <is>
          <t>Sector Applicability</t>
        </is>
      </c>
      <c r="H13" s="713" t="inlineStr">
        <is>
          <t>Audit Frequency</t>
        </is>
      </c>
      <c r="I13" s="713" t="inlineStr">
        <is>
          <t>Effective Date</t>
        </is>
      </c>
      <c r="J13" s="713" t="inlineStr">
        <is>
          <t>Canonical DB Code</t>
        </is>
      </c>
    </row>
    <row r="14">
      <c r="A14" s="711" t="inlineStr">
        <is>
          <t>CBK-CSF</t>
        </is>
      </c>
      <c r="B14" s="711" t="inlineStr">
        <is>
          <t>CBK Cybersecurity Framework</t>
        </is>
      </c>
      <c r="C14" s="711" t="inlineStr">
        <is>
          <t>CBK</t>
        </is>
      </c>
      <c r="D14" s="711" t="inlineStr">
        <is>
          <t>2023</t>
        </is>
      </c>
      <c r="E14" s="711" t="inlineStr">
        <is>
          <t>Y</t>
        </is>
      </c>
      <c r="F14" s="711" t="n">
        <v>88</v>
      </c>
      <c r="G14" s="711" t="inlineStr">
        <is>
          <t>FIN</t>
        </is>
      </c>
      <c r="H14" s="711" t="inlineStr">
        <is>
          <t>ANNUAL</t>
        </is>
      </c>
      <c r="I14" s="711" t="inlineStr">
        <is>
          <t>2023-01-01</t>
        </is>
      </c>
      <c r="J14" s="711" t="inlineStr">
        <is>
          <t>CBK-CSF</t>
        </is>
      </c>
    </row>
    <row r="15">
      <c r="A15" s="711" t="inlineStr">
        <is>
          <t>KW-CITRA-DPPR-2024</t>
        </is>
      </c>
      <c r="B15" s="711" t="inlineStr">
        <is>
          <t>CITRA Data Privacy Protection Regulation No.26/2024</t>
        </is>
      </c>
      <c r="C15" s="711" t="inlineStr">
        <is>
          <t>CITRA</t>
        </is>
      </c>
      <c r="D15" s="711" t="inlineStr">
        <is>
          <t>2024</t>
        </is>
      </c>
      <c r="E15" s="711" t="inlineStr">
        <is>
          <t>Y</t>
        </is>
      </c>
      <c r="F15" s="711" t="n">
        <v>45</v>
      </c>
      <c r="G15" s="711" t="inlineStr">
        <is>
          <t>ICT,SVC</t>
        </is>
      </c>
      <c r="H15" s="711" t="inlineStr">
        <is>
          <t>ANNUAL</t>
        </is>
      </c>
      <c r="I15" s="711" t="inlineStr">
        <is>
          <t>2024-02-01</t>
        </is>
      </c>
      <c r="J15" s="711" t="inlineStr">
        <is>
          <t>KW-CITRA-DPPR-2024</t>
        </is>
      </c>
    </row>
    <row r="16">
      <c r="A16" s="711" t="inlineStr">
        <is>
          <t>KW-NCSC-DCF-2025</t>
        </is>
      </c>
      <c r="B16" s="711" t="inlineStr">
        <is>
          <t>NCSC National Data Classification Framework 2025</t>
        </is>
      </c>
      <c r="C16" s="711" t="inlineStr">
        <is>
          <t>NCSC-KW</t>
        </is>
      </c>
      <c r="D16" s="711" t="inlineStr">
        <is>
          <t>2025</t>
        </is>
      </c>
      <c r="E16" s="711" t="inlineStr">
        <is>
          <t>Y</t>
        </is>
      </c>
      <c r="F16" s="711" t="n">
        <v>30</v>
      </c>
      <c r="G16" s="711" t="inlineStr">
        <is>
          <t>GOV,CNI</t>
        </is>
      </c>
      <c r="H16" s="711" t="inlineStr">
        <is>
          <t>ANNUAL</t>
        </is>
      </c>
      <c r="I16" s="711" t="inlineStr">
        <is>
          <t>2025-01-01</t>
        </is>
      </c>
      <c r="J16" s="711" t="inlineStr">
        <is>
          <t>KW-NCSC-DCF-2025</t>
        </is>
      </c>
    </row>
    <row r="17">
      <c r="A17" s="711" t="inlineStr">
        <is>
          <t>CBK-AML</t>
        </is>
      </c>
      <c r="B17" s="711" t="inlineStr">
        <is>
          <t>CBK AML/CFT Instructions</t>
        </is>
      </c>
      <c r="C17" s="711" t="inlineStr">
        <is>
          <t>CBK/FIU-KW</t>
        </is>
      </c>
      <c r="D17" s="711" t="inlineStr">
        <is>
          <t>2022</t>
        </is>
      </c>
      <c r="E17" s="711" t="inlineStr">
        <is>
          <t>Y</t>
        </is>
      </c>
      <c r="F17" s="711" t="n">
        <v>45</v>
      </c>
      <c r="G17" s="711" t="inlineStr">
        <is>
          <t>FIN</t>
        </is>
      </c>
      <c r="H17" s="711" t="inlineStr">
        <is>
          <t>CONTINUOUS</t>
        </is>
      </c>
      <c r="I17" s="711" t="inlineStr">
        <is>
          <t>2022-01-01</t>
        </is>
      </c>
      <c r="J17" s="711" t="inlineStr">
        <is>
          <t>CBK-AML</t>
        </is>
      </c>
    </row>
    <row r="18">
      <c r="A18" s="711" t="inlineStr">
        <is>
          <t>CBK-RISK</t>
        </is>
      </c>
      <c r="B18" s="711" t="inlineStr">
        <is>
          <t>CBK Risk Management Framework</t>
        </is>
      </c>
      <c r="C18" s="711" t="inlineStr">
        <is>
          <t>CBK</t>
        </is>
      </c>
      <c r="D18" s="711" t="inlineStr">
        <is>
          <t>2021</t>
        </is>
      </c>
      <c r="E18" s="711" t="inlineStr">
        <is>
          <t>Y</t>
        </is>
      </c>
      <c r="F18" s="711" t="n">
        <v>55</v>
      </c>
      <c r="G18" s="711" t="inlineStr">
        <is>
          <t>FIN</t>
        </is>
      </c>
      <c r="H18" s="711" t="inlineStr">
        <is>
          <t>ANNUAL</t>
        </is>
      </c>
      <c r="I18" s="711" t="inlineStr">
        <is>
          <t>2021-01-01</t>
        </is>
      </c>
      <c r="J18" s="711" t="inlineStr">
        <is>
          <t>CBK-RISK</t>
        </is>
      </c>
    </row>
    <row r="19">
      <c r="A19" s="711" t="inlineStr">
        <is>
          <t>CBK-OPR</t>
        </is>
      </c>
      <c r="B19" s="711" t="inlineStr">
        <is>
          <t>CBK Operational Resilience Guidelines</t>
        </is>
      </c>
      <c r="C19" s="711" t="inlineStr">
        <is>
          <t>CBK</t>
        </is>
      </c>
      <c r="D19" s="711" t="inlineStr">
        <is>
          <t>2022</t>
        </is>
      </c>
      <c r="E19" s="711" t="inlineStr">
        <is>
          <t>Y</t>
        </is>
      </c>
      <c r="F19" s="711" t="n">
        <v>35</v>
      </c>
      <c r="G19" s="711" t="inlineStr">
        <is>
          <t>FIN</t>
        </is>
      </c>
      <c r="H19" s="711" t="inlineStr">
        <is>
          <t>ANNUAL</t>
        </is>
      </c>
      <c r="I19" s="711" t="inlineStr">
        <is>
          <t>2022-01-01</t>
        </is>
      </c>
      <c r="J19" s="711" t="inlineStr">
        <is>
          <t>CBK-OPR</t>
        </is>
      </c>
    </row>
    <row r="20">
      <c r="A20" s="711" t="inlineStr">
        <is>
          <t>KW-CYBERCRIME-2015</t>
        </is>
      </c>
      <c r="B20" s="711" t="inlineStr">
        <is>
          <t>Kuwait Cybercrime Law No.63/2015</t>
        </is>
      </c>
      <c r="C20" s="711" t="inlineStr">
        <is>
          <t>NCSC-KW</t>
        </is>
      </c>
      <c r="D20" s="711" t="inlineStr">
        <is>
          <t>2015</t>
        </is>
      </c>
      <c r="E20" s="711" t="inlineStr">
        <is>
          <t>Y</t>
        </is>
      </c>
      <c r="F20" s="711" t="n">
        <v>20</v>
      </c>
      <c r="G20" s="711" t="inlineStr">
        <is>
          <t>ALL</t>
        </is>
      </c>
      <c r="H20" s="711" t="inlineStr">
        <is>
          <t>AS_REQUIRED</t>
        </is>
      </c>
      <c r="I20" s="711" t="inlineStr">
        <is>
          <t>2015-01-01</t>
        </is>
      </c>
      <c r="J20" s="711" t="inlineStr">
        <is>
          <t>KW-CYBERCRIME-2015</t>
        </is>
      </c>
    </row>
    <row r="21">
      <c r="A21" s="711" t="inlineStr">
        <is>
          <t>KW-AML-2013</t>
        </is>
      </c>
      <c r="B21" s="711" t="inlineStr">
        <is>
          <t>Kuwait AML Law No.106/2013</t>
        </is>
      </c>
      <c r="C21" s="711" t="inlineStr">
        <is>
          <t>FIU-KW</t>
        </is>
      </c>
      <c r="D21" s="711" t="inlineStr">
        <is>
          <t>2013+</t>
        </is>
      </c>
      <c r="E21" s="711" t="inlineStr">
        <is>
          <t>Y</t>
        </is>
      </c>
      <c r="F21" s="711" t="n">
        <v>30</v>
      </c>
      <c r="G21" s="711" t="inlineStr">
        <is>
          <t>ALL</t>
        </is>
      </c>
      <c r="H21" s="711" t="inlineStr">
        <is>
          <t>CONTINUOUS</t>
        </is>
      </c>
      <c r="I21" s="711" t="inlineStr">
        <is>
          <t>2013-01-01</t>
        </is>
      </c>
      <c r="J21" s="711" t="inlineStr">
        <is>
          <t>KW-AML-2013</t>
        </is>
      </c>
    </row>
    <row r="22">
      <c r="A22" s="711" t="inlineStr">
        <is>
          <t>CMA-KW-REGS</t>
        </is>
      </c>
      <c r="B22" s="711" t="inlineStr">
        <is>
          <t>CMA Capital Market Law + Regulations</t>
        </is>
      </c>
      <c r="C22" s="711" t="inlineStr">
        <is>
          <t>CMA-KW</t>
        </is>
      </c>
      <c r="D22" s="711" t="inlineStr">
        <is>
          <t>2010+</t>
        </is>
      </c>
      <c r="E22" s="711" t="inlineStr">
        <is>
          <t>Y</t>
        </is>
      </c>
      <c r="F22" s="711" t="n">
        <v>40</v>
      </c>
      <c r="G22" s="711" t="inlineStr">
        <is>
          <t>CAP_MKT</t>
        </is>
      </c>
      <c r="H22" s="711" t="inlineStr">
        <is>
          <t>ANNUAL</t>
        </is>
      </c>
      <c r="I22" s="711" t="inlineStr">
        <is>
          <t>2010-01-01</t>
        </is>
      </c>
      <c r="J22" s="711" t="inlineStr">
        <is>
          <t>CMA-KW-REGS</t>
        </is>
      </c>
    </row>
    <row r="23">
      <c r="A23" s="711" t="inlineStr">
        <is>
          <t>KW-CLOUD</t>
        </is>
      </c>
      <c r="B23" s="711" t="inlineStr">
        <is>
          <t>Kuwait Government Cloud Policy</t>
        </is>
      </c>
      <c r="C23" s="711" t="inlineStr">
        <is>
          <t>CAIT</t>
        </is>
      </c>
      <c r="D23" s="711" t="inlineStr">
        <is>
          <t>2022</t>
        </is>
      </c>
      <c r="E23" s="711" t="inlineStr">
        <is>
          <t>Y</t>
        </is>
      </c>
      <c r="F23" s="711" t="n">
        <v>15</v>
      </c>
      <c r="G23" s="711" t="inlineStr">
        <is>
          <t>GOV</t>
        </is>
      </c>
      <c r="H23" s="711" t="inlineStr">
        <is>
          <t>BIENNIAL</t>
        </is>
      </c>
      <c r="I23" s="711" t="inlineStr">
        <is>
          <t>2022-01-01</t>
        </is>
      </c>
      <c r="J23" s="711" t="inlineStr">
        <is>
          <t>KW-CLOUD</t>
        </is>
      </c>
    </row>
    <row r="25">
      <c r="A25" s="715" t="inlineStr">
        <is>
          <t xml:space="preserve">  C │ CONTROL DOMAINS</t>
        </is>
      </c>
      <c r="B25" s="766" t="n"/>
      <c r="C25" s="766" t="n"/>
      <c r="D25" s="766" t="n"/>
      <c r="E25" s="766" t="n"/>
      <c r="F25" s="766" t="n"/>
      <c r="G25" s="766" t="n"/>
      <c r="H25" s="766" t="n"/>
      <c r="I25" s="766" t="n"/>
      <c r="J25" s="767" t="n"/>
    </row>
    <row r="26">
      <c r="A26" s="716" t="inlineStr">
        <is>
          <t>Domain Code</t>
        </is>
      </c>
      <c r="B26" s="716" t="inlineStr">
        <is>
          <t>Domain Name</t>
        </is>
      </c>
      <c r="C26" s="716" t="inlineStr">
        <is>
          <t>Primary Framework</t>
        </is>
      </c>
      <c r="D26" s="716" t="inlineStr">
        <is>
          <t>Control Count</t>
        </is>
      </c>
      <c r="E26" s="716" t="inlineStr">
        <is>
          <t>Risk Level</t>
        </is>
      </c>
      <c r="F26" s="716" t="inlineStr">
        <is>
          <t>IoT Relevance</t>
        </is>
      </c>
      <c r="G26" s="716" t="inlineStr">
        <is>
          <t>Automation Possible?</t>
        </is>
      </c>
      <c r="H26" s="716" t="inlineStr">
        <is>
          <t>Audit Method</t>
        </is>
      </c>
      <c r="I26" s="716" t="inlineStr">
        <is>
          <t>Shahin AI Score</t>
        </is>
      </c>
      <c r="J26" s="716" t="inlineStr">
        <is>
          <t>Notes</t>
        </is>
      </c>
    </row>
    <row r="27">
      <c r="A27" s="717" t="inlineStr">
        <is>
          <t>KW-CD-01</t>
        </is>
      </c>
      <c r="B27" s="717" t="inlineStr">
        <is>
          <t>Banking Cybersecurity</t>
        </is>
      </c>
      <c r="C27" s="717" t="inlineStr">
        <is>
          <t>CBK-CSF</t>
        </is>
      </c>
      <c r="D27" s="717" t="n">
        <v>88</v>
      </c>
      <c r="E27" s="717" t="inlineStr">
        <is>
          <t>HIGHEST</t>
        </is>
      </c>
      <c r="F27" s="717" t="inlineStr">
        <is>
          <t>MODERATE</t>
        </is>
      </c>
      <c r="G27" s="717" t="inlineStr">
        <is>
          <t>Y</t>
        </is>
      </c>
      <c r="H27" s="717" t="inlineStr">
        <is>
          <t>EXTERNAL_AUDIT</t>
        </is>
      </c>
      <c r="I27" s="717" t="n">
        <v>83</v>
      </c>
      <c r="J27" s="717" t="inlineStr"/>
    </row>
    <row r="28">
      <c r="A28" s="718" t="inlineStr">
        <is>
          <t>KW-CD-02</t>
        </is>
      </c>
      <c r="B28" s="718" t="inlineStr">
        <is>
          <t>Data Privacy (Telecom)</t>
        </is>
      </c>
      <c r="C28" s="718" t="inlineStr">
        <is>
          <t>KW-CITRA-DPPR-2024</t>
        </is>
      </c>
      <c r="D28" s="718" t="n">
        <v>45</v>
      </c>
      <c r="E28" s="718" t="inlineStr">
        <is>
          <t>HIGH</t>
        </is>
      </c>
      <c r="F28" s="718" t="inlineStr">
        <is>
          <t>MODERATE</t>
        </is>
      </c>
      <c r="G28" s="718" t="inlineStr">
        <is>
          <t>Y</t>
        </is>
      </c>
      <c r="H28" s="718" t="inlineStr">
        <is>
          <t>SELF_ASSESSMENT</t>
        </is>
      </c>
      <c r="I28" s="718" t="n">
        <v>78</v>
      </c>
      <c r="J28" s="718" t="inlineStr"/>
    </row>
    <row r="29">
      <c r="A29" s="717" t="inlineStr">
        <is>
          <t>KW-CD-03</t>
        </is>
      </c>
      <c r="B29" s="717" t="inlineStr">
        <is>
          <t>Data Classification (National)</t>
        </is>
      </c>
      <c r="C29" s="717" t="inlineStr">
        <is>
          <t>KW-NCSC-DCF-2025</t>
        </is>
      </c>
      <c r="D29" s="717" t="n">
        <v>30</v>
      </c>
      <c r="E29" s="717" t="inlineStr">
        <is>
          <t>HIGH</t>
        </is>
      </c>
      <c r="F29" s="717" t="inlineStr">
        <is>
          <t>LOW</t>
        </is>
      </c>
      <c r="G29" s="717" t="inlineStr">
        <is>
          <t>PARTIAL</t>
        </is>
      </c>
      <c r="H29" s="717" t="inlineStr">
        <is>
          <t>REGULATOR_INSPECTION</t>
        </is>
      </c>
      <c r="I29" s="717" t="n">
        <v>80</v>
      </c>
      <c r="J29" s="717" t="inlineStr"/>
    </row>
    <row r="30">
      <c r="A30" s="718" t="inlineStr">
        <is>
          <t>KW-CD-04</t>
        </is>
      </c>
      <c r="B30" s="718" t="inlineStr">
        <is>
          <t>AML/CFT</t>
        </is>
      </c>
      <c r="C30" s="718" t="inlineStr">
        <is>
          <t>CBK-AML</t>
        </is>
      </c>
      <c r="D30" s="718" t="n">
        <v>45</v>
      </c>
      <c r="E30" s="718" t="inlineStr">
        <is>
          <t>HIGHEST</t>
        </is>
      </c>
      <c r="F30" s="718" t="inlineStr">
        <is>
          <t>LOW</t>
        </is>
      </c>
      <c r="G30" s="718" t="inlineStr">
        <is>
          <t>PARTIAL</t>
        </is>
      </c>
      <c r="H30" s="718" t="inlineStr">
        <is>
          <t>REGULATOR_INSPECTION</t>
        </is>
      </c>
      <c r="I30" s="718" t="n">
        <v>80</v>
      </c>
      <c r="J30" s="718" t="inlineStr"/>
    </row>
    <row r="32">
      <c r="A32" s="719" t="inlineStr">
        <is>
          <t xml:space="preserve">  D │ RISK DOMAINS</t>
        </is>
      </c>
      <c r="B32" s="766" t="n"/>
      <c r="C32" s="766" t="n"/>
      <c r="D32" s="766" t="n"/>
      <c r="E32" s="766" t="n"/>
      <c r="F32" s="766" t="n"/>
      <c r="G32" s="766" t="n"/>
      <c r="H32" s="766" t="n"/>
      <c r="I32" s="766" t="n"/>
      <c r="J32" s="767" t="n"/>
    </row>
    <row r="33">
      <c r="A33" s="720" t="inlineStr">
        <is>
          <t>Risk Domain</t>
        </is>
      </c>
      <c r="B33" s="720" t="inlineStr">
        <is>
          <t>Risk Category</t>
        </is>
      </c>
      <c r="C33" s="720" t="inlineStr">
        <is>
          <t>Risk Score (0-100)</t>
        </is>
      </c>
      <c r="D33" s="720" t="inlineStr">
        <is>
          <t>Level</t>
        </is>
      </c>
      <c r="E33" s="720" t="inlineStr">
        <is>
          <t>Primary Regulator</t>
        </is>
      </c>
      <c r="F33" s="720" t="inlineStr">
        <is>
          <t>Linked Framework</t>
        </is>
      </c>
      <c r="G33" s="720" t="inlineStr">
        <is>
          <t>KRI Count</t>
        </is>
      </c>
      <c r="H33" s="720" t="inlineStr">
        <is>
          <t>Escalation Threshold</t>
        </is>
      </c>
      <c r="I33" s="720" t="inlineStr">
        <is>
          <t>Owner Role</t>
        </is>
      </c>
      <c r="J33" s="720" t="inlineStr">
        <is>
          <t>Notes</t>
        </is>
      </c>
    </row>
    <row r="34">
      <c r="A34" s="717" t="inlineStr">
        <is>
          <t>Financial Sector Cyber</t>
        </is>
      </c>
      <c r="B34" s="717" t="inlineStr">
        <is>
          <t>Cybersecurity</t>
        </is>
      </c>
      <c r="C34" s="717" t="n">
        <v>85</v>
      </c>
      <c r="D34" s="717" t="inlineStr">
        <is>
          <t>HIGHEST</t>
        </is>
      </c>
      <c r="E34" s="717" t="inlineStr">
        <is>
          <t>CBK</t>
        </is>
      </c>
      <c r="F34" s="717" t="inlineStr">
        <is>
          <t>CBK-CSF</t>
        </is>
      </c>
      <c r="G34" s="717" t="n">
        <v>6</v>
      </c>
      <c r="H34" s="717" t="inlineStr">
        <is>
          <t>Score &lt; 70</t>
        </is>
      </c>
      <c r="I34" s="717" t="inlineStr">
        <is>
          <t>CISO</t>
        </is>
      </c>
      <c r="J34" s="717" t="inlineStr"/>
    </row>
    <row r="35">
      <c r="A35" s="718" t="inlineStr">
        <is>
          <t>Data Privacy</t>
        </is>
      </c>
      <c r="B35" s="718" t="inlineStr">
        <is>
          <t>Privacy</t>
        </is>
      </c>
      <c r="C35" s="718" t="n">
        <v>72</v>
      </c>
      <c r="D35" s="718" t="inlineStr">
        <is>
          <t>HIGH</t>
        </is>
      </c>
      <c r="E35" s="718" t="inlineStr">
        <is>
          <t>CITRA</t>
        </is>
      </c>
      <c r="F35" s="718" t="inlineStr">
        <is>
          <t>KW-CITRA-DPPR-2024</t>
        </is>
      </c>
      <c r="G35" s="718" t="n">
        <v>5</v>
      </c>
      <c r="H35" s="718" t="inlineStr">
        <is>
          <t>24h breach notification</t>
        </is>
      </c>
      <c r="I35" s="718" t="inlineStr">
        <is>
          <t>DPO</t>
        </is>
      </c>
      <c r="J35" s="718" t="inlineStr"/>
    </row>
    <row r="36">
      <c r="A36" s="717" t="inlineStr">
        <is>
          <t>AML/CFT</t>
        </is>
      </c>
      <c r="B36" s="717" t="inlineStr">
        <is>
          <t>Financial Crime</t>
        </is>
      </c>
      <c r="C36" s="717" t="n">
        <v>80</v>
      </c>
      <c r="D36" s="717" t="inlineStr">
        <is>
          <t>HIGH</t>
        </is>
      </c>
      <c r="E36" s="717" t="inlineStr">
        <is>
          <t>FIU-KW</t>
        </is>
      </c>
      <c r="F36" s="717" t="inlineStr">
        <is>
          <t>CBK-AML</t>
        </is>
      </c>
      <c r="G36" s="717" t="n">
        <v>5</v>
      </c>
      <c r="H36" s="717" t="inlineStr">
        <is>
          <t>STR lag</t>
        </is>
      </c>
      <c r="I36" s="717" t="inlineStr">
        <is>
          <t>MLRO</t>
        </is>
      </c>
      <c r="J36" s="717" t="inlineStr"/>
    </row>
    <row r="38">
      <c r="A38" s="721" t="inlineStr">
        <is>
          <t xml:space="preserve">  E │ COMPLIANCE LIFECYCLE</t>
        </is>
      </c>
      <c r="B38" s="766" t="n"/>
      <c r="C38" s="766" t="n"/>
      <c r="D38" s="766" t="n"/>
      <c r="E38" s="766" t="n"/>
      <c r="F38" s="766" t="n"/>
      <c r="G38" s="766" t="n"/>
      <c r="H38" s="766" t="n"/>
      <c r="I38" s="766" t="n"/>
      <c r="J38" s="767" t="n"/>
    </row>
    <row r="39">
      <c r="A39" s="722" t="inlineStr">
        <is>
          <t>Stage</t>
        </is>
      </c>
      <c r="B39" s="722" t="inlineStr">
        <is>
          <t>Stage Code</t>
        </is>
      </c>
      <c r="C39" s="722" t="inlineStr">
        <is>
          <t>Entry Trigger</t>
        </is>
      </c>
      <c r="D39" s="722" t="inlineStr">
        <is>
          <t>Exit Trigger</t>
        </is>
      </c>
      <c r="E39" s="722" t="inlineStr">
        <is>
          <t>Next Stage</t>
        </is>
      </c>
      <c r="F39" s="722" t="inlineStr">
        <is>
          <t>Approval Required</t>
        </is>
      </c>
      <c r="G39" s="722" t="inlineStr">
        <is>
          <t>Typical Duration</t>
        </is>
      </c>
      <c r="H39" s="722" t="inlineStr">
        <is>
          <t>Responsible Role</t>
        </is>
      </c>
      <c r="I39" s="722" t="inlineStr">
        <is>
          <t>Automation</t>
        </is>
      </c>
      <c r="J39" s="722" t="inlineStr">
        <is>
          <t>SLA (Days)</t>
        </is>
      </c>
    </row>
    <row r="40">
      <c r="A40" s="717" t="inlineStr">
        <is>
          <t>Draft</t>
        </is>
      </c>
      <c r="B40" s="717" t="inlineStr">
        <is>
          <t>DRAFT</t>
        </is>
      </c>
      <c r="C40" s="717" t="inlineStr">
        <is>
          <t>Registration initiated</t>
        </is>
      </c>
      <c r="D40" s="717" t="inlineStr">
        <is>
          <t>Initial assessment complete</t>
        </is>
      </c>
      <c r="E40" s="717" t="inlineStr">
        <is>
          <t>ASSESSED</t>
        </is>
      </c>
      <c r="F40" s="717" t="inlineStr">
        <is>
          <t>N</t>
        </is>
      </c>
      <c r="G40" s="717" t="inlineStr">
        <is>
          <t>14 days</t>
        </is>
      </c>
      <c r="H40" s="717" t="inlineStr">
        <is>
          <t>Compliance Officer</t>
        </is>
      </c>
      <c r="I40" s="717" t="inlineStr">
        <is>
          <t>FULL</t>
        </is>
      </c>
      <c r="J40" s="717" t="n">
        <v>14</v>
      </c>
    </row>
    <row r="41">
      <c r="A41" s="718" t="inlineStr">
        <is>
          <t>Assessed</t>
        </is>
      </c>
      <c r="B41" s="718" t="inlineStr">
        <is>
          <t>ASSESSED</t>
        </is>
      </c>
      <c r="C41" s="718" t="inlineStr">
        <is>
          <t>Draft submitted</t>
        </is>
      </c>
      <c r="D41" s="718" t="inlineStr">
        <is>
          <t>Gap analysis approved</t>
        </is>
      </c>
      <c r="E41" s="718" t="inlineStr">
        <is>
          <t>REGISTERED</t>
        </is>
      </c>
      <c r="F41" s="718" t="inlineStr">
        <is>
          <t>Y</t>
        </is>
      </c>
      <c r="G41" s="718" t="inlineStr">
        <is>
          <t>30 days</t>
        </is>
      </c>
      <c r="H41" s="718" t="inlineStr">
        <is>
          <t>Lead Auditor</t>
        </is>
      </c>
      <c r="I41" s="718" t="inlineStr">
        <is>
          <t>PARTIAL</t>
        </is>
      </c>
      <c r="J41" s="718" t="n">
        <v>30</v>
      </c>
    </row>
    <row r="42">
      <c r="A42" s="717" t="inlineStr">
        <is>
          <t>Registered</t>
        </is>
      </c>
      <c r="B42" s="717" t="inlineStr">
        <is>
          <t>REGISTERED</t>
        </is>
      </c>
      <c r="C42" s="717" t="inlineStr">
        <is>
          <t>Assessment passed</t>
        </is>
      </c>
      <c r="D42" s="717" t="inlineStr">
        <is>
          <t>Controls implemented</t>
        </is>
      </c>
      <c r="E42" s="717" t="inlineStr">
        <is>
          <t>ACTIVE</t>
        </is>
      </c>
      <c r="F42" s="717" t="inlineStr">
        <is>
          <t>Y</t>
        </is>
      </c>
      <c r="G42" s="717" t="inlineStr">
        <is>
          <t>90 days</t>
        </is>
      </c>
      <c r="H42" s="717" t="inlineStr">
        <is>
          <t>CISO</t>
        </is>
      </c>
      <c r="I42" s="717" t="inlineStr">
        <is>
          <t>PARTIAL</t>
        </is>
      </c>
      <c r="J42" s="717" t="n">
        <v>90</v>
      </c>
    </row>
    <row r="43">
      <c r="A43" s="718" t="inlineStr">
        <is>
          <t>Active</t>
        </is>
      </c>
      <c r="B43" s="718" t="inlineStr">
        <is>
          <t>ACTIVE</t>
        </is>
      </c>
      <c r="C43" s="718" t="inlineStr">
        <is>
          <t>Registration confirmed</t>
        </is>
      </c>
      <c r="D43" s="718" t="inlineStr">
        <is>
          <t>Audit scheduled</t>
        </is>
      </c>
      <c r="E43" s="718" t="inlineStr">
        <is>
          <t>AUDITED</t>
        </is>
      </c>
      <c r="F43" s="718" t="inlineStr">
        <is>
          <t>N</t>
        </is>
      </c>
      <c r="G43" s="718" t="inlineStr">
        <is>
          <t>Ongoing</t>
        </is>
      </c>
      <c r="H43" s="718" t="inlineStr">
        <is>
          <t>Compliance Officer</t>
        </is>
      </c>
      <c r="I43" s="718" t="inlineStr">
        <is>
          <t>FULL</t>
        </is>
      </c>
      <c r="J43" s="718" t="n">
        <v>365</v>
      </c>
    </row>
    <row r="44">
      <c r="A44" s="717" t="inlineStr">
        <is>
          <t>Audited</t>
        </is>
      </c>
      <c r="B44" s="717" t="inlineStr">
        <is>
          <t>AUDITED</t>
        </is>
      </c>
      <c r="C44" s="717" t="inlineStr">
        <is>
          <t>Annual audit cycle</t>
        </is>
      </c>
      <c r="D44" s="717" t="inlineStr">
        <is>
          <t>Audit report issued</t>
        </is>
      </c>
      <c r="E44" s="717" t="inlineStr">
        <is>
          <t>RENEWED</t>
        </is>
      </c>
      <c r="F44" s="717" t="inlineStr">
        <is>
          <t>Y</t>
        </is>
      </c>
      <c r="G44" s="717" t="inlineStr">
        <is>
          <t>60 days</t>
        </is>
      </c>
      <c r="H44" s="717" t="inlineStr">
        <is>
          <t>External Auditor</t>
        </is>
      </c>
      <c r="I44" s="717" t="inlineStr">
        <is>
          <t>PARTIAL</t>
        </is>
      </c>
      <c r="J44" s="717" t="n">
        <v>60</v>
      </c>
    </row>
    <row r="45">
      <c r="A45" s="718" t="inlineStr">
        <is>
          <t>Renewed</t>
        </is>
      </c>
      <c r="B45" s="718" t="inlineStr">
        <is>
          <t>RENEWED</t>
        </is>
      </c>
      <c r="C45" s="718" t="inlineStr">
        <is>
          <t>Successful audit</t>
        </is>
      </c>
      <c r="D45" s="718" t="inlineStr">
        <is>
          <t>Next cycle begins</t>
        </is>
      </c>
      <c r="E45" s="718" t="inlineStr">
        <is>
          <t>ACTIVE</t>
        </is>
      </c>
      <c r="F45" s="718" t="inlineStr">
        <is>
          <t>N</t>
        </is>
      </c>
      <c r="G45" s="718" t="inlineStr">
        <is>
          <t>1 day</t>
        </is>
      </c>
      <c r="H45" s="718" t="inlineStr">
        <is>
          <t>Compliance Officer</t>
        </is>
      </c>
      <c r="I45" s="718" t="inlineStr">
        <is>
          <t>FULL</t>
        </is>
      </c>
      <c r="J45" s="718" t="n">
        <v>1</v>
      </c>
    </row>
    <row r="46">
      <c r="A46" s="717" t="inlineStr">
        <is>
          <t>Archived</t>
        </is>
      </c>
      <c r="B46" s="717" t="inlineStr">
        <is>
          <t>ARCHIVED</t>
        </is>
      </c>
      <c r="C46" s="717" t="inlineStr">
        <is>
          <t>Decommission / superseded</t>
        </is>
      </c>
      <c r="D46" s="717" t="inlineStr">
        <is>
          <t>N/A</t>
        </is>
      </c>
      <c r="E46" s="717" t="inlineStr">
        <is>
          <t>N/A</t>
        </is>
      </c>
      <c r="F46" s="717" t="inlineStr">
        <is>
          <t>Y</t>
        </is>
      </c>
      <c r="G46" s="717" t="inlineStr">
        <is>
          <t>N/A</t>
        </is>
      </c>
      <c r="H46" s="717" t="inlineStr">
        <is>
          <t>CCO</t>
        </is>
      </c>
      <c r="I46" s="717" t="inlineStr">
        <is>
          <t>N</t>
        </is>
      </c>
      <c r="J46" s="717" t="n">
        <v>0</v>
      </c>
    </row>
    <row r="48">
      <c r="A48" s="723" t="inlineStr">
        <is>
          <t xml:space="preserve">  F │ EVIDENCE REQUIREMENTS</t>
        </is>
      </c>
      <c r="B48" s="766" t="n"/>
      <c r="C48" s="766" t="n"/>
      <c r="D48" s="766" t="n"/>
      <c r="E48" s="766" t="n"/>
      <c r="F48" s="766" t="n"/>
      <c r="G48" s="766" t="n"/>
      <c r="H48" s="766" t="n"/>
      <c r="I48" s="766" t="n"/>
      <c r="J48" s="767" t="n"/>
    </row>
    <row r="49">
      <c r="A49" s="724" t="inlineStr">
        <is>
          <t>Evidence Type</t>
        </is>
      </c>
      <c r="B49" s="724" t="inlineStr">
        <is>
          <t>Framework</t>
        </is>
      </c>
      <c r="C49" s="724" t="inlineStr">
        <is>
          <t>Responsible Role</t>
        </is>
      </c>
      <c r="D49" s="724" t="inlineStr">
        <is>
          <t>Collection Frequency</t>
        </is>
      </c>
      <c r="E49" s="724" t="inlineStr">
        <is>
          <t>Retention (Years)</t>
        </is>
      </c>
      <c r="F49" s="724" t="inlineStr">
        <is>
          <t>Format</t>
        </is>
      </c>
      <c r="G49" s="724" t="inlineStr">
        <is>
          <t>Submittable to Regulator?</t>
        </is>
      </c>
      <c r="H49" s="724" t="inlineStr">
        <is>
          <t>AI Extractable?</t>
        </is>
      </c>
      <c r="I49" s="724" t="inlineStr">
        <is>
          <t>Risk if Missing</t>
        </is>
      </c>
      <c r="J49" s="724" t="inlineStr">
        <is>
          <t>Notes</t>
        </is>
      </c>
    </row>
    <row r="50">
      <c r="A50" s="717" t="inlineStr">
        <is>
          <t>Self-Assessment Report</t>
        </is>
      </c>
      <c r="B50" s="717" t="inlineStr">
        <is>
          <t>ALL</t>
        </is>
      </c>
      <c r="C50" s="717" t="inlineStr">
        <is>
          <t>Compliance Officer</t>
        </is>
      </c>
      <c r="D50" s="717" t="inlineStr">
        <is>
          <t>ANNUAL</t>
        </is>
      </c>
      <c r="E50" s="717" t="n">
        <v>5</v>
      </c>
      <c r="F50" s="717" t="inlineStr">
        <is>
          <t>PDF</t>
        </is>
      </c>
      <c r="G50" s="717" t="inlineStr">
        <is>
          <t>Y</t>
        </is>
      </c>
      <c r="H50" s="717" t="inlineStr">
        <is>
          <t>Y</t>
        </is>
      </c>
      <c r="I50" s="717" t="inlineStr">
        <is>
          <t>HIGH</t>
        </is>
      </c>
      <c r="J50" s="717" t="inlineStr"/>
    </row>
    <row r="51">
      <c r="A51" s="718" t="inlineStr">
        <is>
          <t>Gap Analysis Report</t>
        </is>
      </c>
      <c r="B51" s="718" t="inlineStr">
        <is>
          <t>ALL</t>
        </is>
      </c>
      <c r="C51" s="718" t="inlineStr">
        <is>
          <t>Lead Auditor</t>
        </is>
      </c>
      <c r="D51" s="718" t="inlineStr">
        <is>
          <t>ANNUAL</t>
        </is>
      </c>
      <c r="E51" s="718" t="n">
        <v>5</v>
      </c>
      <c r="F51" s="718" t="inlineStr">
        <is>
          <t>PDF/Excel</t>
        </is>
      </c>
      <c r="G51" s="718" t="inlineStr">
        <is>
          <t>N</t>
        </is>
      </c>
      <c r="H51" s="718" t="inlineStr">
        <is>
          <t>Y</t>
        </is>
      </c>
      <c r="I51" s="718" t="inlineStr">
        <is>
          <t>HIGH</t>
        </is>
      </c>
      <c r="J51" s="718" t="inlineStr"/>
    </row>
    <row r="52">
      <c r="A52" s="717" t="inlineStr">
        <is>
          <t>External Audit Report</t>
        </is>
      </c>
      <c r="B52" s="717" t="inlineStr">
        <is>
          <t>ALL</t>
        </is>
      </c>
      <c r="C52" s="717" t="inlineStr">
        <is>
          <t>External Auditor</t>
        </is>
      </c>
      <c r="D52" s="717" t="inlineStr">
        <is>
          <t>ANNUAL</t>
        </is>
      </c>
      <c r="E52" s="717" t="n">
        <v>7</v>
      </c>
      <c r="F52" s="717" t="inlineStr">
        <is>
          <t>PDF</t>
        </is>
      </c>
      <c r="G52" s="717" t="inlineStr">
        <is>
          <t>Y</t>
        </is>
      </c>
      <c r="H52" s="717" t="inlineStr">
        <is>
          <t>Y</t>
        </is>
      </c>
      <c r="I52" s="717" t="inlineStr">
        <is>
          <t>CRITICAL</t>
        </is>
      </c>
      <c r="J52" s="717" t="inlineStr"/>
    </row>
    <row r="53">
      <c r="A53" s="718" t="inlineStr">
        <is>
          <t>Penetration Test Report</t>
        </is>
      </c>
      <c r="B53" s="718" t="inlineStr">
        <is>
          <t>ALL</t>
        </is>
      </c>
      <c r="C53" s="718" t="inlineStr">
        <is>
          <t>CISO</t>
        </is>
      </c>
      <c r="D53" s="718" t="inlineStr">
        <is>
          <t>ANNUAL</t>
        </is>
      </c>
      <c r="E53" s="718" t="n">
        <v>3</v>
      </c>
      <c r="F53" s="718" t="inlineStr">
        <is>
          <t>PDF</t>
        </is>
      </c>
      <c r="G53" s="718" t="inlineStr">
        <is>
          <t>Y</t>
        </is>
      </c>
      <c r="H53" s="718" t="inlineStr">
        <is>
          <t>Y</t>
        </is>
      </c>
      <c r="I53" s="718" t="inlineStr">
        <is>
          <t>HIGH</t>
        </is>
      </c>
      <c r="J53" s="718" t="inlineStr"/>
    </row>
    <row r="54">
      <c r="A54" s="717" t="inlineStr">
        <is>
          <t>Regulator Inspection Record</t>
        </is>
      </c>
      <c r="B54" s="717" t="inlineStr">
        <is>
          <t>ALL</t>
        </is>
      </c>
      <c r="C54" s="717" t="inlineStr">
        <is>
          <t>CCO</t>
        </is>
      </c>
      <c r="D54" s="717" t="inlineStr">
        <is>
          <t>AS_REQUIRED</t>
        </is>
      </c>
      <c r="E54" s="717" t="n">
        <v>10</v>
      </c>
      <c r="F54" s="717" t="inlineStr">
        <is>
          <t>PDF</t>
        </is>
      </c>
      <c r="G54" s="717" t="inlineStr">
        <is>
          <t>Y</t>
        </is>
      </c>
      <c r="H54" s="717" t="inlineStr">
        <is>
          <t>N</t>
        </is>
      </c>
      <c r="I54" s="717" t="inlineStr">
        <is>
          <t>CRITICAL</t>
        </is>
      </c>
      <c r="J54" s="717" t="inlineStr"/>
    </row>
    <row r="55">
      <c r="A55" s="718" t="inlineStr">
        <is>
          <t>Incident Response Log</t>
        </is>
      </c>
      <c r="B55" s="718" t="inlineStr">
        <is>
          <t>ALL</t>
        </is>
      </c>
      <c r="C55" s="718" t="inlineStr">
        <is>
          <t>CISO</t>
        </is>
      </c>
      <c r="D55" s="718" t="inlineStr">
        <is>
          <t>CONTINUOUS</t>
        </is>
      </c>
      <c r="E55" s="718" t="n">
        <v>5</v>
      </c>
      <c r="F55" s="718" t="inlineStr">
        <is>
          <t>SIEM/PDF</t>
        </is>
      </c>
      <c r="G55" s="718" t="inlineStr">
        <is>
          <t>Y</t>
        </is>
      </c>
      <c r="H55" s="718" t="inlineStr">
        <is>
          <t>Y</t>
        </is>
      </c>
      <c r="I55" s="718" t="inlineStr">
        <is>
          <t>HIGH</t>
        </is>
      </c>
      <c r="J55" s="718" t="inlineStr"/>
    </row>
    <row r="56">
      <c r="A56" s="717" t="inlineStr">
        <is>
          <t>Training Completion Records</t>
        </is>
      </c>
      <c r="B56" s="717" t="inlineStr">
        <is>
          <t>ALL</t>
        </is>
      </c>
      <c r="C56" s="717" t="inlineStr">
        <is>
          <t>CISO</t>
        </is>
      </c>
      <c r="D56" s="717" t="inlineStr">
        <is>
          <t>ANNUAL</t>
        </is>
      </c>
      <c r="E56" s="717" t="n">
        <v>3</v>
      </c>
      <c r="F56" s="717" t="inlineStr">
        <is>
          <t>CSV/PDF</t>
        </is>
      </c>
      <c r="G56" s="717" t="inlineStr">
        <is>
          <t>N</t>
        </is>
      </c>
      <c r="H56" s="717" t="inlineStr">
        <is>
          <t>Y</t>
        </is>
      </c>
      <c r="I56" s="717" t="inlineStr">
        <is>
          <t>MEDIUM</t>
        </is>
      </c>
      <c r="J56" s="717" t="inlineStr"/>
    </row>
    <row r="57">
      <c r="A57" s="718" t="inlineStr">
        <is>
          <t>Vendor Risk Assessments</t>
        </is>
      </c>
      <c r="B57" s="718" t="inlineStr">
        <is>
          <t>ALL</t>
        </is>
      </c>
      <c r="C57" s="718" t="inlineStr">
        <is>
          <t>3rd Party Risk Officer</t>
        </is>
      </c>
      <c r="D57" s="718" t="inlineStr">
        <is>
          <t>ANNUAL</t>
        </is>
      </c>
      <c r="E57" s="718" t="n">
        <v>3</v>
      </c>
      <c r="F57" s="718" t="inlineStr">
        <is>
          <t>Excel/PDF</t>
        </is>
      </c>
      <c r="G57" s="718" t="inlineStr">
        <is>
          <t>N</t>
        </is>
      </c>
      <c r="H57" s="718" t="inlineStr">
        <is>
          <t>Y</t>
        </is>
      </c>
      <c r="I57" s="718" t="inlineStr">
        <is>
          <t>HIGH</t>
        </is>
      </c>
      <c r="J57" s="718" t="inlineStr"/>
    </row>
    <row r="58">
      <c r="A58" s="717" t="inlineStr">
        <is>
          <t>Data Protection Impact Assessment</t>
        </is>
      </c>
      <c r="B58" s="717" t="inlineStr">
        <is>
          <t>PRIVACY</t>
        </is>
      </c>
      <c r="C58" s="717" t="inlineStr">
        <is>
          <t>DPO</t>
        </is>
      </c>
      <c r="D58" s="717" t="inlineStr">
        <is>
          <t>PER_PROJECT</t>
        </is>
      </c>
      <c r="E58" s="717" t="n">
        <v>5</v>
      </c>
      <c r="F58" s="717" t="inlineStr">
        <is>
          <t>PDF</t>
        </is>
      </c>
      <c r="G58" s="717" t="inlineStr">
        <is>
          <t>Y</t>
        </is>
      </c>
      <c r="H58" s="717" t="inlineStr">
        <is>
          <t>Y</t>
        </is>
      </c>
      <c r="I58" s="717" t="inlineStr">
        <is>
          <t>HIGH</t>
        </is>
      </c>
      <c r="J58" s="717" t="inlineStr"/>
    </row>
    <row r="59">
      <c r="A59" s="718" t="inlineStr">
        <is>
          <t>Business Continuity Test Report</t>
        </is>
      </c>
      <c r="B59" s="718" t="inlineStr">
        <is>
          <t>ALL</t>
        </is>
      </c>
      <c r="C59" s="718" t="inlineStr">
        <is>
          <t>BCM Manager</t>
        </is>
      </c>
      <c r="D59" s="718" t="inlineStr">
        <is>
          <t>BIENNIAL</t>
        </is>
      </c>
      <c r="E59" s="718" t="n">
        <v>5</v>
      </c>
      <c r="F59" s="718" t="inlineStr">
        <is>
          <t>PDF</t>
        </is>
      </c>
      <c r="G59" s="718" t="inlineStr">
        <is>
          <t>N</t>
        </is>
      </c>
      <c r="H59" s="718" t="inlineStr">
        <is>
          <t>N</t>
        </is>
      </c>
      <c r="I59" s="718" t="inlineStr">
        <is>
          <t>MEDIUM</t>
        </is>
      </c>
      <c r="J59" s="718" t="inlineStr"/>
    </row>
    <row r="61">
      <c r="A61" s="725" t="inlineStr">
        <is>
          <t xml:space="preserve">  G │ GRC MATURITY BENCHMARKS</t>
        </is>
      </c>
      <c r="B61" s="766" t="n"/>
      <c r="C61" s="766" t="n"/>
      <c r="D61" s="766" t="n"/>
      <c r="E61" s="766" t="n"/>
      <c r="F61" s="766" t="n"/>
      <c r="G61" s="766" t="n"/>
      <c r="H61" s="766" t="n"/>
      <c r="I61" s="766" t="n"/>
      <c r="J61" s="767" t="n"/>
    </row>
    <row r="62">
      <c r="A62" s="726" t="inlineStr">
        <is>
          <t>Domain</t>
        </is>
      </c>
      <c r="B62" s="726" t="inlineStr">
        <is>
          <t>Maturity Model</t>
        </is>
      </c>
      <c r="C62" s="726" t="inlineStr">
        <is>
          <t>Country Avg Score</t>
        </is>
      </c>
      <c r="D62" s="726" t="inlineStr">
        <is>
          <t>Best-in-Class</t>
        </is>
      </c>
      <c r="E62" s="726" t="inlineStr">
        <is>
          <t>Typical Target</t>
        </is>
      </c>
      <c r="F62" s="726" t="inlineStr">
        <is>
          <t>Gap to Target</t>
        </is>
      </c>
      <c r="G62" s="726" t="inlineStr">
        <is>
          <t>Priority</t>
        </is>
      </c>
      <c r="H62" s="726" t="inlineStr">
        <is>
          <t>Key Barrier</t>
        </is>
      </c>
      <c r="I62" s="726" t="inlineStr">
        <is>
          <t>Shahin AI Recommendation</t>
        </is>
      </c>
      <c r="J62" s="726" t="inlineStr">
        <is>
          <t>Ref Framework</t>
        </is>
      </c>
    </row>
    <row r="63">
      <c r="A63" s="717" t="inlineStr">
        <is>
          <t>GRC Governance</t>
        </is>
      </c>
      <c r="B63" s="717" t="inlineStr">
        <is>
          <t>CMMI 1-5</t>
        </is>
      </c>
      <c r="C63" s="717" t="n">
        <v>2.5</v>
      </c>
      <c r="D63" s="717" t="n">
        <v>4</v>
      </c>
      <c r="E63" s="717" t="n">
        <v>3</v>
      </c>
      <c r="F63" s="717" t="n">
        <v>0.5</v>
      </c>
      <c r="G63" s="717" t="inlineStr">
        <is>
          <t>HIGH</t>
        </is>
      </c>
      <c r="H63" s="717" t="inlineStr">
        <is>
          <t>Framework adoption</t>
        </is>
      </c>
      <c r="I63" s="717" t="inlineStr">
        <is>
          <t>Adopt NCSC framework</t>
        </is>
      </c>
      <c r="J63" s="717" t="inlineStr">
        <is>
          <t>KW-NCSC-DCF-2025</t>
        </is>
      </c>
    </row>
    <row r="64">
      <c r="A64" s="718" t="inlineStr">
        <is>
          <t>Cybersecurity Controls</t>
        </is>
      </c>
      <c r="B64" s="718" t="inlineStr">
        <is>
          <t>CMMI 1-5</t>
        </is>
      </c>
      <c r="C64" s="718" t="n">
        <v>2.8</v>
      </c>
      <c r="D64" s="718" t="n">
        <v>4.5</v>
      </c>
      <c r="E64" s="718" t="n">
        <v>3.5</v>
      </c>
      <c r="F64" s="718" t="n">
        <v>0.7</v>
      </c>
      <c r="G64" s="718" t="inlineStr">
        <is>
          <t>HIGH</t>
        </is>
      </c>
      <c r="H64" s="718" t="inlineStr">
        <is>
          <t>Legacy infrastructure</t>
        </is>
      </c>
      <c r="I64" s="718" t="inlineStr">
        <is>
          <t>SOC upgrade programme</t>
        </is>
      </c>
      <c r="J64" s="718" t="inlineStr">
        <is>
          <t>CBK-CSF</t>
        </is>
      </c>
    </row>
    <row r="65">
      <c r="A65" s="717" t="inlineStr">
        <is>
          <t>Data Privacy</t>
        </is>
      </c>
      <c r="B65" s="717" t="inlineStr">
        <is>
          <t>CMMI 1-5</t>
        </is>
      </c>
      <c r="C65" s="717" t="n">
        <v>2</v>
      </c>
      <c r="D65" s="717" t="n">
        <v>4</v>
      </c>
      <c r="E65" s="717" t="n">
        <v>3</v>
      </c>
      <c r="F65" s="717" t="n">
        <v>1</v>
      </c>
      <c r="G65" s="717" t="inlineStr">
        <is>
          <t>HIGH</t>
        </is>
      </c>
      <c r="H65" s="717" t="inlineStr">
        <is>
          <t>Regulation newness</t>
        </is>
      </c>
      <c r="I65" s="717" t="inlineStr">
        <is>
          <t>CITRA compliance programme</t>
        </is>
      </c>
      <c r="J65" s="717" t="inlineStr">
        <is>
          <t>KW-CITRA-DPPR-2024</t>
        </is>
      </c>
    </row>
  </sheetData>
  <mergeCells count="8">
    <mergeCell ref="A1:J1"/>
    <mergeCell ref="A32:J32"/>
    <mergeCell ref="A61:J61"/>
    <mergeCell ref="A12:J12"/>
    <mergeCell ref="A48:J48"/>
    <mergeCell ref="A38:J38"/>
    <mergeCell ref="A2:J2"/>
    <mergeCell ref="A25:J25"/>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64"/>
  <sheetViews>
    <sheetView showGridLines="0" workbookViewId="0">
      <pane ySplit="2" topLeftCell="A3" activePane="bottomLeft" state="frozen"/>
      <selection pane="bottomLeft" activeCell="A1" sqref="A1"/>
    </sheetView>
  </sheetViews>
  <sheetFormatPr baseColWidth="8" defaultRowHeight="15"/>
  <cols>
    <col width="18" customWidth="1" min="1" max="1"/>
    <col width="38" customWidth="1" min="2" max="2"/>
    <col width="28" customWidth="1" min="3" max="3"/>
    <col width="24" customWidth="1" min="4" max="4"/>
    <col width="12" customWidth="1" min="5" max="5"/>
    <col width="12" customWidth="1" min="6" max="6"/>
    <col width="22" customWidth="1" min="7" max="7"/>
    <col width="18" customWidth="1" min="8" max="8"/>
    <col width="20" customWidth="1" min="9" max="9"/>
    <col width="28" customWidth="1" min="10" max="10"/>
  </cols>
  <sheetData>
    <row r="1" ht="30" customHeight="1">
      <c r="A1" s="705" t="inlineStr">
        <is>
          <t>🇴🇲  Oman (OM)  ·  GRC Regulatory Intelligence</t>
        </is>
      </c>
    </row>
    <row r="2">
      <c r="A2" s="706" t="inlineStr">
        <is>
          <t xml:space="preserve">  A │ REGULATORS</t>
        </is>
      </c>
      <c r="B2" s="766" t="n"/>
      <c r="C2" s="766" t="n"/>
      <c r="D2" s="766" t="n"/>
      <c r="E2" s="766" t="n"/>
      <c r="F2" s="766" t="n"/>
      <c r="G2" s="766" t="n"/>
      <c r="H2" s="766" t="n"/>
      <c r="I2" s="766" t="n"/>
      <c r="J2" s="767" t="n"/>
    </row>
    <row r="3">
      <c r="A3" s="707" t="inlineStr">
        <is>
          <t>Code</t>
        </is>
      </c>
      <c r="B3" s="707" t="inlineStr">
        <is>
          <t>Name (EN)</t>
        </is>
      </c>
      <c r="C3" s="707" t="inlineStr">
        <is>
          <t>Name (AR)</t>
        </is>
      </c>
      <c r="D3" s="707" t="inlineStr">
        <is>
          <t>Sector Group</t>
        </is>
      </c>
      <c r="E3" s="707" t="inlineStr">
        <is>
          <t>Tier</t>
        </is>
      </c>
      <c r="F3" s="707" t="inlineStr">
        <is>
          <t>Own FW Count</t>
        </is>
      </c>
      <c r="G3" s="707" t="inlineStr">
        <is>
          <t>Power Index</t>
        </is>
      </c>
      <c r="H3" s="707" t="inlineStr">
        <is>
          <t>Enforcement</t>
        </is>
      </c>
      <c r="I3" s="707" t="inlineStr">
        <is>
          <t>Website</t>
        </is>
      </c>
      <c r="J3" s="707" t="inlineStr">
        <is>
          <t>Notes</t>
        </is>
      </c>
    </row>
    <row r="4">
      <c r="A4" s="708" t="inlineStr">
        <is>
          <t>CBO</t>
        </is>
      </c>
      <c r="B4" s="708" t="inlineStr">
        <is>
          <t>Central Bank of Oman</t>
        </is>
      </c>
      <c r="C4" s="708" t="inlineStr">
        <is>
          <t>البنك المركزي العُماني</t>
        </is>
      </c>
      <c r="D4" s="708" t="inlineStr">
        <is>
          <t>Financial</t>
        </is>
      </c>
      <c r="E4" s="708" t="inlineStr">
        <is>
          <t>🔴 T1</t>
        </is>
      </c>
      <c r="F4" s="708" t="n">
        <v>5</v>
      </c>
      <c r="G4" s="708" t="n">
        <v>93</v>
      </c>
      <c r="H4" s="708" t="inlineStr">
        <is>
          <t>MANDATORY</t>
        </is>
      </c>
      <c r="I4" s="708" t="inlineStr">
        <is>
          <t>https://cbo.gov.om</t>
        </is>
      </c>
      <c r="J4" s="708" t="inlineStr"/>
    </row>
    <row r="5">
      <c r="A5" s="708" t="inlineStr">
        <is>
          <t>MTCIT</t>
        </is>
      </c>
      <c r="B5" s="708" t="inlineStr">
        <is>
          <t>Ministry of Transport, Comm. &amp; IT</t>
        </is>
      </c>
      <c r="C5" s="708" t="inlineStr">
        <is>
          <t>وزارة النقل والاتصالات وتقنية المعلومات</t>
        </is>
      </c>
      <c r="D5" s="708" t="inlineStr">
        <is>
          <t>ICT/Digital/PDPL</t>
        </is>
      </c>
      <c r="E5" s="708" t="inlineStr">
        <is>
          <t>🔴 T1</t>
        </is>
      </c>
      <c r="F5" s="708" t="n">
        <v>4</v>
      </c>
      <c r="G5" s="708" t="n">
        <v>85</v>
      </c>
      <c r="H5" s="708" t="inlineStr">
        <is>
          <t>MANDATORY</t>
        </is>
      </c>
      <c r="I5" s="708" t="inlineStr">
        <is>
          <t>https://mtcit.gov.om</t>
        </is>
      </c>
      <c r="J5" s="708" t="inlineStr"/>
    </row>
    <row r="6">
      <c r="A6" s="709" t="inlineStr">
        <is>
          <t>OCERT</t>
        </is>
      </c>
      <c r="B6" s="709" t="inlineStr">
        <is>
          <t>Oman CERT</t>
        </is>
      </c>
      <c r="C6" s="709" t="inlineStr">
        <is>
          <t>مركز عُمان للاستجابة للطوارئ الحاسوبية</t>
        </is>
      </c>
      <c r="D6" s="709" t="inlineStr">
        <is>
          <t>Cybersecurity/IR</t>
        </is>
      </c>
      <c r="E6" s="709" t="inlineStr">
        <is>
          <t>🟠 T2</t>
        </is>
      </c>
      <c r="F6" s="709" t="n">
        <v>2</v>
      </c>
      <c r="G6" s="709" t="n">
        <v>78</v>
      </c>
      <c r="H6" s="709" t="inlineStr">
        <is>
          <t>MANDATORY</t>
        </is>
      </c>
      <c r="I6" s="709" t="inlineStr">
        <is>
          <t>https://ocert.gov.om</t>
        </is>
      </c>
      <c r="J6" s="709" t="inlineStr"/>
    </row>
    <row r="7">
      <c r="A7" s="709" t="inlineStr">
        <is>
          <t>CMA-OM</t>
        </is>
      </c>
      <c r="B7" s="709" t="inlineStr">
        <is>
          <t>Capital Market Authority</t>
        </is>
      </c>
      <c r="C7" s="709" t="inlineStr">
        <is>
          <t>هيئة أسواق المال</t>
        </is>
      </c>
      <c r="D7" s="709" t="inlineStr">
        <is>
          <t>Capital Markets</t>
        </is>
      </c>
      <c r="E7" s="709" t="inlineStr">
        <is>
          <t>🟠 T2</t>
        </is>
      </c>
      <c r="F7" s="709" t="n">
        <v>4</v>
      </c>
      <c r="G7" s="709" t="n">
        <v>68</v>
      </c>
      <c r="H7" s="709" t="inlineStr">
        <is>
          <t>MANDATORY</t>
        </is>
      </c>
      <c r="I7" s="709" t="inlineStr">
        <is>
          <t>https://cma.gov.om</t>
        </is>
      </c>
      <c r="J7" s="709" t="inlineStr"/>
    </row>
    <row r="8">
      <c r="A8" s="709" t="inlineStr">
        <is>
          <t>TRA-OM</t>
        </is>
      </c>
      <c r="B8" s="709" t="inlineStr">
        <is>
          <t>Telecommunications Regulatory Authority</t>
        </is>
      </c>
      <c r="C8" s="709" t="inlineStr">
        <is>
          <t>هيئة تنظيم الاتصالات</t>
        </is>
      </c>
      <c r="D8" s="709" t="inlineStr">
        <is>
          <t>Telecom</t>
        </is>
      </c>
      <c r="E8" s="709" t="inlineStr">
        <is>
          <t>🟠 T2</t>
        </is>
      </c>
      <c r="F8" s="709" t="n">
        <v>3</v>
      </c>
      <c r="G8" s="709" t="n">
        <v>70</v>
      </c>
      <c r="H8" s="709" t="inlineStr">
        <is>
          <t>MANDATORY</t>
        </is>
      </c>
      <c r="I8" s="709" t="inlineStr">
        <is>
          <t>https://tra.gov.om</t>
        </is>
      </c>
      <c r="J8" s="709" t="inlineStr"/>
    </row>
    <row r="9">
      <c r="A9" s="709" t="inlineStr">
        <is>
          <t>ODPA</t>
        </is>
      </c>
      <c r="B9" s="709" t="inlineStr">
        <is>
          <t>Oman Data Protection Authority</t>
        </is>
      </c>
      <c r="C9" s="709" t="inlineStr">
        <is>
          <t>هيئة حماية البيانات العُمانية</t>
        </is>
      </c>
      <c r="D9" s="709" t="inlineStr">
        <is>
          <t>Data/Privacy</t>
        </is>
      </c>
      <c r="E9" s="709" t="inlineStr">
        <is>
          <t>🟠 T2</t>
        </is>
      </c>
      <c r="F9" s="709" t="n">
        <v>2</v>
      </c>
      <c r="G9" s="709" t="n">
        <v>72</v>
      </c>
      <c r="H9" s="709" t="inlineStr">
        <is>
          <t>MANDATORY</t>
        </is>
      </c>
      <c r="I9" s="709" t="inlineStr"/>
      <c r="J9" s="709" t="inlineStr"/>
    </row>
    <row r="10">
      <c r="A10" s="709" t="inlineStr">
        <is>
          <t>MOH-OM</t>
        </is>
      </c>
      <c r="B10" s="709" t="inlineStr">
        <is>
          <t>Ministry of Health</t>
        </is>
      </c>
      <c r="C10" s="709" t="inlineStr">
        <is>
          <t>وزارة الصحة</t>
        </is>
      </c>
      <c r="D10" s="709" t="inlineStr">
        <is>
          <t>Healthcare</t>
        </is>
      </c>
      <c r="E10" s="709" t="inlineStr">
        <is>
          <t>🟠 T2</t>
        </is>
      </c>
      <c r="F10" s="709" t="n">
        <v>2</v>
      </c>
      <c r="G10" s="709" t="n">
        <v>58</v>
      </c>
      <c r="H10" s="709" t="inlineStr">
        <is>
          <t>MANDATORY</t>
        </is>
      </c>
      <c r="I10" s="709" t="inlineStr">
        <is>
          <t>https://moh.gov.om</t>
        </is>
      </c>
      <c r="J10" s="709" t="inlineStr"/>
    </row>
    <row r="11">
      <c r="A11" s="709" t="inlineStr">
        <is>
          <t>FIU-OM</t>
        </is>
      </c>
      <c r="B11" s="709" t="inlineStr">
        <is>
          <t>Financial Intelligence Unit</t>
        </is>
      </c>
      <c r="C11" s="709" t="inlineStr">
        <is>
          <t>وحدة الاستخبارات المالية</t>
        </is>
      </c>
      <c r="D11" s="709" t="inlineStr">
        <is>
          <t>AML/CFT</t>
        </is>
      </c>
      <c r="E11" s="709" t="inlineStr">
        <is>
          <t>🟠 T2</t>
        </is>
      </c>
      <c r="F11" s="709" t="n">
        <v>1</v>
      </c>
      <c r="G11" s="709" t="n">
        <v>78</v>
      </c>
      <c r="H11" s="709" t="inlineStr">
        <is>
          <t>MANDATORY</t>
        </is>
      </c>
      <c r="I11" s="709" t="inlineStr"/>
      <c r="J11" s="709" t="inlineStr"/>
    </row>
    <row r="13">
      <c r="A13" s="712" t="inlineStr">
        <is>
          <t xml:space="preserve">  B │ FRAMEWORKS</t>
        </is>
      </c>
      <c r="B13" s="766" t="n"/>
      <c r="C13" s="766" t="n"/>
      <c r="D13" s="766" t="n"/>
      <c r="E13" s="766" t="n"/>
      <c r="F13" s="766" t="n"/>
      <c r="G13" s="766" t="n"/>
      <c r="H13" s="766" t="n"/>
      <c r="I13" s="766" t="n"/>
      <c r="J13" s="767" t="n"/>
    </row>
    <row r="14">
      <c r="A14" s="713" t="inlineStr">
        <is>
          <t>Framework Code</t>
        </is>
      </c>
      <c r="B14" s="713" t="inlineStr">
        <is>
          <t>Name (EN)</t>
        </is>
      </c>
      <c r="C14" s="713" t="inlineStr">
        <is>
          <t>Issuing Regulator</t>
        </is>
      </c>
      <c r="D14" s="713" t="inlineStr">
        <is>
          <t>Version/Year</t>
        </is>
      </c>
      <c r="E14" s="713" t="inlineStr">
        <is>
          <t>Mandatory?</t>
        </is>
      </c>
      <c r="F14" s="713" t="inlineStr">
        <is>
          <t>Control Count</t>
        </is>
      </c>
      <c r="G14" s="713" t="inlineStr">
        <is>
          <t>Sector Applicability</t>
        </is>
      </c>
      <c r="H14" s="713" t="inlineStr">
        <is>
          <t>Audit Frequency</t>
        </is>
      </c>
      <c r="I14" s="713" t="inlineStr">
        <is>
          <t>Effective Date</t>
        </is>
      </c>
      <c r="J14" s="713" t="inlineStr">
        <is>
          <t>Canonical DB Code</t>
        </is>
      </c>
    </row>
    <row r="15">
      <c r="A15" s="711" t="inlineStr">
        <is>
          <t>CBO-CYBERSEC-2023</t>
        </is>
      </c>
      <c r="B15" s="711" t="inlineStr">
        <is>
          <t>CBO Cyber Security &amp; Resilience Framework 2023</t>
        </is>
      </c>
      <c r="C15" s="711" t="inlineStr">
        <is>
          <t>CBO</t>
        </is>
      </c>
      <c r="D15" s="711" t="inlineStr">
        <is>
          <t>2023</t>
        </is>
      </c>
      <c r="E15" s="711" t="inlineStr">
        <is>
          <t>Y</t>
        </is>
      </c>
      <c r="F15" s="711" t="n">
        <v>80</v>
      </c>
      <c r="G15" s="711" t="inlineStr">
        <is>
          <t>FIN</t>
        </is>
      </c>
      <c r="H15" s="711" t="inlineStr">
        <is>
          <t>ANNUAL</t>
        </is>
      </c>
      <c r="I15" s="711" t="inlineStr">
        <is>
          <t>2023-09-01</t>
        </is>
      </c>
      <c r="J15" s="711" t="inlineStr">
        <is>
          <t>CBO-CYBERSEC-2023</t>
        </is>
      </c>
    </row>
    <row r="16">
      <c r="A16" s="711" t="inlineStr">
        <is>
          <t>OM-PDPL-2022</t>
        </is>
      </c>
      <c r="B16" s="711" t="inlineStr">
        <is>
          <t>Oman Personal Data Protection Law (RD 6/2022)</t>
        </is>
      </c>
      <c r="C16" s="711" t="inlineStr">
        <is>
          <t>ODPA</t>
        </is>
      </c>
      <c r="D16" s="711" t="inlineStr">
        <is>
          <t>2022</t>
        </is>
      </c>
      <c r="E16" s="711" t="inlineStr">
        <is>
          <t>Y</t>
        </is>
      </c>
      <c r="F16" s="711" t="n">
        <v>40</v>
      </c>
      <c r="G16" s="711" t="inlineStr">
        <is>
          <t>ALL</t>
        </is>
      </c>
      <c r="H16" s="711" t="inlineStr">
        <is>
          <t>ANNUAL</t>
        </is>
      </c>
      <c r="I16" s="711" t="inlineStr">
        <is>
          <t>2022-02-09</t>
        </is>
      </c>
      <c r="J16" s="711" t="inlineStr">
        <is>
          <t>OM-PDPL-2022</t>
        </is>
      </c>
    </row>
    <row r="17">
      <c r="A17" s="711" t="inlineStr">
        <is>
          <t>OM-PDPL-MDDEC-2024</t>
        </is>
      </c>
      <c r="B17" s="711" t="inlineStr">
        <is>
          <t>PDPL Implementing Regulations (MinDec 34/2024)</t>
        </is>
      </c>
      <c r="C17" s="711" t="inlineStr">
        <is>
          <t>MTCIT</t>
        </is>
      </c>
      <c r="D17" s="711" t="inlineStr">
        <is>
          <t>2024</t>
        </is>
      </c>
      <c r="E17" s="711" t="inlineStr">
        <is>
          <t>Y</t>
        </is>
      </c>
      <c r="F17" s="711" t="n">
        <v>55</v>
      </c>
      <c r="G17" s="711" t="inlineStr">
        <is>
          <t>ALL</t>
        </is>
      </c>
      <c r="H17" s="711" t="inlineStr">
        <is>
          <t>ANNUAL</t>
        </is>
      </c>
      <c r="I17" s="711" t="inlineStr">
        <is>
          <t>2024-02-05</t>
        </is>
      </c>
      <c r="J17" s="711" t="inlineStr">
        <is>
          <t>OM-PDPL-MDDEC-2024</t>
        </is>
      </c>
    </row>
    <row r="18">
      <c r="A18" s="711" t="inlineStr">
        <is>
          <t>CBO-AML</t>
        </is>
      </c>
      <c r="B18" s="711" t="inlineStr">
        <is>
          <t>CBO AML/CFT Framework</t>
        </is>
      </c>
      <c r="C18" s="711" t="inlineStr">
        <is>
          <t>CBO/FIU-OM</t>
        </is>
      </c>
      <c r="D18" s="711" t="inlineStr">
        <is>
          <t>2022</t>
        </is>
      </c>
      <c r="E18" s="711" t="inlineStr">
        <is>
          <t>Y</t>
        </is>
      </c>
      <c r="F18" s="711" t="n">
        <v>35</v>
      </c>
      <c r="G18" s="711" t="inlineStr">
        <is>
          <t>FIN</t>
        </is>
      </c>
      <c r="H18" s="711" t="inlineStr">
        <is>
          <t>CONTINUOUS</t>
        </is>
      </c>
      <c r="I18" s="711" t="inlineStr">
        <is>
          <t>2022-01-01</t>
        </is>
      </c>
      <c r="J18" s="711" t="inlineStr">
        <is>
          <t>CBO-AML</t>
        </is>
      </c>
    </row>
    <row r="19">
      <c r="A19" s="711" t="inlineStr">
        <is>
          <t>OM-CYBERCRIME-2011</t>
        </is>
      </c>
      <c r="B19" s="711" t="inlineStr">
        <is>
          <t>Oman Cybercrime Law (RD 12/2011)</t>
        </is>
      </c>
      <c r="C19" s="711" t="inlineStr">
        <is>
          <t>MTCIT</t>
        </is>
      </c>
      <c r="D19" s="711" t="inlineStr">
        <is>
          <t>2011</t>
        </is>
      </c>
      <c r="E19" s="711" t="inlineStr">
        <is>
          <t>Y</t>
        </is>
      </c>
      <c r="F19" s="711" t="n">
        <v>25</v>
      </c>
      <c r="G19" s="711" t="inlineStr">
        <is>
          <t>ALL</t>
        </is>
      </c>
      <c r="H19" s="711" t="inlineStr">
        <is>
          <t>AS_REQUIRED</t>
        </is>
      </c>
      <c r="I19" s="711" t="inlineStr">
        <is>
          <t>2011-01-01</t>
        </is>
      </c>
      <c r="J19" s="711" t="inlineStr">
        <is>
          <t>OM-CYBERCRIME-2011</t>
        </is>
      </c>
    </row>
    <row r="20">
      <c r="A20" s="711" t="inlineStr">
        <is>
          <t>TRA-OM-CYBERSEC</t>
        </is>
      </c>
      <c r="B20" s="711" t="inlineStr">
        <is>
          <t>TRA Cybersecurity Guidelines for ISPs</t>
        </is>
      </c>
      <c r="C20" s="711" t="inlineStr">
        <is>
          <t>TRA-OM</t>
        </is>
      </c>
      <c r="D20" s="711" t="inlineStr">
        <is>
          <t>2022</t>
        </is>
      </c>
      <c r="E20" s="711" t="inlineStr">
        <is>
          <t>Y</t>
        </is>
      </c>
      <c r="F20" s="711" t="n">
        <v>30</v>
      </c>
      <c r="G20" s="711" t="inlineStr">
        <is>
          <t>ICT</t>
        </is>
      </c>
      <c r="H20" s="711" t="inlineStr">
        <is>
          <t>ANNUAL</t>
        </is>
      </c>
      <c r="I20" s="711" t="inlineStr">
        <is>
          <t>2022-01-01</t>
        </is>
      </c>
      <c r="J20" s="711" t="inlineStr">
        <is>
          <t>TRA-OM-CYBERSEC</t>
        </is>
      </c>
    </row>
    <row r="21">
      <c r="A21" s="711" t="inlineStr">
        <is>
          <t>OM-NCSP</t>
        </is>
      </c>
      <c r="B21" s="711" t="inlineStr">
        <is>
          <t>Oman National Cybersecurity Strategy Framework</t>
        </is>
      </c>
      <c r="C21" s="711" t="inlineStr">
        <is>
          <t>MTCIT/OCERT</t>
        </is>
      </c>
      <c r="D21" s="711" t="inlineStr">
        <is>
          <t>2023</t>
        </is>
      </c>
      <c r="E21" s="711" t="inlineStr">
        <is>
          <t>Y</t>
        </is>
      </c>
      <c r="F21" s="711" t="n">
        <v>90</v>
      </c>
      <c r="G21" s="711" t="inlineStr">
        <is>
          <t>GOV</t>
        </is>
      </c>
      <c r="H21" s="711" t="inlineStr">
        <is>
          <t>BIENNIAL</t>
        </is>
      </c>
      <c r="I21" s="711" t="inlineStr">
        <is>
          <t>2023-01-01</t>
        </is>
      </c>
      <c r="J21" s="711" t="inlineStr">
        <is>
          <t>OM-NCSP</t>
        </is>
      </c>
    </row>
    <row r="22">
      <c r="A22" s="711" t="inlineStr">
        <is>
          <t>CMA-OM-DISC</t>
        </is>
      </c>
      <c r="B22" s="711" t="inlineStr">
        <is>
          <t>CMA Capital Market Disclosure Rules</t>
        </is>
      </c>
      <c r="C22" s="711" t="inlineStr">
        <is>
          <t>CMA-OM</t>
        </is>
      </c>
      <c r="D22" s="711" t="inlineStr">
        <is>
          <t>2021</t>
        </is>
      </c>
      <c r="E22" s="711" t="inlineStr">
        <is>
          <t>Y</t>
        </is>
      </c>
      <c r="F22" s="711" t="n">
        <v>20</v>
      </c>
      <c r="G22" s="711" t="inlineStr">
        <is>
          <t>CAP_MKT</t>
        </is>
      </c>
      <c r="H22" s="711" t="inlineStr">
        <is>
          <t>ANNUAL</t>
        </is>
      </c>
      <c r="I22" s="711" t="inlineStr">
        <is>
          <t>2021-01-01</t>
        </is>
      </c>
      <c r="J22" s="711" t="inlineStr">
        <is>
          <t>CMA-OM-DISC</t>
        </is>
      </c>
    </row>
    <row r="23">
      <c r="A23" s="711" t="inlineStr">
        <is>
          <t>OM-AML</t>
        </is>
      </c>
      <c r="B23" s="711" t="inlineStr">
        <is>
          <t>Oman AML Law (RD 30/2016)</t>
        </is>
      </c>
      <c r="C23" s="711" t="inlineStr">
        <is>
          <t>FIU-OM</t>
        </is>
      </c>
      <c r="D23" s="711" t="inlineStr">
        <is>
          <t>2016+</t>
        </is>
      </c>
      <c r="E23" s="711" t="inlineStr">
        <is>
          <t>Y</t>
        </is>
      </c>
      <c r="F23" s="711" t="n">
        <v>30</v>
      </c>
      <c r="G23" s="711" t="inlineStr">
        <is>
          <t>ALL</t>
        </is>
      </c>
      <c r="H23" s="711" t="inlineStr">
        <is>
          <t>CONTINUOUS</t>
        </is>
      </c>
      <c r="I23" s="711" t="inlineStr">
        <is>
          <t>2016-01-01</t>
        </is>
      </c>
      <c r="J23" s="711" t="inlineStr">
        <is>
          <t>OM-AML</t>
        </is>
      </c>
    </row>
    <row r="24">
      <c r="A24" s="711" t="inlineStr">
        <is>
          <t>OM-CLOUD</t>
        </is>
      </c>
      <c r="B24" s="711" t="inlineStr">
        <is>
          <t>Oman Government Cloud Framework</t>
        </is>
      </c>
      <c r="C24" s="711" t="inlineStr">
        <is>
          <t>MTCIT</t>
        </is>
      </c>
      <c r="D24" s="711" t="inlineStr">
        <is>
          <t>2022</t>
        </is>
      </c>
      <c r="E24" s="711" t="inlineStr">
        <is>
          <t>Y</t>
        </is>
      </c>
      <c r="F24" s="711" t="n">
        <v>15</v>
      </c>
      <c r="G24" s="711" t="inlineStr">
        <is>
          <t>GOV</t>
        </is>
      </c>
      <c r="H24" s="711" t="inlineStr">
        <is>
          <t>BIENNIAL</t>
        </is>
      </c>
      <c r="I24" s="711" t="inlineStr">
        <is>
          <t>2022-01-01</t>
        </is>
      </c>
      <c r="J24" s="711" t="inlineStr">
        <is>
          <t>OM-CLOUD</t>
        </is>
      </c>
    </row>
    <row r="26">
      <c r="A26" s="715" t="inlineStr">
        <is>
          <t xml:space="preserve">  C │ CONTROL DOMAINS</t>
        </is>
      </c>
      <c r="B26" s="766" t="n"/>
      <c r="C26" s="766" t="n"/>
      <c r="D26" s="766" t="n"/>
      <c r="E26" s="766" t="n"/>
      <c r="F26" s="766" t="n"/>
      <c r="G26" s="766" t="n"/>
      <c r="H26" s="766" t="n"/>
      <c r="I26" s="766" t="n"/>
      <c r="J26" s="767" t="n"/>
    </row>
    <row r="27">
      <c r="A27" s="716" t="inlineStr">
        <is>
          <t>Domain Code</t>
        </is>
      </c>
      <c r="B27" s="716" t="inlineStr">
        <is>
          <t>Domain Name</t>
        </is>
      </c>
      <c r="C27" s="716" t="inlineStr">
        <is>
          <t>Primary Framework</t>
        </is>
      </c>
      <c r="D27" s="716" t="inlineStr">
        <is>
          <t>Control Count</t>
        </is>
      </c>
      <c r="E27" s="716" t="inlineStr">
        <is>
          <t>Risk Level</t>
        </is>
      </c>
      <c r="F27" s="716" t="inlineStr">
        <is>
          <t>IoT Relevance</t>
        </is>
      </c>
      <c r="G27" s="716" t="inlineStr">
        <is>
          <t>Automation Possible?</t>
        </is>
      </c>
      <c r="H27" s="716" t="inlineStr">
        <is>
          <t>Audit Method</t>
        </is>
      </c>
      <c r="I27" s="716" t="inlineStr">
        <is>
          <t>Shahin AI Score</t>
        </is>
      </c>
      <c r="J27" s="716" t="inlineStr">
        <is>
          <t>Notes</t>
        </is>
      </c>
    </row>
    <row r="28">
      <c r="A28" s="717" t="inlineStr">
        <is>
          <t>OM-CD-01</t>
        </is>
      </c>
      <c r="B28" s="717" t="inlineStr">
        <is>
          <t>Financial Cybersecurity</t>
        </is>
      </c>
      <c r="C28" s="717" t="inlineStr">
        <is>
          <t>CBO-CYBERSEC-2023</t>
        </is>
      </c>
      <c r="D28" s="717" t="n">
        <v>80</v>
      </c>
      <c r="E28" s="717" t="inlineStr">
        <is>
          <t>HIGHEST</t>
        </is>
      </c>
      <c r="F28" s="717" t="inlineStr">
        <is>
          <t>MODERATE</t>
        </is>
      </c>
      <c r="G28" s="717" t="inlineStr">
        <is>
          <t>Y</t>
        </is>
      </c>
      <c r="H28" s="717" t="inlineStr">
        <is>
          <t>EXTERNAL_AUDIT</t>
        </is>
      </c>
      <c r="I28" s="717" t="n">
        <v>82</v>
      </c>
      <c r="J28" s="717" t="inlineStr"/>
    </row>
    <row r="29">
      <c r="A29" s="718" t="inlineStr">
        <is>
          <t>OM-CD-02</t>
        </is>
      </c>
      <c r="B29" s="718" t="inlineStr">
        <is>
          <t>Data Privacy</t>
        </is>
      </c>
      <c r="C29" s="718" t="inlineStr">
        <is>
          <t>OM-PDPL-2022</t>
        </is>
      </c>
      <c r="D29" s="718" t="n">
        <v>55</v>
      </c>
      <c r="E29" s="718" t="inlineStr">
        <is>
          <t>HIGH</t>
        </is>
      </c>
      <c r="F29" s="718" t="inlineStr">
        <is>
          <t>MODERATE</t>
        </is>
      </c>
      <c r="G29" s="718" t="inlineStr">
        <is>
          <t>Y</t>
        </is>
      </c>
      <c r="H29" s="718" t="inlineStr">
        <is>
          <t>SELF_ASSESSMENT</t>
        </is>
      </c>
      <c r="I29" s="718" t="n">
        <v>78</v>
      </c>
      <c r="J29" s="718" t="inlineStr"/>
    </row>
    <row r="30">
      <c r="A30" s="717" t="inlineStr">
        <is>
          <t>OM-CD-03</t>
        </is>
      </c>
      <c r="B30" s="717" t="inlineStr">
        <is>
          <t>AML/CFT</t>
        </is>
      </c>
      <c r="C30" s="717" t="inlineStr">
        <is>
          <t>CBO-AML</t>
        </is>
      </c>
      <c r="D30" s="717" t="n">
        <v>35</v>
      </c>
      <c r="E30" s="717" t="inlineStr">
        <is>
          <t>HIGHEST</t>
        </is>
      </c>
      <c r="F30" s="717" t="inlineStr">
        <is>
          <t>LOW</t>
        </is>
      </c>
      <c r="G30" s="717" t="inlineStr">
        <is>
          <t>PARTIAL</t>
        </is>
      </c>
      <c r="H30" s="717" t="inlineStr">
        <is>
          <t>REGULATOR_INSPECTION</t>
        </is>
      </c>
      <c r="I30" s="717" t="n">
        <v>80</v>
      </c>
      <c r="J30" s="717" t="inlineStr"/>
    </row>
    <row r="32">
      <c r="A32" s="719" t="inlineStr">
        <is>
          <t xml:space="preserve">  D │ RISK DOMAINS</t>
        </is>
      </c>
      <c r="B32" s="766" t="n"/>
      <c r="C32" s="766" t="n"/>
      <c r="D32" s="766" t="n"/>
      <c r="E32" s="766" t="n"/>
      <c r="F32" s="766" t="n"/>
      <c r="G32" s="766" t="n"/>
      <c r="H32" s="766" t="n"/>
      <c r="I32" s="766" t="n"/>
      <c r="J32" s="767" t="n"/>
    </row>
    <row r="33">
      <c r="A33" s="720" t="inlineStr">
        <is>
          <t>Risk Domain</t>
        </is>
      </c>
      <c r="B33" s="720" t="inlineStr">
        <is>
          <t>Risk Category</t>
        </is>
      </c>
      <c r="C33" s="720" t="inlineStr">
        <is>
          <t>Risk Score (0-100)</t>
        </is>
      </c>
      <c r="D33" s="720" t="inlineStr">
        <is>
          <t>Level</t>
        </is>
      </c>
      <c r="E33" s="720" t="inlineStr">
        <is>
          <t>Primary Regulator</t>
        </is>
      </c>
      <c r="F33" s="720" t="inlineStr">
        <is>
          <t>Linked Framework</t>
        </is>
      </c>
      <c r="G33" s="720" t="inlineStr">
        <is>
          <t>KRI Count</t>
        </is>
      </c>
      <c r="H33" s="720" t="inlineStr">
        <is>
          <t>Escalation Threshold</t>
        </is>
      </c>
      <c r="I33" s="720" t="inlineStr">
        <is>
          <t>Owner Role</t>
        </is>
      </c>
      <c r="J33" s="720" t="inlineStr">
        <is>
          <t>Notes</t>
        </is>
      </c>
    </row>
    <row r="34">
      <c r="A34" s="717" t="inlineStr">
        <is>
          <t>Financial Cyber Risk</t>
        </is>
      </c>
      <c r="B34" s="717" t="inlineStr">
        <is>
          <t>Cybersecurity</t>
        </is>
      </c>
      <c r="C34" s="717" t="n">
        <v>82</v>
      </c>
      <c r="D34" s="717" t="inlineStr">
        <is>
          <t>HIGHEST</t>
        </is>
      </c>
      <c r="E34" s="717" t="inlineStr">
        <is>
          <t>CBO</t>
        </is>
      </c>
      <c r="F34" s="717" t="inlineStr">
        <is>
          <t>CBO-CYBERSEC-2023</t>
        </is>
      </c>
      <c r="G34" s="717" t="n">
        <v>6</v>
      </c>
      <c r="H34" s="717" t="inlineStr">
        <is>
          <t>Score &lt; 70</t>
        </is>
      </c>
      <c r="I34" s="717" t="inlineStr">
        <is>
          <t>CISO</t>
        </is>
      </c>
      <c r="J34" s="717" t="inlineStr"/>
    </row>
    <row r="35">
      <c r="A35" s="718" t="inlineStr">
        <is>
          <t>Data Privacy</t>
        </is>
      </c>
      <c r="B35" s="718" t="inlineStr">
        <is>
          <t>Privacy</t>
        </is>
      </c>
      <c r="C35" s="718" t="n">
        <v>75</v>
      </c>
      <c r="D35" s="718" t="inlineStr">
        <is>
          <t>HIGH</t>
        </is>
      </c>
      <c r="E35" s="718" t="inlineStr">
        <is>
          <t>ODPA/MTCIT</t>
        </is>
      </c>
      <c r="F35" s="718" t="inlineStr">
        <is>
          <t>OM-PDPL-2022</t>
        </is>
      </c>
      <c r="G35" s="718" t="n">
        <v>5</v>
      </c>
      <c r="H35" s="718" t="inlineStr">
        <is>
          <t>72h notification</t>
        </is>
      </c>
      <c r="I35" s="718" t="inlineStr">
        <is>
          <t>DPO</t>
        </is>
      </c>
      <c r="J35" s="718" t="inlineStr"/>
    </row>
    <row r="37">
      <c r="A37" s="721" t="inlineStr">
        <is>
          <t xml:space="preserve">  E │ COMPLIANCE LIFECYCLE</t>
        </is>
      </c>
      <c r="B37" s="766" t="n"/>
      <c r="C37" s="766" t="n"/>
      <c r="D37" s="766" t="n"/>
      <c r="E37" s="766" t="n"/>
      <c r="F37" s="766" t="n"/>
      <c r="G37" s="766" t="n"/>
      <c r="H37" s="766" t="n"/>
      <c r="I37" s="766" t="n"/>
      <c r="J37" s="767" t="n"/>
    </row>
    <row r="38">
      <c r="A38" s="722" t="inlineStr">
        <is>
          <t>Stage</t>
        </is>
      </c>
      <c r="B38" s="722" t="inlineStr">
        <is>
          <t>Stage Code</t>
        </is>
      </c>
      <c r="C38" s="722" t="inlineStr">
        <is>
          <t>Entry Trigger</t>
        </is>
      </c>
      <c r="D38" s="722" t="inlineStr">
        <is>
          <t>Exit Trigger</t>
        </is>
      </c>
      <c r="E38" s="722" t="inlineStr">
        <is>
          <t>Next Stage</t>
        </is>
      </c>
      <c r="F38" s="722" t="inlineStr">
        <is>
          <t>Approval Required</t>
        </is>
      </c>
      <c r="G38" s="722" t="inlineStr">
        <is>
          <t>Typical Duration</t>
        </is>
      </c>
      <c r="H38" s="722" t="inlineStr">
        <is>
          <t>Responsible Role</t>
        </is>
      </c>
      <c r="I38" s="722" t="inlineStr">
        <is>
          <t>Automation</t>
        </is>
      </c>
      <c r="J38" s="722" t="inlineStr">
        <is>
          <t>SLA (Days)</t>
        </is>
      </c>
    </row>
    <row r="39">
      <c r="A39" s="717" t="inlineStr">
        <is>
          <t>Draft</t>
        </is>
      </c>
      <c r="B39" s="717" t="inlineStr">
        <is>
          <t>DRAFT</t>
        </is>
      </c>
      <c r="C39" s="717" t="inlineStr">
        <is>
          <t>Registration initiated</t>
        </is>
      </c>
      <c r="D39" s="717" t="inlineStr">
        <is>
          <t>Initial assessment complete</t>
        </is>
      </c>
      <c r="E39" s="717" t="inlineStr">
        <is>
          <t>ASSESSED</t>
        </is>
      </c>
      <c r="F39" s="717" t="inlineStr">
        <is>
          <t>N</t>
        </is>
      </c>
      <c r="G39" s="717" t="inlineStr">
        <is>
          <t>14 days</t>
        </is>
      </c>
      <c r="H39" s="717" t="inlineStr">
        <is>
          <t>Compliance Officer</t>
        </is>
      </c>
      <c r="I39" s="717" t="inlineStr">
        <is>
          <t>FULL</t>
        </is>
      </c>
      <c r="J39" s="717" t="n">
        <v>14</v>
      </c>
    </row>
    <row r="40">
      <c r="A40" s="718" t="inlineStr">
        <is>
          <t>Assessed</t>
        </is>
      </c>
      <c r="B40" s="718" t="inlineStr">
        <is>
          <t>ASSESSED</t>
        </is>
      </c>
      <c r="C40" s="718" t="inlineStr">
        <is>
          <t>Draft submitted</t>
        </is>
      </c>
      <c r="D40" s="718" t="inlineStr">
        <is>
          <t>Gap analysis approved</t>
        </is>
      </c>
      <c r="E40" s="718" t="inlineStr">
        <is>
          <t>REGISTERED</t>
        </is>
      </c>
      <c r="F40" s="718" t="inlineStr">
        <is>
          <t>Y</t>
        </is>
      </c>
      <c r="G40" s="718" t="inlineStr">
        <is>
          <t>30 days</t>
        </is>
      </c>
      <c r="H40" s="718" t="inlineStr">
        <is>
          <t>Lead Auditor</t>
        </is>
      </c>
      <c r="I40" s="718" t="inlineStr">
        <is>
          <t>PARTIAL</t>
        </is>
      </c>
      <c r="J40" s="718" t="n">
        <v>30</v>
      </c>
    </row>
    <row r="41">
      <c r="A41" s="717" t="inlineStr">
        <is>
          <t>Registered</t>
        </is>
      </c>
      <c r="B41" s="717" t="inlineStr">
        <is>
          <t>REGISTERED</t>
        </is>
      </c>
      <c r="C41" s="717" t="inlineStr">
        <is>
          <t>Assessment passed</t>
        </is>
      </c>
      <c r="D41" s="717" t="inlineStr">
        <is>
          <t>Controls implemented</t>
        </is>
      </c>
      <c r="E41" s="717" t="inlineStr">
        <is>
          <t>ACTIVE</t>
        </is>
      </c>
      <c r="F41" s="717" t="inlineStr">
        <is>
          <t>Y</t>
        </is>
      </c>
      <c r="G41" s="717" t="inlineStr">
        <is>
          <t>90 days</t>
        </is>
      </c>
      <c r="H41" s="717" t="inlineStr">
        <is>
          <t>CISO</t>
        </is>
      </c>
      <c r="I41" s="717" t="inlineStr">
        <is>
          <t>PARTIAL</t>
        </is>
      </c>
      <c r="J41" s="717" t="n">
        <v>90</v>
      </c>
    </row>
    <row r="42">
      <c r="A42" s="718" t="inlineStr">
        <is>
          <t>Active</t>
        </is>
      </c>
      <c r="B42" s="718" t="inlineStr">
        <is>
          <t>ACTIVE</t>
        </is>
      </c>
      <c r="C42" s="718" t="inlineStr">
        <is>
          <t>Registration confirmed</t>
        </is>
      </c>
      <c r="D42" s="718" t="inlineStr">
        <is>
          <t>Audit scheduled</t>
        </is>
      </c>
      <c r="E42" s="718" t="inlineStr">
        <is>
          <t>AUDITED</t>
        </is>
      </c>
      <c r="F42" s="718" t="inlineStr">
        <is>
          <t>N</t>
        </is>
      </c>
      <c r="G42" s="718" t="inlineStr">
        <is>
          <t>Ongoing</t>
        </is>
      </c>
      <c r="H42" s="718" t="inlineStr">
        <is>
          <t>Compliance Officer</t>
        </is>
      </c>
      <c r="I42" s="718" t="inlineStr">
        <is>
          <t>FULL</t>
        </is>
      </c>
      <c r="J42" s="718" t="n">
        <v>365</v>
      </c>
    </row>
    <row r="43">
      <c r="A43" s="717" t="inlineStr">
        <is>
          <t>Audited</t>
        </is>
      </c>
      <c r="B43" s="717" t="inlineStr">
        <is>
          <t>AUDITED</t>
        </is>
      </c>
      <c r="C43" s="717" t="inlineStr">
        <is>
          <t>Annual audit cycle</t>
        </is>
      </c>
      <c r="D43" s="717" t="inlineStr">
        <is>
          <t>Audit report issued</t>
        </is>
      </c>
      <c r="E43" s="717" t="inlineStr">
        <is>
          <t>RENEWED</t>
        </is>
      </c>
      <c r="F43" s="717" t="inlineStr">
        <is>
          <t>Y</t>
        </is>
      </c>
      <c r="G43" s="717" t="inlineStr">
        <is>
          <t>60 days</t>
        </is>
      </c>
      <c r="H43" s="717" t="inlineStr">
        <is>
          <t>External Auditor</t>
        </is>
      </c>
      <c r="I43" s="717" t="inlineStr">
        <is>
          <t>PARTIAL</t>
        </is>
      </c>
      <c r="J43" s="717" t="n">
        <v>60</v>
      </c>
    </row>
    <row r="44">
      <c r="A44" s="718" t="inlineStr">
        <is>
          <t>Renewed</t>
        </is>
      </c>
      <c r="B44" s="718" t="inlineStr">
        <is>
          <t>RENEWED</t>
        </is>
      </c>
      <c r="C44" s="718" t="inlineStr">
        <is>
          <t>Successful audit</t>
        </is>
      </c>
      <c r="D44" s="718" t="inlineStr">
        <is>
          <t>Next cycle begins</t>
        </is>
      </c>
      <c r="E44" s="718" t="inlineStr">
        <is>
          <t>ACTIVE</t>
        </is>
      </c>
      <c r="F44" s="718" t="inlineStr">
        <is>
          <t>N</t>
        </is>
      </c>
      <c r="G44" s="718" t="inlineStr">
        <is>
          <t>1 day</t>
        </is>
      </c>
      <c r="H44" s="718" t="inlineStr">
        <is>
          <t>Compliance Officer</t>
        </is>
      </c>
      <c r="I44" s="718" t="inlineStr">
        <is>
          <t>FULL</t>
        </is>
      </c>
      <c r="J44" s="718" t="n">
        <v>1</v>
      </c>
    </row>
    <row r="45">
      <c r="A45" s="717" t="inlineStr">
        <is>
          <t>Archived</t>
        </is>
      </c>
      <c r="B45" s="717" t="inlineStr">
        <is>
          <t>ARCHIVED</t>
        </is>
      </c>
      <c r="C45" s="717" t="inlineStr">
        <is>
          <t>Decommission / superseded</t>
        </is>
      </c>
      <c r="D45" s="717" t="inlineStr">
        <is>
          <t>N/A</t>
        </is>
      </c>
      <c r="E45" s="717" t="inlineStr">
        <is>
          <t>N/A</t>
        </is>
      </c>
      <c r="F45" s="717" t="inlineStr">
        <is>
          <t>Y</t>
        </is>
      </c>
      <c r="G45" s="717" t="inlineStr">
        <is>
          <t>N/A</t>
        </is>
      </c>
      <c r="H45" s="717" t="inlineStr">
        <is>
          <t>CCO</t>
        </is>
      </c>
      <c r="I45" s="717" t="inlineStr">
        <is>
          <t>N</t>
        </is>
      </c>
      <c r="J45" s="717" t="n">
        <v>0</v>
      </c>
    </row>
    <row r="47">
      <c r="A47" s="723" t="inlineStr">
        <is>
          <t xml:space="preserve">  F │ EVIDENCE REQUIREMENTS</t>
        </is>
      </c>
      <c r="B47" s="766" t="n"/>
      <c r="C47" s="766" t="n"/>
      <c r="D47" s="766" t="n"/>
      <c r="E47" s="766" t="n"/>
      <c r="F47" s="766" t="n"/>
      <c r="G47" s="766" t="n"/>
      <c r="H47" s="766" t="n"/>
      <c r="I47" s="766" t="n"/>
      <c r="J47" s="767" t="n"/>
    </row>
    <row r="48">
      <c r="A48" s="724" t="inlineStr">
        <is>
          <t>Evidence Type</t>
        </is>
      </c>
      <c r="B48" s="724" t="inlineStr">
        <is>
          <t>Framework</t>
        </is>
      </c>
      <c r="C48" s="724" t="inlineStr">
        <is>
          <t>Responsible Role</t>
        </is>
      </c>
      <c r="D48" s="724" t="inlineStr">
        <is>
          <t>Collection Frequency</t>
        </is>
      </c>
      <c r="E48" s="724" t="inlineStr">
        <is>
          <t>Retention (Years)</t>
        </is>
      </c>
      <c r="F48" s="724" t="inlineStr">
        <is>
          <t>Format</t>
        </is>
      </c>
      <c r="G48" s="724" t="inlineStr">
        <is>
          <t>Submittable to Regulator?</t>
        </is>
      </c>
      <c r="H48" s="724" t="inlineStr">
        <is>
          <t>AI Extractable?</t>
        </is>
      </c>
      <c r="I48" s="724" t="inlineStr">
        <is>
          <t>Risk if Missing</t>
        </is>
      </c>
      <c r="J48" s="724" t="inlineStr">
        <is>
          <t>Notes</t>
        </is>
      </c>
    </row>
    <row r="49">
      <c r="A49" s="717" t="inlineStr">
        <is>
          <t>Self-Assessment Report</t>
        </is>
      </c>
      <c r="B49" s="717" t="inlineStr">
        <is>
          <t>ALL</t>
        </is>
      </c>
      <c r="C49" s="717" t="inlineStr">
        <is>
          <t>Compliance Officer</t>
        </is>
      </c>
      <c r="D49" s="717" t="inlineStr">
        <is>
          <t>ANNUAL</t>
        </is>
      </c>
      <c r="E49" s="717" t="n">
        <v>5</v>
      </c>
      <c r="F49" s="717" t="inlineStr">
        <is>
          <t>PDF</t>
        </is>
      </c>
      <c r="G49" s="717" t="inlineStr">
        <is>
          <t>Y</t>
        </is>
      </c>
      <c r="H49" s="717" t="inlineStr">
        <is>
          <t>Y</t>
        </is>
      </c>
      <c r="I49" s="717" t="inlineStr">
        <is>
          <t>HIGH</t>
        </is>
      </c>
      <c r="J49" s="717" t="inlineStr"/>
    </row>
    <row r="50">
      <c r="A50" s="718" t="inlineStr">
        <is>
          <t>Gap Analysis Report</t>
        </is>
      </c>
      <c r="B50" s="718" t="inlineStr">
        <is>
          <t>ALL</t>
        </is>
      </c>
      <c r="C50" s="718" t="inlineStr">
        <is>
          <t>Lead Auditor</t>
        </is>
      </c>
      <c r="D50" s="718" t="inlineStr">
        <is>
          <t>ANNUAL</t>
        </is>
      </c>
      <c r="E50" s="718" t="n">
        <v>5</v>
      </c>
      <c r="F50" s="718" t="inlineStr">
        <is>
          <t>PDF/Excel</t>
        </is>
      </c>
      <c r="G50" s="718" t="inlineStr">
        <is>
          <t>N</t>
        </is>
      </c>
      <c r="H50" s="718" t="inlineStr">
        <is>
          <t>Y</t>
        </is>
      </c>
      <c r="I50" s="718" t="inlineStr">
        <is>
          <t>HIGH</t>
        </is>
      </c>
      <c r="J50" s="718" t="inlineStr"/>
    </row>
    <row r="51">
      <c r="A51" s="717" t="inlineStr">
        <is>
          <t>External Audit Report</t>
        </is>
      </c>
      <c r="B51" s="717" t="inlineStr">
        <is>
          <t>ALL</t>
        </is>
      </c>
      <c r="C51" s="717" t="inlineStr">
        <is>
          <t>External Auditor</t>
        </is>
      </c>
      <c r="D51" s="717" t="inlineStr">
        <is>
          <t>ANNUAL</t>
        </is>
      </c>
      <c r="E51" s="717" t="n">
        <v>7</v>
      </c>
      <c r="F51" s="717" t="inlineStr">
        <is>
          <t>PDF</t>
        </is>
      </c>
      <c r="G51" s="717" t="inlineStr">
        <is>
          <t>Y</t>
        </is>
      </c>
      <c r="H51" s="717" t="inlineStr">
        <is>
          <t>Y</t>
        </is>
      </c>
      <c r="I51" s="717" t="inlineStr">
        <is>
          <t>CRITICAL</t>
        </is>
      </c>
      <c r="J51" s="717" t="inlineStr"/>
    </row>
    <row r="52">
      <c r="A52" s="718" t="inlineStr">
        <is>
          <t>Penetration Test Report</t>
        </is>
      </c>
      <c r="B52" s="718" t="inlineStr">
        <is>
          <t>ALL</t>
        </is>
      </c>
      <c r="C52" s="718" t="inlineStr">
        <is>
          <t>CISO</t>
        </is>
      </c>
      <c r="D52" s="718" t="inlineStr">
        <is>
          <t>ANNUAL</t>
        </is>
      </c>
      <c r="E52" s="718" t="n">
        <v>3</v>
      </c>
      <c r="F52" s="718" t="inlineStr">
        <is>
          <t>PDF</t>
        </is>
      </c>
      <c r="G52" s="718" t="inlineStr">
        <is>
          <t>Y</t>
        </is>
      </c>
      <c r="H52" s="718" t="inlineStr">
        <is>
          <t>Y</t>
        </is>
      </c>
      <c r="I52" s="718" t="inlineStr">
        <is>
          <t>HIGH</t>
        </is>
      </c>
      <c r="J52" s="718" t="inlineStr"/>
    </row>
    <row r="53">
      <c r="A53" s="717" t="inlineStr">
        <is>
          <t>Regulator Inspection Record</t>
        </is>
      </c>
      <c r="B53" s="717" t="inlineStr">
        <is>
          <t>ALL</t>
        </is>
      </c>
      <c r="C53" s="717" t="inlineStr">
        <is>
          <t>CCO</t>
        </is>
      </c>
      <c r="D53" s="717" t="inlineStr">
        <is>
          <t>AS_REQUIRED</t>
        </is>
      </c>
      <c r="E53" s="717" t="n">
        <v>10</v>
      </c>
      <c r="F53" s="717" t="inlineStr">
        <is>
          <t>PDF</t>
        </is>
      </c>
      <c r="G53" s="717" t="inlineStr">
        <is>
          <t>Y</t>
        </is>
      </c>
      <c r="H53" s="717" t="inlineStr">
        <is>
          <t>N</t>
        </is>
      </c>
      <c r="I53" s="717" t="inlineStr">
        <is>
          <t>CRITICAL</t>
        </is>
      </c>
      <c r="J53" s="717" t="inlineStr"/>
    </row>
    <row r="54">
      <c r="A54" s="718" t="inlineStr">
        <is>
          <t>Incident Response Log</t>
        </is>
      </c>
      <c r="B54" s="718" t="inlineStr">
        <is>
          <t>ALL</t>
        </is>
      </c>
      <c r="C54" s="718" t="inlineStr">
        <is>
          <t>CISO</t>
        </is>
      </c>
      <c r="D54" s="718" t="inlineStr">
        <is>
          <t>CONTINUOUS</t>
        </is>
      </c>
      <c r="E54" s="718" t="n">
        <v>5</v>
      </c>
      <c r="F54" s="718" t="inlineStr">
        <is>
          <t>SIEM/PDF</t>
        </is>
      </c>
      <c r="G54" s="718" t="inlineStr">
        <is>
          <t>Y</t>
        </is>
      </c>
      <c r="H54" s="718" t="inlineStr">
        <is>
          <t>Y</t>
        </is>
      </c>
      <c r="I54" s="718" t="inlineStr">
        <is>
          <t>HIGH</t>
        </is>
      </c>
      <c r="J54" s="718" t="inlineStr"/>
    </row>
    <row r="55">
      <c r="A55" s="717" t="inlineStr">
        <is>
          <t>Training Completion Records</t>
        </is>
      </c>
      <c r="B55" s="717" t="inlineStr">
        <is>
          <t>ALL</t>
        </is>
      </c>
      <c r="C55" s="717" t="inlineStr">
        <is>
          <t>CISO</t>
        </is>
      </c>
      <c r="D55" s="717" t="inlineStr">
        <is>
          <t>ANNUAL</t>
        </is>
      </c>
      <c r="E55" s="717" t="n">
        <v>3</v>
      </c>
      <c r="F55" s="717" t="inlineStr">
        <is>
          <t>CSV/PDF</t>
        </is>
      </c>
      <c r="G55" s="717" t="inlineStr">
        <is>
          <t>N</t>
        </is>
      </c>
      <c r="H55" s="717" t="inlineStr">
        <is>
          <t>Y</t>
        </is>
      </c>
      <c r="I55" s="717" t="inlineStr">
        <is>
          <t>MEDIUM</t>
        </is>
      </c>
      <c r="J55" s="717" t="inlineStr"/>
    </row>
    <row r="56">
      <c r="A56" s="718" t="inlineStr">
        <is>
          <t>Vendor Risk Assessments</t>
        </is>
      </c>
      <c r="B56" s="718" t="inlineStr">
        <is>
          <t>ALL</t>
        </is>
      </c>
      <c r="C56" s="718" t="inlineStr">
        <is>
          <t>3rd Party Risk Officer</t>
        </is>
      </c>
      <c r="D56" s="718" t="inlineStr">
        <is>
          <t>ANNUAL</t>
        </is>
      </c>
      <c r="E56" s="718" t="n">
        <v>3</v>
      </c>
      <c r="F56" s="718" t="inlineStr">
        <is>
          <t>Excel/PDF</t>
        </is>
      </c>
      <c r="G56" s="718" t="inlineStr">
        <is>
          <t>N</t>
        </is>
      </c>
      <c r="H56" s="718" t="inlineStr">
        <is>
          <t>Y</t>
        </is>
      </c>
      <c r="I56" s="718" t="inlineStr">
        <is>
          <t>HIGH</t>
        </is>
      </c>
      <c r="J56" s="718" t="inlineStr"/>
    </row>
    <row r="57">
      <c r="A57" s="717" t="inlineStr">
        <is>
          <t>Data Protection Impact Assessment</t>
        </is>
      </c>
      <c r="B57" s="717" t="inlineStr">
        <is>
          <t>PRIVACY</t>
        </is>
      </c>
      <c r="C57" s="717" t="inlineStr">
        <is>
          <t>DPO</t>
        </is>
      </c>
      <c r="D57" s="717" t="inlineStr">
        <is>
          <t>PER_PROJECT</t>
        </is>
      </c>
      <c r="E57" s="717" t="n">
        <v>5</v>
      </c>
      <c r="F57" s="717" t="inlineStr">
        <is>
          <t>PDF</t>
        </is>
      </c>
      <c r="G57" s="717" t="inlineStr">
        <is>
          <t>Y</t>
        </is>
      </c>
      <c r="H57" s="717" t="inlineStr">
        <is>
          <t>Y</t>
        </is>
      </c>
      <c r="I57" s="717" t="inlineStr">
        <is>
          <t>HIGH</t>
        </is>
      </c>
      <c r="J57" s="717" t="inlineStr"/>
    </row>
    <row r="58">
      <c r="A58" s="718" t="inlineStr">
        <is>
          <t>Business Continuity Test Report</t>
        </is>
      </c>
      <c r="B58" s="718" t="inlineStr">
        <is>
          <t>ALL</t>
        </is>
      </c>
      <c r="C58" s="718" t="inlineStr">
        <is>
          <t>BCM Manager</t>
        </is>
      </c>
      <c r="D58" s="718" t="inlineStr">
        <is>
          <t>BIENNIAL</t>
        </is>
      </c>
      <c r="E58" s="718" t="n">
        <v>5</v>
      </c>
      <c r="F58" s="718" t="inlineStr">
        <is>
          <t>PDF</t>
        </is>
      </c>
      <c r="G58" s="718" t="inlineStr">
        <is>
          <t>N</t>
        </is>
      </c>
      <c r="H58" s="718" t="inlineStr">
        <is>
          <t>N</t>
        </is>
      </c>
      <c r="I58" s="718" t="inlineStr">
        <is>
          <t>MEDIUM</t>
        </is>
      </c>
      <c r="J58" s="718" t="inlineStr"/>
    </row>
    <row r="60">
      <c r="A60" s="725" t="inlineStr">
        <is>
          <t xml:space="preserve">  G │ GRC MATURITY BENCHMARKS</t>
        </is>
      </c>
      <c r="B60" s="766" t="n"/>
      <c r="C60" s="766" t="n"/>
      <c r="D60" s="766" t="n"/>
      <c r="E60" s="766" t="n"/>
      <c r="F60" s="766" t="n"/>
      <c r="G60" s="766" t="n"/>
      <c r="H60" s="766" t="n"/>
      <c r="I60" s="766" t="n"/>
      <c r="J60" s="767" t="n"/>
    </row>
    <row r="61">
      <c r="A61" s="726" t="inlineStr">
        <is>
          <t>Domain</t>
        </is>
      </c>
      <c r="B61" s="726" t="inlineStr">
        <is>
          <t>Maturity Model</t>
        </is>
      </c>
      <c r="C61" s="726" t="inlineStr">
        <is>
          <t>Country Avg Score</t>
        </is>
      </c>
      <c r="D61" s="726" t="inlineStr">
        <is>
          <t>Best-in-Class</t>
        </is>
      </c>
      <c r="E61" s="726" t="inlineStr">
        <is>
          <t>Typical Target</t>
        </is>
      </c>
      <c r="F61" s="726" t="inlineStr">
        <is>
          <t>Gap to Target</t>
        </is>
      </c>
      <c r="G61" s="726" t="inlineStr">
        <is>
          <t>Priority</t>
        </is>
      </c>
      <c r="H61" s="726" t="inlineStr">
        <is>
          <t>Key Barrier</t>
        </is>
      </c>
      <c r="I61" s="726" t="inlineStr">
        <is>
          <t>Shahin AI Recommendation</t>
        </is>
      </c>
      <c r="J61" s="726" t="inlineStr">
        <is>
          <t>Ref Framework</t>
        </is>
      </c>
    </row>
    <row r="62">
      <c r="A62" s="717" t="inlineStr">
        <is>
          <t>GRC Governance</t>
        </is>
      </c>
      <c r="B62" s="717" t="inlineStr">
        <is>
          <t>CMMI 1-5</t>
        </is>
      </c>
      <c r="C62" s="717" t="n">
        <v>2.5</v>
      </c>
      <c r="D62" s="717" t="n">
        <v>4</v>
      </c>
      <c r="E62" s="717" t="n">
        <v>3</v>
      </c>
      <c r="F62" s="717" t="n">
        <v>0.5</v>
      </c>
      <c r="G62" s="717" t="inlineStr">
        <is>
          <t>HIGH</t>
        </is>
      </c>
      <c r="H62" s="717" t="inlineStr">
        <is>
          <t>Capacity</t>
        </is>
      </c>
      <c r="I62" s="717" t="inlineStr">
        <is>
          <t>GRC programme</t>
        </is>
      </c>
      <c r="J62" s="717" t="inlineStr">
        <is>
          <t>OM-NCSP</t>
        </is>
      </c>
    </row>
    <row r="63">
      <c r="A63" s="718" t="inlineStr">
        <is>
          <t>Cybersecurity Controls</t>
        </is>
      </c>
      <c r="B63" s="718" t="inlineStr">
        <is>
          <t>CMMI 1-5</t>
        </is>
      </c>
      <c r="C63" s="718" t="n">
        <v>2.8</v>
      </c>
      <c r="D63" s="718" t="n">
        <v>4.5</v>
      </c>
      <c r="E63" s="718" t="n">
        <v>3.5</v>
      </c>
      <c r="F63" s="718" t="n">
        <v>0.7</v>
      </c>
      <c r="G63" s="718" t="inlineStr">
        <is>
          <t>HIGH</t>
        </is>
      </c>
      <c r="H63" s="718" t="inlineStr">
        <is>
          <t>Skills gap</t>
        </is>
      </c>
      <c r="I63" s="718" t="inlineStr">
        <is>
          <t>Managed SOC</t>
        </is>
      </c>
      <c r="J63" s="718" t="inlineStr">
        <is>
          <t>CBO-CYBERSEC-2023</t>
        </is>
      </c>
    </row>
    <row r="64">
      <c r="A64" s="717" t="inlineStr">
        <is>
          <t>Data Privacy</t>
        </is>
      </c>
      <c r="B64" s="717" t="inlineStr">
        <is>
          <t>CMMI 1-5</t>
        </is>
      </c>
      <c r="C64" s="717" t="n">
        <v>1.8</v>
      </c>
      <c r="D64" s="717" t="n">
        <v>4</v>
      </c>
      <c r="E64" s="717" t="n">
        <v>3</v>
      </c>
      <c r="F64" s="717" t="n">
        <v>1.2</v>
      </c>
      <c r="G64" s="717" t="inlineStr">
        <is>
          <t>HIGH</t>
        </is>
      </c>
      <c r="H64" s="717" t="inlineStr">
        <is>
          <t>New regulation</t>
        </is>
      </c>
      <c r="I64" s="717" t="inlineStr">
        <is>
          <t>PDPL compliance programme</t>
        </is>
      </c>
      <c r="J64" s="717" t="inlineStr">
        <is>
          <t>OM-PDPL-2022</t>
        </is>
      </c>
    </row>
  </sheetData>
  <mergeCells count="8">
    <mergeCell ref="A47:J47"/>
    <mergeCell ref="A1:J1"/>
    <mergeCell ref="A37:J37"/>
    <mergeCell ref="A32:J32"/>
    <mergeCell ref="A26:J26"/>
    <mergeCell ref="A2:J2"/>
    <mergeCell ref="A60:J60"/>
    <mergeCell ref="A13:J13"/>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62"/>
  <sheetViews>
    <sheetView showGridLines="0" workbookViewId="0">
      <pane ySplit="2" topLeftCell="A3" activePane="bottomLeft" state="frozen"/>
      <selection pane="bottomLeft" activeCell="A1" sqref="A1"/>
    </sheetView>
  </sheetViews>
  <sheetFormatPr baseColWidth="8" defaultRowHeight="15"/>
  <cols>
    <col width="18" customWidth="1" min="1" max="1"/>
    <col width="38" customWidth="1" min="2" max="2"/>
    <col width="28" customWidth="1" min="3" max="3"/>
    <col width="24" customWidth="1" min="4" max="4"/>
    <col width="12" customWidth="1" min="5" max="5"/>
    <col width="12" customWidth="1" min="6" max="6"/>
    <col width="22" customWidth="1" min="7" max="7"/>
    <col width="18" customWidth="1" min="8" max="8"/>
    <col width="20" customWidth="1" min="9" max="9"/>
    <col width="28" customWidth="1" min="10" max="10"/>
  </cols>
  <sheetData>
    <row r="1" ht="30" customHeight="1">
      <c r="A1" s="705" t="inlineStr">
        <is>
          <t>🇯🇴  Jordan (JO)  ·  GRC Regulatory Intelligence</t>
        </is>
      </c>
    </row>
    <row r="2">
      <c r="A2" s="706" t="inlineStr">
        <is>
          <t xml:space="preserve">  A │ REGULATORS</t>
        </is>
      </c>
      <c r="B2" s="766" t="n"/>
      <c r="C2" s="766" t="n"/>
      <c r="D2" s="766" t="n"/>
      <c r="E2" s="766" t="n"/>
      <c r="F2" s="766" t="n"/>
      <c r="G2" s="766" t="n"/>
      <c r="H2" s="766" t="n"/>
      <c r="I2" s="766" t="n"/>
      <c r="J2" s="767" t="n"/>
    </row>
    <row r="3">
      <c r="A3" s="707" t="inlineStr">
        <is>
          <t>Code</t>
        </is>
      </c>
      <c r="B3" s="707" t="inlineStr">
        <is>
          <t>Name (EN)</t>
        </is>
      </c>
      <c r="C3" s="707" t="inlineStr">
        <is>
          <t>Name (AR)</t>
        </is>
      </c>
      <c r="D3" s="707" t="inlineStr">
        <is>
          <t>Sector Group</t>
        </is>
      </c>
      <c r="E3" s="707" t="inlineStr">
        <is>
          <t>Tier</t>
        </is>
      </c>
      <c r="F3" s="707" t="inlineStr">
        <is>
          <t>Own FW Count</t>
        </is>
      </c>
      <c r="G3" s="707" t="inlineStr">
        <is>
          <t>Power Index</t>
        </is>
      </c>
      <c r="H3" s="707" t="inlineStr">
        <is>
          <t>Enforcement</t>
        </is>
      </c>
      <c r="I3" s="707" t="inlineStr">
        <is>
          <t>Website</t>
        </is>
      </c>
      <c r="J3" s="707" t="inlineStr">
        <is>
          <t>Notes</t>
        </is>
      </c>
    </row>
    <row r="4">
      <c r="A4" s="708" t="inlineStr">
        <is>
          <t>NCSC-JO</t>
        </is>
      </c>
      <c r="B4" s="708" t="inlineStr">
        <is>
          <t>National Cybersecurity Center</t>
        </is>
      </c>
      <c r="C4" s="708" t="inlineStr">
        <is>
          <t>المركز الوطني للأمن السيبراني</t>
        </is>
      </c>
      <c r="D4" s="708" t="inlineStr">
        <is>
          <t>Cybersecurity</t>
        </is>
      </c>
      <c r="E4" s="708" t="inlineStr">
        <is>
          <t>🔴 T1</t>
        </is>
      </c>
      <c r="F4" s="708" t="n">
        <v>3</v>
      </c>
      <c r="G4" s="708" t="n">
        <v>88</v>
      </c>
      <c r="H4" s="708" t="inlineStr">
        <is>
          <t>MANDATORY</t>
        </is>
      </c>
      <c r="I4" s="708" t="inlineStr">
        <is>
          <t>https://ncsc.gov.jo</t>
        </is>
      </c>
      <c r="J4" s="708" t="inlineStr"/>
    </row>
    <row r="5">
      <c r="A5" s="708" t="inlineStr">
        <is>
          <t>CBJ</t>
        </is>
      </c>
      <c r="B5" s="708" t="inlineStr">
        <is>
          <t>Central Bank of Jordan</t>
        </is>
      </c>
      <c r="C5" s="708" t="inlineStr">
        <is>
          <t>البنك المركزي الأردني</t>
        </is>
      </c>
      <c r="D5" s="708" t="inlineStr">
        <is>
          <t>Financial</t>
        </is>
      </c>
      <c r="E5" s="708" t="inlineStr">
        <is>
          <t>🔴 T1</t>
        </is>
      </c>
      <c r="F5" s="708" t="n">
        <v>5</v>
      </c>
      <c r="G5" s="708" t="n">
        <v>92</v>
      </c>
      <c r="H5" s="708" t="inlineStr">
        <is>
          <t>MANDATORY</t>
        </is>
      </c>
      <c r="I5" s="708" t="inlineStr">
        <is>
          <t>https://cbj.gov.jo</t>
        </is>
      </c>
      <c r="J5" s="708" t="inlineStr"/>
    </row>
    <row r="6">
      <c r="A6" s="709" t="inlineStr">
        <is>
          <t>TRC-JO</t>
        </is>
      </c>
      <c r="B6" s="709" t="inlineStr">
        <is>
          <t>Telecommunications Regulatory Commission</t>
        </is>
      </c>
      <c r="C6" s="709" t="inlineStr">
        <is>
          <t>هيئة تنظيم قطاع الاتصالات</t>
        </is>
      </c>
      <c r="D6" s="709" t="inlineStr">
        <is>
          <t>ICT/Telecom</t>
        </is>
      </c>
      <c r="E6" s="709" t="inlineStr">
        <is>
          <t>🟠 T2</t>
        </is>
      </c>
      <c r="F6" s="709" t="n">
        <v>3</v>
      </c>
      <c r="G6" s="709" t="n">
        <v>70</v>
      </c>
      <c r="H6" s="709" t="inlineStr">
        <is>
          <t>MANDATORY</t>
        </is>
      </c>
      <c r="I6" s="709" t="inlineStr">
        <is>
          <t>https://trc.gov.jo</t>
        </is>
      </c>
      <c r="J6" s="709" t="inlineStr"/>
    </row>
    <row r="7">
      <c r="A7" s="709" t="inlineStr">
        <is>
          <t>JSC</t>
        </is>
      </c>
      <c r="B7" s="709" t="inlineStr">
        <is>
          <t>Jordan Securities Commission</t>
        </is>
      </c>
      <c r="C7" s="709" t="inlineStr">
        <is>
          <t>هيئة الأوراق المالية</t>
        </is>
      </c>
      <c r="D7" s="709" t="inlineStr">
        <is>
          <t>Capital Markets</t>
        </is>
      </c>
      <c r="E7" s="709" t="inlineStr">
        <is>
          <t>🟠 T2</t>
        </is>
      </c>
      <c r="F7" s="709" t="n">
        <v>3</v>
      </c>
      <c r="G7" s="709" t="n">
        <v>65</v>
      </c>
      <c r="H7" s="709" t="inlineStr">
        <is>
          <t>MANDATORY</t>
        </is>
      </c>
      <c r="I7" s="709" t="inlineStr">
        <is>
          <t>https://jsc.gov.jo</t>
        </is>
      </c>
      <c r="J7" s="709" t="inlineStr"/>
    </row>
    <row r="8">
      <c r="A8" s="709" t="inlineStr">
        <is>
          <t>MODEE</t>
        </is>
      </c>
      <c r="B8" s="709" t="inlineStr">
        <is>
          <t>Ministry of Digital Economy &amp; Entrepreneurship</t>
        </is>
      </c>
      <c r="C8" s="709" t="inlineStr">
        <is>
          <t>وزارة الاقتصاد الرقمي والريادة</t>
        </is>
      </c>
      <c r="D8" s="709" t="inlineStr">
        <is>
          <t>ICT/Digital Gov</t>
        </is>
      </c>
      <c r="E8" s="709" t="inlineStr">
        <is>
          <t>🟠 T2</t>
        </is>
      </c>
      <c r="F8" s="709" t="n">
        <v>2</v>
      </c>
      <c r="G8" s="709" t="n">
        <v>60</v>
      </c>
      <c r="H8" s="709" t="inlineStr">
        <is>
          <t>MANDATORY</t>
        </is>
      </c>
      <c r="I8" s="709" t="inlineStr">
        <is>
          <t>https://modee.gov.jo</t>
        </is>
      </c>
      <c r="J8" s="709" t="inlineStr"/>
    </row>
    <row r="9">
      <c r="A9" s="709" t="inlineStr">
        <is>
          <t>MOH-JO</t>
        </is>
      </c>
      <c r="B9" s="709" t="inlineStr">
        <is>
          <t>Ministry of Health</t>
        </is>
      </c>
      <c r="C9" s="709" t="inlineStr">
        <is>
          <t>وزارة الصحة</t>
        </is>
      </c>
      <c r="D9" s="709" t="inlineStr">
        <is>
          <t>Healthcare</t>
        </is>
      </c>
      <c r="E9" s="709" t="inlineStr">
        <is>
          <t>🟠 T2</t>
        </is>
      </c>
      <c r="F9" s="709" t="n">
        <v>2</v>
      </c>
      <c r="G9" s="709" t="n">
        <v>55</v>
      </c>
      <c r="H9" s="709" t="inlineStr">
        <is>
          <t>MANDATORY</t>
        </is>
      </c>
      <c r="I9" s="709" t="inlineStr">
        <is>
          <t>https://moh.gov.jo</t>
        </is>
      </c>
      <c r="J9" s="709" t="inlineStr"/>
    </row>
    <row r="10">
      <c r="A10" s="709" t="inlineStr">
        <is>
          <t>FIU-JO</t>
        </is>
      </c>
      <c r="B10" s="709" t="inlineStr">
        <is>
          <t>Jordan AML/CFT Unit (AMLU)</t>
        </is>
      </c>
      <c r="C10" s="709" t="inlineStr">
        <is>
          <t>وحدة مكافحة غسل الأموال وتمويل الإرهاب</t>
        </is>
      </c>
      <c r="D10" s="709" t="inlineStr">
        <is>
          <t>AML/CFT</t>
        </is>
      </c>
      <c r="E10" s="709" t="inlineStr">
        <is>
          <t>🟠 T2</t>
        </is>
      </c>
      <c r="F10" s="709" t="n">
        <v>1</v>
      </c>
      <c r="G10" s="709" t="n">
        <v>78</v>
      </c>
      <c r="H10" s="709" t="inlineStr">
        <is>
          <t>MANDATORY</t>
        </is>
      </c>
      <c r="I10" s="709" t="inlineStr"/>
      <c r="J10" s="709" t="inlineStr"/>
    </row>
    <row r="12">
      <c r="A12" s="712" t="inlineStr">
        <is>
          <t xml:space="preserve">  B │ FRAMEWORKS</t>
        </is>
      </c>
      <c r="B12" s="766" t="n"/>
      <c r="C12" s="766" t="n"/>
      <c r="D12" s="766" t="n"/>
      <c r="E12" s="766" t="n"/>
      <c r="F12" s="766" t="n"/>
      <c r="G12" s="766" t="n"/>
      <c r="H12" s="766" t="n"/>
      <c r="I12" s="766" t="n"/>
      <c r="J12" s="767" t="n"/>
    </row>
    <row r="13">
      <c r="A13" s="713" t="inlineStr">
        <is>
          <t>Framework Code</t>
        </is>
      </c>
      <c r="B13" s="713" t="inlineStr">
        <is>
          <t>Name (EN)</t>
        </is>
      </c>
      <c r="C13" s="713" t="inlineStr">
        <is>
          <t>Issuing Regulator</t>
        </is>
      </c>
      <c r="D13" s="713" t="inlineStr">
        <is>
          <t>Version/Year</t>
        </is>
      </c>
      <c r="E13" s="713" t="inlineStr">
        <is>
          <t>Mandatory?</t>
        </is>
      </c>
      <c r="F13" s="713" t="inlineStr">
        <is>
          <t>Control Count</t>
        </is>
      </c>
      <c r="G13" s="713" t="inlineStr">
        <is>
          <t>Sector Applicability</t>
        </is>
      </c>
      <c r="H13" s="713" t="inlineStr">
        <is>
          <t>Audit Frequency</t>
        </is>
      </c>
      <c r="I13" s="713" t="inlineStr">
        <is>
          <t>Effective Date</t>
        </is>
      </c>
      <c r="J13" s="713" t="inlineStr">
        <is>
          <t>Canonical DB Code</t>
        </is>
      </c>
    </row>
    <row r="14">
      <c r="A14" s="711" t="inlineStr">
        <is>
          <t>JO-PDPL-2023</t>
        </is>
      </c>
      <c r="B14" s="711" t="inlineStr">
        <is>
          <t>Jordan Personal Data Protection Law No.24/2023</t>
        </is>
      </c>
      <c r="C14" s="711" t="inlineStr">
        <is>
          <t>MODEE</t>
        </is>
      </c>
      <c r="D14" s="711" t="inlineStr">
        <is>
          <t>2023</t>
        </is>
      </c>
      <c r="E14" s="711" t="inlineStr">
        <is>
          <t>Y</t>
        </is>
      </c>
      <c r="F14" s="711" t="n">
        <v>40</v>
      </c>
      <c r="G14" s="711" t="inlineStr">
        <is>
          <t>ALL</t>
        </is>
      </c>
      <c r="H14" s="711" t="inlineStr">
        <is>
          <t>ANNUAL</t>
        </is>
      </c>
      <c r="I14" s="711" t="inlineStr">
        <is>
          <t>2024-03-17</t>
        </is>
      </c>
      <c r="J14" s="711" t="inlineStr">
        <is>
          <t>JO-PDPL-2023</t>
        </is>
      </c>
    </row>
    <row r="15">
      <c r="A15" s="711" t="inlineStr">
        <is>
          <t>JO-NCSC-2024-2028</t>
        </is>
      </c>
      <c r="B15" s="711" t="inlineStr">
        <is>
          <t>Jordan National Cybersecurity Strategy 2024-2028</t>
        </is>
      </c>
      <c r="C15" s="711" t="inlineStr">
        <is>
          <t>NCSC-JO</t>
        </is>
      </c>
      <c r="D15" s="711" t="inlineStr">
        <is>
          <t>2024</t>
        </is>
      </c>
      <c r="E15" s="711" t="inlineStr">
        <is>
          <t>Y</t>
        </is>
      </c>
      <c r="F15" s="711" t="n">
        <v>50</v>
      </c>
      <c r="G15" s="711" t="inlineStr">
        <is>
          <t>ALL</t>
        </is>
      </c>
      <c r="H15" s="711" t="inlineStr">
        <is>
          <t>BIENNIAL</t>
        </is>
      </c>
      <c r="I15" s="711" t="inlineStr">
        <is>
          <t>2024-01-01</t>
        </is>
      </c>
      <c r="J15" s="711" t="inlineStr">
        <is>
          <t>JO-NCSC-2024-2028</t>
        </is>
      </c>
    </row>
    <row r="16">
      <c r="A16" s="711" t="inlineStr">
        <is>
          <t>JO-NCS-FRAMEWORK</t>
        </is>
      </c>
      <c r="B16" s="711" t="inlineStr">
        <is>
          <t>Jordan National Cybersecurity Framework</t>
        </is>
      </c>
      <c r="C16" s="711" t="inlineStr">
        <is>
          <t>NCSC-JO</t>
        </is>
      </c>
      <c r="D16" s="711" t="inlineStr">
        <is>
          <t>2023</t>
        </is>
      </c>
      <c r="E16" s="711" t="inlineStr">
        <is>
          <t>Y</t>
        </is>
      </c>
      <c r="F16" s="711" t="n">
        <v>85</v>
      </c>
      <c r="G16" s="711" t="inlineStr">
        <is>
          <t>GOV,CNI</t>
        </is>
      </c>
      <c r="H16" s="711" t="inlineStr">
        <is>
          <t>ANNUAL</t>
        </is>
      </c>
      <c r="I16" s="711" t="inlineStr">
        <is>
          <t>2023-01-01</t>
        </is>
      </c>
      <c r="J16" s="711" t="inlineStr">
        <is>
          <t>JO-NCS-FRAMEWORK</t>
        </is>
      </c>
    </row>
    <row r="17">
      <c r="A17" s="711" t="inlineStr">
        <is>
          <t>CBJ-CSF</t>
        </is>
      </c>
      <c r="B17" s="711" t="inlineStr">
        <is>
          <t>CBJ Cybersecurity Framework for Financial Sector</t>
        </is>
      </c>
      <c r="C17" s="711" t="inlineStr">
        <is>
          <t>CBJ</t>
        </is>
      </c>
      <c r="D17" s="711" t="inlineStr">
        <is>
          <t>2022</t>
        </is>
      </c>
      <c r="E17" s="711" t="inlineStr">
        <is>
          <t>Y</t>
        </is>
      </c>
      <c r="F17" s="711" t="n">
        <v>78</v>
      </c>
      <c r="G17" s="711" t="inlineStr">
        <is>
          <t>FIN</t>
        </is>
      </c>
      <c r="H17" s="711" t="inlineStr">
        <is>
          <t>ANNUAL</t>
        </is>
      </c>
      <c r="I17" s="711" t="inlineStr">
        <is>
          <t>2022-01-01</t>
        </is>
      </c>
      <c r="J17" s="711" t="inlineStr">
        <is>
          <t>CBJ-CSF</t>
        </is>
      </c>
    </row>
    <row r="18">
      <c r="A18" s="711" t="inlineStr">
        <is>
          <t>CBJ-FINCERT-REG</t>
        </is>
      </c>
      <c r="B18" s="711" t="inlineStr">
        <is>
          <t>CBJ FinCERT Regulations</t>
        </is>
      </c>
      <c r="C18" s="711" t="inlineStr">
        <is>
          <t>CBJ</t>
        </is>
      </c>
      <c r="D18" s="711" t="inlineStr">
        <is>
          <t>2021</t>
        </is>
      </c>
      <c r="E18" s="711" t="inlineStr">
        <is>
          <t>Y</t>
        </is>
      </c>
      <c r="F18" s="711" t="n">
        <v>30</v>
      </c>
      <c r="G18" s="711" t="inlineStr">
        <is>
          <t>FIN</t>
        </is>
      </c>
      <c r="H18" s="711" t="inlineStr">
        <is>
          <t>CONTINUOUS</t>
        </is>
      </c>
      <c r="I18" s="711" t="inlineStr">
        <is>
          <t>2021-01-01</t>
        </is>
      </c>
      <c r="J18" s="711" t="inlineStr">
        <is>
          <t>CBJ-FINCERT-REG</t>
        </is>
      </c>
    </row>
    <row r="19">
      <c r="A19" s="711" t="inlineStr">
        <is>
          <t>CBJ-AML</t>
        </is>
      </c>
      <c r="B19" s="711" t="inlineStr">
        <is>
          <t>CBJ AML/CFT Instructions</t>
        </is>
      </c>
      <c r="C19" s="711" t="inlineStr">
        <is>
          <t>CBJ/FIU-JO</t>
        </is>
      </c>
      <c r="D19" s="711" t="inlineStr">
        <is>
          <t>2021</t>
        </is>
      </c>
      <c r="E19" s="711" t="inlineStr">
        <is>
          <t>Y</t>
        </is>
      </c>
      <c r="F19" s="711" t="n">
        <v>40</v>
      </c>
      <c r="G19" s="711" t="inlineStr">
        <is>
          <t>FIN</t>
        </is>
      </c>
      <c r="H19" s="711" t="inlineStr">
        <is>
          <t>CONTINUOUS</t>
        </is>
      </c>
      <c r="I19" s="711" t="inlineStr">
        <is>
          <t>2021-01-01</t>
        </is>
      </c>
      <c r="J19" s="711" t="inlineStr">
        <is>
          <t>CBJ-AML</t>
        </is>
      </c>
    </row>
    <row r="20">
      <c r="A20" s="711" t="inlineStr">
        <is>
          <t>JO-CYBERCRIME-2019</t>
        </is>
      </c>
      <c r="B20" s="711" t="inlineStr">
        <is>
          <t>Jordan Cybercrime Law No.16/2019</t>
        </is>
      </c>
      <c r="C20" s="711" t="inlineStr">
        <is>
          <t>NCSC-JO</t>
        </is>
      </c>
      <c r="D20" s="711" t="inlineStr">
        <is>
          <t>2019</t>
        </is>
      </c>
      <c r="E20" s="711" t="inlineStr">
        <is>
          <t>Y</t>
        </is>
      </c>
      <c r="F20" s="711" t="n">
        <v>20</v>
      </c>
      <c r="G20" s="711" t="inlineStr">
        <is>
          <t>ALL</t>
        </is>
      </c>
      <c r="H20" s="711" t="inlineStr">
        <is>
          <t>AS_REQUIRED</t>
        </is>
      </c>
      <c r="I20" s="711" t="inlineStr">
        <is>
          <t>2019-01-01</t>
        </is>
      </c>
      <c r="J20" s="711" t="inlineStr">
        <is>
          <t>JO-CYBERCRIME-2019</t>
        </is>
      </c>
    </row>
    <row r="21">
      <c r="A21" s="711" t="inlineStr">
        <is>
          <t>JO-ECOM-LAW</t>
        </is>
      </c>
      <c r="B21" s="711" t="inlineStr">
        <is>
          <t>Jordan Electronic Transactions Law</t>
        </is>
      </c>
      <c r="C21" s="711" t="inlineStr">
        <is>
          <t>MODEE</t>
        </is>
      </c>
      <c r="D21" s="711" t="inlineStr">
        <is>
          <t>2015</t>
        </is>
      </c>
      <c r="E21" s="711" t="inlineStr">
        <is>
          <t>Y</t>
        </is>
      </c>
      <c r="F21" s="711" t="n">
        <v>15</v>
      </c>
      <c r="G21" s="711" t="inlineStr">
        <is>
          <t>CAP_MKT,FIN</t>
        </is>
      </c>
      <c r="H21" s="711" t="inlineStr">
        <is>
          <t>AS_REQUIRED</t>
        </is>
      </c>
      <c r="I21" s="711" t="inlineStr">
        <is>
          <t>2015-01-01</t>
        </is>
      </c>
      <c r="J21" s="711" t="inlineStr">
        <is>
          <t>JO-ECOM-LAW</t>
        </is>
      </c>
    </row>
    <row r="23">
      <c r="A23" s="715" t="inlineStr">
        <is>
          <t xml:space="preserve">  C │ CONTROL DOMAINS</t>
        </is>
      </c>
      <c r="B23" s="766" t="n"/>
      <c r="C23" s="766" t="n"/>
      <c r="D23" s="766" t="n"/>
      <c r="E23" s="766" t="n"/>
      <c r="F23" s="766" t="n"/>
      <c r="G23" s="766" t="n"/>
      <c r="H23" s="766" t="n"/>
      <c r="I23" s="766" t="n"/>
      <c r="J23" s="767" t="n"/>
    </row>
    <row r="24">
      <c r="A24" s="716" t="inlineStr">
        <is>
          <t>Domain Code</t>
        </is>
      </c>
      <c r="B24" s="716" t="inlineStr">
        <is>
          <t>Domain Name</t>
        </is>
      </c>
      <c r="C24" s="716" t="inlineStr">
        <is>
          <t>Primary Framework</t>
        </is>
      </c>
      <c r="D24" s="716" t="inlineStr">
        <is>
          <t>Control Count</t>
        </is>
      </c>
      <c r="E24" s="716" t="inlineStr">
        <is>
          <t>Risk Level</t>
        </is>
      </c>
      <c r="F24" s="716" t="inlineStr">
        <is>
          <t>IoT Relevance</t>
        </is>
      </c>
      <c r="G24" s="716" t="inlineStr">
        <is>
          <t>Automation Possible?</t>
        </is>
      </c>
      <c r="H24" s="716" t="inlineStr">
        <is>
          <t>Audit Method</t>
        </is>
      </c>
      <c r="I24" s="716" t="inlineStr">
        <is>
          <t>Shahin AI Score</t>
        </is>
      </c>
      <c r="J24" s="716" t="inlineStr">
        <is>
          <t>Notes</t>
        </is>
      </c>
    </row>
    <row r="25">
      <c r="A25" s="717" t="inlineStr">
        <is>
          <t>JO-CD-01</t>
        </is>
      </c>
      <c r="B25" s="717" t="inlineStr">
        <is>
          <t>Financial Cybersecurity</t>
        </is>
      </c>
      <c r="C25" s="717" t="inlineStr">
        <is>
          <t>CBJ-CSF</t>
        </is>
      </c>
      <c r="D25" s="717" t="n">
        <v>78</v>
      </c>
      <c r="E25" s="717" t="inlineStr">
        <is>
          <t>HIGH</t>
        </is>
      </c>
      <c r="F25" s="717" t="inlineStr">
        <is>
          <t>MODERATE</t>
        </is>
      </c>
      <c r="G25" s="717" t="inlineStr">
        <is>
          <t>Y</t>
        </is>
      </c>
      <c r="H25" s="717" t="inlineStr">
        <is>
          <t>EXTERNAL_AUDIT</t>
        </is>
      </c>
      <c r="I25" s="717" t="n">
        <v>78</v>
      </c>
      <c r="J25" s="717" t="inlineStr"/>
    </row>
    <row r="26">
      <c r="A26" s="718" t="inlineStr">
        <is>
          <t>JO-CD-02</t>
        </is>
      </c>
      <c r="B26" s="718" t="inlineStr">
        <is>
          <t>National Cybersecurity</t>
        </is>
      </c>
      <c r="C26" s="718" t="inlineStr">
        <is>
          <t>JO-NCS-FRAMEWORK</t>
        </is>
      </c>
      <c r="D26" s="718" t="n">
        <v>85</v>
      </c>
      <c r="E26" s="718" t="inlineStr">
        <is>
          <t>HIGH</t>
        </is>
      </c>
      <c r="F26" s="718" t="inlineStr">
        <is>
          <t>MODERATE</t>
        </is>
      </c>
      <c r="G26" s="718" t="inlineStr">
        <is>
          <t>PARTIAL</t>
        </is>
      </c>
      <c r="H26" s="718" t="inlineStr">
        <is>
          <t>SELF_ASSESSMENT</t>
        </is>
      </c>
      <c r="I26" s="718" t="n">
        <v>75</v>
      </c>
      <c r="J26" s="718" t="inlineStr"/>
    </row>
    <row r="27">
      <c r="A27" s="717" t="inlineStr">
        <is>
          <t>JO-CD-03</t>
        </is>
      </c>
      <c r="B27" s="717" t="inlineStr">
        <is>
          <t>Data Privacy</t>
        </is>
      </c>
      <c r="C27" s="717" t="inlineStr">
        <is>
          <t>JO-PDPL-2023</t>
        </is>
      </c>
      <c r="D27" s="717" t="n">
        <v>40</v>
      </c>
      <c r="E27" s="717" t="inlineStr">
        <is>
          <t>HIGH</t>
        </is>
      </c>
      <c r="F27" s="717" t="inlineStr">
        <is>
          <t>MODERATE</t>
        </is>
      </c>
      <c r="G27" s="717" t="inlineStr">
        <is>
          <t>Y</t>
        </is>
      </c>
      <c r="H27" s="717" t="inlineStr">
        <is>
          <t>SELF_ASSESSMENT</t>
        </is>
      </c>
      <c r="I27" s="717" t="n">
        <v>72</v>
      </c>
      <c r="J27" s="717" t="inlineStr"/>
    </row>
    <row r="28">
      <c r="A28" s="718" t="inlineStr">
        <is>
          <t>JO-CD-04</t>
        </is>
      </c>
      <c r="B28" s="718" t="inlineStr">
        <is>
          <t>AML/CFT</t>
        </is>
      </c>
      <c r="C28" s="718" t="inlineStr">
        <is>
          <t>CBJ-AML</t>
        </is>
      </c>
      <c r="D28" s="718" t="n">
        <v>40</v>
      </c>
      <c r="E28" s="718" t="inlineStr">
        <is>
          <t>HIGH</t>
        </is>
      </c>
      <c r="F28" s="718" t="inlineStr">
        <is>
          <t>LOW</t>
        </is>
      </c>
      <c r="G28" s="718" t="inlineStr">
        <is>
          <t>PARTIAL</t>
        </is>
      </c>
      <c r="H28" s="718" t="inlineStr">
        <is>
          <t>REGULATOR_INSPECTION</t>
        </is>
      </c>
      <c r="I28" s="718" t="n">
        <v>76</v>
      </c>
      <c r="J28" s="718" t="inlineStr"/>
    </row>
    <row r="30">
      <c r="A30" s="719" t="inlineStr">
        <is>
          <t xml:space="preserve">  D │ RISK DOMAINS</t>
        </is>
      </c>
      <c r="B30" s="766" t="n"/>
      <c r="C30" s="766" t="n"/>
      <c r="D30" s="766" t="n"/>
      <c r="E30" s="766" t="n"/>
      <c r="F30" s="766" t="n"/>
      <c r="G30" s="766" t="n"/>
      <c r="H30" s="766" t="n"/>
      <c r="I30" s="766" t="n"/>
      <c r="J30" s="767" t="n"/>
    </row>
    <row r="31">
      <c r="A31" s="720" t="inlineStr">
        <is>
          <t>Risk Domain</t>
        </is>
      </c>
      <c r="B31" s="720" t="inlineStr">
        <is>
          <t>Risk Category</t>
        </is>
      </c>
      <c r="C31" s="720" t="inlineStr">
        <is>
          <t>Risk Score (0-100)</t>
        </is>
      </c>
      <c r="D31" s="720" t="inlineStr">
        <is>
          <t>Level</t>
        </is>
      </c>
      <c r="E31" s="720" t="inlineStr">
        <is>
          <t>Primary Regulator</t>
        </is>
      </c>
      <c r="F31" s="720" t="inlineStr">
        <is>
          <t>Linked Framework</t>
        </is>
      </c>
      <c r="G31" s="720" t="inlineStr">
        <is>
          <t>KRI Count</t>
        </is>
      </c>
      <c r="H31" s="720" t="inlineStr">
        <is>
          <t>Escalation Threshold</t>
        </is>
      </c>
      <c r="I31" s="720" t="inlineStr">
        <is>
          <t>Owner Role</t>
        </is>
      </c>
      <c r="J31" s="720" t="inlineStr">
        <is>
          <t>Notes</t>
        </is>
      </c>
    </row>
    <row r="32">
      <c r="A32" s="717" t="inlineStr">
        <is>
          <t>Cyber Risk</t>
        </is>
      </c>
      <c r="B32" s="717" t="inlineStr">
        <is>
          <t>Cybersecurity</t>
        </is>
      </c>
      <c r="C32" s="717" t="n">
        <v>75</v>
      </c>
      <c r="D32" s="717" t="inlineStr">
        <is>
          <t>HIGH</t>
        </is>
      </c>
      <c r="E32" s="717" t="inlineStr">
        <is>
          <t>NCSC-JO</t>
        </is>
      </c>
      <c r="F32" s="717" t="inlineStr">
        <is>
          <t>JO-NCS-FRAMEWORK</t>
        </is>
      </c>
      <c r="G32" s="717" t="n">
        <v>6</v>
      </c>
      <c r="H32" s="717" t="inlineStr">
        <is>
          <t>Score &lt; 65</t>
        </is>
      </c>
      <c r="I32" s="717" t="inlineStr">
        <is>
          <t>CISO</t>
        </is>
      </c>
      <c r="J32" s="717" t="inlineStr"/>
    </row>
    <row r="33">
      <c r="A33" s="718" t="inlineStr">
        <is>
          <t>Data Privacy</t>
        </is>
      </c>
      <c r="B33" s="718" t="inlineStr">
        <is>
          <t>Privacy</t>
        </is>
      </c>
      <c r="C33" s="718" t="n">
        <v>65</v>
      </c>
      <c r="D33" s="718" t="inlineStr">
        <is>
          <t>HIGH</t>
        </is>
      </c>
      <c r="E33" s="718" t="inlineStr">
        <is>
          <t>MODEE</t>
        </is>
      </c>
      <c r="F33" s="718" t="inlineStr">
        <is>
          <t>JO-PDPL-2023</t>
        </is>
      </c>
      <c r="G33" s="718" t="n">
        <v>4</v>
      </c>
      <c r="H33" s="718" t="inlineStr">
        <is>
          <t>72h notification</t>
        </is>
      </c>
      <c r="I33" s="718" t="inlineStr">
        <is>
          <t>DPO</t>
        </is>
      </c>
      <c r="J33" s="718" t="inlineStr"/>
    </row>
    <row r="35">
      <c r="A35" s="721" t="inlineStr">
        <is>
          <t xml:space="preserve">  E │ COMPLIANCE LIFECYCLE</t>
        </is>
      </c>
      <c r="B35" s="766" t="n"/>
      <c r="C35" s="766" t="n"/>
      <c r="D35" s="766" t="n"/>
      <c r="E35" s="766" t="n"/>
      <c r="F35" s="766" t="n"/>
      <c r="G35" s="766" t="n"/>
      <c r="H35" s="766" t="n"/>
      <c r="I35" s="766" t="n"/>
      <c r="J35" s="767" t="n"/>
    </row>
    <row r="36">
      <c r="A36" s="722" t="inlineStr">
        <is>
          <t>Stage</t>
        </is>
      </c>
      <c r="B36" s="722" t="inlineStr">
        <is>
          <t>Stage Code</t>
        </is>
      </c>
      <c r="C36" s="722" t="inlineStr">
        <is>
          <t>Entry Trigger</t>
        </is>
      </c>
      <c r="D36" s="722" t="inlineStr">
        <is>
          <t>Exit Trigger</t>
        </is>
      </c>
      <c r="E36" s="722" t="inlineStr">
        <is>
          <t>Next Stage</t>
        </is>
      </c>
      <c r="F36" s="722" t="inlineStr">
        <is>
          <t>Approval Required</t>
        </is>
      </c>
      <c r="G36" s="722" t="inlineStr">
        <is>
          <t>Typical Duration</t>
        </is>
      </c>
      <c r="H36" s="722" t="inlineStr">
        <is>
          <t>Responsible Role</t>
        </is>
      </c>
      <c r="I36" s="722" t="inlineStr">
        <is>
          <t>Automation</t>
        </is>
      </c>
      <c r="J36" s="722" t="inlineStr">
        <is>
          <t>SLA (Days)</t>
        </is>
      </c>
    </row>
    <row r="37">
      <c r="A37" s="717" t="inlineStr">
        <is>
          <t>Draft</t>
        </is>
      </c>
      <c r="B37" s="717" t="inlineStr">
        <is>
          <t>DRAFT</t>
        </is>
      </c>
      <c r="C37" s="717" t="inlineStr">
        <is>
          <t>Registration initiated</t>
        </is>
      </c>
      <c r="D37" s="717" t="inlineStr">
        <is>
          <t>Initial assessment complete</t>
        </is>
      </c>
      <c r="E37" s="717" t="inlineStr">
        <is>
          <t>ASSESSED</t>
        </is>
      </c>
      <c r="F37" s="717" t="inlineStr">
        <is>
          <t>N</t>
        </is>
      </c>
      <c r="G37" s="717" t="inlineStr">
        <is>
          <t>14 days</t>
        </is>
      </c>
      <c r="H37" s="717" t="inlineStr">
        <is>
          <t>Compliance Officer</t>
        </is>
      </c>
      <c r="I37" s="717" t="inlineStr">
        <is>
          <t>FULL</t>
        </is>
      </c>
      <c r="J37" s="717" t="n">
        <v>14</v>
      </c>
    </row>
    <row r="38">
      <c r="A38" s="718" t="inlineStr">
        <is>
          <t>Assessed</t>
        </is>
      </c>
      <c r="B38" s="718" t="inlineStr">
        <is>
          <t>ASSESSED</t>
        </is>
      </c>
      <c r="C38" s="718" t="inlineStr">
        <is>
          <t>Draft submitted</t>
        </is>
      </c>
      <c r="D38" s="718" t="inlineStr">
        <is>
          <t>Gap analysis approved</t>
        </is>
      </c>
      <c r="E38" s="718" t="inlineStr">
        <is>
          <t>REGISTERED</t>
        </is>
      </c>
      <c r="F38" s="718" t="inlineStr">
        <is>
          <t>Y</t>
        </is>
      </c>
      <c r="G38" s="718" t="inlineStr">
        <is>
          <t>30 days</t>
        </is>
      </c>
      <c r="H38" s="718" t="inlineStr">
        <is>
          <t>Lead Auditor</t>
        </is>
      </c>
      <c r="I38" s="718" t="inlineStr">
        <is>
          <t>PARTIAL</t>
        </is>
      </c>
      <c r="J38" s="718" t="n">
        <v>30</v>
      </c>
    </row>
    <row r="39">
      <c r="A39" s="717" t="inlineStr">
        <is>
          <t>Registered</t>
        </is>
      </c>
      <c r="B39" s="717" t="inlineStr">
        <is>
          <t>REGISTERED</t>
        </is>
      </c>
      <c r="C39" s="717" t="inlineStr">
        <is>
          <t>Assessment passed</t>
        </is>
      </c>
      <c r="D39" s="717" t="inlineStr">
        <is>
          <t>Controls implemented</t>
        </is>
      </c>
      <c r="E39" s="717" t="inlineStr">
        <is>
          <t>ACTIVE</t>
        </is>
      </c>
      <c r="F39" s="717" t="inlineStr">
        <is>
          <t>Y</t>
        </is>
      </c>
      <c r="G39" s="717" t="inlineStr">
        <is>
          <t>90 days</t>
        </is>
      </c>
      <c r="H39" s="717" t="inlineStr">
        <is>
          <t>CISO</t>
        </is>
      </c>
      <c r="I39" s="717" t="inlineStr">
        <is>
          <t>PARTIAL</t>
        </is>
      </c>
      <c r="J39" s="717" t="n">
        <v>90</v>
      </c>
    </row>
    <row r="40">
      <c r="A40" s="718" t="inlineStr">
        <is>
          <t>Active</t>
        </is>
      </c>
      <c r="B40" s="718" t="inlineStr">
        <is>
          <t>ACTIVE</t>
        </is>
      </c>
      <c r="C40" s="718" t="inlineStr">
        <is>
          <t>Registration confirmed</t>
        </is>
      </c>
      <c r="D40" s="718" t="inlineStr">
        <is>
          <t>Audit scheduled</t>
        </is>
      </c>
      <c r="E40" s="718" t="inlineStr">
        <is>
          <t>AUDITED</t>
        </is>
      </c>
      <c r="F40" s="718" t="inlineStr">
        <is>
          <t>N</t>
        </is>
      </c>
      <c r="G40" s="718" t="inlineStr">
        <is>
          <t>Ongoing</t>
        </is>
      </c>
      <c r="H40" s="718" t="inlineStr">
        <is>
          <t>Compliance Officer</t>
        </is>
      </c>
      <c r="I40" s="718" t="inlineStr">
        <is>
          <t>FULL</t>
        </is>
      </c>
      <c r="J40" s="718" t="n">
        <v>365</v>
      </c>
    </row>
    <row r="41">
      <c r="A41" s="717" t="inlineStr">
        <is>
          <t>Audited</t>
        </is>
      </c>
      <c r="B41" s="717" t="inlineStr">
        <is>
          <t>AUDITED</t>
        </is>
      </c>
      <c r="C41" s="717" t="inlineStr">
        <is>
          <t>Annual audit cycle</t>
        </is>
      </c>
      <c r="D41" s="717" t="inlineStr">
        <is>
          <t>Audit report issued</t>
        </is>
      </c>
      <c r="E41" s="717" t="inlineStr">
        <is>
          <t>RENEWED</t>
        </is>
      </c>
      <c r="F41" s="717" t="inlineStr">
        <is>
          <t>Y</t>
        </is>
      </c>
      <c r="G41" s="717" t="inlineStr">
        <is>
          <t>60 days</t>
        </is>
      </c>
      <c r="H41" s="717" t="inlineStr">
        <is>
          <t>External Auditor</t>
        </is>
      </c>
      <c r="I41" s="717" t="inlineStr">
        <is>
          <t>PARTIAL</t>
        </is>
      </c>
      <c r="J41" s="717" t="n">
        <v>60</v>
      </c>
    </row>
    <row r="42">
      <c r="A42" s="718" t="inlineStr">
        <is>
          <t>Renewed</t>
        </is>
      </c>
      <c r="B42" s="718" t="inlineStr">
        <is>
          <t>RENEWED</t>
        </is>
      </c>
      <c r="C42" s="718" t="inlineStr">
        <is>
          <t>Successful audit</t>
        </is>
      </c>
      <c r="D42" s="718" t="inlineStr">
        <is>
          <t>Next cycle begins</t>
        </is>
      </c>
      <c r="E42" s="718" t="inlineStr">
        <is>
          <t>ACTIVE</t>
        </is>
      </c>
      <c r="F42" s="718" t="inlineStr">
        <is>
          <t>N</t>
        </is>
      </c>
      <c r="G42" s="718" t="inlineStr">
        <is>
          <t>1 day</t>
        </is>
      </c>
      <c r="H42" s="718" t="inlineStr">
        <is>
          <t>Compliance Officer</t>
        </is>
      </c>
      <c r="I42" s="718" t="inlineStr">
        <is>
          <t>FULL</t>
        </is>
      </c>
      <c r="J42" s="718" t="n">
        <v>1</v>
      </c>
    </row>
    <row r="43">
      <c r="A43" s="717" t="inlineStr">
        <is>
          <t>Archived</t>
        </is>
      </c>
      <c r="B43" s="717" t="inlineStr">
        <is>
          <t>ARCHIVED</t>
        </is>
      </c>
      <c r="C43" s="717" t="inlineStr">
        <is>
          <t>Decommission / superseded</t>
        </is>
      </c>
      <c r="D43" s="717" t="inlineStr">
        <is>
          <t>N/A</t>
        </is>
      </c>
      <c r="E43" s="717" t="inlineStr">
        <is>
          <t>N/A</t>
        </is>
      </c>
      <c r="F43" s="717" t="inlineStr">
        <is>
          <t>Y</t>
        </is>
      </c>
      <c r="G43" s="717" t="inlineStr">
        <is>
          <t>N/A</t>
        </is>
      </c>
      <c r="H43" s="717" t="inlineStr">
        <is>
          <t>CCO</t>
        </is>
      </c>
      <c r="I43" s="717" t="inlineStr">
        <is>
          <t>N</t>
        </is>
      </c>
      <c r="J43" s="717" t="n">
        <v>0</v>
      </c>
    </row>
    <row r="45">
      <c r="A45" s="723" t="inlineStr">
        <is>
          <t xml:space="preserve">  F │ EVIDENCE REQUIREMENTS</t>
        </is>
      </c>
      <c r="B45" s="766" t="n"/>
      <c r="C45" s="766" t="n"/>
      <c r="D45" s="766" t="n"/>
      <c r="E45" s="766" t="n"/>
      <c r="F45" s="766" t="n"/>
      <c r="G45" s="766" t="n"/>
      <c r="H45" s="766" t="n"/>
      <c r="I45" s="766" t="n"/>
      <c r="J45" s="767" t="n"/>
    </row>
    <row r="46">
      <c r="A46" s="724" t="inlineStr">
        <is>
          <t>Evidence Type</t>
        </is>
      </c>
      <c r="B46" s="724" t="inlineStr">
        <is>
          <t>Framework</t>
        </is>
      </c>
      <c r="C46" s="724" t="inlineStr">
        <is>
          <t>Responsible Role</t>
        </is>
      </c>
      <c r="D46" s="724" t="inlineStr">
        <is>
          <t>Collection Frequency</t>
        </is>
      </c>
      <c r="E46" s="724" t="inlineStr">
        <is>
          <t>Retention (Years)</t>
        </is>
      </c>
      <c r="F46" s="724" t="inlineStr">
        <is>
          <t>Format</t>
        </is>
      </c>
      <c r="G46" s="724" t="inlineStr">
        <is>
          <t>Submittable to Regulator?</t>
        </is>
      </c>
      <c r="H46" s="724" t="inlineStr">
        <is>
          <t>AI Extractable?</t>
        </is>
      </c>
      <c r="I46" s="724" t="inlineStr">
        <is>
          <t>Risk if Missing</t>
        </is>
      </c>
      <c r="J46" s="724" t="inlineStr">
        <is>
          <t>Notes</t>
        </is>
      </c>
    </row>
    <row r="47">
      <c r="A47" s="717" t="inlineStr">
        <is>
          <t>Self-Assessment Report</t>
        </is>
      </c>
      <c r="B47" s="717" t="inlineStr">
        <is>
          <t>ALL</t>
        </is>
      </c>
      <c r="C47" s="717" t="inlineStr">
        <is>
          <t>Compliance Officer</t>
        </is>
      </c>
      <c r="D47" s="717" t="inlineStr">
        <is>
          <t>ANNUAL</t>
        </is>
      </c>
      <c r="E47" s="717" t="n">
        <v>5</v>
      </c>
      <c r="F47" s="717" t="inlineStr">
        <is>
          <t>PDF</t>
        </is>
      </c>
      <c r="G47" s="717" t="inlineStr">
        <is>
          <t>Y</t>
        </is>
      </c>
      <c r="H47" s="717" t="inlineStr">
        <is>
          <t>Y</t>
        </is>
      </c>
      <c r="I47" s="717" t="inlineStr">
        <is>
          <t>HIGH</t>
        </is>
      </c>
      <c r="J47" s="717" t="inlineStr"/>
    </row>
    <row r="48">
      <c r="A48" s="718" t="inlineStr">
        <is>
          <t>Gap Analysis Report</t>
        </is>
      </c>
      <c r="B48" s="718" t="inlineStr">
        <is>
          <t>ALL</t>
        </is>
      </c>
      <c r="C48" s="718" t="inlineStr">
        <is>
          <t>Lead Auditor</t>
        </is>
      </c>
      <c r="D48" s="718" t="inlineStr">
        <is>
          <t>ANNUAL</t>
        </is>
      </c>
      <c r="E48" s="718" t="n">
        <v>5</v>
      </c>
      <c r="F48" s="718" t="inlineStr">
        <is>
          <t>PDF/Excel</t>
        </is>
      </c>
      <c r="G48" s="718" t="inlineStr">
        <is>
          <t>N</t>
        </is>
      </c>
      <c r="H48" s="718" t="inlineStr">
        <is>
          <t>Y</t>
        </is>
      </c>
      <c r="I48" s="718" t="inlineStr">
        <is>
          <t>HIGH</t>
        </is>
      </c>
      <c r="J48" s="718" t="inlineStr"/>
    </row>
    <row r="49">
      <c r="A49" s="717" t="inlineStr">
        <is>
          <t>External Audit Report</t>
        </is>
      </c>
      <c r="B49" s="717" t="inlineStr">
        <is>
          <t>ALL</t>
        </is>
      </c>
      <c r="C49" s="717" t="inlineStr">
        <is>
          <t>External Auditor</t>
        </is>
      </c>
      <c r="D49" s="717" t="inlineStr">
        <is>
          <t>ANNUAL</t>
        </is>
      </c>
      <c r="E49" s="717" t="n">
        <v>7</v>
      </c>
      <c r="F49" s="717" t="inlineStr">
        <is>
          <t>PDF</t>
        </is>
      </c>
      <c r="G49" s="717" t="inlineStr">
        <is>
          <t>Y</t>
        </is>
      </c>
      <c r="H49" s="717" t="inlineStr">
        <is>
          <t>Y</t>
        </is>
      </c>
      <c r="I49" s="717" t="inlineStr">
        <is>
          <t>CRITICAL</t>
        </is>
      </c>
      <c r="J49" s="717" t="inlineStr"/>
    </row>
    <row r="50">
      <c r="A50" s="718" t="inlineStr">
        <is>
          <t>Penetration Test Report</t>
        </is>
      </c>
      <c r="B50" s="718" t="inlineStr">
        <is>
          <t>ALL</t>
        </is>
      </c>
      <c r="C50" s="718" t="inlineStr">
        <is>
          <t>CISO</t>
        </is>
      </c>
      <c r="D50" s="718" t="inlineStr">
        <is>
          <t>ANNUAL</t>
        </is>
      </c>
      <c r="E50" s="718" t="n">
        <v>3</v>
      </c>
      <c r="F50" s="718" t="inlineStr">
        <is>
          <t>PDF</t>
        </is>
      </c>
      <c r="G50" s="718" t="inlineStr">
        <is>
          <t>Y</t>
        </is>
      </c>
      <c r="H50" s="718" t="inlineStr">
        <is>
          <t>Y</t>
        </is>
      </c>
      <c r="I50" s="718" t="inlineStr">
        <is>
          <t>HIGH</t>
        </is>
      </c>
      <c r="J50" s="718" t="inlineStr"/>
    </row>
    <row r="51">
      <c r="A51" s="717" t="inlineStr">
        <is>
          <t>Regulator Inspection Record</t>
        </is>
      </c>
      <c r="B51" s="717" t="inlineStr">
        <is>
          <t>ALL</t>
        </is>
      </c>
      <c r="C51" s="717" t="inlineStr">
        <is>
          <t>CCO</t>
        </is>
      </c>
      <c r="D51" s="717" t="inlineStr">
        <is>
          <t>AS_REQUIRED</t>
        </is>
      </c>
      <c r="E51" s="717" t="n">
        <v>10</v>
      </c>
      <c r="F51" s="717" t="inlineStr">
        <is>
          <t>PDF</t>
        </is>
      </c>
      <c r="G51" s="717" t="inlineStr">
        <is>
          <t>Y</t>
        </is>
      </c>
      <c r="H51" s="717" t="inlineStr">
        <is>
          <t>N</t>
        </is>
      </c>
      <c r="I51" s="717" t="inlineStr">
        <is>
          <t>CRITICAL</t>
        </is>
      </c>
      <c r="J51" s="717" t="inlineStr"/>
    </row>
    <row r="52">
      <c r="A52" s="718" t="inlineStr">
        <is>
          <t>Incident Response Log</t>
        </is>
      </c>
      <c r="B52" s="718" t="inlineStr">
        <is>
          <t>ALL</t>
        </is>
      </c>
      <c r="C52" s="718" t="inlineStr">
        <is>
          <t>CISO</t>
        </is>
      </c>
      <c r="D52" s="718" t="inlineStr">
        <is>
          <t>CONTINUOUS</t>
        </is>
      </c>
      <c r="E52" s="718" t="n">
        <v>5</v>
      </c>
      <c r="F52" s="718" t="inlineStr">
        <is>
          <t>SIEM/PDF</t>
        </is>
      </c>
      <c r="G52" s="718" t="inlineStr">
        <is>
          <t>Y</t>
        </is>
      </c>
      <c r="H52" s="718" t="inlineStr">
        <is>
          <t>Y</t>
        </is>
      </c>
      <c r="I52" s="718" t="inlineStr">
        <is>
          <t>HIGH</t>
        </is>
      </c>
      <c r="J52" s="718" t="inlineStr"/>
    </row>
    <row r="53">
      <c r="A53" s="717" t="inlineStr">
        <is>
          <t>Training Completion Records</t>
        </is>
      </c>
      <c r="B53" s="717" t="inlineStr">
        <is>
          <t>ALL</t>
        </is>
      </c>
      <c r="C53" s="717" t="inlineStr">
        <is>
          <t>CISO</t>
        </is>
      </c>
      <c r="D53" s="717" t="inlineStr">
        <is>
          <t>ANNUAL</t>
        </is>
      </c>
      <c r="E53" s="717" t="n">
        <v>3</v>
      </c>
      <c r="F53" s="717" t="inlineStr">
        <is>
          <t>CSV/PDF</t>
        </is>
      </c>
      <c r="G53" s="717" t="inlineStr">
        <is>
          <t>N</t>
        </is>
      </c>
      <c r="H53" s="717" t="inlineStr">
        <is>
          <t>Y</t>
        </is>
      </c>
      <c r="I53" s="717" t="inlineStr">
        <is>
          <t>MEDIUM</t>
        </is>
      </c>
      <c r="J53" s="717" t="inlineStr"/>
    </row>
    <row r="54">
      <c r="A54" s="718" t="inlineStr">
        <is>
          <t>Vendor Risk Assessments</t>
        </is>
      </c>
      <c r="B54" s="718" t="inlineStr">
        <is>
          <t>ALL</t>
        </is>
      </c>
      <c r="C54" s="718" t="inlineStr">
        <is>
          <t>3rd Party Risk Officer</t>
        </is>
      </c>
      <c r="D54" s="718" t="inlineStr">
        <is>
          <t>ANNUAL</t>
        </is>
      </c>
      <c r="E54" s="718" t="n">
        <v>3</v>
      </c>
      <c r="F54" s="718" t="inlineStr">
        <is>
          <t>Excel/PDF</t>
        </is>
      </c>
      <c r="G54" s="718" t="inlineStr">
        <is>
          <t>N</t>
        </is>
      </c>
      <c r="H54" s="718" t="inlineStr">
        <is>
          <t>Y</t>
        </is>
      </c>
      <c r="I54" s="718" t="inlineStr">
        <is>
          <t>HIGH</t>
        </is>
      </c>
      <c r="J54" s="718" t="inlineStr"/>
    </row>
    <row r="55">
      <c r="A55" s="717" t="inlineStr">
        <is>
          <t>Data Protection Impact Assessment</t>
        </is>
      </c>
      <c r="B55" s="717" t="inlineStr">
        <is>
          <t>PRIVACY</t>
        </is>
      </c>
      <c r="C55" s="717" t="inlineStr">
        <is>
          <t>DPO</t>
        </is>
      </c>
      <c r="D55" s="717" t="inlineStr">
        <is>
          <t>PER_PROJECT</t>
        </is>
      </c>
      <c r="E55" s="717" t="n">
        <v>5</v>
      </c>
      <c r="F55" s="717" t="inlineStr">
        <is>
          <t>PDF</t>
        </is>
      </c>
      <c r="G55" s="717" t="inlineStr">
        <is>
          <t>Y</t>
        </is>
      </c>
      <c r="H55" s="717" t="inlineStr">
        <is>
          <t>Y</t>
        </is>
      </c>
      <c r="I55" s="717" t="inlineStr">
        <is>
          <t>HIGH</t>
        </is>
      </c>
      <c r="J55" s="717" t="inlineStr"/>
    </row>
    <row r="56">
      <c r="A56" s="718" t="inlineStr">
        <is>
          <t>Business Continuity Test Report</t>
        </is>
      </c>
      <c r="B56" s="718" t="inlineStr">
        <is>
          <t>ALL</t>
        </is>
      </c>
      <c r="C56" s="718" t="inlineStr">
        <is>
          <t>BCM Manager</t>
        </is>
      </c>
      <c r="D56" s="718" t="inlineStr">
        <is>
          <t>BIENNIAL</t>
        </is>
      </c>
      <c r="E56" s="718" t="n">
        <v>5</v>
      </c>
      <c r="F56" s="718" t="inlineStr">
        <is>
          <t>PDF</t>
        </is>
      </c>
      <c r="G56" s="718" t="inlineStr">
        <is>
          <t>N</t>
        </is>
      </c>
      <c r="H56" s="718" t="inlineStr">
        <is>
          <t>N</t>
        </is>
      </c>
      <c r="I56" s="718" t="inlineStr">
        <is>
          <t>MEDIUM</t>
        </is>
      </c>
      <c r="J56" s="718" t="inlineStr"/>
    </row>
    <row r="58">
      <c r="A58" s="725" t="inlineStr">
        <is>
          <t xml:space="preserve">  G │ GRC MATURITY BENCHMARKS</t>
        </is>
      </c>
      <c r="B58" s="766" t="n"/>
      <c r="C58" s="766" t="n"/>
      <c r="D58" s="766" t="n"/>
      <c r="E58" s="766" t="n"/>
      <c r="F58" s="766" t="n"/>
      <c r="G58" s="766" t="n"/>
      <c r="H58" s="766" t="n"/>
      <c r="I58" s="766" t="n"/>
      <c r="J58" s="767" t="n"/>
    </row>
    <row r="59">
      <c r="A59" s="726" t="inlineStr">
        <is>
          <t>Domain</t>
        </is>
      </c>
      <c r="B59" s="726" t="inlineStr">
        <is>
          <t>Maturity Model</t>
        </is>
      </c>
      <c r="C59" s="726" t="inlineStr">
        <is>
          <t>Country Avg Score</t>
        </is>
      </c>
      <c r="D59" s="726" t="inlineStr">
        <is>
          <t>Best-in-Class</t>
        </is>
      </c>
      <c r="E59" s="726" t="inlineStr">
        <is>
          <t>Typical Target</t>
        </is>
      </c>
      <c r="F59" s="726" t="inlineStr">
        <is>
          <t>Gap to Target</t>
        </is>
      </c>
      <c r="G59" s="726" t="inlineStr">
        <is>
          <t>Priority</t>
        </is>
      </c>
      <c r="H59" s="726" t="inlineStr">
        <is>
          <t>Key Barrier</t>
        </is>
      </c>
      <c r="I59" s="726" t="inlineStr">
        <is>
          <t>Shahin AI Recommendation</t>
        </is>
      </c>
      <c r="J59" s="726" t="inlineStr">
        <is>
          <t>Ref Framework</t>
        </is>
      </c>
    </row>
    <row r="60">
      <c r="A60" s="717" t="inlineStr">
        <is>
          <t>GRC Governance</t>
        </is>
      </c>
      <c r="B60" s="717" t="inlineStr">
        <is>
          <t>CMMI 1-5</t>
        </is>
      </c>
      <c r="C60" s="717" t="n">
        <v>2.2</v>
      </c>
      <c r="D60" s="717" t="n">
        <v>4</v>
      </c>
      <c r="E60" s="717" t="n">
        <v>3</v>
      </c>
      <c r="F60" s="717" t="n">
        <v>0.8</v>
      </c>
      <c r="G60" s="717" t="inlineStr">
        <is>
          <t>HIGH</t>
        </is>
      </c>
      <c r="H60" s="717" t="inlineStr">
        <is>
          <t>Capacity</t>
        </is>
      </c>
      <c r="I60" s="717" t="inlineStr">
        <is>
          <t>Framework adoption</t>
        </is>
      </c>
      <c r="J60" s="717" t="inlineStr">
        <is>
          <t>JO-NCS-FRAMEWORK</t>
        </is>
      </c>
    </row>
    <row r="61">
      <c r="A61" s="718" t="inlineStr">
        <is>
          <t>Cybersecurity Controls</t>
        </is>
      </c>
      <c r="B61" s="718" t="inlineStr">
        <is>
          <t>CMMI 1-5</t>
        </is>
      </c>
      <c r="C61" s="718" t="n">
        <v>2.5</v>
      </c>
      <c r="D61" s="718" t="n">
        <v>4</v>
      </c>
      <c r="E61" s="718" t="n">
        <v>3</v>
      </c>
      <c r="F61" s="718" t="n">
        <v>0.5</v>
      </c>
      <c r="G61" s="718" t="inlineStr">
        <is>
          <t>HIGH</t>
        </is>
      </c>
      <c r="H61" s="718" t="inlineStr">
        <is>
          <t>Budget</t>
        </is>
      </c>
      <c r="I61" s="718" t="inlineStr">
        <is>
          <t>Risk-based prioritisation</t>
        </is>
      </c>
      <c r="J61" s="718" t="inlineStr">
        <is>
          <t>CBJ-CSF</t>
        </is>
      </c>
    </row>
    <row r="62">
      <c r="A62" s="717" t="inlineStr">
        <is>
          <t>Data Privacy</t>
        </is>
      </c>
      <c r="B62" s="717" t="inlineStr">
        <is>
          <t>CMMI 1-5</t>
        </is>
      </c>
      <c r="C62" s="717" t="n">
        <v>1.5</v>
      </c>
      <c r="D62" s="717" t="n">
        <v>4</v>
      </c>
      <c r="E62" s="717" t="n">
        <v>2.5</v>
      </c>
      <c r="F62" s="717" t="n">
        <v>1</v>
      </c>
      <c r="G62" s="717" t="inlineStr">
        <is>
          <t>HIGH</t>
        </is>
      </c>
      <c r="H62" s="717" t="inlineStr">
        <is>
          <t>New law</t>
        </is>
      </c>
      <c r="I62" s="717" t="inlineStr">
        <is>
          <t>PDPL gap analysis</t>
        </is>
      </c>
      <c r="J62" s="717" t="inlineStr">
        <is>
          <t>JO-PDPL-2023</t>
        </is>
      </c>
    </row>
  </sheetData>
  <mergeCells count="8">
    <mergeCell ref="A1:J1"/>
    <mergeCell ref="A45:J45"/>
    <mergeCell ref="A23:J23"/>
    <mergeCell ref="A58:J58"/>
    <mergeCell ref="A30:J30"/>
    <mergeCell ref="A12:J12"/>
    <mergeCell ref="A35:J35"/>
    <mergeCell ref="A2:J2"/>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64"/>
  <sheetViews>
    <sheetView showGridLines="0" workbookViewId="0">
      <pane ySplit="2" topLeftCell="A3" activePane="bottomLeft" state="frozen"/>
      <selection pane="bottomLeft" activeCell="A1" sqref="A1"/>
    </sheetView>
  </sheetViews>
  <sheetFormatPr baseColWidth="8" defaultRowHeight="15"/>
  <cols>
    <col width="18" customWidth="1" min="1" max="1"/>
    <col width="38" customWidth="1" min="2" max="2"/>
    <col width="28" customWidth="1" min="3" max="3"/>
    <col width="24" customWidth="1" min="4" max="4"/>
    <col width="12" customWidth="1" min="5" max="5"/>
    <col width="12" customWidth="1" min="6" max="6"/>
    <col width="22" customWidth="1" min="7" max="7"/>
    <col width="18" customWidth="1" min="8" max="8"/>
    <col width="20" customWidth="1" min="9" max="9"/>
    <col width="28" customWidth="1" min="10" max="10"/>
  </cols>
  <sheetData>
    <row r="1" ht="30" customHeight="1">
      <c r="A1" s="705" t="inlineStr">
        <is>
          <t>🇪🇬  Egypt (EG)  ·  GRC Regulatory Intelligence</t>
        </is>
      </c>
    </row>
    <row r="2">
      <c r="A2" s="706" t="inlineStr">
        <is>
          <t xml:space="preserve">  A │ REGULATORS</t>
        </is>
      </c>
      <c r="B2" s="766" t="n"/>
      <c r="C2" s="766" t="n"/>
      <c r="D2" s="766" t="n"/>
      <c r="E2" s="766" t="n"/>
      <c r="F2" s="766" t="n"/>
      <c r="G2" s="766" t="n"/>
      <c r="H2" s="766" t="n"/>
      <c r="I2" s="766" t="n"/>
      <c r="J2" s="767" t="n"/>
    </row>
    <row r="3">
      <c r="A3" s="707" t="inlineStr">
        <is>
          <t>Code</t>
        </is>
      </c>
      <c r="B3" s="707" t="inlineStr">
        <is>
          <t>Name (EN)</t>
        </is>
      </c>
      <c r="C3" s="707" t="inlineStr">
        <is>
          <t>Name (AR)</t>
        </is>
      </c>
      <c r="D3" s="707" t="inlineStr">
        <is>
          <t>Sector Group</t>
        </is>
      </c>
      <c r="E3" s="707" t="inlineStr">
        <is>
          <t>Tier</t>
        </is>
      </c>
      <c r="F3" s="707" t="inlineStr">
        <is>
          <t>Own FW Count</t>
        </is>
      </c>
      <c r="G3" s="707" t="inlineStr">
        <is>
          <t>Power Index</t>
        </is>
      </c>
      <c r="H3" s="707" t="inlineStr">
        <is>
          <t>Enforcement</t>
        </is>
      </c>
      <c r="I3" s="707" t="inlineStr">
        <is>
          <t>Website</t>
        </is>
      </c>
      <c r="J3" s="707" t="inlineStr">
        <is>
          <t>Notes</t>
        </is>
      </c>
    </row>
    <row r="4">
      <c r="A4" s="708" t="inlineStr">
        <is>
          <t>ESCC</t>
        </is>
      </c>
      <c r="B4" s="708" t="inlineStr">
        <is>
          <t>Egyptian Supreme Cybersecurity Council</t>
        </is>
      </c>
      <c r="C4" s="708" t="inlineStr">
        <is>
          <t>المجلس الأعلى للأمن السيبراني</t>
        </is>
      </c>
      <c r="D4" s="708" t="inlineStr">
        <is>
          <t>Cybersecurity</t>
        </is>
      </c>
      <c r="E4" s="708" t="inlineStr">
        <is>
          <t>🔴 T1</t>
        </is>
      </c>
      <c r="F4" s="708" t="n">
        <v>3</v>
      </c>
      <c r="G4" s="708" t="n">
        <v>90</v>
      </c>
      <c r="H4" s="708" t="inlineStr">
        <is>
          <t>MANDATORY</t>
        </is>
      </c>
      <c r="I4" s="708" t="inlineStr"/>
      <c r="J4" s="708" t="inlineStr"/>
    </row>
    <row r="5">
      <c r="A5" s="708" t="inlineStr">
        <is>
          <t>CBE</t>
        </is>
      </c>
      <c r="B5" s="708" t="inlineStr">
        <is>
          <t>Central Bank of Egypt</t>
        </is>
      </c>
      <c r="C5" s="708" t="inlineStr">
        <is>
          <t>البنك المركزي المصري</t>
        </is>
      </c>
      <c r="D5" s="708" t="inlineStr">
        <is>
          <t>Financial</t>
        </is>
      </c>
      <c r="E5" s="708" t="inlineStr">
        <is>
          <t>🔴 T1</t>
        </is>
      </c>
      <c r="F5" s="708" t="n">
        <v>6</v>
      </c>
      <c r="G5" s="708" t="n">
        <v>95</v>
      </c>
      <c r="H5" s="708" t="inlineStr">
        <is>
          <t>MANDATORY</t>
        </is>
      </c>
      <c r="I5" s="708" t="inlineStr">
        <is>
          <t>https://cbe.org.eg</t>
        </is>
      </c>
      <c r="J5" s="708" t="inlineStr"/>
    </row>
    <row r="6">
      <c r="A6" s="708" t="inlineStr">
        <is>
          <t>NTRA</t>
        </is>
      </c>
      <c r="B6" s="708" t="inlineStr">
        <is>
          <t>National Telecom Regulatory Authority</t>
        </is>
      </c>
      <c r="C6" s="708" t="inlineStr">
        <is>
          <t>الجهاز القومي لتنظيم الاتصالات</t>
        </is>
      </c>
      <c r="D6" s="708" t="inlineStr">
        <is>
          <t>ICT/Telecom/Cyber</t>
        </is>
      </c>
      <c r="E6" s="708" t="inlineStr">
        <is>
          <t>🔴 T1</t>
        </is>
      </c>
      <c r="F6" s="708" t="n">
        <v>4</v>
      </c>
      <c r="G6" s="708" t="n">
        <v>82</v>
      </c>
      <c r="H6" s="708" t="inlineStr">
        <is>
          <t>MANDATORY</t>
        </is>
      </c>
      <c r="I6" s="708" t="inlineStr">
        <is>
          <t>https://tra.gov.eg</t>
        </is>
      </c>
      <c r="J6" s="708" t="inlineStr"/>
    </row>
    <row r="7">
      <c r="A7" s="709" t="inlineStr">
        <is>
          <t>FRA-EG</t>
        </is>
      </c>
      <c r="B7" s="709" t="inlineStr">
        <is>
          <t>Financial Regulatory Authority</t>
        </is>
      </c>
      <c r="C7" s="709" t="inlineStr">
        <is>
          <t>الهيئة العامة للرقابة المالية</t>
        </is>
      </c>
      <c r="D7" s="709" t="inlineStr">
        <is>
          <t>Capital Markets</t>
        </is>
      </c>
      <c r="E7" s="709" t="inlineStr">
        <is>
          <t>🟠 T2</t>
        </is>
      </c>
      <c r="F7" s="709" t="n">
        <v>4</v>
      </c>
      <c r="G7" s="709" t="n">
        <v>72</v>
      </c>
      <c r="H7" s="709" t="inlineStr">
        <is>
          <t>MANDATORY</t>
        </is>
      </c>
      <c r="I7" s="709" t="inlineStr">
        <is>
          <t>https://fra.gov.eg</t>
        </is>
      </c>
      <c r="J7" s="709" t="inlineStr"/>
    </row>
    <row r="8">
      <c r="A8" s="709" t="inlineStr">
        <is>
          <t>NCSC-EG</t>
        </is>
      </c>
      <c r="B8" s="709" t="inlineStr">
        <is>
          <t>National Cybersecurity Center</t>
        </is>
      </c>
      <c r="C8" s="709" t="inlineStr">
        <is>
          <t>المركز الوطني للأمن السيبراني</t>
        </is>
      </c>
      <c r="D8" s="709" t="inlineStr">
        <is>
          <t>Cybersecurity</t>
        </is>
      </c>
      <c r="E8" s="709" t="inlineStr">
        <is>
          <t>🟠 T2</t>
        </is>
      </c>
      <c r="F8" s="709" t="n">
        <v>2</v>
      </c>
      <c r="G8" s="709" t="n">
        <v>80</v>
      </c>
      <c r="H8" s="709" t="inlineStr">
        <is>
          <t>MANDATORY</t>
        </is>
      </c>
      <c r="I8" s="709" t="inlineStr"/>
      <c r="J8" s="709" t="inlineStr"/>
    </row>
    <row r="9">
      <c r="A9" s="710" t="inlineStr">
        <is>
          <t>EGX</t>
        </is>
      </c>
      <c r="B9" s="710" t="inlineStr">
        <is>
          <t>Egyptian Exchange</t>
        </is>
      </c>
      <c r="C9" s="710" t="inlineStr">
        <is>
          <t>البورصة المصرية</t>
        </is>
      </c>
      <c r="D9" s="710" t="inlineStr">
        <is>
          <t>Capital Markets</t>
        </is>
      </c>
      <c r="E9" s="710" t="inlineStr">
        <is>
          <t>🟡 T3</t>
        </is>
      </c>
      <c r="F9" s="710" t="n">
        <v>2</v>
      </c>
      <c r="G9" s="710" t="n">
        <v>55</v>
      </c>
      <c r="H9" s="710" t="inlineStr">
        <is>
          <t>MANDATORY</t>
        </is>
      </c>
      <c r="I9" s="710" t="inlineStr">
        <is>
          <t>https://egx.com.eg</t>
        </is>
      </c>
      <c r="J9" s="710" t="inlineStr"/>
    </row>
    <row r="10">
      <c r="A10" s="709" t="inlineStr">
        <is>
          <t>MOH-EG</t>
        </is>
      </c>
      <c r="B10" s="709" t="inlineStr">
        <is>
          <t>Ministry of Health &amp; Population</t>
        </is>
      </c>
      <c r="C10" s="709" t="inlineStr">
        <is>
          <t>وزارة الصحة والسكان</t>
        </is>
      </c>
      <c r="D10" s="709" t="inlineStr">
        <is>
          <t>Healthcare</t>
        </is>
      </c>
      <c r="E10" s="709" t="inlineStr">
        <is>
          <t>🟠 T2</t>
        </is>
      </c>
      <c r="F10" s="709" t="n">
        <v>2</v>
      </c>
      <c r="G10" s="709" t="n">
        <v>58</v>
      </c>
      <c r="H10" s="709" t="inlineStr">
        <is>
          <t>MANDATORY</t>
        </is>
      </c>
      <c r="I10" s="709" t="inlineStr">
        <is>
          <t>https://mohp.gov.eg</t>
        </is>
      </c>
      <c r="J10" s="709" t="inlineStr"/>
    </row>
    <row r="11">
      <c r="A11" s="709" t="inlineStr">
        <is>
          <t>MCIT-EG</t>
        </is>
      </c>
      <c r="B11" s="709" t="inlineStr">
        <is>
          <t>Ministry of Communications &amp; IT</t>
        </is>
      </c>
      <c r="C11" s="709" t="inlineStr">
        <is>
          <t>وزارة الاتصالات وتكنولوجيا المعلومات</t>
        </is>
      </c>
      <c r="D11" s="709" t="inlineStr">
        <is>
          <t>ICT/Digital</t>
        </is>
      </c>
      <c r="E11" s="709" t="inlineStr">
        <is>
          <t>🟠 T2</t>
        </is>
      </c>
      <c r="F11" s="709" t="n">
        <v>3</v>
      </c>
      <c r="G11" s="709" t="n">
        <v>65</v>
      </c>
      <c r="H11" s="709" t="inlineStr">
        <is>
          <t>MANDATORY</t>
        </is>
      </c>
      <c r="I11" s="709" t="inlineStr">
        <is>
          <t>https://mcit.gov.eg</t>
        </is>
      </c>
      <c r="J11" s="709" t="inlineStr"/>
    </row>
    <row r="13">
      <c r="A13" s="712" t="inlineStr">
        <is>
          <t xml:space="preserve">  B │ FRAMEWORKS</t>
        </is>
      </c>
      <c r="B13" s="766" t="n"/>
      <c r="C13" s="766" t="n"/>
      <c r="D13" s="766" t="n"/>
      <c r="E13" s="766" t="n"/>
      <c r="F13" s="766" t="n"/>
      <c r="G13" s="766" t="n"/>
      <c r="H13" s="766" t="n"/>
      <c r="I13" s="766" t="n"/>
      <c r="J13" s="767" t="n"/>
    </row>
    <row r="14">
      <c r="A14" s="713" t="inlineStr">
        <is>
          <t>Framework Code</t>
        </is>
      </c>
      <c r="B14" s="713" t="inlineStr">
        <is>
          <t>Name (EN)</t>
        </is>
      </c>
      <c r="C14" s="713" t="inlineStr">
        <is>
          <t>Issuing Regulator</t>
        </is>
      </c>
      <c r="D14" s="713" t="inlineStr">
        <is>
          <t>Version/Year</t>
        </is>
      </c>
      <c r="E14" s="713" t="inlineStr">
        <is>
          <t>Mandatory?</t>
        </is>
      </c>
      <c r="F14" s="713" t="inlineStr">
        <is>
          <t>Control Count</t>
        </is>
      </c>
      <c r="G14" s="713" t="inlineStr">
        <is>
          <t>Sector Applicability</t>
        </is>
      </c>
      <c r="H14" s="713" t="inlineStr">
        <is>
          <t>Audit Frequency</t>
        </is>
      </c>
      <c r="I14" s="713" t="inlineStr">
        <is>
          <t>Effective Date</t>
        </is>
      </c>
      <c r="J14" s="713" t="inlineStr">
        <is>
          <t>Canonical DB Code</t>
        </is>
      </c>
    </row>
    <row r="15">
      <c r="A15" s="711" t="inlineStr">
        <is>
          <t>EG-PDPL-151-2020</t>
        </is>
      </c>
      <c r="B15" s="711" t="inlineStr">
        <is>
          <t>Egypt Personal Data Protection Law No.151/2020</t>
        </is>
      </c>
      <c r="C15" s="711" t="inlineStr">
        <is>
          <t>MCIT-EG</t>
        </is>
      </c>
      <c r="D15" s="711" t="inlineStr">
        <is>
          <t>2020</t>
        </is>
      </c>
      <c r="E15" s="711" t="inlineStr">
        <is>
          <t>Y</t>
        </is>
      </c>
      <c r="F15" s="711" t="n">
        <v>45</v>
      </c>
      <c r="G15" s="711" t="inlineStr">
        <is>
          <t>ALL</t>
        </is>
      </c>
      <c r="H15" s="711" t="inlineStr">
        <is>
          <t>ANNUAL</t>
        </is>
      </c>
      <c r="I15" s="711" t="inlineStr">
        <is>
          <t>2020-07-14</t>
        </is>
      </c>
      <c r="J15" s="711" t="inlineStr">
        <is>
          <t>EG-PDPL-151-2020</t>
        </is>
      </c>
    </row>
    <row r="16">
      <c r="A16" s="711" t="inlineStr">
        <is>
          <t>EG-PDPL-EXEC-REGS</t>
        </is>
      </c>
      <c r="B16" s="711" t="inlineStr">
        <is>
          <t>Egypt PDPL Executive Regulations</t>
        </is>
      </c>
      <c r="C16" s="711" t="inlineStr">
        <is>
          <t>MCIT-EG</t>
        </is>
      </c>
      <c r="D16" s="711" t="inlineStr">
        <is>
          <t>2022</t>
        </is>
      </c>
      <c r="E16" s="711" t="inlineStr">
        <is>
          <t>Y</t>
        </is>
      </c>
      <c r="F16" s="711" t="n">
        <v>55</v>
      </c>
      <c r="G16" s="711" t="inlineStr">
        <is>
          <t>ALL</t>
        </is>
      </c>
      <c r="H16" s="711" t="inlineStr">
        <is>
          <t>ANNUAL</t>
        </is>
      </c>
      <c r="I16" s="711" t="inlineStr">
        <is>
          <t>2022-09-01</t>
        </is>
      </c>
      <c r="J16" s="711" t="inlineStr">
        <is>
          <t>EG-PDPL-EXEC-REGS</t>
        </is>
      </c>
    </row>
    <row r="17">
      <c r="A17" s="711" t="inlineStr">
        <is>
          <t>CBE-CSF</t>
        </is>
      </c>
      <c r="B17" s="711" t="inlineStr">
        <is>
          <t>CBE Financial Cybersecurity Framework</t>
        </is>
      </c>
      <c r="C17" s="711" t="inlineStr">
        <is>
          <t>CBE</t>
        </is>
      </c>
      <c r="D17" s="711" t="inlineStr">
        <is>
          <t>2023</t>
        </is>
      </c>
      <c r="E17" s="711" t="inlineStr">
        <is>
          <t>Y</t>
        </is>
      </c>
      <c r="F17" s="711" t="n">
        <v>90</v>
      </c>
      <c r="G17" s="711" t="inlineStr">
        <is>
          <t>FIN</t>
        </is>
      </c>
      <c r="H17" s="711" t="inlineStr">
        <is>
          <t>ANNUAL</t>
        </is>
      </c>
      <c r="I17" s="711" t="inlineStr">
        <is>
          <t>2023-01-01</t>
        </is>
      </c>
      <c r="J17" s="711" t="inlineStr">
        <is>
          <t>CBE-CSF</t>
        </is>
      </c>
    </row>
    <row r="18">
      <c r="A18" s="711" t="inlineStr">
        <is>
          <t>EG-CYBERCRIME-175-2018</t>
        </is>
      </c>
      <c r="B18" s="711" t="inlineStr">
        <is>
          <t>Egypt Cybercrime Law No.175/2018</t>
        </is>
      </c>
      <c r="C18" s="711" t="inlineStr">
        <is>
          <t>NTRA/ESCC</t>
        </is>
      </c>
      <c r="D18" s="711" t="inlineStr">
        <is>
          <t>2018</t>
        </is>
      </c>
      <c r="E18" s="711" t="inlineStr">
        <is>
          <t>Y</t>
        </is>
      </c>
      <c r="F18" s="711" t="n">
        <v>25</v>
      </c>
      <c r="G18" s="711" t="inlineStr">
        <is>
          <t>ALL</t>
        </is>
      </c>
      <c r="H18" s="711" t="inlineStr">
        <is>
          <t>AS_REQUIRED</t>
        </is>
      </c>
      <c r="I18" s="711" t="inlineStr">
        <is>
          <t>2018-08-14</t>
        </is>
      </c>
      <c r="J18" s="711" t="inlineStr">
        <is>
          <t>EG-CYBERCRIME-175-2018</t>
        </is>
      </c>
    </row>
    <row r="19">
      <c r="A19" s="711" t="inlineStr">
        <is>
          <t>NTRA-CYBERSEC-CERT</t>
        </is>
      </c>
      <c r="B19" s="711" t="inlineStr">
        <is>
          <t>NTRA Cybersecurity Market Certification Framework</t>
        </is>
      </c>
      <c r="C19" s="711" t="inlineStr">
        <is>
          <t>NTRA</t>
        </is>
      </c>
      <c r="D19" s="711" t="inlineStr">
        <is>
          <t>2024</t>
        </is>
      </c>
      <c r="E19" s="711" t="inlineStr">
        <is>
          <t>Y</t>
        </is>
      </c>
      <c r="F19" s="711" t="n">
        <v>40</v>
      </c>
      <c r="G19" s="711" t="inlineStr">
        <is>
          <t>ICT</t>
        </is>
      </c>
      <c r="H19" s="711" t="inlineStr">
        <is>
          <t>BIENNIAL</t>
        </is>
      </c>
      <c r="I19" s="711" t="inlineStr">
        <is>
          <t>2024-01-01</t>
        </is>
      </c>
      <c r="J19" s="711" t="inlineStr">
        <is>
          <t>NTRA-CYBERSEC-CERT</t>
        </is>
      </c>
    </row>
    <row r="20">
      <c r="A20" s="711" t="inlineStr">
        <is>
          <t>EG-CLOUD</t>
        </is>
      </c>
      <c r="B20" s="711" t="inlineStr">
        <is>
          <t>Egypt Government Cloud Framework</t>
        </is>
      </c>
      <c r="C20" s="711" t="inlineStr">
        <is>
          <t>MCIT-EG</t>
        </is>
      </c>
      <c r="D20" s="711" t="inlineStr">
        <is>
          <t>2022</t>
        </is>
      </c>
      <c r="E20" s="711" t="inlineStr">
        <is>
          <t>Y</t>
        </is>
      </c>
      <c r="F20" s="711" t="n">
        <v>20</v>
      </c>
      <c r="G20" s="711" t="inlineStr">
        <is>
          <t>GOV</t>
        </is>
      </c>
      <c r="H20" s="711" t="inlineStr">
        <is>
          <t>BIENNIAL</t>
        </is>
      </c>
      <c r="I20" s="711" t="inlineStr">
        <is>
          <t>2022-01-01</t>
        </is>
      </c>
      <c r="J20" s="711" t="inlineStr">
        <is>
          <t>EG-CLOUD</t>
        </is>
      </c>
    </row>
    <row r="21">
      <c r="A21" s="711" t="inlineStr">
        <is>
          <t>CBE-AML</t>
        </is>
      </c>
      <c r="B21" s="711" t="inlineStr">
        <is>
          <t>CBE AML/CFT Regulations</t>
        </is>
      </c>
      <c r="C21" s="711" t="inlineStr">
        <is>
          <t>CBE</t>
        </is>
      </c>
      <c r="D21" s="711" t="inlineStr">
        <is>
          <t>2021</t>
        </is>
      </c>
      <c r="E21" s="711" t="inlineStr">
        <is>
          <t>Y</t>
        </is>
      </c>
      <c r="F21" s="711" t="n">
        <v>40</v>
      </c>
      <c r="G21" s="711" t="inlineStr">
        <is>
          <t>FIN</t>
        </is>
      </c>
      <c r="H21" s="711" t="inlineStr">
        <is>
          <t>CONTINUOUS</t>
        </is>
      </c>
      <c r="I21" s="711" t="inlineStr">
        <is>
          <t>2021-01-01</t>
        </is>
      </c>
      <c r="J21" s="711" t="inlineStr">
        <is>
          <t>CBE-AML</t>
        </is>
      </c>
    </row>
    <row r="22">
      <c r="A22" s="711" t="inlineStr">
        <is>
          <t>FRA-DISCLOSURE-REGS</t>
        </is>
      </c>
      <c r="B22" s="711" t="inlineStr">
        <is>
          <t>FRA Disclosure and Transparency Regulations</t>
        </is>
      </c>
      <c r="C22" s="711" t="inlineStr">
        <is>
          <t>FRA-EG</t>
        </is>
      </c>
      <c r="D22" s="711" t="inlineStr">
        <is>
          <t>2022</t>
        </is>
      </c>
      <c r="E22" s="711" t="inlineStr">
        <is>
          <t>Y</t>
        </is>
      </c>
      <c r="F22" s="711" t="n">
        <v>25</v>
      </c>
      <c r="G22" s="711" t="inlineStr">
        <is>
          <t>CAP_MKT</t>
        </is>
      </c>
      <c r="H22" s="711" t="inlineStr">
        <is>
          <t>ANNUAL</t>
        </is>
      </c>
      <c r="I22" s="711" t="inlineStr">
        <is>
          <t>2022-01-01</t>
        </is>
      </c>
      <c r="J22" s="711" t="inlineStr">
        <is>
          <t>FRA-DISCLOSURE-REGS</t>
        </is>
      </c>
    </row>
    <row r="24">
      <c r="A24" s="715" t="inlineStr">
        <is>
          <t xml:space="preserve">  C │ CONTROL DOMAINS</t>
        </is>
      </c>
      <c r="B24" s="766" t="n"/>
      <c r="C24" s="766" t="n"/>
      <c r="D24" s="766" t="n"/>
      <c r="E24" s="766" t="n"/>
      <c r="F24" s="766" t="n"/>
      <c r="G24" s="766" t="n"/>
      <c r="H24" s="766" t="n"/>
      <c r="I24" s="766" t="n"/>
      <c r="J24" s="767" t="n"/>
    </row>
    <row r="25">
      <c r="A25" s="716" t="inlineStr">
        <is>
          <t>Domain Code</t>
        </is>
      </c>
      <c r="B25" s="716" t="inlineStr">
        <is>
          <t>Domain Name</t>
        </is>
      </c>
      <c r="C25" s="716" t="inlineStr">
        <is>
          <t>Primary Framework</t>
        </is>
      </c>
      <c r="D25" s="716" t="inlineStr">
        <is>
          <t>Control Count</t>
        </is>
      </c>
      <c r="E25" s="716" t="inlineStr">
        <is>
          <t>Risk Level</t>
        </is>
      </c>
      <c r="F25" s="716" t="inlineStr">
        <is>
          <t>IoT Relevance</t>
        </is>
      </c>
      <c r="G25" s="716" t="inlineStr">
        <is>
          <t>Automation Possible?</t>
        </is>
      </c>
      <c r="H25" s="716" t="inlineStr">
        <is>
          <t>Audit Method</t>
        </is>
      </c>
      <c r="I25" s="716" t="inlineStr">
        <is>
          <t>Shahin AI Score</t>
        </is>
      </c>
      <c r="J25" s="716" t="inlineStr">
        <is>
          <t>Notes</t>
        </is>
      </c>
    </row>
    <row r="26">
      <c r="A26" s="717" t="inlineStr">
        <is>
          <t>EG-CD-01</t>
        </is>
      </c>
      <c r="B26" s="717" t="inlineStr">
        <is>
          <t>Financial Cybersecurity</t>
        </is>
      </c>
      <c r="C26" s="717" t="inlineStr">
        <is>
          <t>CBE-CSF</t>
        </is>
      </c>
      <c r="D26" s="717" t="n">
        <v>90</v>
      </c>
      <c r="E26" s="717" t="inlineStr">
        <is>
          <t>HIGHEST</t>
        </is>
      </c>
      <c r="F26" s="717" t="inlineStr">
        <is>
          <t>MODERATE</t>
        </is>
      </c>
      <c r="G26" s="717" t="inlineStr">
        <is>
          <t>Y</t>
        </is>
      </c>
      <c r="H26" s="717" t="inlineStr">
        <is>
          <t>EXTERNAL_AUDIT</t>
        </is>
      </c>
      <c r="I26" s="717" t="n">
        <v>82</v>
      </c>
      <c r="J26" s="717" t="inlineStr"/>
    </row>
    <row r="27">
      <c r="A27" s="718" t="inlineStr">
        <is>
          <t>EG-CD-02</t>
        </is>
      </c>
      <c r="B27" s="718" t="inlineStr">
        <is>
          <t>Data Privacy</t>
        </is>
      </c>
      <c r="C27" s="718" t="inlineStr">
        <is>
          <t>EG-PDPL-151-2020</t>
        </is>
      </c>
      <c r="D27" s="718" t="n">
        <v>55</v>
      </c>
      <c r="E27" s="718" t="inlineStr">
        <is>
          <t>HIGH</t>
        </is>
      </c>
      <c r="F27" s="718" t="inlineStr">
        <is>
          <t>MODERATE</t>
        </is>
      </c>
      <c r="G27" s="718" t="inlineStr">
        <is>
          <t>Y</t>
        </is>
      </c>
      <c r="H27" s="718" t="inlineStr">
        <is>
          <t>SELF_ASSESSMENT</t>
        </is>
      </c>
      <c r="I27" s="718" t="n">
        <v>75</v>
      </c>
      <c r="J27" s="718" t="inlineStr"/>
    </row>
    <row r="28">
      <c r="A28" s="717" t="inlineStr">
        <is>
          <t>EG-CD-03</t>
        </is>
      </c>
      <c r="B28" s="717" t="inlineStr">
        <is>
          <t>Telecom Security</t>
        </is>
      </c>
      <c r="C28" s="717" t="inlineStr">
        <is>
          <t>NTRA-CYBERSEC-CERT</t>
        </is>
      </c>
      <c r="D28" s="717" t="n">
        <v>40</v>
      </c>
      <c r="E28" s="717" t="inlineStr">
        <is>
          <t>HIGH</t>
        </is>
      </c>
      <c r="F28" s="717" t="inlineStr">
        <is>
          <t>HIGH</t>
        </is>
      </c>
      <c r="G28" s="717" t="inlineStr">
        <is>
          <t>PARTIAL</t>
        </is>
      </c>
      <c r="H28" s="717" t="inlineStr">
        <is>
          <t>REGULATOR_INSPECTION</t>
        </is>
      </c>
      <c r="I28" s="717" t="n">
        <v>78</v>
      </c>
      <c r="J28" s="717" t="inlineStr"/>
    </row>
    <row r="29">
      <c r="A29" s="718" t="inlineStr">
        <is>
          <t>EG-CD-04</t>
        </is>
      </c>
      <c r="B29" s="718" t="inlineStr">
        <is>
          <t>AML/CFT</t>
        </is>
      </c>
      <c r="C29" s="718" t="inlineStr">
        <is>
          <t>CBE-AML</t>
        </is>
      </c>
      <c r="D29" s="718" t="n">
        <v>40</v>
      </c>
      <c r="E29" s="718" t="inlineStr">
        <is>
          <t>HIGHEST</t>
        </is>
      </c>
      <c r="F29" s="718" t="inlineStr">
        <is>
          <t>LOW</t>
        </is>
      </c>
      <c r="G29" s="718" t="inlineStr">
        <is>
          <t>PARTIAL</t>
        </is>
      </c>
      <c r="H29" s="718" t="inlineStr">
        <is>
          <t>REGULATOR_INSPECTION</t>
        </is>
      </c>
      <c r="I29" s="718" t="n">
        <v>80</v>
      </c>
      <c r="J29" s="718" t="inlineStr"/>
    </row>
    <row r="31">
      <c r="A31" s="719" t="inlineStr">
        <is>
          <t xml:space="preserve">  D │ RISK DOMAINS</t>
        </is>
      </c>
      <c r="B31" s="766" t="n"/>
      <c r="C31" s="766" t="n"/>
      <c r="D31" s="766" t="n"/>
      <c r="E31" s="766" t="n"/>
      <c r="F31" s="766" t="n"/>
      <c r="G31" s="766" t="n"/>
      <c r="H31" s="766" t="n"/>
      <c r="I31" s="766" t="n"/>
      <c r="J31" s="767" t="n"/>
    </row>
    <row r="32">
      <c r="A32" s="720" t="inlineStr">
        <is>
          <t>Risk Domain</t>
        </is>
      </c>
      <c r="B32" s="720" t="inlineStr">
        <is>
          <t>Risk Category</t>
        </is>
      </c>
      <c r="C32" s="720" t="inlineStr">
        <is>
          <t>Risk Score (0-100)</t>
        </is>
      </c>
      <c r="D32" s="720" t="inlineStr">
        <is>
          <t>Level</t>
        </is>
      </c>
      <c r="E32" s="720" t="inlineStr">
        <is>
          <t>Primary Regulator</t>
        </is>
      </c>
      <c r="F32" s="720" t="inlineStr">
        <is>
          <t>Linked Framework</t>
        </is>
      </c>
      <c r="G32" s="720" t="inlineStr">
        <is>
          <t>KRI Count</t>
        </is>
      </c>
      <c r="H32" s="720" t="inlineStr">
        <is>
          <t>Escalation Threshold</t>
        </is>
      </c>
      <c r="I32" s="720" t="inlineStr">
        <is>
          <t>Owner Role</t>
        </is>
      </c>
      <c r="J32" s="720" t="inlineStr">
        <is>
          <t>Notes</t>
        </is>
      </c>
    </row>
    <row r="33">
      <c r="A33" s="717" t="inlineStr">
        <is>
          <t>Financial Fraud / Cyber</t>
        </is>
      </c>
      <c r="B33" s="717" t="inlineStr">
        <is>
          <t>Cybersecurity</t>
        </is>
      </c>
      <c r="C33" s="717" t="n">
        <v>85</v>
      </c>
      <c r="D33" s="717" t="inlineStr">
        <is>
          <t>HIGHEST</t>
        </is>
      </c>
      <c r="E33" s="717" t="inlineStr">
        <is>
          <t>CBE/ESCC</t>
        </is>
      </c>
      <c r="F33" s="717" t="inlineStr">
        <is>
          <t>CBE-CSF</t>
        </is>
      </c>
      <c r="G33" s="717" t="n">
        <v>7</v>
      </c>
      <c r="H33" s="717" t="inlineStr">
        <is>
          <t>Score &lt; 70</t>
        </is>
      </c>
      <c r="I33" s="717" t="inlineStr">
        <is>
          <t>CISO</t>
        </is>
      </c>
      <c r="J33" s="717" t="inlineStr"/>
    </row>
    <row r="34">
      <c r="A34" s="718" t="inlineStr">
        <is>
          <t>Data Privacy</t>
        </is>
      </c>
      <c r="B34" s="718" t="inlineStr">
        <is>
          <t>Privacy</t>
        </is>
      </c>
      <c r="C34" s="718" t="n">
        <v>70</v>
      </c>
      <c r="D34" s="718" t="inlineStr">
        <is>
          <t>HIGH</t>
        </is>
      </c>
      <c r="E34" s="718" t="inlineStr">
        <is>
          <t>MCIT-EG</t>
        </is>
      </c>
      <c r="F34" s="718" t="inlineStr">
        <is>
          <t>EG-PDPL-151-2020</t>
        </is>
      </c>
      <c r="G34" s="718" t="n">
        <v>5</v>
      </c>
      <c r="H34" s="718" t="inlineStr">
        <is>
          <t>72h notification</t>
        </is>
      </c>
      <c r="I34" s="718" t="inlineStr">
        <is>
          <t>DPO</t>
        </is>
      </c>
      <c r="J34" s="718" t="inlineStr"/>
    </row>
    <row r="35">
      <c r="A35" s="717" t="inlineStr">
        <is>
          <t>AML/CFT</t>
        </is>
      </c>
      <c r="B35" s="717" t="inlineStr">
        <is>
          <t>Financial Crime</t>
        </is>
      </c>
      <c r="C35" s="717" t="n">
        <v>80</v>
      </c>
      <c r="D35" s="717" t="inlineStr">
        <is>
          <t>HIGH</t>
        </is>
      </c>
      <c r="E35" s="717" t="inlineStr">
        <is>
          <t>CBE</t>
        </is>
      </c>
      <c r="F35" s="717" t="inlineStr">
        <is>
          <t>CBE-AML</t>
        </is>
      </c>
      <c r="G35" s="717" t="n">
        <v>6</v>
      </c>
      <c r="H35" s="717" t="inlineStr">
        <is>
          <t>STR lag</t>
        </is>
      </c>
      <c r="I35" s="717" t="inlineStr">
        <is>
          <t>MLRO</t>
        </is>
      </c>
      <c r="J35" s="717" t="inlineStr"/>
    </row>
    <row r="37">
      <c r="A37" s="721" t="inlineStr">
        <is>
          <t xml:space="preserve">  E │ COMPLIANCE LIFECYCLE</t>
        </is>
      </c>
      <c r="B37" s="766" t="n"/>
      <c r="C37" s="766" t="n"/>
      <c r="D37" s="766" t="n"/>
      <c r="E37" s="766" t="n"/>
      <c r="F37" s="766" t="n"/>
      <c r="G37" s="766" t="n"/>
      <c r="H37" s="766" t="n"/>
      <c r="I37" s="766" t="n"/>
      <c r="J37" s="767" t="n"/>
    </row>
    <row r="38">
      <c r="A38" s="722" t="inlineStr">
        <is>
          <t>Stage</t>
        </is>
      </c>
      <c r="B38" s="722" t="inlineStr">
        <is>
          <t>Stage Code</t>
        </is>
      </c>
      <c r="C38" s="722" t="inlineStr">
        <is>
          <t>Entry Trigger</t>
        </is>
      </c>
      <c r="D38" s="722" t="inlineStr">
        <is>
          <t>Exit Trigger</t>
        </is>
      </c>
      <c r="E38" s="722" t="inlineStr">
        <is>
          <t>Next Stage</t>
        </is>
      </c>
      <c r="F38" s="722" t="inlineStr">
        <is>
          <t>Approval Required</t>
        </is>
      </c>
      <c r="G38" s="722" t="inlineStr">
        <is>
          <t>Typical Duration</t>
        </is>
      </c>
      <c r="H38" s="722" t="inlineStr">
        <is>
          <t>Responsible Role</t>
        </is>
      </c>
      <c r="I38" s="722" t="inlineStr">
        <is>
          <t>Automation</t>
        </is>
      </c>
      <c r="J38" s="722" t="inlineStr">
        <is>
          <t>SLA (Days)</t>
        </is>
      </c>
    </row>
    <row r="39">
      <c r="A39" s="717" t="inlineStr">
        <is>
          <t>Draft</t>
        </is>
      </c>
      <c r="B39" s="717" t="inlineStr">
        <is>
          <t>DRAFT</t>
        </is>
      </c>
      <c r="C39" s="717" t="inlineStr">
        <is>
          <t>Registration initiated</t>
        </is>
      </c>
      <c r="D39" s="717" t="inlineStr">
        <is>
          <t>Initial assessment complete</t>
        </is>
      </c>
      <c r="E39" s="717" t="inlineStr">
        <is>
          <t>ASSESSED</t>
        </is>
      </c>
      <c r="F39" s="717" t="inlineStr">
        <is>
          <t>N</t>
        </is>
      </c>
      <c r="G39" s="717" t="inlineStr">
        <is>
          <t>14 days</t>
        </is>
      </c>
      <c r="H39" s="717" t="inlineStr">
        <is>
          <t>Compliance Officer</t>
        </is>
      </c>
      <c r="I39" s="717" t="inlineStr">
        <is>
          <t>FULL</t>
        </is>
      </c>
      <c r="J39" s="717" t="n">
        <v>14</v>
      </c>
    </row>
    <row r="40">
      <c r="A40" s="718" t="inlineStr">
        <is>
          <t>Assessed</t>
        </is>
      </c>
      <c r="B40" s="718" t="inlineStr">
        <is>
          <t>ASSESSED</t>
        </is>
      </c>
      <c r="C40" s="718" t="inlineStr">
        <is>
          <t>Draft submitted</t>
        </is>
      </c>
      <c r="D40" s="718" t="inlineStr">
        <is>
          <t>Gap analysis approved</t>
        </is>
      </c>
      <c r="E40" s="718" t="inlineStr">
        <is>
          <t>REGISTERED</t>
        </is>
      </c>
      <c r="F40" s="718" t="inlineStr">
        <is>
          <t>Y</t>
        </is>
      </c>
      <c r="G40" s="718" t="inlineStr">
        <is>
          <t>30 days</t>
        </is>
      </c>
      <c r="H40" s="718" t="inlineStr">
        <is>
          <t>Lead Auditor</t>
        </is>
      </c>
      <c r="I40" s="718" t="inlineStr">
        <is>
          <t>PARTIAL</t>
        </is>
      </c>
      <c r="J40" s="718" t="n">
        <v>30</v>
      </c>
    </row>
    <row r="41">
      <c r="A41" s="717" t="inlineStr">
        <is>
          <t>Registered</t>
        </is>
      </c>
      <c r="B41" s="717" t="inlineStr">
        <is>
          <t>REGISTERED</t>
        </is>
      </c>
      <c r="C41" s="717" t="inlineStr">
        <is>
          <t>Assessment passed</t>
        </is>
      </c>
      <c r="D41" s="717" t="inlineStr">
        <is>
          <t>Controls implemented</t>
        </is>
      </c>
      <c r="E41" s="717" t="inlineStr">
        <is>
          <t>ACTIVE</t>
        </is>
      </c>
      <c r="F41" s="717" t="inlineStr">
        <is>
          <t>Y</t>
        </is>
      </c>
      <c r="G41" s="717" t="inlineStr">
        <is>
          <t>90 days</t>
        </is>
      </c>
      <c r="H41" s="717" t="inlineStr">
        <is>
          <t>CISO</t>
        </is>
      </c>
      <c r="I41" s="717" t="inlineStr">
        <is>
          <t>PARTIAL</t>
        </is>
      </c>
      <c r="J41" s="717" t="n">
        <v>90</v>
      </c>
    </row>
    <row r="42">
      <c r="A42" s="718" t="inlineStr">
        <is>
          <t>Active</t>
        </is>
      </c>
      <c r="B42" s="718" t="inlineStr">
        <is>
          <t>ACTIVE</t>
        </is>
      </c>
      <c r="C42" s="718" t="inlineStr">
        <is>
          <t>Registration confirmed</t>
        </is>
      </c>
      <c r="D42" s="718" t="inlineStr">
        <is>
          <t>Audit scheduled</t>
        </is>
      </c>
      <c r="E42" s="718" t="inlineStr">
        <is>
          <t>AUDITED</t>
        </is>
      </c>
      <c r="F42" s="718" t="inlineStr">
        <is>
          <t>N</t>
        </is>
      </c>
      <c r="G42" s="718" t="inlineStr">
        <is>
          <t>Ongoing</t>
        </is>
      </c>
      <c r="H42" s="718" t="inlineStr">
        <is>
          <t>Compliance Officer</t>
        </is>
      </c>
      <c r="I42" s="718" t="inlineStr">
        <is>
          <t>FULL</t>
        </is>
      </c>
      <c r="J42" s="718" t="n">
        <v>365</v>
      </c>
    </row>
    <row r="43">
      <c r="A43" s="717" t="inlineStr">
        <is>
          <t>Audited</t>
        </is>
      </c>
      <c r="B43" s="717" t="inlineStr">
        <is>
          <t>AUDITED</t>
        </is>
      </c>
      <c r="C43" s="717" t="inlineStr">
        <is>
          <t>Annual audit cycle</t>
        </is>
      </c>
      <c r="D43" s="717" t="inlineStr">
        <is>
          <t>Audit report issued</t>
        </is>
      </c>
      <c r="E43" s="717" t="inlineStr">
        <is>
          <t>RENEWED</t>
        </is>
      </c>
      <c r="F43" s="717" t="inlineStr">
        <is>
          <t>Y</t>
        </is>
      </c>
      <c r="G43" s="717" t="inlineStr">
        <is>
          <t>60 days</t>
        </is>
      </c>
      <c r="H43" s="717" t="inlineStr">
        <is>
          <t>External Auditor</t>
        </is>
      </c>
      <c r="I43" s="717" t="inlineStr">
        <is>
          <t>PARTIAL</t>
        </is>
      </c>
      <c r="J43" s="717" t="n">
        <v>60</v>
      </c>
    </row>
    <row r="44">
      <c r="A44" s="718" t="inlineStr">
        <is>
          <t>Renewed</t>
        </is>
      </c>
      <c r="B44" s="718" t="inlineStr">
        <is>
          <t>RENEWED</t>
        </is>
      </c>
      <c r="C44" s="718" t="inlineStr">
        <is>
          <t>Successful audit</t>
        </is>
      </c>
      <c r="D44" s="718" t="inlineStr">
        <is>
          <t>Next cycle begins</t>
        </is>
      </c>
      <c r="E44" s="718" t="inlineStr">
        <is>
          <t>ACTIVE</t>
        </is>
      </c>
      <c r="F44" s="718" t="inlineStr">
        <is>
          <t>N</t>
        </is>
      </c>
      <c r="G44" s="718" t="inlineStr">
        <is>
          <t>1 day</t>
        </is>
      </c>
      <c r="H44" s="718" t="inlineStr">
        <is>
          <t>Compliance Officer</t>
        </is>
      </c>
      <c r="I44" s="718" t="inlineStr">
        <is>
          <t>FULL</t>
        </is>
      </c>
      <c r="J44" s="718" t="n">
        <v>1</v>
      </c>
    </row>
    <row r="45">
      <c r="A45" s="717" t="inlineStr">
        <is>
          <t>Archived</t>
        </is>
      </c>
      <c r="B45" s="717" t="inlineStr">
        <is>
          <t>ARCHIVED</t>
        </is>
      </c>
      <c r="C45" s="717" t="inlineStr">
        <is>
          <t>Decommission / superseded</t>
        </is>
      </c>
      <c r="D45" s="717" t="inlineStr">
        <is>
          <t>N/A</t>
        </is>
      </c>
      <c r="E45" s="717" t="inlineStr">
        <is>
          <t>N/A</t>
        </is>
      </c>
      <c r="F45" s="717" t="inlineStr">
        <is>
          <t>Y</t>
        </is>
      </c>
      <c r="G45" s="717" t="inlineStr">
        <is>
          <t>N/A</t>
        </is>
      </c>
      <c r="H45" s="717" t="inlineStr">
        <is>
          <t>CCO</t>
        </is>
      </c>
      <c r="I45" s="717" t="inlineStr">
        <is>
          <t>N</t>
        </is>
      </c>
      <c r="J45" s="717" t="n">
        <v>0</v>
      </c>
    </row>
    <row r="47">
      <c r="A47" s="723" t="inlineStr">
        <is>
          <t xml:space="preserve">  F │ EVIDENCE REQUIREMENTS</t>
        </is>
      </c>
      <c r="B47" s="766" t="n"/>
      <c r="C47" s="766" t="n"/>
      <c r="D47" s="766" t="n"/>
      <c r="E47" s="766" t="n"/>
      <c r="F47" s="766" t="n"/>
      <c r="G47" s="766" t="n"/>
      <c r="H47" s="766" t="n"/>
      <c r="I47" s="766" t="n"/>
      <c r="J47" s="767" t="n"/>
    </row>
    <row r="48">
      <c r="A48" s="724" t="inlineStr">
        <is>
          <t>Evidence Type</t>
        </is>
      </c>
      <c r="B48" s="724" t="inlineStr">
        <is>
          <t>Framework</t>
        </is>
      </c>
      <c r="C48" s="724" t="inlineStr">
        <is>
          <t>Responsible Role</t>
        </is>
      </c>
      <c r="D48" s="724" t="inlineStr">
        <is>
          <t>Collection Frequency</t>
        </is>
      </c>
      <c r="E48" s="724" t="inlineStr">
        <is>
          <t>Retention (Years)</t>
        </is>
      </c>
      <c r="F48" s="724" t="inlineStr">
        <is>
          <t>Format</t>
        </is>
      </c>
      <c r="G48" s="724" t="inlineStr">
        <is>
          <t>Submittable to Regulator?</t>
        </is>
      </c>
      <c r="H48" s="724" t="inlineStr">
        <is>
          <t>AI Extractable?</t>
        </is>
      </c>
      <c r="I48" s="724" t="inlineStr">
        <is>
          <t>Risk if Missing</t>
        </is>
      </c>
      <c r="J48" s="724" t="inlineStr">
        <is>
          <t>Notes</t>
        </is>
      </c>
    </row>
    <row r="49">
      <c r="A49" s="717" t="inlineStr">
        <is>
          <t>Self-Assessment Report</t>
        </is>
      </c>
      <c r="B49" s="717" t="inlineStr">
        <is>
          <t>ALL</t>
        </is>
      </c>
      <c r="C49" s="717" t="inlineStr">
        <is>
          <t>Compliance Officer</t>
        </is>
      </c>
      <c r="D49" s="717" t="inlineStr">
        <is>
          <t>ANNUAL</t>
        </is>
      </c>
      <c r="E49" s="717" t="n">
        <v>5</v>
      </c>
      <c r="F49" s="717" t="inlineStr">
        <is>
          <t>PDF</t>
        </is>
      </c>
      <c r="G49" s="717" t="inlineStr">
        <is>
          <t>Y</t>
        </is>
      </c>
      <c r="H49" s="717" t="inlineStr">
        <is>
          <t>Y</t>
        </is>
      </c>
      <c r="I49" s="717" t="inlineStr">
        <is>
          <t>HIGH</t>
        </is>
      </c>
      <c r="J49" s="717" t="inlineStr"/>
    </row>
    <row r="50">
      <c r="A50" s="718" t="inlineStr">
        <is>
          <t>Gap Analysis Report</t>
        </is>
      </c>
      <c r="B50" s="718" t="inlineStr">
        <is>
          <t>ALL</t>
        </is>
      </c>
      <c r="C50" s="718" t="inlineStr">
        <is>
          <t>Lead Auditor</t>
        </is>
      </c>
      <c r="D50" s="718" t="inlineStr">
        <is>
          <t>ANNUAL</t>
        </is>
      </c>
      <c r="E50" s="718" t="n">
        <v>5</v>
      </c>
      <c r="F50" s="718" t="inlineStr">
        <is>
          <t>PDF/Excel</t>
        </is>
      </c>
      <c r="G50" s="718" t="inlineStr">
        <is>
          <t>N</t>
        </is>
      </c>
      <c r="H50" s="718" t="inlineStr">
        <is>
          <t>Y</t>
        </is>
      </c>
      <c r="I50" s="718" t="inlineStr">
        <is>
          <t>HIGH</t>
        </is>
      </c>
      <c r="J50" s="718" t="inlineStr"/>
    </row>
    <row r="51">
      <c r="A51" s="717" t="inlineStr">
        <is>
          <t>External Audit Report</t>
        </is>
      </c>
      <c r="B51" s="717" t="inlineStr">
        <is>
          <t>ALL</t>
        </is>
      </c>
      <c r="C51" s="717" t="inlineStr">
        <is>
          <t>External Auditor</t>
        </is>
      </c>
      <c r="D51" s="717" t="inlineStr">
        <is>
          <t>ANNUAL</t>
        </is>
      </c>
      <c r="E51" s="717" t="n">
        <v>7</v>
      </c>
      <c r="F51" s="717" t="inlineStr">
        <is>
          <t>PDF</t>
        </is>
      </c>
      <c r="G51" s="717" t="inlineStr">
        <is>
          <t>Y</t>
        </is>
      </c>
      <c r="H51" s="717" t="inlineStr">
        <is>
          <t>Y</t>
        </is>
      </c>
      <c r="I51" s="717" t="inlineStr">
        <is>
          <t>CRITICAL</t>
        </is>
      </c>
      <c r="J51" s="717" t="inlineStr"/>
    </row>
    <row r="52">
      <c r="A52" s="718" t="inlineStr">
        <is>
          <t>Penetration Test Report</t>
        </is>
      </c>
      <c r="B52" s="718" t="inlineStr">
        <is>
          <t>ALL</t>
        </is>
      </c>
      <c r="C52" s="718" t="inlineStr">
        <is>
          <t>CISO</t>
        </is>
      </c>
      <c r="D52" s="718" t="inlineStr">
        <is>
          <t>ANNUAL</t>
        </is>
      </c>
      <c r="E52" s="718" t="n">
        <v>3</v>
      </c>
      <c r="F52" s="718" t="inlineStr">
        <is>
          <t>PDF</t>
        </is>
      </c>
      <c r="G52" s="718" t="inlineStr">
        <is>
          <t>Y</t>
        </is>
      </c>
      <c r="H52" s="718" t="inlineStr">
        <is>
          <t>Y</t>
        </is>
      </c>
      <c r="I52" s="718" t="inlineStr">
        <is>
          <t>HIGH</t>
        </is>
      </c>
      <c r="J52" s="718" t="inlineStr"/>
    </row>
    <row r="53">
      <c r="A53" s="717" t="inlineStr">
        <is>
          <t>Regulator Inspection Record</t>
        </is>
      </c>
      <c r="B53" s="717" t="inlineStr">
        <is>
          <t>ALL</t>
        </is>
      </c>
      <c r="C53" s="717" t="inlineStr">
        <is>
          <t>CCO</t>
        </is>
      </c>
      <c r="D53" s="717" t="inlineStr">
        <is>
          <t>AS_REQUIRED</t>
        </is>
      </c>
      <c r="E53" s="717" t="n">
        <v>10</v>
      </c>
      <c r="F53" s="717" t="inlineStr">
        <is>
          <t>PDF</t>
        </is>
      </c>
      <c r="G53" s="717" t="inlineStr">
        <is>
          <t>Y</t>
        </is>
      </c>
      <c r="H53" s="717" t="inlineStr">
        <is>
          <t>N</t>
        </is>
      </c>
      <c r="I53" s="717" t="inlineStr">
        <is>
          <t>CRITICAL</t>
        </is>
      </c>
      <c r="J53" s="717" t="inlineStr"/>
    </row>
    <row r="54">
      <c r="A54" s="718" t="inlineStr">
        <is>
          <t>Incident Response Log</t>
        </is>
      </c>
      <c r="B54" s="718" t="inlineStr">
        <is>
          <t>ALL</t>
        </is>
      </c>
      <c r="C54" s="718" t="inlineStr">
        <is>
          <t>CISO</t>
        </is>
      </c>
      <c r="D54" s="718" t="inlineStr">
        <is>
          <t>CONTINUOUS</t>
        </is>
      </c>
      <c r="E54" s="718" t="n">
        <v>5</v>
      </c>
      <c r="F54" s="718" t="inlineStr">
        <is>
          <t>SIEM/PDF</t>
        </is>
      </c>
      <c r="G54" s="718" t="inlineStr">
        <is>
          <t>Y</t>
        </is>
      </c>
      <c r="H54" s="718" t="inlineStr">
        <is>
          <t>Y</t>
        </is>
      </c>
      <c r="I54" s="718" t="inlineStr">
        <is>
          <t>HIGH</t>
        </is>
      </c>
      <c r="J54" s="718" t="inlineStr"/>
    </row>
    <row r="55">
      <c r="A55" s="717" t="inlineStr">
        <is>
          <t>Training Completion Records</t>
        </is>
      </c>
      <c r="B55" s="717" t="inlineStr">
        <is>
          <t>ALL</t>
        </is>
      </c>
      <c r="C55" s="717" t="inlineStr">
        <is>
          <t>CISO</t>
        </is>
      </c>
      <c r="D55" s="717" t="inlineStr">
        <is>
          <t>ANNUAL</t>
        </is>
      </c>
      <c r="E55" s="717" t="n">
        <v>3</v>
      </c>
      <c r="F55" s="717" t="inlineStr">
        <is>
          <t>CSV/PDF</t>
        </is>
      </c>
      <c r="G55" s="717" t="inlineStr">
        <is>
          <t>N</t>
        </is>
      </c>
      <c r="H55" s="717" t="inlineStr">
        <is>
          <t>Y</t>
        </is>
      </c>
      <c r="I55" s="717" t="inlineStr">
        <is>
          <t>MEDIUM</t>
        </is>
      </c>
      <c r="J55" s="717" t="inlineStr"/>
    </row>
    <row r="56">
      <c r="A56" s="718" t="inlineStr">
        <is>
          <t>Vendor Risk Assessments</t>
        </is>
      </c>
      <c r="B56" s="718" t="inlineStr">
        <is>
          <t>ALL</t>
        </is>
      </c>
      <c r="C56" s="718" t="inlineStr">
        <is>
          <t>3rd Party Risk Officer</t>
        </is>
      </c>
      <c r="D56" s="718" t="inlineStr">
        <is>
          <t>ANNUAL</t>
        </is>
      </c>
      <c r="E56" s="718" t="n">
        <v>3</v>
      </c>
      <c r="F56" s="718" t="inlineStr">
        <is>
          <t>Excel/PDF</t>
        </is>
      </c>
      <c r="G56" s="718" t="inlineStr">
        <is>
          <t>N</t>
        </is>
      </c>
      <c r="H56" s="718" t="inlineStr">
        <is>
          <t>Y</t>
        </is>
      </c>
      <c r="I56" s="718" t="inlineStr">
        <is>
          <t>HIGH</t>
        </is>
      </c>
      <c r="J56" s="718" t="inlineStr"/>
    </row>
    <row r="57">
      <c r="A57" s="717" t="inlineStr">
        <is>
          <t>Data Protection Impact Assessment</t>
        </is>
      </c>
      <c r="B57" s="717" t="inlineStr">
        <is>
          <t>PRIVACY</t>
        </is>
      </c>
      <c r="C57" s="717" t="inlineStr">
        <is>
          <t>DPO</t>
        </is>
      </c>
      <c r="D57" s="717" t="inlineStr">
        <is>
          <t>PER_PROJECT</t>
        </is>
      </c>
      <c r="E57" s="717" t="n">
        <v>5</v>
      </c>
      <c r="F57" s="717" t="inlineStr">
        <is>
          <t>PDF</t>
        </is>
      </c>
      <c r="G57" s="717" t="inlineStr">
        <is>
          <t>Y</t>
        </is>
      </c>
      <c r="H57" s="717" t="inlineStr">
        <is>
          <t>Y</t>
        </is>
      </c>
      <c r="I57" s="717" t="inlineStr">
        <is>
          <t>HIGH</t>
        </is>
      </c>
      <c r="J57" s="717" t="inlineStr"/>
    </row>
    <row r="58">
      <c r="A58" s="718" t="inlineStr">
        <is>
          <t>Business Continuity Test Report</t>
        </is>
      </c>
      <c r="B58" s="718" t="inlineStr">
        <is>
          <t>ALL</t>
        </is>
      </c>
      <c r="C58" s="718" t="inlineStr">
        <is>
          <t>BCM Manager</t>
        </is>
      </c>
      <c r="D58" s="718" t="inlineStr">
        <is>
          <t>BIENNIAL</t>
        </is>
      </c>
      <c r="E58" s="718" t="n">
        <v>5</v>
      </c>
      <c r="F58" s="718" t="inlineStr">
        <is>
          <t>PDF</t>
        </is>
      </c>
      <c r="G58" s="718" t="inlineStr">
        <is>
          <t>N</t>
        </is>
      </c>
      <c r="H58" s="718" t="inlineStr">
        <is>
          <t>N</t>
        </is>
      </c>
      <c r="I58" s="718" t="inlineStr">
        <is>
          <t>MEDIUM</t>
        </is>
      </c>
      <c r="J58" s="718" t="inlineStr"/>
    </row>
    <row r="60">
      <c r="A60" s="725" t="inlineStr">
        <is>
          <t xml:space="preserve">  G │ GRC MATURITY BENCHMARKS</t>
        </is>
      </c>
      <c r="B60" s="766" t="n"/>
      <c r="C60" s="766" t="n"/>
      <c r="D60" s="766" t="n"/>
      <c r="E60" s="766" t="n"/>
      <c r="F60" s="766" t="n"/>
      <c r="G60" s="766" t="n"/>
      <c r="H60" s="766" t="n"/>
      <c r="I60" s="766" t="n"/>
      <c r="J60" s="767" t="n"/>
    </row>
    <row r="61">
      <c r="A61" s="726" t="inlineStr">
        <is>
          <t>Domain</t>
        </is>
      </c>
      <c r="B61" s="726" t="inlineStr">
        <is>
          <t>Maturity Model</t>
        </is>
      </c>
      <c r="C61" s="726" t="inlineStr">
        <is>
          <t>Country Avg Score</t>
        </is>
      </c>
      <c r="D61" s="726" t="inlineStr">
        <is>
          <t>Best-in-Class</t>
        </is>
      </c>
      <c r="E61" s="726" t="inlineStr">
        <is>
          <t>Typical Target</t>
        </is>
      </c>
      <c r="F61" s="726" t="inlineStr">
        <is>
          <t>Gap to Target</t>
        </is>
      </c>
      <c r="G61" s="726" t="inlineStr">
        <is>
          <t>Priority</t>
        </is>
      </c>
      <c r="H61" s="726" t="inlineStr">
        <is>
          <t>Key Barrier</t>
        </is>
      </c>
      <c r="I61" s="726" t="inlineStr">
        <is>
          <t>Shahin AI Recommendation</t>
        </is>
      </c>
      <c r="J61" s="726" t="inlineStr">
        <is>
          <t>Ref Framework</t>
        </is>
      </c>
    </row>
    <row r="62">
      <c r="A62" s="717" t="inlineStr">
        <is>
          <t>GRC Governance</t>
        </is>
      </c>
      <c r="B62" s="717" t="inlineStr">
        <is>
          <t>CMMI 1-5</t>
        </is>
      </c>
      <c r="C62" s="717" t="n">
        <v>2</v>
      </c>
      <c r="D62" s="717" t="n">
        <v>4</v>
      </c>
      <c r="E62" s="717" t="n">
        <v>3</v>
      </c>
      <c r="F62" s="717" t="n">
        <v>1</v>
      </c>
      <c r="G62" s="717" t="inlineStr">
        <is>
          <t>HIGH</t>
        </is>
      </c>
      <c r="H62" s="717" t="inlineStr">
        <is>
          <t>Institutional coordination</t>
        </is>
      </c>
      <c r="I62" s="717" t="inlineStr">
        <is>
          <t>National GRC framework</t>
        </is>
      </c>
      <c r="J62" s="717" t="inlineStr">
        <is>
          <t>EG-PDPL-151-2020</t>
        </is>
      </c>
    </row>
    <row r="63">
      <c r="A63" s="718" t="inlineStr">
        <is>
          <t>Cybersecurity Controls</t>
        </is>
      </c>
      <c r="B63" s="718" t="inlineStr">
        <is>
          <t>CMMI 1-5</t>
        </is>
      </c>
      <c r="C63" s="718" t="n">
        <v>2.5</v>
      </c>
      <c r="D63" s="718" t="n">
        <v>4</v>
      </c>
      <c r="E63" s="718" t="n">
        <v>3</v>
      </c>
      <c r="F63" s="718" t="n">
        <v>0.5</v>
      </c>
      <c r="G63" s="718" t="inlineStr">
        <is>
          <t>HIGH</t>
        </is>
      </c>
      <c r="H63" s="718" t="inlineStr">
        <is>
          <t>Large attack surface</t>
        </is>
      </c>
      <c r="I63" s="718" t="inlineStr">
        <is>
          <t>Sector-by-sector hardening</t>
        </is>
      </c>
      <c r="J63" s="718" t="inlineStr">
        <is>
          <t>CBE-CSF</t>
        </is>
      </c>
    </row>
    <row r="64">
      <c r="A64" s="717" t="inlineStr">
        <is>
          <t>Data Privacy</t>
        </is>
      </c>
      <c r="B64" s="717" t="inlineStr">
        <is>
          <t>CMMI 1-5</t>
        </is>
      </c>
      <c r="C64" s="717" t="n">
        <v>1.8</v>
      </c>
      <c r="D64" s="717" t="n">
        <v>4</v>
      </c>
      <c r="E64" s="717" t="n">
        <v>2.5</v>
      </c>
      <c r="F64" s="717" t="n">
        <v>0.7</v>
      </c>
      <c r="G64" s="717" t="inlineStr">
        <is>
          <t>HIGH</t>
        </is>
      </c>
      <c r="H64" s="717" t="inlineStr">
        <is>
          <t>Exec regs newness</t>
        </is>
      </c>
      <c r="I64" s="717" t="inlineStr">
        <is>
          <t>PDPL compliance programme</t>
        </is>
      </c>
      <c r="J64" s="717" t="inlineStr">
        <is>
          <t>EG-PDPL-EXEC-REGS</t>
        </is>
      </c>
    </row>
  </sheetData>
  <mergeCells count="8">
    <mergeCell ref="A47:J47"/>
    <mergeCell ref="A1:J1"/>
    <mergeCell ref="A37:J37"/>
    <mergeCell ref="A31:J31"/>
    <mergeCell ref="A24:J24"/>
    <mergeCell ref="A2:J2"/>
    <mergeCell ref="A60:J60"/>
    <mergeCell ref="A13:J13"/>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J64"/>
  <sheetViews>
    <sheetView showGridLines="0" workbookViewId="0">
      <pane ySplit="2" topLeftCell="A3" activePane="bottomLeft" state="frozen"/>
      <selection pane="bottomLeft" activeCell="A1" sqref="A1"/>
    </sheetView>
  </sheetViews>
  <sheetFormatPr baseColWidth="8" defaultRowHeight="15"/>
  <cols>
    <col width="18" customWidth="1" min="1" max="1"/>
    <col width="38" customWidth="1" min="2" max="2"/>
    <col width="28" customWidth="1" min="3" max="3"/>
    <col width="24" customWidth="1" min="4" max="4"/>
    <col width="12" customWidth="1" min="5" max="5"/>
    <col width="12" customWidth="1" min="6" max="6"/>
    <col width="22" customWidth="1" min="7" max="7"/>
    <col width="18" customWidth="1" min="8" max="8"/>
    <col width="20" customWidth="1" min="9" max="9"/>
    <col width="28" customWidth="1" min="10" max="10"/>
  </cols>
  <sheetData>
    <row r="1" ht="30" customHeight="1">
      <c r="A1" s="705" t="inlineStr">
        <is>
          <t>🇹🇷  Turkey (Türkiye) (TR)  ·  GRC Regulatory Intelligence</t>
        </is>
      </c>
    </row>
    <row r="2">
      <c r="A2" s="706" t="inlineStr">
        <is>
          <t xml:space="preserve">  A │ REGULATORS</t>
        </is>
      </c>
      <c r="B2" s="766" t="n"/>
      <c r="C2" s="766" t="n"/>
      <c r="D2" s="766" t="n"/>
      <c r="E2" s="766" t="n"/>
      <c r="F2" s="766" t="n"/>
      <c r="G2" s="766" t="n"/>
      <c r="H2" s="766" t="n"/>
      <c r="I2" s="766" t="n"/>
      <c r="J2" s="767" t="n"/>
    </row>
    <row r="3">
      <c r="A3" s="707" t="inlineStr">
        <is>
          <t>Code</t>
        </is>
      </c>
      <c r="B3" s="707" t="inlineStr">
        <is>
          <t>Name (EN)</t>
        </is>
      </c>
      <c r="C3" s="707" t="inlineStr">
        <is>
          <t>Name (AR)</t>
        </is>
      </c>
      <c r="D3" s="707" t="inlineStr">
        <is>
          <t>Sector Group</t>
        </is>
      </c>
      <c r="E3" s="707" t="inlineStr">
        <is>
          <t>Tier</t>
        </is>
      </c>
      <c r="F3" s="707" t="inlineStr">
        <is>
          <t>Own FW Count</t>
        </is>
      </c>
      <c r="G3" s="707" t="inlineStr">
        <is>
          <t>Power Index</t>
        </is>
      </c>
      <c r="H3" s="707" t="inlineStr">
        <is>
          <t>Enforcement</t>
        </is>
      </c>
      <c r="I3" s="707" t="inlineStr">
        <is>
          <t>Website</t>
        </is>
      </c>
      <c r="J3" s="707" t="inlineStr">
        <is>
          <t>Notes</t>
        </is>
      </c>
    </row>
    <row r="4">
      <c r="A4" s="708" t="inlineStr">
        <is>
          <t>KVKK</t>
        </is>
      </c>
      <c r="B4" s="708" t="inlineStr">
        <is>
          <t>Personal Data Protection Authority</t>
        </is>
      </c>
      <c r="C4" s="708" t="inlineStr">
        <is>
          <t>هيئة حماية البيانات الشخصية</t>
        </is>
      </c>
      <c r="D4" s="708" t="inlineStr">
        <is>
          <t>Data/Privacy</t>
        </is>
      </c>
      <c r="E4" s="708" t="inlineStr">
        <is>
          <t>🔴 T1</t>
        </is>
      </c>
      <c r="F4" s="708" t="n">
        <v>2</v>
      </c>
      <c r="G4" s="708" t="n">
        <v>90</v>
      </c>
      <c r="H4" s="708" t="inlineStr">
        <is>
          <t>MANDATORY</t>
        </is>
      </c>
      <c r="I4" s="708" t="inlineStr">
        <is>
          <t>https://kvkk.gov.tr</t>
        </is>
      </c>
      <c r="J4" s="708" t="inlineStr"/>
    </row>
    <row r="5">
      <c r="A5" s="708" t="inlineStr">
        <is>
          <t>BDDK</t>
        </is>
      </c>
      <c r="B5" s="708" t="inlineStr">
        <is>
          <t>Banking Regulation &amp; Supervision Agency</t>
        </is>
      </c>
      <c r="C5" s="708" t="inlineStr">
        <is>
          <t>هيئة تنظيم والإشراف على المصارف</t>
        </is>
      </c>
      <c r="D5" s="708" t="inlineStr">
        <is>
          <t>Financial</t>
        </is>
      </c>
      <c r="E5" s="708" t="inlineStr">
        <is>
          <t>🔴 T1</t>
        </is>
      </c>
      <c r="F5" s="708" t="n">
        <v>5</v>
      </c>
      <c r="G5" s="708" t="n">
        <v>93</v>
      </c>
      <c r="H5" s="708" t="inlineStr">
        <is>
          <t>MANDATORY</t>
        </is>
      </c>
      <c r="I5" s="708" t="inlineStr">
        <is>
          <t>https://bddk.org.tr</t>
        </is>
      </c>
      <c r="J5" s="708" t="inlineStr"/>
    </row>
    <row r="6">
      <c r="A6" s="708" t="inlineStr">
        <is>
          <t>BTK</t>
        </is>
      </c>
      <c r="B6" s="708" t="inlineStr">
        <is>
          <t>Information &amp; Comm. Technologies Authority</t>
        </is>
      </c>
      <c r="C6" s="708" t="inlineStr">
        <is>
          <t>هيئة تقنية المعلومات والاتصالات</t>
        </is>
      </c>
      <c r="D6" s="708" t="inlineStr">
        <is>
          <t>ICT/Telecom</t>
        </is>
      </c>
      <c r="E6" s="708" t="inlineStr">
        <is>
          <t>🔴 T1</t>
        </is>
      </c>
      <c r="F6" s="708" t="n">
        <v>4</v>
      </c>
      <c r="G6" s="708" t="n">
        <v>85</v>
      </c>
      <c r="H6" s="708" t="inlineStr">
        <is>
          <t>MANDATORY</t>
        </is>
      </c>
      <c r="I6" s="708" t="inlineStr">
        <is>
          <t>https://btk.gov.tr</t>
        </is>
      </c>
      <c r="J6" s="708" t="inlineStr"/>
    </row>
    <row r="7">
      <c r="A7" s="709" t="inlineStr">
        <is>
          <t>SPK</t>
        </is>
      </c>
      <c r="B7" s="709" t="inlineStr">
        <is>
          <t>Capital Markets Board (CMB)</t>
        </is>
      </c>
      <c r="C7" s="709" t="inlineStr">
        <is>
          <t>مجلس أسواق رأس المال</t>
        </is>
      </c>
      <c r="D7" s="709" t="inlineStr">
        <is>
          <t>Capital Markets</t>
        </is>
      </c>
      <c r="E7" s="709" t="inlineStr">
        <is>
          <t>🟠 T2</t>
        </is>
      </c>
      <c r="F7" s="709" t="n">
        <v>4</v>
      </c>
      <c r="G7" s="709" t="n">
        <v>78</v>
      </c>
      <c r="H7" s="709" t="inlineStr">
        <is>
          <t>MANDATORY</t>
        </is>
      </c>
      <c r="I7" s="709" t="inlineStr">
        <is>
          <t>https://spk.gov.tr</t>
        </is>
      </c>
      <c r="J7" s="709" t="inlineStr"/>
    </row>
    <row r="8">
      <c r="A8" s="709" t="inlineStr">
        <is>
          <t>TCMB</t>
        </is>
      </c>
      <c r="B8" s="709" t="inlineStr">
        <is>
          <t>Central Bank of Turkey</t>
        </is>
      </c>
      <c r="C8" s="709" t="inlineStr">
        <is>
          <t>البنك المركزي التركي</t>
        </is>
      </c>
      <c r="D8" s="709" t="inlineStr">
        <is>
          <t>Financial</t>
        </is>
      </c>
      <c r="E8" s="709" t="inlineStr">
        <is>
          <t>🟠 T2</t>
        </is>
      </c>
      <c r="F8" s="709" t="n">
        <v>3</v>
      </c>
      <c r="G8" s="709" t="n">
        <v>88</v>
      </c>
      <c r="H8" s="709" t="inlineStr">
        <is>
          <t>MANDATORY</t>
        </is>
      </c>
      <c r="I8" s="709" t="inlineStr">
        <is>
          <t>https://tcmb.gov.tr</t>
        </is>
      </c>
      <c r="J8" s="709" t="inlineStr"/>
    </row>
    <row r="9">
      <c r="A9" s="710" t="inlineStr">
        <is>
          <t>EPDK</t>
        </is>
      </c>
      <c r="B9" s="710" t="inlineStr">
        <is>
          <t>Energy Market Regulatory Authority</t>
        </is>
      </c>
      <c r="C9" s="710" t="inlineStr">
        <is>
          <t>هيئة تنظيم سوق الطاقة</t>
        </is>
      </c>
      <c r="D9" s="710" t="inlineStr">
        <is>
          <t>Energy</t>
        </is>
      </c>
      <c r="E9" s="710" t="inlineStr">
        <is>
          <t>🟡 T3</t>
        </is>
      </c>
      <c r="F9" s="710" t="n">
        <v>2</v>
      </c>
      <c r="G9" s="710" t="n">
        <v>60</v>
      </c>
      <c r="H9" s="710" t="inlineStr">
        <is>
          <t>MANDATORY</t>
        </is>
      </c>
      <c r="I9" s="710" t="inlineStr">
        <is>
          <t>https://epdk.gov.tr</t>
        </is>
      </c>
      <c r="J9" s="710" t="inlineStr"/>
    </row>
    <row r="10">
      <c r="A10" s="709" t="inlineStr">
        <is>
          <t>MOH-TR</t>
        </is>
      </c>
      <c r="B10" s="709" t="inlineStr">
        <is>
          <t>Ministry of Health</t>
        </is>
      </c>
      <c r="C10" s="709" t="inlineStr">
        <is>
          <t>وزارة الصحة</t>
        </is>
      </c>
      <c r="D10" s="709" t="inlineStr">
        <is>
          <t>Healthcare</t>
        </is>
      </c>
      <c r="E10" s="709" t="inlineStr">
        <is>
          <t>🟠 T2</t>
        </is>
      </c>
      <c r="F10" s="709" t="n">
        <v>3</v>
      </c>
      <c r="G10" s="709" t="n">
        <v>65</v>
      </c>
      <c r="H10" s="709" t="inlineStr">
        <is>
          <t>MANDATORY</t>
        </is>
      </c>
      <c r="I10" s="709" t="inlineStr">
        <is>
          <t>https://saglik.gov.tr</t>
        </is>
      </c>
      <c r="J10" s="709" t="inlineStr"/>
    </row>
    <row r="12">
      <c r="A12" s="712" t="inlineStr">
        <is>
          <t xml:space="preserve">  B │ FRAMEWORKS</t>
        </is>
      </c>
      <c r="B12" s="766" t="n"/>
      <c r="C12" s="766" t="n"/>
      <c r="D12" s="766" t="n"/>
      <c r="E12" s="766" t="n"/>
      <c r="F12" s="766" t="n"/>
      <c r="G12" s="766" t="n"/>
      <c r="H12" s="766" t="n"/>
      <c r="I12" s="766" t="n"/>
      <c r="J12" s="767" t="n"/>
    </row>
    <row r="13">
      <c r="A13" s="713" t="inlineStr">
        <is>
          <t>Framework Code</t>
        </is>
      </c>
      <c r="B13" s="713" t="inlineStr">
        <is>
          <t>Name (EN)</t>
        </is>
      </c>
      <c r="C13" s="713" t="inlineStr">
        <is>
          <t>Issuing Regulator</t>
        </is>
      </c>
      <c r="D13" s="713" t="inlineStr">
        <is>
          <t>Version/Year</t>
        </is>
      </c>
      <c r="E13" s="713" t="inlineStr">
        <is>
          <t>Mandatory?</t>
        </is>
      </c>
      <c r="F13" s="713" t="inlineStr">
        <is>
          <t>Control Count</t>
        </is>
      </c>
      <c r="G13" s="713" t="inlineStr">
        <is>
          <t>Sector Applicability</t>
        </is>
      </c>
      <c r="H13" s="713" t="inlineStr">
        <is>
          <t>Audit Frequency</t>
        </is>
      </c>
      <c r="I13" s="713" t="inlineStr">
        <is>
          <t>Effective Date</t>
        </is>
      </c>
      <c r="J13" s="713" t="inlineStr">
        <is>
          <t>Canonical DB Code</t>
        </is>
      </c>
    </row>
    <row r="14">
      <c r="A14" s="711" t="inlineStr">
        <is>
          <t>TR-KVKK-6698</t>
        </is>
      </c>
      <c r="B14" s="711" t="inlineStr">
        <is>
          <t>Turkey Personal Data Protection Law (KVKK Law 6698)</t>
        </is>
      </c>
      <c r="C14" s="711" t="inlineStr">
        <is>
          <t>KVKK</t>
        </is>
      </c>
      <c r="D14" s="711" t="inlineStr">
        <is>
          <t>2016</t>
        </is>
      </c>
      <c r="E14" s="711" t="inlineStr">
        <is>
          <t>Y</t>
        </is>
      </c>
      <c r="F14" s="711" t="n">
        <v>55</v>
      </c>
      <c r="G14" s="711" t="inlineStr">
        <is>
          <t>ALL</t>
        </is>
      </c>
      <c r="H14" s="711" t="inlineStr">
        <is>
          <t>ANNUAL</t>
        </is>
      </c>
      <c r="I14" s="711" t="inlineStr">
        <is>
          <t>2016-04-07</t>
        </is>
      </c>
      <c r="J14" s="711" t="inlineStr">
        <is>
          <t>TR-KVKK-6698</t>
        </is>
      </c>
    </row>
    <row r="15">
      <c r="A15" s="711" t="inlineStr">
        <is>
          <t>TR-KVKK-2024-AMD</t>
        </is>
      </c>
      <c r="B15" s="711" t="inlineStr">
        <is>
          <t>KVKK 2024 Amendments (GDPR alignment)</t>
        </is>
      </c>
      <c r="C15" s="711" t="inlineStr">
        <is>
          <t>KVKK</t>
        </is>
      </c>
      <c r="D15" s="711" t="inlineStr">
        <is>
          <t>2024</t>
        </is>
      </c>
      <c r="E15" s="711" t="inlineStr">
        <is>
          <t>Y</t>
        </is>
      </c>
      <c r="F15" s="711" t="n">
        <v>20</v>
      </c>
      <c r="G15" s="711" t="inlineStr">
        <is>
          <t>ALL</t>
        </is>
      </c>
      <c r="H15" s="711" t="inlineStr">
        <is>
          <t>ANNUAL</t>
        </is>
      </c>
      <c r="I15" s="711" t="inlineStr">
        <is>
          <t>2024-09-01</t>
        </is>
      </c>
      <c r="J15" s="711" t="inlineStr">
        <is>
          <t>TR-KVKK-2024-AMD</t>
        </is>
      </c>
    </row>
    <row r="16">
      <c r="A16" s="711" t="inlineStr">
        <is>
          <t>TR-BDDK-CYBERSEC</t>
        </is>
      </c>
      <c r="B16" s="711" t="inlineStr">
        <is>
          <t>BDDK Cybersecurity Circular</t>
        </is>
      </c>
      <c r="C16" s="711" t="inlineStr">
        <is>
          <t>BDDK</t>
        </is>
      </c>
      <c r="D16" s="711" t="inlineStr">
        <is>
          <t>2022</t>
        </is>
      </c>
      <c r="E16" s="711" t="inlineStr">
        <is>
          <t>Y</t>
        </is>
      </c>
      <c r="F16" s="711" t="n">
        <v>88</v>
      </c>
      <c r="G16" s="711" t="inlineStr">
        <is>
          <t>FIN</t>
        </is>
      </c>
      <c r="H16" s="711" t="inlineStr">
        <is>
          <t>ANNUAL</t>
        </is>
      </c>
      <c r="I16" s="711" t="inlineStr">
        <is>
          <t>2022-01-01</t>
        </is>
      </c>
      <c r="J16" s="711" t="inlineStr">
        <is>
          <t>TR-BDDK-CYBERSEC</t>
        </is>
      </c>
    </row>
    <row r="17">
      <c r="A17" s="711" t="inlineStr">
        <is>
          <t>TR-BTK-CYBERSEC</t>
        </is>
      </c>
      <c r="B17" s="711" t="inlineStr">
        <is>
          <t>BTK Cybersecurity Regulations</t>
        </is>
      </c>
      <c r="C17" s="711" t="inlineStr">
        <is>
          <t>BTK</t>
        </is>
      </c>
      <c r="D17" s="711" t="inlineStr">
        <is>
          <t>2023</t>
        </is>
      </c>
      <c r="E17" s="711" t="inlineStr">
        <is>
          <t>Y</t>
        </is>
      </c>
      <c r="F17" s="711" t="n">
        <v>60</v>
      </c>
      <c r="G17" s="711" t="inlineStr">
        <is>
          <t>ICT</t>
        </is>
      </c>
      <c r="H17" s="711" t="inlineStr">
        <is>
          <t>ANNUAL</t>
        </is>
      </c>
      <c r="I17" s="711" t="inlineStr">
        <is>
          <t>2023-01-01</t>
        </is>
      </c>
      <c r="J17" s="711" t="inlineStr">
        <is>
          <t>TR-BTK-CYBERSEC</t>
        </is>
      </c>
    </row>
    <row r="18">
      <c r="A18" s="711" t="inlineStr">
        <is>
          <t>TR-CYBERSEC-STRATEGY-2023-2025</t>
        </is>
      </c>
      <c r="B18" s="711" t="inlineStr">
        <is>
          <t>Turkey National Cybersecurity Strategy 2023-2025</t>
        </is>
      </c>
      <c r="C18" s="711" t="inlineStr">
        <is>
          <t>BTK</t>
        </is>
      </c>
      <c r="D18" s="711" t="inlineStr">
        <is>
          <t>2023</t>
        </is>
      </c>
      <c r="E18" s="711" t="inlineStr">
        <is>
          <t>Y</t>
        </is>
      </c>
      <c r="F18" s="711" t="n">
        <v>45</v>
      </c>
      <c r="G18" s="711" t="inlineStr">
        <is>
          <t>ALL</t>
        </is>
      </c>
      <c r="H18" s="711" t="inlineStr">
        <is>
          <t>BIENNIAL</t>
        </is>
      </c>
      <c r="I18" s="711" t="inlineStr">
        <is>
          <t>2023-01-01</t>
        </is>
      </c>
      <c r="J18" s="711" t="inlineStr">
        <is>
          <t>TR-CYBERSEC-STRATEGY-2023-2025</t>
        </is>
      </c>
    </row>
    <row r="19">
      <c r="A19" s="711" t="inlineStr">
        <is>
          <t>TR-BANKING-LAW</t>
        </is>
      </c>
      <c r="B19" s="711" t="inlineStr">
        <is>
          <t>Turkey Banking Law No.5411</t>
        </is>
      </c>
      <c r="C19" s="711" t="inlineStr">
        <is>
          <t>BDDK</t>
        </is>
      </c>
      <c r="D19" s="711" t="inlineStr">
        <is>
          <t>2005+</t>
        </is>
      </c>
      <c r="E19" s="711" t="inlineStr">
        <is>
          <t>Y</t>
        </is>
      </c>
      <c r="F19" s="711" t="n">
        <v>50</v>
      </c>
      <c r="G19" s="711" t="inlineStr">
        <is>
          <t>FIN</t>
        </is>
      </c>
      <c r="H19" s="711" t="inlineStr">
        <is>
          <t>ANNUAL</t>
        </is>
      </c>
      <c r="I19" s="711" t="inlineStr">
        <is>
          <t>2005-11-01</t>
        </is>
      </c>
      <c r="J19" s="711" t="inlineStr">
        <is>
          <t>TR-BANKING-LAW</t>
        </is>
      </c>
    </row>
    <row r="20">
      <c r="A20" s="711" t="inlineStr">
        <is>
          <t>TR-ECOM-LAW</t>
        </is>
      </c>
      <c r="B20" s="711" t="inlineStr">
        <is>
          <t>Turkey Electronic Commerce Law No.6563</t>
        </is>
      </c>
      <c r="C20" s="711" t="inlineStr">
        <is>
          <t>BTK</t>
        </is>
      </c>
      <c r="D20" s="711" t="inlineStr">
        <is>
          <t>2014+</t>
        </is>
      </c>
      <c r="E20" s="711" t="inlineStr">
        <is>
          <t>Y</t>
        </is>
      </c>
      <c r="F20" s="711" t="n">
        <v>20</v>
      </c>
      <c r="G20" s="711" t="inlineStr">
        <is>
          <t>ALL</t>
        </is>
      </c>
      <c r="H20" s="711" t="inlineStr">
        <is>
          <t>AS_REQUIRED</t>
        </is>
      </c>
      <c r="I20" s="711" t="inlineStr">
        <is>
          <t>2014-11-23</t>
        </is>
      </c>
      <c r="J20" s="711" t="inlineStr">
        <is>
          <t>TR-ECOM-LAW</t>
        </is>
      </c>
    </row>
    <row r="21">
      <c r="A21" s="711" t="inlineStr">
        <is>
          <t>TR-HEALTH-DATA</t>
        </is>
      </c>
      <c r="B21" s="711" t="inlineStr">
        <is>
          <t>Turkey Health Data Regulation</t>
        </is>
      </c>
      <c r="C21" s="711" t="inlineStr">
        <is>
          <t>MOH-TR</t>
        </is>
      </c>
      <c r="D21" s="711" t="inlineStr">
        <is>
          <t>2021</t>
        </is>
      </c>
      <c r="E21" s="711" t="inlineStr">
        <is>
          <t>Y</t>
        </is>
      </c>
      <c r="F21" s="711" t="n">
        <v>35</v>
      </c>
      <c r="G21" s="711" t="inlineStr">
        <is>
          <t>HC</t>
        </is>
      </c>
      <c r="H21" s="711" t="inlineStr">
        <is>
          <t>ANNUAL</t>
        </is>
      </c>
      <c r="I21" s="711" t="inlineStr">
        <is>
          <t>2021-01-01</t>
        </is>
      </c>
      <c r="J21" s="711" t="inlineStr">
        <is>
          <t>TR-HEALTH-DATA</t>
        </is>
      </c>
    </row>
    <row r="22">
      <c r="A22" s="714" t="inlineStr">
        <is>
          <t>TR-CLOUD-GUIDE</t>
        </is>
      </c>
      <c r="B22" s="714" t="inlineStr">
        <is>
          <t>Turkey Cloud Computing Security Guidelines</t>
        </is>
      </c>
      <c r="C22" s="714" t="inlineStr">
        <is>
          <t>BTK</t>
        </is>
      </c>
      <c r="D22" s="714" t="inlineStr">
        <is>
          <t>2022</t>
        </is>
      </c>
      <c r="E22" s="714" t="inlineStr">
        <is>
          <t>P</t>
        </is>
      </c>
      <c r="F22" s="714" t="n">
        <v>25</v>
      </c>
      <c r="G22" s="714" t="inlineStr">
        <is>
          <t>GOV,ICT</t>
        </is>
      </c>
      <c r="H22" s="714" t="inlineStr">
        <is>
          <t>BIENNIAL</t>
        </is>
      </c>
      <c r="I22" s="714" t="inlineStr">
        <is>
          <t>2022-01-01</t>
        </is>
      </c>
      <c r="J22" s="714" t="inlineStr">
        <is>
          <t>TR-CLOUD-GUIDE</t>
        </is>
      </c>
    </row>
    <row r="24">
      <c r="A24" s="715" t="inlineStr">
        <is>
          <t xml:space="preserve">  C │ CONTROL DOMAINS</t>
        </is>
      </c>
      <c r="B24" s="766" t="n"/>
      <c r="C24" s="766" t="n"/>
      <c r="D24" s="766" t="n"/>
      <c r="E24" s="766" t="n"/>
      <c r="F24" s="766" t="n"/>
      <c r="G24" s="766" t="n"/>
      <c r="H24" s="766" t="n"/>
      <c r="I24" s="766" t="n"/>
      <c r="J24" s="767" t="n"/>
    </row>
    <row r="25">
      <c r="A25" s="716" t="inlineStr">
        <is>
          <t>Domain Code</t>
        </is>
      </c>
      <c r="B25" s="716" t="inlineStr">
        <is>
          <t>Domain Name</t>
        </is>
      </c>
      <c r="C25" s="716" t="inlineStr">
        <is>
          <t>Primary Framework</t>
        </is>
      </c>
      <c r="D25" s="716" t="inlineStr">
        <is>
          <t>Control Count</t>
        </is>
      </c>
      <c r="E25" s="716" t="inlineStr">
        <is>
          <t>Risk Level</t>
        </is>
      </c>
      <c r="F25" s="716" t="inlineStr">
        <is>
          <t>IoT Relevance</t>
        </is>
      </c>
      <c r="G25" s="716" t="inlineStr">
        <is>
          <t>Automation Possible?</t>
        </is>
      </c>
      <c r="H25" s="716" t="inlineStr">
        <is>
          <t>Audit Method</t>
        </is>
      </c>
      <c r="I25" s="716" t="inlineStr">
        <is>
          <t>Shahin AI Score</t>
        </is>
      </c>
      <c r="J25" s="716" t="inlineStr">
        <is>
          <t>Notes</t>
        </is>
      </c>
    </row>
    <row r="26">
      <c r="A26" s="717" t="inlineStr">
        <is>
          <t>TR-CD-01</t>
        </is>
      </c>
      <c r="B26" s="717" t="inlineStr">
        <is>
          <t>Data Privacy (KVKK)</t>
        </is>
      </c>
      <c r="C26" s="717" t="inlineStr">
        <is>
          <t>TR-KVKK-6698</t>
        </is>
      </c>
      <c r="D26" s="717" t="n">
        <v>55</v>
      </c>
      <c r="E26" s="717" t="inlineStr">
        <is>
          <t>HIGHEST</t>
        </is>
      </c>
      <c r="F26" s="717" t="inlineStr">
        <is>
          <t>MODERATE</t>
        </is>
      </c>
      <c r="G26" s="717" t="inlineStr">
        <is>
          <t>Y</t>
        </is>
      </c>
      <c r="H26" s="717" t="inlineStr">
        <is>
          <t>EXTERNAL_AUDIT</t>
        </is>
      </c>
      <c r="I26" s="717" t="n">
        <v>85</v>
      </c>
      <c r="J26" s="717" t="inlineStr"/>
    </row>
    <row r="27">
      <c r="A27" s="718" t="inlineStr">
        <is>
          <t>TR-CD-02</t>
        </is>
      </c>
      <c r="B27" s="718" t="inlineStr">
        <is>
          <t>Banking Cybersecurity</t>
        </is>
      </c>
      <c r="C27" s="718" t="inlineStr">
        <is>
          <t>TR-BDDK-CYBERSEC</t>
        </is>
      </c>
      <c r="D27" s="718" t="n">
        <v>88</v>
      </c>
      <c r="E27" s="718" t="inlineStr">
        <is>
          <t>HIGHEST</t>
        </is>
      </c>
      <c r="F27" s="718" t="inlineStr">
        <is>
          <t>MODERATE</t>
        </is>
      </c>
      <c r="G27" s="718" t="inlineStr">
        <is>
          <t>Y</t>
        </is>
      </c>
      <c r="H27" s="718" t="inlineStr">
        <is>
          <t>EXTERNAL_AUDIT</t>
        </is>
      </c>
      <c r="I27" s="718" t="n">
        <v>87</v>
      </c>
      <c r="J27" s="718" t="inlineStr"/>
    </row>
    <row r="28">
      <c r="A28" s="717" t="inlineStr">
        <is>
          <t>TR-CD-03</t>
        </is>
      </c>
      <c r="B28" s="717" t="inlineStr">
        <is>
          <t>Telecom Security</t>
        </is>
      </c>
      <c r="C28" s="717" t="inlineStr">
        <is>
          <t>TR-BTK-CYBERSEC</t>
        </is>
      </c>
      <c r="D28" s="717" t="n">
        <v>60</v>
      </c>
      <c r="E28" s="717" t="inlineStr">
        <is>
          <t>HIGH</t>
        </is>
      </c>
      <c r="F28" s="717" t="inlineStr">
        <is>
          <t>HIGH</t>
        </is>
      </c>
      <c r="G28" s="717" t="inlineStr">
        <is>
          <t>PARTIAL</t>
        </is>
      </c>
      <c r="H28" s="717" t="inlineStr">
        <is>
          <t>REGULATOR_INSPECTION</t>
        </is>
      </c>
      <c r="I28" s="717" t="n">
        <v>80</v>
      </c>
      <c r="J28" s="717" t="inlineStr"/>
    </row>
    <row r="29">
      <c r="A29" s="718" t="inlineStr">
        <is>
          <t>TR-CD-04</t>
        </is>
      </c>
      <c r="B29" s="718" t="inlineStr">
        <is>
          <t>Healthcare Data</t>
        </is>
      </c>
      <c r="C29" s="718" t="inlineStr">
        <is>
          <t>TR-HEALTH-DATA</t>
        </is>
      </c>
      <c r="D29" s="718" t="n">
        <v>35</v>
      </c>
      <c r="E29" s="718" t="inlineStr">
        <is>
          <t>HIGH</t>
        </is>
      </c>
      <c r="F29" s="718" t="inlineStr">
        <is>
          <t>HIGH</t>
        </is>
      </c>
      <c r="G29" s="718" t="inlineStr">
        <is>
          <t>PARTIAL</t>
        </is>
      </c>
      <c r="H29" s="718" t="inlineStr">
        <is>
          <t>EXTERNAL_AUDIT</t>
        </is>
      </c>
      <c r="I29" s="718" t="n">
        <v>76</v>
      </c>
      <c r="J29" s="718" t="inlineStr"/>
    </row>
    <row r="31">
      <c r="A31" s="719" t="inlineStr">
        <is>
          <t xml:space="preserve">  D │ RISK DOMAINS</t>
        </is>
      </c>
      <c r="B31" s="766" t="n"/>
      <c r="C31" s="766" t="n"/>
      <c r="D31" s="766" t="n"/>
      <c r="E31" s="766" t="n"/>
      <c r="F31" s="766" t="n"/>
      <c r="G31" s="766" t="n"/>
      <c r="H31" s="766" t="n"/>
      <c r="I31" s="766" t="n"/>
      <c r="J31" s="767" t="n"/>
    </row>
    <row r="32">
      <c r="A32" s="720" t="inlineStr">
        <is>
          <t>Risk Domain</t>
        </is>
      </c>
      <c r="B32" s="720" t="inlineStr">
        <is>
          <t>Risk Category</t>
        </is>
      </c>
      <c r="C32" s="720" t="inlineStr">
        <is>
          <t>Risk Score (0-100)</t>
        </is>
      </c>
      <c r="D32" s="720" t="inlineStr">
        <is>
          <t>Level</t>
        </is>
      </c>
      <c r="E32" s="720" t="inlineStr">
        <is>
          <t>Primary Regulator</t>
        </is>
      </c>
      <c r="F32" s="720" t="inlineStr">
        <is>
          <t>Linked Framework</t>
        </is>
      </c>
      <c r="G32" s="720" t="inlineStr">
        <is>
          <t>KRI Count</t>
        </is>
      </c>
      <c r="H32" s="720" t="inlineStr">
        <is>
          <t>Escalation Threshold</t>
        </is>
      </c>
      <c r="I32" s="720" t="inlineStr">
        <is>
          <t>Owner Role</t>
        </is>
      </c>
      <c r="J32" s="720" t="inlineStr">
        <is>
          <t>Notes</t>
        </is>
      </c>
    </row>
    <row r="33">
      <c r="A33" s="717" t="inlineStr">
        <is>
          <t>Data Privacy (KVKK)</t>
        </is>
      </c>
      <c r="B33" s="717" t="inlineStr">
        <is>
          <t>Privacy</t>
        </is>
      </c>
      <c r="C33" s="717" t="n">
        <v>85</v>
      </c>
      <c r="D33" s="717" t="inlineStr">
        <is>
          <t>HIGHEST</t>
        </is>
      </c>
      <c r="E33" s="717" t="inlineStr">
        <is>
          <t>KVKK</t>
        </is>
      </c>
      <c r="F33" s="717" t="inlineStr">
        <is>
          <t>TR-KVKK-6698</t>
        </is>
      </c>
      <c r="G33" s="717" t="n">
        <v>7</v>
      </c>
      <c r="H33" s="717" t="inlineStr">
        <is>
          <t>72h notification</t>
        </is>
      </c>
      <c r="I33" s="717" t="inlineStr">
        <is>
          <t>DPO</t>
        </is>
      </c>
      <c r="J33" s="717" t="inlineStr"/>
    </row>
    <row r="34">
      <c r="A34" s="718" t="inlineStr">
        <is>
          <t>Banking Cyber Risk</t>
        </is>
      </c>
      <c r="B34" s="718" t="inlineStr">
        <is>
          <t>Cybersecurity</t>
        </is>
      </c>
      <c r="C34" s="718" t="n">
        <v>88</v>
      </c>
      <c r="D34" s="718" t="inlineStr">
        <is>
          <t>HIGHEST</t>
        </is>
      </c>
      <c r="E34" s="718" t="inlineStr">
        <is>
          <t>BDDK</t>
        </is>
      </c>
      <c r="F34" s="718" t="inlineStr">
        <is>
          <t>TR-BDDK-CYBERSEC</t>
        </is>
      </c>
      <c r="G34" s="718" t="n">
        <v>8</v>
      </c>
      <c r="H34" s="718" t="inlineStr">
        <is>
          <t>Score &lt; 80</t>
        </is>
      </c>
      <c r="I34" s="718" t="inlineStr">
        <is>
          <t>CISO</t>
        </is>
      </c>
      <c r="J34" s="718" t="inlineStr"/>
    </row>
    <row r="35">
      <c r="A35" s="717" t="inlineStr">
        <is>
          <t>Telecom Compliance</t>
        </is>
      </c>
      <c r="B35" s="717" t="inlineStr">
        <is>
          <t>Regulatory</t>
        </is>
      </c>
      <c r="C35" s="717" t="n">
        <v>72</v>
      </c>
      <c r="D35" s="717" t="inlineStr">
        <is>
          <t>HIGH</t>
        </is>
      </c>
      <c r="E35" s="717" t="inlineStr">
        <is>
          <t>BTK</t>
        </is>
      </c>
      <c r="F35" s="717" t="inlineStr">
        <is>
          <t>TR-BTK-CYBERSEC</t>
        </is>
      </c>
      <c r="G35" s="717" t="n">
        <v>5</v>
      </c>
      <c r="H35" s="717" t="inlineStr">
        <is>
          <t>Cert lapse</t>
        </is>
      </c>
      <c r="I35" s="717" t="inlineStr">
        <is>
          <t>CTO</t>
        </is>
      </c>
      <c r="J35" s="717" t="inlineStr"/>
    </row>
    <row r="37">
      <c r="A37" s="721" t="inlineStr">
        <is>
          <t xml:space="preserve">  E │ COMPLIANCE LIFECYCLE</t>
        </is>
      </c>
      <c r="B37" s="766" t="n"/>
      <c r="C37" s="766" t="n"/>
      <c r="D37" s="766" t="n"/>
      <c r="E37" s="766" t="n"/>
      <c r="F37" s="766" t="n"/>
      <c r="G37" s="766" t="n"/>
      <c r="H37" s="766" t="n"/>
      <c r="I37" s="766" t="n"/>
      <c r="J37" s="767" t="n"/>
    </row>
    <row r="38">
      <c r="A38" s="722" t="inlineStr">
        <is>
          <t>Stage</t>
        </is>
      </c>
      <c r="B38" s="722" t="inlineStr">
        <is>
          <t>Stage Code</t>
        </is>
      </c>
      <c r="C38" s="722" t="inlineStr">
        <is>
          <t>Entry Trigger</t>
        </is>
      </c>
      <c r="D38" s="722" t="inlineStr">
        <is>
          <t>Exit Trigger</t>
        </is>
      </c>
      <c r="E38" s="722" t="inlineStr">
        <is>
          <t>Next Stage</t>
        </is>
      </c>
      <c r="F38" s="722" t="inlineStr">
        <is>
          <t>Approval Required</t>
        </is>
      </c>
      <c r="G38" s="722" t="inlineStr">
        <is>
          <t>Typical Duration</t>
        </is>
      </c>
      <c r="H38" s="722" t="inlineStr">
        <is>
          <t>Responsible Role</t>
        </is>
      </c>
      <c r="I38" s="722" t="inlineStr">
        <is>
          <t>Automation</t>
        </is>
      </c>
      <c r="J38" s="722" t="inlineStr">
        <is>
          <t>SLA (Days)</t>
        </is>
      </c>
    </row>
    <row r="39">
      <c r="A39" s="717" t="inlineStr">
        <is>
          <t>Draft</t>
        </is>
      </c>
      <c r="B39" s="717" t="inlineStr">
        <is>
          <t>DRAFT</t>
        </is>
      </c>
      <c r="C39" s="717" t="inlineStr">
        <is>
          <t>Registration initiated</t>
        </is>
      </c>
      <c r="D39" s="717" t="inlineStr">
        <is>
          <t>Initial assessment complete</t>
        </is>
      </c>
      <c r="E39" s="717" t="inlineStr">
        <is>
          <t>ASSESSED</t>
        </is>
      </c>
      <c r="F39" s="717" t="inlineStr">
        <is>
          <t>N</t>
        </is>
      </c>
      <c r="G39" s="717" t="inlineStr">
        <is>
          <t>14 days</t>
        </is>
      </c>
      <c r="H39" s="717" t="inlineStr">
        <is>
          <t>Compliance Officer</t>
        </is>
      </c>
      <c r="I39" s="717" t="inlineStr">
        <is>
          <t>FULL</t>
        </is>
      </c>
      <c r="J39" s="717" t="n">
        <v>14</v>
      </c>
    </row>
    <row r="40">
      <c r="A40" s="718" t="inlineStr">
        <is>
          <t>Assessed</t>
        </is>
      </c>
      <c r="B40" s="718" t="inlineStr">
        <is>
          <t>ASSESSED</t>
        </is>
      </c>
      <c r="C40" s="718" t="inlineStr">
        <is>
          <t>Draft submitted</t>
        </is>
      </c>
      <c r="D40" s="718" t="inlineStr">
        <is>
          <t>Gap analysis approved</t>
        </is>
      </c>
      <c r="E40" s="718" t="inlineStr">
        <is>
          <t>REGISTERED</t>
        </is>
      </c>
      <c r="F40" s="718" t="inlineStr">
        <is>
          <t>Y</t>
        </is>
      </c>
      <c r="G40" s="718" t="inlineStr">
        <is>
          <t>30 days</t>
        </is>
      </c>
      <c r="H40" s="718" t="inlineStr">
        <is>
          <t>Lead Auditor</t>
        </is>
      </c>
      <c r="I40" s="718" t="inlineStr">
        <is>
          <t>PARTIAL</t>
        </is>
      </c>
      <c r="J40" s="718" t="n">
        <v>30</v>
      </c>
    </row>
    <row r="41">
      <c r="A41" s="717" t="inlineStr">
        <is>
          <t>Registered</t>
        </is>
      </c>
      <c r="B41" s="717" t="inlineStr">
        <is>
          <t>REGISTERED</t>
        </is>
      </c>
      <c r="C41" s="717" t="inlineStr">
        <is>
          <t>Assessment passed</t>
        </is>
      </c>
      <c r="D41" s="717" t="inlineStr">
        <is>
          <t>Controls implemented</t>
        </is>
      </c>
      <c r="E41" s="717" t="inlineStr">
        <is>
          <t>ACTIVE</t>
        </is>
      </c>
      <c r="F41" s="717" t="inlineStr">
        <is>
          <t>Y</t>
        </is>
      </c>
      <c r="G41" s="717" t="inlineStr">
        <is>
          <t>90 days</t>
        </is>
      </c>
      <c r="H41" s="717" t="inlineStr">
        <is>
          <t>CISO</t>
        </is>
      </c>
      <c r="I41" s="717" t="inlineStr">
        <is>
          <t>PARTIAL</t>
        </is>
      </c>
      <c r="J41" s="717" t="n">
        <v>90</v>
      </c>
    </row>
    <row r="42">
      <c r="A42" s="718" t="inlineStr">
        <is>
          <t>Active</t>
        </is>
      </c>
      <c r="B42" s="718" t="inlineStr">
        <is>
          <t>ACTIVE</t>
        </is>
      </c>
      <c r="C42" s="718" t="inlineStr">
        <is>
          <t>Registration confirmed</t>
        </is>
      </c>
      <c r="D42" s="718" t="inlineStr">
        <is>
          <t>Audit scheduled</t>
        </is>
      </c>
      <c r="E42" s="718" t="inlineStr">
        <is>
          <t>AUDITED</t>
        </is>
      </c>
      <c r="F42" s="718" t="inlineStr">
        <is>
          <t>N</t>
        </is>
      </c>
      <c r="G42" s="718" t="inlineStr">
        <is>
          <t>Ongoing</t>
        </is>
      </c>
      <c r="H42" s="718" t="inlineStr">
        <is>
          <t>Compliance Officer</t>
        </is>
      </c>
      <c r="I42" s="718" t="inlineStr">
        <is>
          <t>FULL</t>
        </is>
      </c>
      <c r="J42" s="718" t="n">
        <v>365</v>
      </c>
    </row>
    <row r="43">
      <c r="A43" s="717" t="inlineStr">
        <is>
          <t>Audited</t>
        </is>
      </c>
      <c r="B43" s="717" t="inlineStr">
        <is>
          <t>AUDITED</t>
        </is>
      </c>
      <c r="C43" s="717" t="inlineStr">
        <is>
          <t>Annual audit cycle</t>
        </is>
      </c>
      <c r="D43" s="717" t="inlineStr">
        <is>
          <t>Audit report issued</t>
        </is>
      </c>
      <c r="E43" s="717" t="inlineStr">
        <is>
          <t>RENEWED</t>
        </is>
      </c>
      <c r="F43" s="717" t="inlineStr">
        <is>
          <t>Y</t>
        </is>
      </c>
      <c r="G43" s="717" t="inlineStr">
        <is>
          <t>60 days</t>
        </is>
      </c>
      <c r="H43" s="717" t="inlineStr">
        <is>
          <t>External Auditor</t>
        </is>
      </c>
      <c r="I43" s="717" t="inlineStr">
        <is>
          <t>PARTIAL</t>
        </is>
      </c>
      <c r="J43" s="717" t="n">
        <v>60</v>
      </c>
    </row>
    <row r="44">
      <c r="A44" s="718" t="inlineStr">
        <is>
          <t>Renewed</t>
        </is>
      </c>
      <c r="B44" s="718" t="inlineStr">
        <is>
          <t>RENEWED</t>
        </is>
      </c>
      <c r="C44" s="718" t="inlineStr">
        <is>
          <t>Successful audit</t>
        </is>
      </c>
      <c r="D44" s="718" t="inlineStr">
        <is>
          <t>Next cycle begins</t>
        </is>
      </c>
      <c r="E44" s="718" t="inlineStr">
        <is>
          <t>ACTIVE</t>
        </is>
      </c>
      <c r="F44" s="718" t="inlineStr">
        <is>
          <t>N</t>
        </is>
      </c>
      <c r="G44" s="718" t="inlineStr">
        <is>
          <t>1 day</t>
        </is>
      </c>
      <c r="H44" s="718" t="inlineStr">
        <is>
          <t>Compliance Officer</t>
        </is>
      </c>
      <c r="I44" s="718" t="inlineStr">
        <is>
          <t>FULL</t>
        </is>
      </c>
      <c r="J44" s="718" t="n">
        <v>1</v>
      </c>
    </row>
    <row r="45">
      <c r="A45" s="717" t="inlineStr">
        <is>
          <t>Archived</t>
        </is>
      </c>
      <c r="B45" s="717" t="inlineStr">
        <is>
          <t>ARCHIVED</t>
        </is>
      </c>
      <c r="C45" s="717" t="inlineStr">
        <is>
          <t>Decommission / superseded</t>
        </is>
      </c>
      <c r="D45" s="717" t="inlineStr">
        <is>
          <t>N/A</t>
        </is>
      </c>
      <c r="E45" s="717" t="inlineStr">
        <is>
          <t>N/A</t>
        </is>
      </c>
      <c r="F45" s="717" t="inlineStr">
        <is>
          <t>Y</t>
        </is>
      </c>
      <c r="G45" s="717" t="inlineStr">
        <is>
          <t>N/A</t>
        </is>
      </c>
      <c r="H45" s="717" t="inlineStr">
        <is>
          <t>CCO</t>
        </is>
      </c>
      <c r="I45" s="717" t="inlineStr">
        <is>
          <t>N</t>
        </is>
      </c>
      <c r="J45" s="717" t="n">
        <v>0</v>
      </c>
    </row>
    <row r="47">
      <c r="A47" s="723" t="inlineStr">
        <is>
          <t xml:space="preserve">  F │ EVIDENCE REQUIREMENTS</t>
        </is>
      </c>
      <c r="B47" s="766" t="n"/>
      <c r="C47" s="766" t="n"/>
      <c r="D47" s="766" t="n"/>
      <c r="E47" s="766" t="n"/>
      <c r="F47" s="766" t="n"/>
      <c r="G47" s="766" t="n"/>
      <c r="H47" s="766" t="n"/>
      <c r="I47" s="766" t="n"/>
      <c r="J47" s="767" t="n"/>
    </row>
    <row r="48">
      <c r="A48" s="724" t="inlineStr">
        <is>
          <t>Evidence Type</t>
        </is>
      </c>
      <c r="B48" s="724" t="inlineStr">
        <is>
          <t>Framework</t>
        </is>
      </c>
      <c r="C48" s="724" t="inlineStr">
        <is>
          <t>Responsible Role</t>
        </is>
      </c>
      <c r="D48" s="724" t="inlineStr">
        <is>
          <t>Collection Frequency</t>
        </is>
      </c>
      <c r="E48" s="724" t="inlineStr">
        <is>
          <t>Retention (Years)</t>
        </is>
      </c>
      <c r="F48" s="724" t="inlineStr">
        <is>
          <t>Format</t>
        </is>
      </c>
      <c r="G48" s="724" t="inlineStr">
        <is>
          <t>Submittable to Regulator?</t>
        </is>
      </c>
      <c r="H48" s="724" t="inlineStr">
        <is>
          <t>AI Extractable?</t>
        </is>
      </c>
      <c r="I48" s="724" t="inlineStr">
        <is>
          <t>Risk if Missing</t>
        </is>
      </c>
      <c r="J48" s="724" t="inlineStr">
        <is>
          <t>Notes</t>
        </is>
      </c>
    </row>
    <row r="49">
      <c r="A49" s="717" t="inlineStr">
        <is>
          <t>Self-Assessment Report</t>
        </is>
      </c>
      <c r="B49" s="717" t="inlineStr">
        <is>
          <t>ALL</t>
        </is>
      </c>
      <c r="C49" s="717" t="inlineStr">
        <is>
          <t>Compliance Officer</t>
        </is>
      </c>
      <c r="D49" s="717" t="inlineStr">
        <is>
          <t>ANNUAL</t>
        </is>
      </c>
      <c r="E49" s="717" t="n">
        <v>5</v>
      </c>
      <c r="F49" s="717" t="inlineStr">
        <is>
          <t>PDF</t>
        </is>
      </c>
      <c r="G49" s="717" t="inlineStr">
        <is>
          <t>Y</t>
        </is>
      </c>
      <c r="H49" s="717" t="inlineStr">
        <is>
          <t>Y</t>
        </is>
      </c>
      <c r="I49" s="717" t="inlineStr">
        <is>
          <t>HIGH</t>
        </is>
      </c>
      <c r="J49" s="717" t="inlineStr"/>
    </row>
    <row r="50">
      <c r="A50" s="718" t="inlineStr">
        <is>
          <t>Gap Analysis Report</t>
        </is>
      </c>
      <c r="B50" s="718" t="inlineStr">
        <is>
          <t>ALL</t>
        </is>
      </c>
      <c r="C50" s="718" t="inlineStr">
        <is>
          <t>Lead Auditor</t>
        </is>
      </c>
      <c r="D50" s="718" t="inlineStr">
        <is>
          <t>ANNUAL</t>
        </is>
      </c>
      <c r="E50" s="718" t="n">
        <v>5</v>
      </c>
      <c r="F50" s="718" t="inlineStr">
        <is>
          <t>PDF/Excel</t>
        </is>
      </c>
      <c r="G50" s="718" t="inlineStr">
        <is>
          <t>N</t>
        </is>
      </c>
      <c r="H50" s="718" t="inlineStr">
        <is>
          <t>Y</t>
        </is>
      </c>
      <c r="I50" s="718" t="inlineStr">
        <is>
          <t>HIGH</t>
        </is>
      </c>
      <c r="J50" s="718" t="inlineStr"/>
    </row>
    <row r="51">
      <c r="A51" s="717" t="inlineStr">
        <is>
          <t>External Audit Report</t>
        </is>
      </c>
      <c r="B51" s="717" t="inlineStr">
        <is>
          <t>ALL</t>
        </is>
      </c>
      <c r="C51" s="717" t="inlineStr">
        <is>
          <t>External Auditor</t>
        </is>
      </c>
      <c r="D51" s="717" t="inlineStr">
        <is>
          <t>ANNUAL</t>
        </is>
      </c>
      <c r="E51" s="717" t="n">
        <v>7</v>
      </c>
      <c r="F51" s="717" t="inlineStr">
        <is>
          <t>PDF</t>
        </is>
      </c>
      <c r="G51" s="717" t="inlineStr">
        <is>
          <t>Y</t>
        </is>
      </c>
      <c r="H51" s="717" t="inlineStr">
        <is>
          <t>Y</t>
        </is>
      </c>
      <c r="I51" s="717" t="inlineStr">
        <is>
          <t>CRITICAL</t>
        </is>
      </c>
      <c r="J51" s="717" t="inlineStr"/>
    </row>
    <row r="52">
      <c r="A52" s="718" t="inlineStr">
        <is>
          <t>Penetration Test Report</t>
        </is>
      </c>
      <c r="B52" s="718" t="inlineStr">
        <is>
          <t>ALL</t>
        </is>
      </c>
      <c r="C52" s="718" t="inlineStr">
        <is>
          <t>CISO</t>
        </is>
      </c>
      <c r="D52" s="718" t="inlineStr">
        <is>
          <t>ANNUAL</t>
        </is>
      </c>
      <c r="E52" s="718" t="n">
        <v>3</v>
      </c>
      <c r="F52" s="718" t="inlineStr">
        <is>
          <t>PDF</t>
        </is>
      </c>
      <c r="G52" s="718" t="inlineStr">
        <is>
          <t>Y</t>
        </is>
      </c>
      <c r="H52" s="718" t="inlineStr">
        <is>
          <t>Y</t>
        </is>
      </c>
      <c r="I52" s="718" t="inlineStr">
        <is>
          <t>HIGH</t>
        </is>
      </c>
      <c r="J52" s="718" t="inlineStr"/>
    </row>
    <row r="53">
      <c r="A53" s="717" t="inlineStr">
        <is>
          <t>Regulator Inspection Record</t>
        </is>
      </c>
      <c r="B53" s="717" t="inlineStr">
        <is>
          <t>ALL</t>
        </is>
      </c>
      <c r="C53" s="717" t="inlineStr">
        <is>
          <t>CCO</t>
        </is>
      </c>
      <c r="D53" s="717" t="inlineStr">
        <is>
          <t>AS_REQUIRED</t>
        </is>
      </c>
      <c r="E53" s="717" t="n">
        <v>10</v>
      </c>
      <c r="F53" s="717" t="inlineStr">
        <is>
          <t>PDF</t>
        </is>
      </c>
      <c r="G53" s="717" t="inlineStr">
        <is>
          <t>Y</t>
        </is>
      </c>
      <c r="H53" s="717" t="inlineStr">
        <is>
          <t>N</t>
        </is>
      </c>
      <c r="I53" s="717" t="inlineStr">
        <is>
          <t>CRITICAL</t>
        </is>
      </c>
      <c r="J53" s="717" t="inlineStr"/>
    </row>
    <row r="54">
      <c r="A54" s="718" t="inlineStr">
        <is>
          <t>Incident Response Log</t>
        </is>
      </c>
      <c r="B54" s="718" t="inlineStr">
        <is>
          <t>ALL</t>
        </is>
      </c>
      <c r="C54" s="718" t="inlineStr">
        <is>
          <t>CISO</t>
        </is>
      </c>
      <c r="D54" s="718" t="inlineStr">
        <is>
          <t>CONTINUOUS</t>
        </is>
      </c>
      <c r="E54" s="718" t="n">
        <v>5</v>
      </c>
      <c r="F54" s="718" t="inlineStr">
        <is>
          <t>SIEM/PDF</t>
        </is>
      </c>
      <c r="G54" s="718" t="inlineStr">
        <is>
          <t>Y</t>
        </is>
      </c>
      <c r="H54" s="718" t="inlineStr">
        <is>
          <t>Y</t>
        </is>
      </c>
      <c r="I54" s="718" t="inlineStr">
        <is>
          <t>HIGH</t>
        </is>
      </c>
      <c r="J54" s="718" t="inlineStr"/>
    </row>
    <row r="55">
      <c r="A55" s="717" t="inlineStr">
        <is>
          <t>Training Completion Records</t>
        </is>
      </c>
      <c r="B55" s="717" t="inlineStr">
        <is>
          <t>ALL</t>
        </is>
      </c>
      <c r="C55" s="717" t="inlineStr">
        <is>
          <t>CISO</t>
        </is>
      </c>
      <c r="D55" s="717" t="inlineStr">
        <is>
          <t>ANNUAL</t>
        </is>
      </c>
      <c r="E55" s="717" t="n">
        <v>3</v>
      </c>
      <c r="F55" s="717" t="inlineStr">
        <is>
          <t>CSV/PDF</t>
        </is>
      </c>
      <c r="G55" s="717" t="inlineStr">
        <is>
          <t>N</t>
        </is>
      </c>
      <c r="H55" s="717" t="inlineStr">
        <is>
          <t>Y</t>
        </is>
      </c>
      <c r="I55" s="717" t="inlineStr">
        <is>
          <t>MEDIUM</t>
        </is>
      </c>
      <c r="J55" s="717" t="inlineStr"/>
    </row>
    <row r="56">
      <c r="A56" s="718" t="inlineStr">
        <is>
          <t>Vendor Risk Assessments</t>
        </is>
      </c>
      <c r="B56" s="718" t="inlineStr">
        <is>
          <t>ALL</t>
        </is>
      </c>
      <c r="C56" s="718" t="inlineStr">
        <is>
          <t>3rd Party Risk Officer</t>
        </is>
      </c>
      <c r="D56" s="718" t="inlineStr">
        <is>
          <t>ANNUAL</t>
        </is>
      </c>
      <c r="E56" s="718" t="n">
        <v>3</v>
      </c>
      <c r="F56" s="718" t="inlineStr">
        <is>
          <t>Excel/PDF</t>
        </is>
      </c>
      <c r="G56" s="718" t="inlineStr">
        <is>
          <t>N</t>
        </is>
      </c>
      <c r="H56" s="718" t="inlineStr">
        <is>
          <t>Y</t>
        </is>
      </c>
      <c r="I56" s="718" t="inlineStr">
        <is>
          <t>HIGH</t>
        </is>
      </c>
      <c r="J56" s="718" t="inlineStr"/>
    </row>
    <row r="57">
      <c r="A57" s="717" t="inlineStr">
        <is>
          <t>Data Protection Impact Assessment</t>
        </is>
      </c>
      <c r="B57" s="717" t="inlineStr">
        <is>
          <t>PRIVACY</t>
        </is>
      </c>
      <c r="C57" s="717" t="inlineStr">
        <is>
          <t>DPO</t>
        </is>
      </c>
      <c r="D57" s="717" t="inlineStr">
        <is>
          <t>PER_PROJECT</t>
        </is>
      </c>
      <c r="E57" s="717" t="n">
        <v>5</v>
      </c>
      <c r="F57" s="717" t="inlineStr">
        <is>
          <t>PDF</t>
        </is>
      </c>
      <c r="G57" s="717" t="inlineStr">
        <is>
          <t>Y</t>
        </is>
      </c>
      <c r="H57" s="717" t="inlineStr">
        <is>
          <t>Y</t>
        </is>
      </c>
      <c r="I57" s="717" t="inlineStr">
        <is>
          <t>HIGH</t>
        </is>
      </c>
      <c r="J57" s="717" t="inlineStr"/>
    </row>
    <row r="58">
      <c r="A58" s="718" t="inlineStr">
        <is>
          <t>Business Continuity Test Report</t>
        </is>
      </c>
      <c r="B58" s="718" t="inlineStr">
        <is>
          <t>ALL</t>
        </is>
      </c>
      <c r="C58" s="718" t="inlineStr">
        <is>
          <t>BCM Manager</t>
        </is>
      </c>
      <c r="D58" s="718" t="inlineStr">
        <is>
          <t>BIENNIAL</t>
        </is>
      </c>
      <c r="E58" s="718" t="n">
        <v>5</v>
      </c>
      <c r="F58" s="718" t="inlineStr">
        <is>
          <t>PDF</t>
        </is>
      </c>
      <c r="G58" s="718" t="inlineStr">
        <is>
          <t>N</t>
        </is>
      </c>
      <c r="H58" s="718" t="inlineStr">
        <is>
          <t>N</t>
        </is>
      </c>
      <c r="I58" s="718" t="inlineStr">
        <is>
          <t>MEDIUM</t>
        </is>
      </c>
      <c r="J58" s="718" t="inlineStr"/>
    </row>
    <row r="60">
      <c r="A60" s="725" t="inlineStr">
        <is>
          <t xml:space="preserve">  G │ GRC MATURITY BENCHMARKS</t>
        </is>
      </c>
      <c r="B60" s="766" t="n"/>
      <c r="C60" s="766" t="n"/>
      <c r="D60" s="766" t="n"/>
      <c r="E60" s="766" t="n"/>
      <c r="F60" s="766" t="n"/>
      <c r="G60" s="766" t="n"/>
      <c r="H60" s="766" t="n"/>
      <c r="I60" s="766" t="n"/>
      <c r="J60" s="767" t="n"/>
    </row>
    <row r="61">
      <c r="A61" s="726" t="inlineStr">
        <is>
          <t>Domain</t>
        </is>
      </c>
      <c r="B61" s="726" t="inlineStr">
        <is>
          <t>Maturity Model</t>
        </is>
      </c>
      <c r="C61" s="726" t="inlineStr">
        <is>
          <t>Country Avg Score</t>
        </is>
      </c>
      <c r="D61" s="726" t="inlineStr">
        <is>
          <t>Best-in-Class</t>
        </is>
      </c>
      <c r="E61" s="726" t="inlineStr">
        <is>
          <t>Typical Target</t>
        </is>
      </c>
      <c r="F61" s="726" t="inlineStr">
        <is>
          <t>Gap to Target</t>
        </is>
      </c>
      <c r="G61" s="726" t="inlineStr">
        <is>
          <t>Priority</t>
        </is>
      </c>
      <c r="H61" s="726" t="inlineStr">
        <is>
          <t>Key Barrier</t>
        </is>
      </c>
      <c r="I61" s="726" t="inlineStr">
        <is>
          <t>Shahin AI Recommendation</t>
        </is>
      </c>
      <c r="J61" s="726" t="inlineStr">
        <is>
          <t>Ref Framework</t>
        </is>
      </c>
    </row>
    <row r="62">
      <c r="A62" s="717" t="inlineStr">
        <is>
          <t>GRC Governance</t>
        </is>
      </c>
      <c r="B62" s="717" t="inlineStr">
        <is>
          <t>CMMI 1-5</t>
        </is>
      </c>
      <c r="C62" s="717" t="n">
        <v>3</v>
      </c>
      <c r="D62" s="717" t="n">
        <v>4.5</v>
      </c>
      <c r="E62" s="717" t="n">
        <v>4</v>
      </c>
      <c r="F62" s="717" t="n">
        <v>1</v>
      </c>
      <c r="G62" s="717" t="inlineStr">
        <is>
          <t>HIGH</t>
        </is>
      </c>
      <c r="H62" s="717" t="inlineStr">
        <is>
          <t>Regulatory fragmentation</t>
        </is>
      </c>
      <c r="I62" s="717" t="inlineStr">
        <is>
          <t>Unified GRC platform</t>
        </is>
      </c>
      <c r="J62" s="717" t="inlineStr">
        <is>
          <t>TR-CYBERSEC-STRATEGY-2023-2025</t>
        </is>
      </c>
    </row>
    <row r="63">
      <c r="A63" s="718" t="inlineStr">
        <is>
          <t>Data Privacy</t>
        </is>
      </c>
      <c r="B63" s="718" t="inlineStr">
        <is>
          <t>CMMI 1-5</t>
        </is>
      </c>
      <c r="C63" s="718" t="n">
        <v>3.2</v>
      </c>
      <c r="D63" s="718" t="n">
        <v>4.5</v>
      </c>
      <c r="E63" s="718" t="n">
        <v>4</v>
      </c>
      <c r="F63" s="718" t="n">
        <v>0.8</v>
      </c>
      <c r="G63" s="718" t="inlineStr">
        <is>
          <t>HIGH</t>
        </is>
      </c>
      <c r="H63" s="718" t="inlineStr">
        <is>
          <t>GDPR gap</t>
        </is>
      </c>
      <c r="I63" s="718" t="inlineStr">
        <is>
          <t>GDPR-readiness gap closure</t>
        </is>
      </c>
      <c r="J63" s="718" t="inlineStr">
        <is>
          <t>TR-KVKK-2024-AMD</t>
        </is>
      </c>
    </row>
    <row r="64">
      <c r="A64" s="717" t="inlineStr">
        <is>
          <t>Banking Cybersecurity</t>
        </is>
      </c>
      <c r="B64" s="717" t="inlineStr">
        <is>
          <t>CMMI 1-5</t>
        </is>
      </c>
      <c r="C64" s="717" t="n">
        <v>3.5</v>
      </c>
      <c r="D64" s="717" t="n">
        <v>4.5</v>
      </c>
      <c r="E64" s="717" t="n">
        <v>4</v>
      </c>
      <c r="F64" s="717" t="n">
        <v>0.5</v>
      </c>
      <c r="G64" s="717" t="inlineStr">
        <is>
          <t>MEDIUM</t>
        </is>
      </c>
      <c r="H64" s="717" t="inlineStr">
        <is>
          <t>Legacy core banking</t>
        </is>
      </c>
      <c r="I64" s="717" t="inlineStr">
        <is>
          <t>Core modernisation</t>
        </is>
      </c>
      <c r="J64" s="717" t="inlineStr">
        <is>
          <t>TR-BDDK-CYBERSEC</t>
        </is>
      </c>
    </row>
  </sheetData>
  <mergeCells count="8">
    <mergeCell ref="A47:J47"/>
    <mergeCell ref="A1:J1"/>
    <mergeCell ref="A37:J37"/>
    <mergeCell ref="A31:J31"/>
    <mergeCell ref="A12:J12"/>
    <mergeCell ref="A24:J24"/>
    <mergeCell ref="A2:J2"/>
    <mergeCell ref="A60:J60"/>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65"/>
  <sheetViews>
    <sheetView showGridLines="0" workbookViewId="0">
      <pane ySplit="2" topLeftCell="A3" activePane="bottomLeft" state="frozen"/>
      <selection pane="bottomLeft" activeCell="A1" sqref="A1"/>
    </sheetView>
  </sheetViews>
  <sheetFormatPr baseColWidth="8" defaultRowHeight="15"/>
  <cols>
    <col width="18" customWidth="1" min="1" max="1"/>
    <col width="38" customWidth="1" min="2" max="2"/>
    <col width="28" customWidth="1" min="3" max="3"/>
    <col width="24" customWidth="1" min="4" max="4"/>
    <col width="12" customWidth="1" min="5" max="5"/>
    <col width="12" customWidth="1" min="6" max="6"/>
    <col width="22" customWidth="1" min="7" max="7"/>
    <col width="18" customWidth="1" min="8" max="8"/>
    <col width="20" customWidth="1" min="9" max="9"/>
    <col width="28" customWidth="1" min="10" max="10"/>
  </cols>
  <sheetData>
    <row r="1" ht="30" customHeight="1">
      <c r="A1" s="705" t="inlineStr">
        <is>
          <t>🇨🇾  Cyprus (EU Member) (CY)  ·  GRC Regulatory Intelligence</t>
        </is>
      </c>
    </row>
    <row r="2">
      <c r="A2" s="706" t="inlineStr">
        <is>
          <t xml:space="preserve">  A │ REGULATORS</t>
        </is>
      </c>
      <c r="B2" s="766" t="n"/>
      <c r="C2" s="766" t="n"/>
      <c r="D2" s="766" t="n"/>
      <c r="E2" s="766" t="n"/>
      <c r="F2" s="766" t="n"/>
      <c r="G2" s="766" t="n"/>
      <c r="H2" s="766" t="n"/>
      <c r="I2" s="766" t="n"/>
      <c r="J2" s="767" t="n"/>
    </row>
    <row r="3">
      <c r="A3" s="707" t="inlineStr">
        <is>
          <t>Code</t>
        </is>
      </c>
      <c r="B3" s="707" t="inlineStr">
        <is>
          <t>Name (EN)</t>
        </is>
      </c>
      <c r="C3" s="707" t="inlineStr">
        <is>
          <t>Name (AR)</t>
        </is>
      </c>
      <c r="D3" s="707" t="inlineStr">
        <is>
          <t>Sector Group</t>
        </is>
      </c>
      <c r="E3" s="707" t="inlineStr">
        <is>
          <t>Tier</t>
        </is>
      </c>
      <c r="F3" s="707" t="inlineStr">
        <is>
          <t>Own FW Count</t>
        </is>
      </c>
      <c r="G3" s="707" t="inlineStr">
        <is>
          <t>Power Index</t>
        </is>
      </c>
      <c r="H3" s="707" t="inlineStr">
        <is>
          <t>Enforcement</t>
        </is>
      </c>
      <c r="I3" s="707" t="inlineStr">
        <is>
          <t>Website</t>
        </is>
      </c>
      <c r="J3" s="707" t="inlineStr">
        <is>
          <t>Notes</t>
        </is>
      </c>
    </row>
    <row r="4">
      <c r="A4" s="708" t="inlineStr">
        <is>
          <t>CPDP-CY</t>
        </is>
      </c>
      <c r="B4" s="708" t="inlineStr">
        <is>
          <t>Commissioner for Personal Data Protection</t>
        </is>
      </c>
      <c r="C4" s="708" t="inlineStr">
        <is>
          <t>مفوض حماية البيانات الشخصية</t>
        </is>
      </c>
      <c r="D4" s="708" t="inlineStr">
        <is>
          <t>Data/Privacy</t>
        </is>
      </c>
      <c r="E4" s="708" t="inlineStr">
        <is>
          <t>🔴 T1</t>
        </is>
      </c>
      <c r="F4" s="708" t="n">
        <v>2</v>
      </c>
      <c r="G4" s="708" t="n">
        <v>90</v>
      </c>
      <c r="H4" s="708" t="inlineStr">
        <is>
          <t>MANDATORY</t>
        </is>
      </c>
      <c r="I4" s="708" t="inlineStr">
        <is>
          <t>https://dataprotection.gov.cy</t>
        </is>
      </c>
      <c r="J4" s="708" t="inlineStr"/>
    </row>
    <row r="5">
      <c r="A5" s="708" t="inlineStr">
        <is>
          <t>DSA-CY</t>
        </is>
      </c>
      <c r="B5" s="708" t="inlineStr">
        <is>
          <t>Digital Security Authority</t>
        </is>
      </c>
      <c r="C5" s="708" t="inlineStr">
        <is>
          <t>سلطة الأمن الرقمي</t>
        </is>
      </c>
      <c r="D5" s="708" t="inlineStr">
        <is>
          <t>Cybersecurity/NIS2</t>
        </is>
      </c>
      <c r="E5" s="708" t="inlineStr">
        <is>
          <t>🔴 T1</t>
        </is>
      </c>
      <c r="F5" s="708" t="n">
        <v>3</v>
      </c>
      <c r="G5" s="708" t="n">
        <v>88</v>
      </c>
      <c r="H5" s="708" t="inlineStr">
        <is>
          <t>MANDATORY</t>
        </is>
      </c>
      <c r="I5" s="708" t="inlineStr">
        <is>
          <t>https://dsa.cy</t>
        </is>
      </c>
      <c r="J5" s="708" t="inlineStr"/>
    </row>
    <row r="6">
      <c r="A6" s="708" t="inlineStr">
        <is>
          <t>CySEC</t>
        </is>
      </c>
      <c r="B6" s="708" t="inlineStr">
        <is>
          <t>Cyprus Securities &amp; Exchange Commission</t>
        </is>
      </c>
      <c r="C6" s="708" t="inlineStr">
        <is>
          <t>هيئة الأوراق المالية والبورصة القبرصية</t>
        </is>
      </c>
      <c r="D6" s="708" t="inlineStr">
        <is>
          <t>Financial</t>
        </is>
      </c>
      <c r="E6" s="708" t="inlineStr">
        <is>
          <t>🔴 T1</t>
        </is>
      </c>
      <c r="F6" s="708" t="n">
        <v>5</v>
      </c>
      <c r="G6" s="708" t="n">
        <v>85</v>
      </c>
      <c r="H6" s="708" t="inlineStr">
        <is>
          <t>MANDATORY</t>
        </is>
      </c>
      <c r="I6" s="708" t="inlineStr">
        <is>
          <t>https://cysec.gov.cy</t>
        </is>
      </c>
      <c r="J6" s="708" t="inlineStr"/>
    </row>
    <row r="7">
      <c r="A7" s="709" t="inlineStr">
        <is>
          <t>CBC</t>
        </is>
      </c>
      <c r="B7" s="709" t="inlineStr">
        <is>
          <t>Central Bank of Cyprus</t>
        </is>
      </c>
      <c r="C7" s="709" t="inlineStr">
        <is>
          <t>البنك المركزي القبرصي</t>
        </is>
      </c>
      <c r="D7" s="709" t="inlineStr">
        <is>
          <t>Financial/Banking</t>
        </is>
      </c>
      <c r="E7" s="709" t="inlineStr">
        <is>
          <t>🟠 T2</t>
        </is>
      </c>
      <c r="F7" s="709" t="n">
        <v>3</v>
      </c>
      <c r="G7" s="709" t="n">
        <v>78</v>
      </c>
      <c r="H7" s="709" t="inlineStr">
        <is>
          <t>MANDATORY</t>
        </is>
      </c>
      <c r="I7" s="709" t="inlineStr">
        <is>
          <t>https://centralbank.cy</t>
        </is>
      </c>
      <c r="J7" s="709" t="inlineStr"/>
    </row>
    <row r="8">
      <c r="A8" s="709" t="inlineStr">
        <is>
          <t>OCECPR</t>
        </is>
      </c>
      <c r="B8" s="709" t="inlineStr">
        <is>
          <t>Office of Electronic Communications &amp; Post Regulation</t>
        </is>
      </c>
      <c r="C8" s="709" t="inlineStr">
        <is>
          <t>مكتب تنظيم الاتصالات الإلكترونية والبريد</t>
        </is>
      </c>
      <c r="D8" s="709" t="inlineStr">
        <is>
          <t>Telecom</t>
        </is>
      </c>
      <c r="E8" s="709" t="inlineStr">
        <is>
          <t>🟠 T2</t>
        </is>
      </c>
      <c r="F8" s="709" t="n">
        <v>2</v>
      </c>
      <c r="G8" s="709" t="n">
        <v>65</v>
      </c>
      <c r="H8" s="709" t="inlineStr">
        <is>
          <t>MANDATORY</t>
        </is>
      </c>
      <c r="I8" s="709" t="inlineStr">
        <is>
          <t>https://ocecpr.gov.cy</t>
        </is>
      </c>
      <c r="J8" s="709" t="inlineStr"/>
    </row>
    <row r="9">
      <c r="A9" s="710" t="inlineStr">
        <is>
          <t>MOH-CY</t>
        </is>
      </c>
      <c r="B9" s="710" t="inlineStr">
        <is>
          <t>Ministry of Health</t>
        </is>
      </c>
      <c r="C9" s="710" t="inlineStr">
        <is>
          <t>وزارة الصحة</t>
        </is>
      </c>
      <c r="D9" s="710" t="inlineStr">
        <is>
          <t>Healthcare</t>
        </is>
      </c>
      <c r="E9" s="710" t="inlineStr">
        <is>
          <t>🟡 T3</t>
        </is>
      </c>
      <c r="F9" s="710" t="n">
        <v>1</v>
      </c>
      <c r="G9" s="710" t="n">
        <v>50</v>
      </c>
      <c r="H9" s="710" t="inlineStr">
        <is>
          <t>MANDATORY</t>
        </is>
      </c>
      <c r="I9" s="710" t="inlineStr">
        <is>
          <t>https://moh.gov.cy</t>
        </is>
      </c>
      <c r="J9" s="710" t="inlineStr"/>
    </row>
    <row r="11">
      <c r="A11" s="712" t="inlineStr">
        <is>
          <t xml:space="preserve">  B │ FRAMEWORKS</t>
        </is>
      </c>
      <c r="B11" s="766" t="n"/>
      <c r="C11" s="766" t="n"/>
      <c r="D11" s="766" t="n"/>
      <c r="E11" s="766" t="n"/>
      <c r="F11" s="766" t="n"/>
      <c r="G11" s="766" t="n"/>
      <c r="H11" s="766" t="n"/>
      <c r="I11" s="766" t="n"/>
      <c r="J11" s="767" t="n"/>
    </row>
    <row r="12">
      <c r="A12" s="713" t="inlineStr">
        <is>
          <t>Framework Code</t>
        </is>
      </c>
      <c r="B12" s="713" t="inlineStr">
        <is>
          <t>Name (EN)</t>
        </is>
      </c>
      <c r="C12" s="713" t="inlineStr">
        <is>
          <t>Issuing Regulator</t>
        </is>
      </c>
      <c r="D12" s="713" t="inlineStr">
        <is>
          <t>Version/Year</t>
        </is>
      </c>
      <c r="E12" s="713" t="inlineStr">
        <is>
          <t>Mandatory?</t>
        </is>
      </c>
      <c r="F12" s="713" t="inlineStr">
        <is>
          <t>Control Count</t>
        </is>
      </c>
      <c r="G12" s="713" t="inlineStr">
        <is>
          <t>Sector Applicability</t>
        </is>
      </c>
      <c r="H12" s="713" t="inlineStr">
        <is>
          <t>Audit Frequency</t>
        </is>
      </c>
      <c r="I12" s="713" t="inlineStr">
        <is>
          <t>Effective Date</t>
        </is>
      </c>
      <c r="J12" s="713" t="inlineStr">
        <is>
          <t>Canonical DB Code</t>
        </is>
      </c>
    </row>
    <row r="13">
      <c r="A13" s="711" t="inlineStr">
        <is>
          <t>EU-GDPR-2016-679</t>
        </is>
      </c>
      <c r="B13" s="711" t="inlineStr">
        <is>
          <t>EU General Data Protection Regulation (GDPR)</t>
        </is>
      </c>
      <c r="C13" s="711" t="inlineStr">
        <is>
          <t>CPDP-CY</t>
        </is>
      </c>
      <c r="D13" s="711" t="inlineStr">
        <is>
          <t>2016 +2025 updates</t>
        </is>
      </c>
      <c r="E13" s="711" t="inlineStr">
        <is>
          <t>Y</t>
        </is>
      </c>
      <c r="F13" s="711" t="n">
        <v>71</v>
      </c>
      <c r="G13" s="711" t="inlineStr">
        <is>
          <t>ALL</t>
        </is>
      </c>
      <c r="H13" s="711" t="inlineStr">
        <is>
          <t>ANNUAL</t>
        </is>
      </c>
      <c r="I13" s="711" t="inlineStr">
        <is>
          <t>2018-05-25</t>
        </is>
      </c>
      <c r="J13" s="711" t="inlineStr">
        <is>
          <t>EU-GDPR-2016-679</t>
        </is>
      </c>
    </row>
    <row r="14">
      <c r="A14" s="711" t="inlineStr">
        <is>
          <t>CY-DPA-125-2018</t>
        </is>
      </c>
      <c r="B14" s="711" t="inlineStr">
        <is>
          <t>Cyprus Data Protection Law 125(I)/2018</t>
        </is>
      </c>
      <c r="C14" s="711" t="inlineStr">
        <is>
          <t>CPDP-CY</t>
        </is>
      </c>
      <c r="D14" s="711" t="inlineStr">
        <is>
          <t>2018</t>
        </is>
      </c>
      <c r="E14" s="711" t="inlineStr">
        <is>
          <t>Y</t>
        </is>
      </c>
      <c r="F14" s="711" t="n">
        <v>40</v>
      </c>
      <c r="G14" s="711" t="inlineStr">
        <is>
          <t>ALL</t>
        </is>
      </c>
      <c r="H14" s="711" t="inlineStr">
        <is>
          <t>ANNUAL</t>
        </is>
      </c>
      <c r="I14" s="711" t="inlineStr">
        <is>
          <t>2018-07-31</t>
        </is>
      </c>
      <c r="J14" s="711" t="inlineStr">
        <is>
          <t>CY-DPA-125-2018</t>
        </is>
      </c>
    </row>
    <row r="15">
      <c r="A15" s="711" t="inlineStr">
        <is>
          <t>EU-NIS2-2022-2555</t>
        </is>
      </c>
      <c r="B15" s="711" t="inlineStr">
        <is>
          <t>EU NIS2 Directive 2022/2555</t>
        </is>
      </c>
      <c r="C15" s="711" t="inlineStr">
        <is>
          <t>DSA-CY</t>
        </is>
      </c>
      <c r="D15" s="711" t="inlineStr">
        <is>
          <t>2022</t>
        </is>
      </c>
      <c r="E15" s="711" t="inlineStr">
        <is>
          <t>Y</t>
        </is>
      </c>
      <c r="F15" s="711" t="n">
        <v>85</v>
      </c>
      <c r="G15" s="711" t="inlineStr">
        <is>
          <t>CRITICAL</t>
        </is>
      </c>
      <c r="H15" s="711" t="inlineStr">
        <is>
          <t>BIENNIAL</t>
        </is>
      </c>
      <c r="I15" s="711" t="inlineStr">
        <is>
          <t>2024-10-17</t>
        </is>
      </c>
      <c r="J15" s="711" t="inlineStr">
        <is>
          <t>EU-NIS2-2022-2555</t>
        </is>
      </c>
    </row>
    <row r="16">
      <c r="A16" s="711" t="inlineStr">
        <is>
          <t>CY-NIS2-TRANSPOSITION-2025</t>
        </is>
      </c>
      <c r="B16" s="711" t="inlineStr">
        <is>
          <t>Cyprus NIS2 Transposition Law 2025</t>
        </is>
      </c>
      <c r="C16" s="711" t="inlineStr">
        <is>
          <t>DSA-CY</t>
        </is>
      </c>
      <c r="D16" s="711" t="inlineStr">
        <is>
          <t>2025</t>
        </is>
      </c>
      <c r="E16" s="711" t="inlineStr">
        <is>
          <t>Y</t>
        </is>
      </c>
      <c r="F16" s="711" t="n">
        <v>85</v>
      </c>
      <c r="G16" s="711" t="inlineStr">
        <is>
          <t>CRITICAL</t>
        </is>
      </c>
      <c r="H16" s="711" t="inlineStr">
        <is>
          <t>BIENNIAL</t>
        </is>
      </c>
      <c r="I16" s="711" t="inlineStr">
        <is>
          <t>2025-01-01</t>
        </is>
      </c>
      <c r="J16" s="711" t="inlineStr">
        <is>
          <t>CY-NIS2-TRANSPOSITION-2025</t>
        </is>
      </c>
    </row>
    <row r="17">
      <c r="A17" s="711" t="inlineStr">
        <is>
          <t>EU-DORA-2022-2554</t>
        </is>
      </c>
      <c r="B17" s="711" t="inlineStr">
        <is>
          <t>EU Digital Operational Resilience Act (DORA)</t>
        </is>
      </c>
      <c r="C17" s="711" t="inlineStr">
        <is>
          <t>CySEC/CBC</t>
        </is>
      </c>
      <c r="D17" s="711" t="inlineStr">
        <is>
          <t>2022</t>
        </is>
      </c>
      <c r="E17" s="711" t="inlineStr">
        <is>
          <t>Y</t>
        </is>
      </c>
      <c r="F17" s="711" t="n">
        <v>100</v>
      </c>
      <c r="G17" s="711" t="inlineStr">
        <is>
          <t>FIN</t>
        </is>
      </c>
      <c r="H17" s="711" t="inlineStr">
        <is>
          <t>ANNUAL</t>
        </is>
      </c>
      <c r="I17" s="711" t="inlineStr">
        <is>
          <t>2025-01-17</t>
        </is>
      </c>
      <c r="J17" s="711" t="inlineStr">
        <is>
          <t>EU-DORA-2022-2554</t>
        </is>
      </c>
    </row>
    <row r="18">
      <c r="A18" s="711" t="inlineStr">
        <is>
          <t>EU-AI-ACT-2024</t>
        </is>
      </c>
      <c r="B18" s="711" t="inlineStr">
        <is>
          <t>EU AI Act 2024</t>
        </is>
      </c>
      <c r="C18" s="711" t="inlineStr">
        <is>
          <t>DSA-CY</t>
        </is>
      </c>
      <c r="D18" s="711" t="inlineStr">
        <is>
          <t>2024</t>
        </is>
      </c>
      <c r="E18" s="711" t="inlineStr">
        <is>
          <t>Y</t>
        </is>
      </c>
      <c r="F18" s="711" t="n">
        <v>50</v>
      </c>
      <c r="G18" s="711" t="inlineStr">
        <is>
          <t>ALL</t>
        </is>
      </c>
      <c r="H18" s="711" t="inlineStr">
        <is>
          <t>ANNUAL</t>
        </is>
      </c>
      <c r="I18" s="711" t="inlineStr">
        <is>
          <t>2024-08-01</t>
        </is>
      </c>
      <c r="J18" s="711" t="inlineStr">
        <is>
          <t>EU-AI-ACT-2024</t>
        </is>
      </c>
    </row>
    <row r="19">
      <c r="A19" s="711" t="inlineStr">
        <is>
          <t>CySEC-CYBERSEC-GUIDELINES</t>
        </is>
      </c>
      <c r="B19" s="711" t="inlineStr">
        <is>
          <t>CySEC Cybersecurity Guidelines</t>
        </is>
      </c>
      <c r="C19" s="711" t="inlineStr">
        <is>
          <t>CySEC</t>
        </is>
      </c>
      <c r="D19" s="711" t="inlineStr">
        <is>
          <t>2023</t>
        </is>
      </c>
      <c r="E19" s="711" t="inlineStr">
        <is>
          <t>Y</t>
        </is>
      </c>
      <c r="F19" s="711" t="n">
        <v>45</v>
      </c>
      <c r="G19" s="711" t="inlineStr">
        <is>
          <t>FIN</t>
        </is>
      </c>
      <c r="H19" s="711" t="inlineStr">
        <is>
          <t>ANNUAL</t>
        </is>
      </c>
      <c r="I19" s="711" t="inlineStr">
        <is>
          <t>2023-01-01</t>
        </is>
      </c>
      <c r="J19" s="711" t="inlineStr">
        <is>
          <t>CySEC-CYBERSEC-GUIDELINES</t>
        </is>
      </c>
    </row>
    <row r="20">
      <c r="A20" s="711" t="inlineStr">
        <is>
          <t>CBC-CYBERSEC</t>
        </is>
      </c>
      <c r="B20" s="711" t="inlineStr">
        <is>
          <t>CBC Cybersecurity Requirements</t>
        </is>
      </c>
      <c r="C20" s="711" t="inlineStr">
        <is>
          <t>CBC</t>
        </is>
      </c>
      <c r="D20" s="711" t="inlineStr">
        <is>
          <t>2023</t>
        </is>
      </c>
      <c r="E20" s="711" t="inlineStr">
        <is>
          <t>Y</t>
        </is>
      </c>
      <c r="F20" s="711" t="n">
        <v>60</v>
      </c>
      <c r="G20" s="711" t="inlineStr">
        <is>
          <t>FIN</t>
        </is>
      </c>
      <c r="H20" s="711" t="inlineStr">
        <is>
          <t>ANNUAL</t>
        </is>
      </c>
      <c r="I20" s="711" t="inlineStr">
        <is>
          <t>2023-01-01</t>
        </is>
      </c>
      <c r="J20" s="711" t="inlineStr">
        <is>
          <t>CBC-CYBERSEC</t>
        </is>
      </c>
    </row>
    <row r="21">
      <c r="A21" s="711" t="inlineStr">
        <is>
          <t>EU-AML6D</t>
        </is>
      </c>
      <c r="B21" s="711" t="inlineStr">
        <is>
          <t>EU 6th Anti-Money Laundering Directive</t>
        </is>
      </c>
      <c r="C21" s="711" t="inlineStr">
        <is>
          <t>CBC</t>
        </is>
      </c>
      <c r="D21" s="711" t="inlineStr">
        <is>
          <t>2020</t>
        </is>
      </c>
      <c r="E21" s="711" t="inlineStr">
        <is>
          <t>Y</t>
        </is>
      </c>
      <c r="F21" s="711" t="n">
        <v>30</v>
      </c>
      <c r="G21" s="711" t="inlineStr">
        <is>
          <t>FIN</t>
        </is>
      </c>
      <c r="H21" s="711" t="inlineStr">
        <is>
          <t>CONTINUOUS</t>
        </is>
      </c>
      <c r="I21" s="711" t="inlineStr">
        <is>
          <t>2020-12-03</t>
        </is>
      </c>
      <c r="J21" s="711" t="inlineStr">
        <is>
          <t>EU-AML6D</t>
        </is>
      </c>
    </row>
    <row r="23">
      <c r="A23" s="715" t="inlineStr">
        <is>
          <t xml:space="preserve">  C │ CONTROL DOMAINS</t>
        </is>
      </c>
      <c r="B23" s="766" t="n"/>
      <c r="C23" s="766" t="n"/>
      <c r="D23" s="766" t="n"/>
      <c r="E23" s="766" t="n"/>
      <c r="F23" s="766" t="n"/>
      <c r="G23" s="766" t="n"/>
      <c r="H23" s="766" t="n"/>
      <c r="I23" s="766" t="n"/>
      <c r="J23" s="767" t="n"/>
    </row>
    <row r="24">
      <c r="A24" s="716" t="inlineStr">
        <is>
          <t>Domain Code</t>
        </is>
      </c>
      <c r="B24" s="716" t="inlineStr">
        <is>
          <t>Domain Name</t>
        </is>
      </c>
      <c r="C24" s="716" t="inlineStr">
        <is>
          <t>Primary Framework</t>
        </is>
      </c>
      <c r="D24" s="716" t="inlineStr">
        <is>
          <t>Control Count</t>
        </is>
      </c>
      <c r="E24" s="716" t="inlineStr">
        <is>
          <t>Risk Level</t>
        </is>
      </c>
      <c r="F24" s="716" t="inlineStr">
        <is>
          <t>IoT Relevance</t>
        </is>
      </c>
      <c r="G24" s="716" t="inlineStr">
        <is>
          <t>Automation Possible?</t>
        </is>
      </c>
      <c r="H24" s="716" t="inlineStr">
        <is>
          <t>Audit Method</t>
        </is>
      </c>
      <c r="I24" s="716" t="inlineStr">
        <is>
          <t>Shahin AI Score</t>
        </is>
      </c>
      <c r="J24" s="716" t="inlineStr">
        <is>
          <t>Notes</t>
        </is>
      </c>
    </row>
    <row r="25">
      <c r="A25" s="717" t="inlineStr">
        <is>
          <t>CY-CD-01</t>
        </is>
      </c>
      <c r="B25" s="717" t="inlineStr">
        <is>
          <t>GDPR / Data Privacy</t>
        </is>
      </c>
      <c r="C25" s="717" t="inlineStr">
        <is>
          <t>EU-GDPR-2016-679</t>
        </is>
      </c>
      <c r="D25" s="717" t="n">
        <v>71</v>
      </c>
      <c r="E25" s="717" t="inlineStr">
        <is>
          <t>HIGHEST</t>
        </is>
      </c>
      <c r="F25" s="717" t="inlineStr">
        <is>
          <t>MODERATE</t>
        </is>
      </c>
      <c r="G25" s="717" t="inlineStr">
        <is>
          <t>Y</t>
        </is>
      </c>
      <c r="H25" s="717" t="inlineStr">
        <is>
          <t>EXTERNAL_AUDIT</t>
        </is>
      </c>
      <c r="I25" s="717" t="n">
        <v>90</v>
      </c>
      <c r="J25" s="717" t="inlineStr"/>
    </row>
    <row r="26">
      <c r="A26" s="718" t="inlineStr">
        <is>
          <t>CY-CD-02</t>
        </is>
      </c>
      <c r="B26" s="718" t="inlineStr">
        <is>
          <t>NIS2 / Critical Infrastructure</t>
        </is>
      </c>
      <c r="C26" s="718" t="inlineStr">
        <is>
          <t>EU-NIS2-2022-2555</t>
        </is>
      </c>
      <c r="D26" s="718" t="n">
        <v>85</v>
      </c>
      <c r="E26" s="718" t="inlineStr">
        <is>
          <t>HIGHEST</t>
        </is>
      </c>
      <c r="F26" s="718" t="inlineStr">
        <is>
          <t>HIGH</t>
        </is>
      </c>
      <c r="G26" s="718" t="inlineStr">
        <is>
          <t>Y</t>
        </is>
      </c>
      <c r="H26" s="718" t="inlineStr">
        <is>
          <t>REGULATOR_INSPECTION</t>
        </is>
      </c>
      <c r="I26" s="718" t="n">
        <v>88</v>
      </c>
      <c r="J26" s="718" t="inlineStr"/>
    </row>
    <row r="27">
      <c r="A27" s="717" t="inlineStr">
        <is>
          <t>CY-CD-03</t>
        </is>
      </c>
      <c r="B27" s="717" t="inlineStr">
        <is>
          <t>DORA / Financial Resilience</t>
        </is>
      </c>
      <c r="C27" s="717" t="inlineStr">
        <is>
          <t>EU-DORA-2022-2554</t>
        </is>
      </c>
      <c r="D27" s="717" t="n">
        <v>100</v>
      </c>
      <c r="E27" s="717" t="inlineStr">
        <is>
          <t>HIGHEST</t>
        </is>
      </c>
      <c r="F27" s="717" t="inlineStr">
        <is>
          <t>MODERATE</t>
        </is>
      </c>
      <c r="G27" s="717" t="inlineStr">
        <is>
          <t>Y</t>
        </is>
      </c>
      <c r="H27" s="717" t="inlineStr">
        <is>
          <t>EXTERNAL_AUDIT</t>
        </is>
      </c>
      <c r="I27" s="717" t="n">
        <v>88</v>
      </c>
      <c r="J27" s="717" t="inlineStr"/>
    </row>
    <row r="28">
      <c r="A28" s="718" t="inlineStr">
        <is>
          <t>CY-CD-04</t>
        </is>
      </c>
      <c r="B28" s="718" t="inlineStr">
        <is>
          <t>AI Act Compliance</t>
        </is>
      </c>
      <c r="C28" s="718" t="inlineStr">
        <is>
          <t>EU-AI-ACT-2024</t>
        </is>
      </c>
      <c r="D28" s="718" t="n">
        <v>50</v>
      </c>
      <c r="E28" s="718" t="inlineStr">
        <is>
          <t>HIGH</t>
        </is>
      </c>
      <c r="F28" s="718" t="inlineStr">
        <is>
          <t>HIGH</t>
        </is>
      </c>
      <c r="G28" s="718" t="inlineStr">
        <is>
          <t>PARTIAL</t>
        </is>
      </c>
      <c r="H28" s="718" t="inlineStr">
        <is>
          <t>SELF_ASSESSMENT</t>
        </is>
      </c>
      <c r="I28" s="718" t="n">
        <v>82</v>
      </c>
      <c r="J28" s="718" t="inlineStr"/>
    </row>
    <row r="29">
      <c r="A29" s="717" t="inlineStr">
        <is>
          <t>CY-CD-05</t>
        </is>
      </c>
      <c r="B29" s="717" t="inlineStr">
        <is>
          <t>AML/CFT</t>
        </is>
      </c>
      <c r="C29" s="717" t="inlineStr">
        <is>
          <t>EU-AML6D</t>
        </is>
      </c>
      <c r="D29" s="717" t="n">
        <v>30</v>
      </c>
      <c r="E29" s="717" t="inlineStr">
        <is>
          <t>HIGH</t>
        </is>
      </c>
      <c r="F29" s="717" t="inlineStr">
        <is>
          <t>LOW</t>
        </is>
      </c>
      <c r="G29" s="717" t="inlineStr">
        <is>
          <t>PARTIAL</t>
        </is>
      </c>
      <c r="H29" s="717" t="inlineStr">
        <is>
          <t>REGULATOR_INSPECTION</t>
        </is>
      </c>
      <c r="I29" s="717" t="n">
        <v>85</v>
      </c>
      <c r="J29" s="717" t="inlineStr"/>
    </row>
    <row r="31">
      <c r="A31" s="719" t="inlineStr">
        <is>
          <t xml:space="preserve">  D │ RISK DOMAINS</t>
        </is>
      </c>
      <c r="B31" s="766" t="n"/>
      <c r="C31" s="766" t="n"/>
      <c r="D31" s="766" t="n"/>
      <c r="E31" s="766" t="n"/>
      <c r="F31" s="766" t="n"/>
      <c r="G31" s="766" t="n"/>
      <c r="H31" s="766" t="n"/>
      <c r="I31" s="766" t="n"/>
      <c r="J31" s="767" t="n"/>
    </row>
    <row r="32">
      <c r="A32" s="720" t="inlineStr">
        <is>
          <t>Risk Domain</t>
        </is>
      </c>
      <c r="B32" s="720" t="inlineStr">
        <is>
          <t>Risk Category</t>
        </is>
      </c>
      <c r="C32" s="720" t="inlineStr">
        <is>
          <t>Risk Score (0-100)</t>
        </is>
      </c>
      <c r="D32" s="720" t="inlineStr">
        <is>
          <t>Level</t>
        </is>
      </c>
      <c r="E32" s="720" t="inlineStr">
        <is>
          <t>Primary Regulator</t>
        </is>
      </c>
      <c r="F32" s="720" t="inlineStr">
        <is>
          <t>Linked Framework</t>
        </is>
      </c>
      <c r="G32" s="720" t="inlineStr">
        <is>
          <t>KRI Count</t>
        </is>
      </c>
      <c r="H32" s="720" t="inlineStr">
        <is>
          <t>Escalation Threshold</t>
        </is>
      </c>
      <c r="I32" s="720" t="inlineStr">
        <is>
          <t>Owner Role</t>
        </is>
      </c>
      <c r="J32" s="720" t="inlineStr">
        <is>
          <t>Notes</t>
        </is>
      </c>
    </row>
    <row r="33">
      <c r="A33" s="717" t="inlineStr">
        <is>
          <t>GDPR Breach Risk</t>
        </is>
      </c>
      <c r="B33" s="717" t="inlineStr">
        <is>
          <t>Privacy</t>
        </is>
      </c>
      <c r="C33" s="717" t="n">
        <v>88</v>
      </c>
      <c r="D33" s="717" t="inlineStr">
        <is>
          <t>HIGHEST</t>
        </is>
      </c>
      <c r="E33" s="717" t="inlineStr">
        <is>
          <t>CPDP-CY</t>
        </is>
      </c>
      <c r="F33" s="717" t="inlineStr">
        <is>
          <t>EU-GDPR-2016-679</t>
        </is>
      </c>
      <c r="G33" s="717" t="n">
        <v>8</v>
      </c>
      <c r="H33" s="717" t="inlineStr">
        <is>
          <t>72h notification mandatory</t>
        </is>
      </c>
      <c r="I33" s="717" t="inlineStr">
        <is>
          <t>DPO</t>
        </is>
      </c>
      <c r="J33" s="717" t="inlineStr"/>
    </row>
    <row r="34">
      <c r="A34" s="718" t="inlineStr">
        <is>
          <t>DORA / Financial Resilience</t>
        </is>
      </c>
      <c r="B34" s="718" t="inlineStr">
        <is>
          <t>Operational</t>
        </is>
      </c>
      <c r="C34" s="718" t="n">
        <v>85</v>
      </c>
      <c r="D34" s="718" t="inlineStr">
        <is>
          <t>HIGHEST</t>
        </is>
      </c>
      <c r="E34" s="718" t="inlineStr">
        <is>
          <t>CySEC/CBC</t>
        </is>
      </c>
      <c r="F34" s="718" t="inlineStr">
        <is>
          <t>EU-DORA-2022-2554</t>
        </is>
      </c>
      <c r="G34" s="718" t="n">
        <v>7</v>
      </c>
      <c r="H34" s="718" t="inlineStr">
        <is>
          <t>RTO breach</t>
        </is>
      </c>
      <c r="I34" s="718" t="inlineStr">
        <is>
          <t>CRO</t>
        </is>
      </c>
      <c r="J34" s="718" t="inlineStr"/>
    </row>
    <row r="35">
      <c r="A35" s="717" t="inlineStr">
        <is>
          <t>NIS2 / Critical Infrastructure</t>
        </is>
      </c>
      <c r="B35" s="717" t="inlineStr">
        <is>
          <t>Cybersecurity</t>
        </is>
      </c>
      <c r="C35" s="717" t="n">
        <v>82</v>
      </c>
      <c r="D35" s="717" t="inlineStr">
        <is>
          <t>HIGHEST</t>
        </is>
      </c>
      <c r="E35" s="717" t="inlineStr">
        <is>
          <t>DSA-CY</t>
        </is>
      </c>
      <c r="F35" s="717" t="inlineStr">
        <is>
          <t>EU-NIS2-2022-2555</t>
        </is>
      </c>
      <c r="G35" s="717" t="n">
        <v>6</v>
      </c>
      <c r="H35" s="717" t="inlineStr">
        <is>
          <t>Incident not reported 24h</t>
        </is>
      </c>
      <c r="I35" s="717" t="inlineStr">
        <is>
          <t>CISO</t>
        </is>
      </c>
      <c r="J35" s="717" t="inlineStr"/>
    </row>
    <row r="37">
      <c r="A37" s="721" t="inlineStr">
        <is>
          <t xml:space="preserve">  E │ COMPLIANCE LIFECYCLE</t>
        </is>
      </c>
      <c r="B37" s="766" t="n"/>
      <c r="C37" s="766" t="n"/>
      <c r="D37" s="766" t="n"/>
      <c r="E37" s="766" t="n"/>
      <c r="F37" s="766" t="n"/>
      <c r="G37" s="766" t="n"/>
      <c r="H37" s="766" t="n"/>
      <c r="I37" s="766" t="n"/>
      <c r="J37" s="767" t="n"/>
    </row>
    <row r="38">
      <c r="A38" s="722" t="inlineStr">
        <is>
          <t>Stage</t>
        </is>
      </c>
      <c r="B38" s="722" t="inlineStr">
        <is>
          <t>Stage Code</t>
        </is>
      </c>
      <c r="C38" s="722" t="inlineStr">
        <is>
          <t>Entry Trigger</t>
        </is>
      </c>
      <c r="D38" s="722" t="inlineStr">
        <is>
          <t>Exit Trigger</t>
        </is>
      </c>
      <c r="E38" s="722" t="inlineStr">
        <is>
          <t>Next Stage</t>
        </is>
      </c>
      <c r="F38" s="722" t="inlineStr">
        <is>
          <t>Approval Required</t>
        </is>
      </c>
      <c r="G38" s="722" t="inlineStr">
        <is>
          <t>Typical Duration</t>
        </is>
      </c>
      <c r="H38" s="722" t="inlineStr">
        <is>
          <t>Responsible Role</t>
        </is>
      </c>
      <c r="I38" s="722" t="inlineStr">
        <is>
          <t>Automation</t>
        </is>
      </c>
      <c r="J38" s="722" t="inlineStr">
        <is>
          <t>SLA (Days)</t>
        </is>
      </c>
    </row>
    <row r="39">
      <c r="A39" s="717" t="inlineStr">
        <is>
          <t>Draft</t>
        </is>
      </c>
      <c r="B39" s="717" t="inlineStr">
        <is>
          <t>DRAFT</t>
        </is>
      </c>
      <c r="C39" s="717" t="inlineStr">
        <is>
          <t>Registration initiated</t>
        </is>
      </c>
      <c r="D39" s="717" t="inlineStr">
        <is>
          <t>Initial assessment complete</t>
        </is>
      </c>
      <c r="E39" s="717" t="inlineStr">
        <is>
          <t>ASSESSED</t>
        </is>
      </c>
      <c r="F39" s="717" t="inlineStr">
        <is>
          <t>N</t>
        </is>
      </c>
      <c r="G39" s="717" t="inlineStr">
        <is>
          <t>14 days</t>
        </is>
      </c>
      <c r="H39" s="717" t="inlineStr">
        <is>
          <t>Compliance Officer</t>
        </is>
      </c>
      <c r="I39" s="717" t="inlineStr">
        <is>
          <t>FULL</t>
        </is>
      </c>
      <c r="J39" s="717" t="n">
        <v>14</v>
      </c>
    </row>
    <row r="40">
      <c r="A40" s="718" t="inlineStr">
        <is>
          <t>Assessed</t>
        </is>
      </c>
      <c r="B40" s="718" t="inlineStr">
        <is>
          <t>ASSESSED</t>
        </is>
      </c>
      <c r="C40" s="718" t="inlineStr">
        <is>
          <t>Draft submitted</t>
        </is>
      </c>
      <c r="D40" s="718" t="inlineStr">
        <is>
          <t>Gap analysis approved</t>
        </is>
      </c>
      <c r="E40" s="718" t="inlineStr">
        <is>
          <t>REGISTERED</t>
        </is>
      </c>
      <c r="F40" s="718" t="inlineStr">
        <is>
          <t>Y</t>
        </is>
      </c>
      <c r="G40" s="718" t="inlineStr">
        <is>
          <t>30 days</t>
        </is>
      </c>
      <c r="H40" s="718" t="inlineStr">
        <is>
          <t>Lead Auditor</t>
        </is>
      </c>
      <c r="I40" s="718" t="inlineStr">
        <is>
          <t>PARTIAL</t>
        </is>
      </c>
      <c r="J40" s="718" t="n">
        <v>30</v>
      </c>
    </row>
    <row r="41">
      <c r="A41" s="717" t="inlineStr">
        <is>
          <t>Registered</t>
        </is>
      </c>
      <c r="B41" s="717" t="inlineStr">
        <is>
          <t>REGISTERED</t>
        </is>
      </c>
      <c r="C41" s="717" t="inlineStr">
        <is>
          <t>Assessment passed</t>
        </is>
      </c>
      <c r="D41" s="717" t="inlineStr">
        <is>
          <t>Controls implemented</t>
        </is>
      </c>
      <c r="E41" s="717" t="inlineStr">
        <is>
          <t>ACTIVE</t>
        </is>
      </c>
      <c r="F41" s="717" t="inlineStr">
        <is>
          <t>Y</t>
        </is>
      </c>
      <c r="G41" s="717" t="inlineStr">
        <is>
          <t>90 days</t>
        </is>
      </c>
      <c r="H41" s="717" t="inlineStr">
        <is>
          <t>CISO</t>
        </is>
      </c>
      <c r="I41" s="717" t="inlineStr">
        <is>
          <t>PARTIAL</t>
        </is>
      </c>
      <c r="J41" s="717" t="n">
        <v>90</v>
      </c>
    </row>
    <row r="42">
      <c r="A42" s="718" t="inlineStr">
        <is>
          <t>Active</t>
        </is>
      </c>
      <c r="B42" s="718" t="inlineStr">
        <is>
          <t>ACTIVE</t>
        </is>
      </c>
      <c r="C42" s="718" t="inlineStr">
        <is>
          <t>Registration confirmed</t>
        </is>
      </c>
      <c r="D42" s="718" t="inlineStr">
        <is>
          <t>Audit scheduled</t>
        </is>
      </c>
      <c r="E42" s="718" t="inlineStr">
        <is>
          <t>AUDITED</t>
        </is>
      </c>
      <c r="F42" s="718" t="inlineStr">
        <is>
          <t>N</t>
        </is>
      </c>
      <c r="G42" s="718" t="inlineStr">
        <is>
          <t>Ongoing</t>
        </is>
      </c>
      <c r="H42" s="718" t="inlineStr">
        <is>
          <t>Compliance Officer</t>
        </is>
      </c>
      <c r="I42" s="718" t="inlineStr">
        <is>
          <t>FULL</t>
        </is>
      </c>
      <c r="J42" s="718" t="n">
        <v>365</v>
      </c>
    </row>
    <row r="43">
      <c r="A43" s="717" t="inlineStr">
        <is>
          <t>Audited</t>
        </is>
      </c>
      <c r="B43" s="717" t="inlineStr">
        <is>
          <t>AUDITED</t>
        </is>
      </c>
      <c r="C43" s="717" t="inlineStr">
        <is>
          <t>Annual audit cycle</t>
        </is>
      </c>
      <c r="D43" s="717" t="inlineStr">
        <is>
          <t>Audit report issued</t>
        </is>
      </c>
      <c r="E43" s="717" t="inlineStr">
        <is>
          <t>RENEWED</t>
        </is>
      </c>
      <c r="F43" s="717" t="inlineStr">
        <is>
          <t>Y</t>
        </is>
      </c>
      <c r="G43" s="717" t="inlineStr">
        <is>
          <t>60 days</t>
        </is>
      </c>
      <c r="H43" s="717" t="inlineStr">
        <is>
          <t>External Auditor</t>
        </is>
      </c>
      <c r="I43" s="717" t="inlineStr">
        <is>
          <t>PARTIAL</t>
        </is>
      </c>
      <c r="J43" s="717" t="n">
        <v>60</v>
      </c>
    </row>
    <row r="44">
      <c r="A44" s="718" t="inlineStr">
        <is>
          <t>Renewed</t>
        </is>
      </c>
      <c r="B44" s="718" t="inlineStr">
        <is>
          <t>RENEWED</t>
        </is>
      </c>
      <c r="C44" s="718" t="inlineStr">
        <is>
          <t>Successful audit</t>
        </is>
      </c>
      <c r="D44" s="718" t="inlineStr">
        <is>
          <t>Next cycle begins</t>
        </is>
      </c>
      <c r="E44" s="718" t="inlineStr">
        <is>
          <t>ACTIVE</t>
        </is>
      </c>
      <c r="F44" s="718" t="inlineStr">
        <is>
          <t>N</t>
        </is>
      </c>
      <c r="G44" s="718" t="inlineStr">
        <is>
          <t>1 day</t>
        </is>
      </c>
      <c r="H44" s="718" t="inlineStr">
        <is>
          <t>Compliance Officer</t>
        </is>
      </c>
      <c r="I44" s="718" t="inlineStr">
        <is>
          <t>FULL</t>
        </is>
      </c>
      <c r="J44" s="718" t="n">
        <v>1</v>
      </c>
    </row>
    <row r="45">
      <c r="A45" s="717" t="inlineStr">
        <is>
          <t>Archived</t>
        </is>
      </c>
      <c r="B45" s="717" t="inlineStr">
        <is>
          <t>ARCHIVED</t>
        </is>
      </c>
      <c r="C45" s="717" t="inlineStr">
        <is>
          <t>Decommission / superseded</t>
        </is>
      </c>
      <c r="D45" s="717" t="inlineStr">
        <is>
          <t>N/A</t>
        </is>
      </c>
      <c r="E45" s="717" t="inlineStr">
        <is>
          <t>N/A</t>
        </is>
      </c>
      <c r="F45" s="717" t="inlineStr">
        <is>
          <t>Y</t>
        </is>
      </c>
      <c r="G45" s="717" t="inlineStr">
        <is>
          <t>N/A</t>
        </is>
      </c>
      <c r="H45" s="717" t="inlineStr">
        <is>
          <t>CCO</t>
        </is>
      </c>
      <c r="I45" s="717" t="inlineStr">
        <is>
          <t>N</t>
        </is>
      </c>
      <c r="J45" s="717" t="n">
        <v>0</v>
      </c>
    </row>
    <row r="47">
      <c r="A47" s="723" t="inlineStr">
        <is>
          <t xml:space="preserve">  F │ EVIDENCE REQUIREMENTS</t>
        </is>
      </c>
      <c r="B47" s="766" t="n"/>
      <c r="C47" s="766" t="n"/>
      <c r="D47" s="766" t="n"/>
      <c r="E47" s="766" t="n"/>
      <c r="F47" s="766" t="n"/>
      <c r="G47" s="766" t="n"/>
      <c r="H47" s="766" t="n"/>
      <c r="I47" s="766" t="n"/>
      <c r="J47" s="767" t="n"/>
    </row>
    <row r="48">
      <c r="A48" s="724" t="inlineStr">
        <is>
          <t>Evidence Type</t>
        </is>
      </c>
      <c r="B48" s="724" t="inlineStr">
        <is>
          <t>Framework</t>
        </is>
      </c>
      <c r="C48" s="724" t="inlineStr">
        <is>
          <t>Responsible Role</t>
        </is>
      </c>
      <c r="D48" s="724" t="inlineStr">
        <is>
          <t>Collection Frequency</t>
        </is>
      </c>
      <c r="E48" s="724" t="inlineStr">
        <is>
          <t>Retention (Years)</t>
        </is>
      </c>
      <c r="F48" s="724" t="inlineStr">
        <is>
          <t>Format</t>
        </is>
      </c>
      <c r="G48" s="724" t="inlineStr">
        <is>
          <t>Submittable to Regulator?</t>
        </is>
      </c>
      <c r="H48" s="724" t="inlineStr">
        <is>
          <t>AI Extractable?</t>
        </is>
      </c>
      <c r="I48" s="724" t="inlineStr">
        <is>
          <t>Risk if Missing</t>
        </is>
      </c>
      <c r="J48" s="724" t="inlineStr">
        <is>
          <t>Notes</t>
        </is>
      </c>
    </row>
    <row r="49">
      <c r="A49" s="717" t="inlineStr">
        <is>
          <t>Self-Assessment Report</t>
        </is>
      </c>
      <c r="B49" s="717" t="inlineStr">
        <is>
          <t>ALL</t>
        </is>
      </c>
      <c r="C49" s="717" t="inlineStr">
        <is>
          <t>Compliance Officer</t>
        </is>
      </c>
      <c r="D49" s="717" t="inlineStr">
        <is>
          <t>ANNUAL</t>
        </is>
      </c>
      <c r="E49" s="717" t="n">
        <v>5</v>
      </c>
      <c r="F49" s="717" t="inlineStr">
        <is>
          <t>PDF</t>
        </is>
      </c>
      <c r="G49" s="717" t="inlineStr">
        <is>
          <t>Y</t>
        </is>
      </c>
      <c r="H49" s="717" t="inlineStr">
        <is>
          <t>Y</t>
        </is>
      </c>
      <c r="I49" s="717" t="inlineStr">
        <is>
          <t>HIGH</t>
        </is>
      </c>
      <c r="J49" s="717" t="inlineStr"/>
    </row>
    <row r="50">
      <c r="A50" s="718" t="inlineStr">
        <is>
          <t>Gap Analysis Report</t>
        </is>
      </c>
      <c r="B50" s="718" t="inlineStr">
        <is>
          <t>ALL</t>
        </is>
      </c>
      <c r="C50" s="718" t="inlineStr">
        <is>
          <t>Lead Auditor</t>
        </is>
      </c>
      <c r="D50" s="718" t="inlineStr">
        <is>
          <t>ANNUAL</t>
        </is>
      </c>
      <c r="E50" s="718" t="n">
        <v>5</v>
      </c>
      <c r="F50" s="718" t="inlineStr">
        <is>
          <t>PDF/Excel</t>
        </is>
      </c>
      <c r="G50" s="718" t="inlineStr">
        <is>
          <t>N</t>
        </is>
      </c>
      <c r="H50" s="718" t="inlineStr">
        <is>
          <t>Y</t>
        </is>
      </c>
      <c r="I50" s="718" t="inlineStr">
        <is>
          <t>HIGH</t>
        </is>
      </c>
      <c r="J50" s="718" t="inlineStr"/>
    </row>
    <row r="51">
      <c r="A51" s="717" t="inlineStr">
        <is>
          <t>External Audit Report</t>
        </is>
      </c>
      <c r="B51" s="717" t="inlineStr">
        <is>
          <t>ALL</t>
        </is>
      </c>
      <c r="C51" s="717" t="inlineStr">
        <is>
          <t>External Auditor</t>
        </is>
      </c>
      <c r="D51" s="717" t="inlineStr">
        <is>
          <t>ANNUAL</t>
        </is>
      </c>
      <c r="E51" s="717" t="n">
        <v>7</v>
      </c>
      <c r="F51" s="717" t="inlineStr">
        <is>
          <t>PDF</t>
        </is>
      </c>
      <c r="G51" s="717" t="inlineStr">
        <is>
          <t>Y</t>
        </is>
      </c>
      <c r="H51" s="717" t="inlineStr">
        <is>
          <t>Y</t>
        </is>
      </c>
      <c r="I51" s="717" t="inlineStr">
        <is>
          <t>CRITICAL</t>
        </is>
      </c>
      <c r="J51" s="717" t="inlineStr"/>
    </row>
    <row r="52">
      <c r="A52" s="718" t="inlineStr">
        <is>
          <t>Penetration Test Report</t>
        </is>
      </c>
      <c r="B52" s="718" t="inlineStr">
        <is>
          <t>ALL</t>
        </is>
      </c>
      <c r="C52" s="718" t="inlineStr">
        <is>
          <t>CISO</t>
        </is>
      </c>
      <c r="D52" s="718" t="inlineStr">
        <is>
          <t>ANNUAL</t>
        </is>
      </c>
      <c r="E52" s="718" t="n">
        <v>3</v>
      </c>
      <c r="F52" s="718" t="inlineStr">
        <is>
          <t>PDF</t>
        </is>
      </c>
      <c r="G52" s="718" t="inlineStr">
        <is>
          <t>Y</t>
        </is>
      </c>
      <c r="H52" s="718" t="inlineStr">
        <is>
          <t>Y</t>
        </is>
      </c>
      <c r="I52" s="718" t="inlineStr">
        <is>
          <t>HIGH</t>
        </is>
      </c>
      <c r="J52" s="718" t="inlineStr"/>
    </row>
    <row r="53">
      <c r="A53" s="717" t="inlineStr">
        <is>
          <t>Regulator Inspection Record</t>
        </is>
      </c>
      <c r="B53" s="717" t="inlineStr">
        <is>
          <t>ALL</t>
        </is>
      </c>
      <c r="C53" s="717" t="inlineStr">
        <is>
          <t>CCO</t>
        </is>
      </c>
      <c r="D53" s="717" t="inlineStr">
        <is>
          <t>AS_REQUIRED</t>
        </is>
      </c>
      <c r="E53" s="717" t="n">
        <v>10</v>
      </c>
      <c r="F53" s="717" t="inlineStr">
        <is>
          <t>PDF</t>
        </is>
      </c>
      <c r="G53" s="717" t="inlineStr">
        <is>
          <t>Y</t>
        </is>
      </c>
      <c r="H53" s="717" t="inlineStr">
        <is>
          <t>N</t>
        </is>
      </c>
      <c r="I53" s="717" t="inlineStr">
        <is>
          <t>CRITICAL</t>
        </is>
      </c>
      <c r="J53" s="717" t="inlineStr"/>
    </row>
    <row r="54">
      <c r="A54" s="718" t="inlineStr">
        <is>
          <t>Incident Response Log</t>
        </is>
      </c>
      <c r="B54" s="718" t="inlineStr">
        <is>
          <t>ALL</t>
        </is>
      </c>
      <c r="C54" s="718" t="inlineStr">
        <is>
          <t>CISO</t>
        </is>
      </c>
      <c r="D54" s="718" t="inlineStr">
        <is>
          <t>CONTINUOUS</t>
        </is>
      </c>
      <c r="E54" s="718" t="n">
        <v>5</v>
      </c>
      <c r="F54" s="718" t="inlineStr">
        <is>
          <t>SIEM/PDF</t>
        </is>
      </c>
      <c r="G54" s="718" t="inlineStr">
        <is>
          <t>Y</t>
        </is>
      </c>
      <c r="H54" s="718" t="inlineStr">
        <is>
          <t>Y</t>
        </is>
      </c>
      <c r="I54" s="718" t="inlineStr">
        <is>
          <t>HIGH</t>
        </is>
      </c>
      <c r="J54" s="718" t="inlineStr"/>
    </row>
    <row r="55">
      <c r="A55" s="717" t="inlineStr">
        <is>
          <t>Training Completion Records</t>
        </is>
      </c>
      <c r="B55" s="717" t="inlineStr">
        <is>
          <t>ALL</t>
        </is>
      </c>
      <c r="C55" s="717" t="inlineStr">
        <is>
          <t>CISO</t>
        </is>
      </c>
      <c r="D55" s="717" t="inlineStr">
        <is>
          <t>ANNUAL</t>
        </is>
      </c>
      <c r="E55" s="717" t="n">
        <v>3</v>
      </c>
      <c r="F55" s="717" t="inlineStr">
        <is>
          <t>CSV/PDF</t>
        </is>
      </c>
      <c r="G55" s="717" t="inlineStr">
        <is>
          <t>N</t>
        </is>
      </c>
      <c r="H55" s="717" t="inlineStr">
        <is>
          <t>Y</t>
        </is>
      </c>
      <c r="I55" s="717" t="inlineStr">
        <is>
          <t>MEDIUM</t>
        </is>
      </c>
      <c r="J55" s="717" t="inlineStr"/>
    </row>
    <row r="56">
      <c r="A56" s="718" t="inlineStr">
        <is>
          <t>Vendor Risk Assessments</t>
        </is>
      </c>
      <c r="B56" s="718" t="inlineStr">
        <is>
          <t>ALL</t>
        </is>
      </c>
      <c r="C56" s="718" t="inlineStr">
        <is>
          <t>3rd Party Risk Officer</t>
        </is>
      </c>
      <c r="D56" s="718" t="inlineStr">
        <is>
          <t>ANNUAL</t>
        </is>
      </c>
      <c r="E56" s="718" t="n">
        <v>3</v>
      </c>
      <c r="F56" s="718" t="inlineStr">
        <is>
          <t>Excel/PDF</t>
        </is>
      </c>
      <c r="G56" s="718" t="inlineStr">
        <is>
          <t>N</t>
        </is>
      </c>
      <c r="H56" s="718" t="inlineStr">
        <is>
          <t>Y</t>
        </is>
      </c>
      <c r="I56" s="718" t="inlineStr">
        <is>
          <t>HIGH</t>
        </is>
      </c>
      <c r="J56" s="718" t="inlineStr"/>
    </row>
    <row r="57">
      <c r="A57" s="717" t="inlineStr">
        <is>
          <t>Data Protection Impact Assessment</t>
        </is>
      </c>
      <c r="B57" s="717" t="inlineStr">
        <is>
          <t>PRIVACY</t>
        </is>
      </c>
      <c r="C57" s="717" t="inlineStr">
        <is>
          <t>DPO</t>
        </is>
      </c>
      <c r="D57" s="717" t="inlineStr">
        <is>
          <t>PER_PROJECT</t>
        </is>
      </c>
      <c r="E57" s="717" t="n">
        <v>5</v>
      </c>
      <c r="F57" s="717" t="inlineStr">
        <is>
          <t>PDF</t>
        </is>
      </c>
      <c r="G57" s="717" t="inlineStr">
        <is>
          <t>Y</t>
        </is>
      </c>
      <c r="H57" s="717" t="inlineStr">
        <is>
          <t>Y</t>
        </is>
      </c>
      <c r="I57" s="717" t="inlineStr">
        <is>
          <t>HIGH</t>
        </is>
      </c>
      <c r="J57" s="717" t="inlineStr"/>
    </row>
    <row r="58">
      <c r="A58" s="718" t="inlineStr">
        <is>
          <t>Business Continuity Test Report</t>
        </is>
      </c>
      <c r="B58" s="718" t="inlineStr">
        <is>
          <t>ALL</t>
        </is>
      </c>
      <c r="C58" s="718" t="inlineStr">
        <is>
          <t>BCM Manager</t>
        </is>
      </c>
      <c r="D58" s="718" t="inlineStr">
        <is>
          <t>BIENNIAL</t>
        </is>
      </c>
      <c r="E58" s="718" t="n">
        <v>5</v>
      </c>
      <c r="F58" s="718" t="inlineStr">
        <is>
          <t>PDF</t>
        </is>
      </c>
      <c r="G58" s="718" t="inlineStr">
        <is>
          <t>N</t>
        </is>
      </c>
      <c r="H58" s="718" t="inlineStr">
        <is>
          <t>N</t>
        </is>
      </c>
      <c r="I58" s="718" t="inlineStr">
        <is>
          <t>MEDIUM</t>
        </is>
      </c>
      <c r="J58" s="718" t="inlineStr"/>
    </row>
    <row r="60">
      <c r="A60" s="725" t="inlineStr">
        <is>
          <t xml:space="preserve">  G │ GRC MATURITY BENCHMARKS</t>
        </is>
      </c>
      <c r="B60" s="766" t="n"/>
      <c r="C60" s="766" t="n"/>
      <c r="D60" s="766" t="n"/>
      <c r="E60" s="766" t="n"/>
      <c r="F60" s="766" t="n"/>
      <c r="G60" s="766" t="n"/>
      <c r="H60" s="766" t="n"/>
      <c r="I60" s="766" t="n"/>
      <c r="J60" s="767" t="n"/>
    </row>
    <row r="61">
      <c r="A61" s="726" t="inlineStr">
        <is>
          <t>Domain</t>
        </is>
      </c>
      <c r="B61" s="726" t="inlineStr">
        <is>
          <t>Maturity Model</t>
        </is>
      </c>
      <c r="C61" s="726" t="inlineStr">
        <is>
          <t>Country Avg Score</t>
        </is>
      </c>
      <c r="D61" s="726" t="inlineStr">
        <is>
          <t>Best-in-Class</t>
        </is>
      </c>
      <c r="E61" s="726" t="inlineStr">
        <is>
          <t>Typical Target</t>
        </is>
      </c>
      <c r="F61" s="726" t="inlineStr">
        <is>
          <t>Gap to Target</t>
        </is>
      </c>
      <c r="G61" s="726" t="inlineStr">
        <is>
          <t>Priority</t>
        </is>
      </c>
      <c r="H61" s="726" t="inlineStr">
        <is>
          <t>Key Barrier</t>
        </is>
      </c>
      <c r="I61" s="726" t="inlineStr">
        <is>
          <t>Shahin AI Recommendation</t>
        </is>
      </c>
      <c r="J61" s="726" t="inlineStr">
        <is>
          <t>Ref Framework</t>
        </is>
      </c>
    </row>
    <row r="62">
      <c r="A62" s="717" t="inlineStr">
        <is>
          <t>GRC Governance</t>
        </is>
      </c>
      <c r="B62" s="717" t="inlineStr">
        <is>
          <t>CMMI 1-5</t>
        </is>
      </c>
      <c r="C62" s="717" t="n">
        <v>3.5</v>
      </c>
      <c r="D62" s="717" t="n">
        <v>4.5</v>
      </c>
      <c r="E62" s="717" t="n">
        <v>4</v>
      </c>
      <c r="F62" s="717" t="n">
        <v>0.5</v>
      </c>
      <c r="G62" s="717" t="inlineStr">
        <is>
          <t>HIGH</t>
        </is>
      </c>
      <c r="H62" s="717" t="inlineStr">
        <is>
          <t>EU complexity</t>
        </is>
      </c>
      <c r="I62" s="717" t="inlineStr">
        <is>
          <t>EU GRC tooling</t>
        </is>
      </c>
      <c r="J62" s="717" t="inlineStr">
        <is>
          <t>EU-GDPR-2016-679</t>
        </is>
      </c>
    </row>
    <row r="63">
      <c r="A63" s="718" t="inlineStr">
        <is>
          <t>GDPR Compliance</t>
        </is>
      </c>
      <c r="B63" s="718" t="inlineStr">
        <is>
          <t>CMMI 1-5</t>
        </is>
      </c>
      <c r="C63" s="718" t="n">
        <v>3.2</v>
      </c>
      <c r="D63" s="718" t="n">
        <v>4.5</v>
      </c>
      <c r="E63" s="718" t="n">
        <v>4</v>
      </c>
      <c r="F63" s="718" t="n">
        <v>0.8</v>
      </c>
      <c r="G63" s="718" t="inlineStr">
        <is>
          <t>HIGH</t>
        </is>
      </c>
      <c r="H63" s="718" t="inlineStr">
        <is>
          <t>DPIAs</t>
        </is>
      </c>
      <c r="I63" s="718" t="inlineStr">
        <is>
          <t>Automated DPIA system</t>
        </is>
      </c>
      <c r="J63" s="718" t="inlineStr">
        <is>
          <t>EU-GDPR-2016-679</t>
        </is>
      </c>
    </row>
    <row r="64">
      <c r="A64" s="717" t="inlineStr">
        <is>
          <t>DORA</t>
        </is>
      </c>
      <c r="B64" s="717" t="inlineStr">
        <is>
          <t>CMMI 1-5</t>
        </is>
      </c>
      <c r="C64" s="717" t="n">
        <v>2.5</v>
      </c>
      <c r="D64" s="717" t="n">
        <v>4</v>
      </c>
      <c r="E64" s="717" t="n">
        <v>3.5</v>
      </c>
      <c r="F64" s="717" t="n">
        <v>1</v>
      </c>
      <c r="G64" s="717" t="inlineStr">
        <is>
          <t>HIGH</t>
        </is>
      </c>
      <c r="H64" s="717" t="inlineStr">
        <is>
          <t>New (Jan 2025)</t>
        </is>
      </c>
      <c r="I64" s="717" t="inlineStr">
        <is>
          <t>ICT risk framework build</t>
        </is>
      </c>
      <c r="J64" s="717" t="inlineStr">
        <is>
          <t>EU-DORA-2022-2554</t>
        </is>
      </c>
    </row>
    <row r="65">
      <c r="A65" s="718" t="inlineStr">
        <is>
          <t>AI Act</t>
        </is>
      </c>
      <c r="B65" s="718" t="inlineStr">
        <is>
          <t>CMMI 1-5</t>
        </is>
      </c>
      <c r="C65" s="718" t="n">
        <v>1.5</v>
      </c>
      <c r="D65" s="718" t="n">
        <v>4</v>
      </c>
      <c r="E65" s="718" t="n">
        <v>2.5</v>
      </c>
      <c r="F65" s="718" t="n">
        <v>1</v>
      </c>
      <c r="G65" s="718" t="inlineStr">
        <is>
          <t>HIGH</t>
        </is>
      </c>
      <c r="H65" s="718" t="inlineStr">
        <is>
          <t>Very new</t>
        </is>
      </c>
      <c r="I65" s="718" t="inlineStr">
        <is>
          <t>AI inventory and risk classification</t>
        </is>
      </c>
      <c r="J65" s="718" t="inlineStr">
        <is>
          <t>EU-AI-ACT-2024</t>
        </is>
      </c>
    </row>
  </sheetData>
  <mergeCells count="8">
    <mergeCell ref="A47:J47"/>
    <mergeCell ref="A1:J1"/>
    <mergeCell ref="A23:J23"/>
    <mergeCell ref="A37:J37"/>
    <mergeCell ref="A31:J31"/>
    <mergeCell ref="A2:J2"/>
    <mergeCell ref="A60:J60"/>
    <mergeCell ref="A11:J1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J78"/>
  <sheetViews>
    <sheetView showGridLines="0" workbookViewId="0">
      <pane ySplit="2" topLeftCell="A3" activePane="bottomLeft" state="frozen"/>
      <selection pane="bottomLeft" activeCell="A1" sqref="A1"/>
    </sheetView>
  </sheetViews>
  <sheetFormatPr baseColWidth="8" defaultRowHeight="15"/>
  <cols>
    <col width="18" customWidth="1" min="1" max="1"/>
    <col width="38" customWidth="1" min="2" max="2"/>
    <col width="28" customWidth="1" min="3" max="3"/>
    <col width="24" customWidth="1" min="4" max="4"/>
    <col width="12" customWidth="1" min="5" max="5"/>
    <col width="12" customWidth="1" min="6" max="6"/>
    <col width="22" customWidth="1" min="7" max="7"/>
    <col width="18" customWidth="1" min="8" max="8"/>
    <col width="20" customWidth="1" min="9" max="9"/>
    <col width="28" customWidth="1" min="10" max="10"/>
  </cols>
  <sheetData>
    <row r="1" ht="30" customHeight="1">
      <c r="A1" s="705" t="inlineStr">
        <is>
          <t>🇬🇧  United Kingdom (GB)  ·  GRC Regulatory Intelligence</t>
        </is>
      </c>
    </row>
    <row r="2">
      <c r="A2" s="706" t="inlineStr">
        <is>
          <t xml:space="preserve">  A │ REGULATORS</t>
        </is>
      </c>
      <c r="B2" s="766" t="n"/>
      <c r="C2" s="766" t="n"/>
      <c r="D2" s="766" t="n"/>
      <c r="E2" s="766" t="n"/>
      <c r="F2" s="766" t="n"/>
      <c r="G2" s="766" t="n"/>
      <c r="H2" s="766" t="n"/>
      <c r="I2" s="766" t="n"/>
      <c r="J2" s="767" t="n"/>
    </row>
    <row r="3">
      <c r="A3" s="707" t="inlineStr">
        <is>
          <t>Code</t>
        </is>
      </c>
      <c r="B3" s="707" t="inlineStr">
        <is>
          <t>Name (EN)</t>
        </is>
      </c>
      <c r="C3" s="707" t="inlineStr">
        <is>
          <t>Name (AR)</t>
        </is>
      </c>
      <c r="D3" s="707" t="inlineStr">
        <is>
          <t>Sector Group</t>
        </is>
      </c>
      <c r="E3" s="707" t="inlineStr">
        <is>
          <t>Tier</t>
        </is>
      </c>
      <c r="F3" s="707" t="inlineStr">
        <is>
          <t>Own FW Count</t>
        </is>
      </c>
      <c r="G3" s="707" t="inlineStr">
        <is>
          <t>Power Index</t>
        </is>
      </c>
      <c r="H3" s="707" t="inlineStr">
        <is>
          <t>Enforcement</t>
        </is>
      </c>
      <c r="I3" s="707" t="inlineStr">
        <is>
          <t>Website</t>
        </is>
      </c>
      <c r="J3" s="707" t="inlineStr">
        <is>
          <t>Notes</t>
        </is>
      </c>
    </row>
    <row r="4">
      <c r="A4" s="708" t="inlineStr">
        <is>
          <t>FCA</t>
        </is>
      </c>
      <c r="B4" s="708" t="inlineStr">
        <is>
          <t>Financial Conduct Authority</t>
        </is>
      </c>
      <c r="C4" s="708" t="inlineStr">
        <is>
          <t>هيئة السلوك المالي</t>
        </is>
      </c>
      <c r="D4" s="708" t="inlineStr">
        <is>
          <t>Financial</t>
        </is>
      </c>
      <c r="E4" s="708" t="inlineStr">
        <is>
          <t>🔴 T1</t>
        </is>
      </c>
      <c r="F4" s="708" t="n">
        <v>12</v>
      </c>
      <c r="G4" s="708" t="n">
        <v>98</v>
      </c>
      <c r="H4" s="708" t="inlineStr">
        <is>
          <t>MANDATORY</t>
        </is>
      </c>
      <c r="I4" s="708" t="inlineStr">
        <is>
          <t>https://fca.org.uk</t>
        </is>
      </c>
      <c r="J4" s="708" t="inlineStr"/>
    </row>
    <row r="5">
      <c r="A5" s="708" t="inlineStr">
        <is>
          <t>PRA</t>
        </is>
      </c>
      <c r="B5" s="708" t="inlineStr">
        <is>
          <t>Prudential Regulation Authority</t>
        </is>
      </c>
      <c r="C5" s="708" t="inlineStr">
        <is>
          <t>هيئة التنظيم الاحترازي</t>
        </is>
      </c>
      <c r="D5" s="708" t="inlineStr">
        <is>
          <t>Financial/Banks</t>
        </is>
      </c>
      <c r="E5" s="708" t="inlineStr">
        <is>
          <t>🔴 T1</t>
        </is>
      </c>
      <c r="F5" s="708" t="n">
        <v>8</v>
      </c>
      <c r="G5" s="708" t="n">
        <v>97</v>
      </c>
      <c r="H5" s="708" t="inlineStr">
        <is>
          <t>MANDATORY</t>
        </is>
      </c>
      <c r="I5" s="708" t="inlineStr">
        <is>
          <t>https://bankofengland.co.uk/pra</t>
        </is>
      </c>
      <c r="J5" s="708" t="inlineStr"/>
    </row>
    <row r="6">
      <c r="A6" s="708" t="inlineStr">
        <is>
          <t>ICO</t>
        </is>
      </c>
      <c r="B6" s="708" t="inlineStr">
        <is>
          <t>Information Commissioner's Office</t>
        </is>
      </c>
      <c r="C6" s="708" t="inlineStr">
        <is>
          <t>مكتب مفوض المعلومات</t>
        </is>
      </c>
      <c r="D6" s="708" t="inlineStr">
        <is>
          <t>Data/Privacy</t>
        </is>
      </c>
      <c r="E6" s="708" t="inlineStr">
        <is>
          <t>🔴 T1</t>
        </is>
      </c>
      <c r="F6" s="708" t="n">
        <v>5</v>
      </c>
      <c r="G6" s="708" t="n">
        <v>95</v>
      </c>
      <c r="H6" s="708" t="inlineStr">
        <is>
          <t>MANDATORY</t>
        </is>
      </c>
      <c r="I6" s="708" t="inlineStr">
        <is>
          <t>https://ico.org.uk</t>
        </is>
      </c>
      <c r="J6" s="708" t="inlineStr"/>
    </row>
    <row r="7">
      <c r="A7" s="708" t="inlineStr">
        <is>
          <t>NCSC-UK</t>
        </is>
      </c>
      <c r="B7" s="708" t="inlineStr">
        <is>
          <t>National Cyber Security Centre</t>
        </is>
      </c>
      <c r="C7" s="708" t="inlineStr">
        <is>
          <t>المركز الوطني للأمن السيبراني</t>
        </is>
      </c>
      <c r="D7" s="708" t="inlineStr">
        <is>
          <t>Cybersecurity</t>
        </is>
      </c>
      <c r="E7" s="708" t="inlineStr">
        <is>
          <t>🔴 T1</t>
        </is>
      </c>
      <c r="F7" s="708" t="n">
        <v>6</v>
      </c>
      <c r="G7" s="708" t="n">
        <v>96</v>
      </c>
      <c r="H7" s="708" t="inlineStr">
        <is>
          <t>MANDATORY</t>
        </is>
      </c>
      <c r="I7" s="708" t="inlineStr">
        <is>
          <t>https://ncsc.gov.uk</t>
        </is>
      </c>
      <c r="J7" s="708" t="inlineStr"/>
    </row>
    <row r="8">
      <c r="A8" s="708" t="inlineStr">
        <is>
          <t>BoE</t>
        </is>
      </c>
      <c r="B8" s="708" t="inlineStr">
        <is>
          <t>Bank of England</t>
        </is>
      </c>
      <c r="C8" s="708" t="inlineStr">
        <is>
          <t>بنك إنجلترا</t>
        </is>
      </c>
      <c r="D8" s="708" t="inlineStr">
        <is>
          <t>Financial Stability</t>
        </is>
      </c>
      <c r="E8" s="708" t="inlineStr">
        <is>
          <t>🔴 T1</t>
        </is>
      </c>
      <c r="F8" s="708" t="n">
        <v>4</v>
      </c>
      <c r="G8" s="708" t="n">
        <v>99</v>
      </c>
      <c r="H8" s="708" t="inlineStr">
        <is>
          <t>MANDATORY</t>
        </is>
      </c>
      <c r="I8" s="708" t="inlineStr">
        <is>
          <t>https://bankofengland.co.uk</t>
        </is>
      </c>
      <c r="J8" s="708" t="inlineStr"/>
    </row>
    <row r="9">
      <c r="A9" s="709" t="inlineStr">
        <is>
          <t>CMA-UK</t>
        </is>
      </c>
      <c r="B9" s="709" t="inlineStr">
        <is>
          <t>Competition &amp; Markets Authority</t>
        </is>
      </c>
      <c r="C9" s="709" t="inlineStr">
        <is>
          <t>هيئة المنافسة والأسواق</t>
        </is>
      </c>
      <c r="D9" s="709" t="inlineStr">
        <is>
          <t>Commerce</t>
        </is>
      </c>
      <c r="E9" s="709" t="inlineStr">
        <is>
          <t>🟠 T2</t>
        </is>
      </c>
      <c r="F9" s="709" t="n">
        <v>3</v>
      </c>
      <c r="G9" s="709" t="n">
        <v>80</v>
      </c>
      <c r="H9" s="709" t="inlineStr">
        <is>
          <t>MANDATORY</t>
        </is>
      </c>
      <c r="I9" s="709" t="inlineStr">
        <is>
          <t>https://gov.uk/cma</t>
        </is>
      </c>
      <c r="J9" s="709" t="inlineStr"/>
    </row>
    <row r="10">
      <c r="A10" s="709" t="inlineStr">
        <is>
          <t>MHRA</t>
        </is>
      </c>
      <c r="B10" s="709" t="inlineStr">
        <is>
          <t>Medicines &amp; Healthcare Regulatory Agency</t>
        </is>
      </c>
      <c r="C10" s="709" t="inlineStr">
        <is>
          <t>وكالة تنظيم الأدوية والرعاية الصحية</t>
        </is>
      </c>
      <c r="D10" s="709" t="inlineStr">
        <is>
          <t>Healthcare</t>
        </is>
      </c>
      <c r="E10" s="709" t="inlineStr">
        <is>
          <t>🟠 T2</t>
        </is>
      </c>
      <c r="F10" s="709" t="n">
        <v>5</v>
      </c>
      <c r="G10" s="709" t="n">
        <v>82</v>
      </c>
      <c r="H10" s="709" t="inlineStr">
        <is>
          <t>MANDATORY</t>
        </is>
      </c>
      <c r="I10" s="709" t="inlineStr">
        <is>
          <t>https://gov.uk/mhra</t>
        </is>
      </c>
      <c r="J10" s="709" t="inlineStr"/>
    </row>
    <row r="11">
      <c r="A11" s="709" t="inlineStr">
        <is>
          <t>CQC</t>
        </is>
      </c>
      <c r="B11" s="709" t="inlineStr">
        <is>
          <t>Care Quality Commission</t>
        </is>
      </c>
      <c r="C11" s="709" t="inlineStr">
        <is>
          <t>لجنة جودة الرعاية</t>
        </is>
      </c>
      <c r="D11" s="709" t="inlineStr">
        <is>
          <t>Healthcare</t>
        </is>
      </c>
      <c r="E11" s="709" t="inlineStr">
        <is>
          <t>🟠 T2</t>
        </is>
      </c>
      <c r="F11" s="709" t="n">
        <v>4</v>
      </c>
      <c r="G11" s="709" t="n">
        <v>78</v>
      </c>
      <c r="H11" s="709" t="inlineStr">
        <is>
          <t>MANDATORY</t>
        </is>
      </c>
      <c r="I11" s="709" t="inlineStr">
        <is>
          <t>https://cqc.org.uk</t>
        </is>
      </c>
      <c r="J11" s="709" t="inlineStr"/>
    </row>
    <row r="12">
      <c r="A12" s="709" t="inlineStr">
        <is>
          <t>Ofcom</t>
        </is>
      </c>
      <c r="B12" s="709" t="inlineStr">
        <is>
          <t>Office of Communications</t>
        </is>
      </c>
      <c r="C12" s="709" t="inlineStr">
        <is>
          <t>هيئة تنظيم الاتصالات</t>
        </is>
      </c>
      <c r="D12" s="709" t="inlineStr">
        <is>
          <t>Telecom/Media</t>
        </is>
      </c>
      <c r="E12" s="709" t="inlineStr">
        <is>
          <t>🟠 T2</t>
        </is>
      </c>
      <c r="F12" s="709" t="n">
        <v>4</v>
      </c>
      <c r="G12" s="709" t="n">
        <v>80</v>
      </c>
      <c r="H12" s="709" t="inlineStr">
        <is>
          <t>MANDATORY</t>
        </is>
      </c>
      <c r="I12" s="709" t="inlineStr">
        <is>
          <t>https://ofcom.org.uk</t>
        </is>
      </c>
      <c r="J12" s="709" t="inlineStr"/>
    </row>
    <row r="13">
      <c r="A13" s="709" t="inlineStr">
        <is>
          <t>PSR</t>
        </is>
      </c>
      <c r="B13" s="709" t="inlineStr">
        <is>
          <t>Payment Systems Regulator</t>
        </is>
      </c>
      <c r="C13" s="709" t="inlineStr">
        <is>
          <t>هيئة تنظيم أنظمة الدفع</t>
        </is>
      </c>
      <c r="D13" s="709" t="inlineStr">
        <is>
          <t>Payments</t>
        </is>
      </c>
      <c r="E13" s="709" t="inlineStr">
        <is>
          <t>🟠 T2</t>
        </is>
      </c>
      <c r="F13" s="709" t="n">
        <v>3</v>
      </c>
      <c r="G13" s="709" t="n">
        <v>78</v>
      </c>
      <c r="H13" s="709" t="inlineStr">
        <is>
          <t>MANDATORY</t>
        </is>
      </c>
      <c r="I13" s="709" t="inlineStr">
        <is>
          <t>https://psr.org.uk</t>
        </is>
      </c>
      <c r="J13" s="709" t="inlineStr"/>
    </row>
    <row r="15">
      <c r="A15" s="712" t="inlineStr">
        <is>
          <t xml:space="preserve">  B │ FRAMEWORKS</t>
        </is>
      </c>
      <c r="B15" s="766" t="n"/>
      <c r="C15" s="766" t="n"/>
      <c r="D15" s="766" t="n"/>
      <c r="E15" s="766" t="n"/>
      <c r="F15" s="766" t="n"/>
      <c r="G15" s="766" t="n"/>
      <c r="H15" s="766" t="n"/>
      <c r="I15" s="766" t="n"/>
      <c r="J15" s="767" t="n"/>
    </row>
    <row r="16">
      <c r="A16" s="713" t="inlineStr">
        <is>
          <t>Framework Code</t>
        </is>
      </c>
      <c r="B16" s="713" t="inlineStr">
        <is>
          <t>Name (EN)</t>
        </is>
      </c>
      <c r="C16" s="713" t="inlineStr">
        <is>
          <t>Issuing Regulator</t>
        </is>
      </c>
      <c r="D16" s="713" t="inlineStr">
        <is>
          <t>Version/Year</t>
        </is>
      </c>
      <c r="E16" s="713" t="inlineStr">
        <is>
          <t>Mandatory?</t>
        </is>
      </c>
      <c r="F16" s="713" t="inlineStr">
        <is>
          <t>Control Count</t>
        </is>
      </c>
      <c r="G16" s="713" t="inlineStr">
        <is>
          <t>Sector Applicability</t>
        </is>
      </c>
      <c r="H16" s="713" t="inlineStr">
        <is>
          <t>Audit Frequency</t>
        </is>
      </c>
      <c r="I16" s="713" t="inlineStr">
        <is>
          <t>Effective Date</t>
        </is>
      </c>
      <c r="J16" s="713" t="inlineStr">
        <is>
          <t>Canonical DB Code</t>
        </is>
      </c>
    </row>
    <row r="17">
      <c r="A17" s="711" t="inlineStr">
        <is>
          <t>UK-GDPR-2018</t>
        </is>
      </c>
      <c r="B17" s="711" t="inlineStr">
        <is>
          <t>UK GDPR (Data Protection Act 2018)</t>
        </is>
      </c>
      <c r="C17" s="711" t="inlineStr">
        <is>
          <t>ICO</t>
        </is>
      </c>
      <c r="D17" s="711" t="inlineStr">
        <is>
          <t>2018 post-Brexit</t>
        </is>
      </c>
      <c r="E17" s="711" t="inlineStr">
        <is>
          <t>Y</t>
        </is>
      </c>
      <c r="F17" s="711" t="n">
        <v>71</v>
      </c>
      <c r="G17" s="711" t="inlineStr">
        <is>
          <t>ALL</t>
        </is>
      </c>
      <c r="H17" s="711" t="inlineStr">
        <is>
          <t>ANNUAL</t>
        </is>
      </c>
      <c r="I17" s="711" t="inlineStr">
        <is>
          <t>2021-01-01</t>
        </is>
      </c>
      <c r="J17" s="711" t="inlineStr">
        <is>
          <t>UK-GDPR-2018</t>
        </is>
      </c>
    </row>
    <row r="18">
      <c r="A18" s="711" t="inlineStr">
        <is>
          <t>UK-NCSC-CAF</t>
        </is>
      </c>
      <c r="B18" s="711" t="inlineStr">
        <is>
          <t>NCSC Cyber Assessment Framework (CAF)</t>
        </is>
      </c>
      <c r="C18" s="711" t="inlineStr">
        <is>
          <t>NCSC-UK</t>
        </is>
      </c>
      <c r="D18" s="711" t="inlineStr">
        <is>
          <t>3.2</t>
        </is>
      </c>
      <c r="E18" s="711" t="inlineStr">
        <is>
          <t>Y</t>
        </is>
      </c>
      <c r="F18" s="711" t="n">
        <v>22</v>
      </c>
      <c r="G18" s="711" t="inlineStr">
        <is>
          <t>CNI,GOV</t>
        </is>
      </c>
      <c r="H18" s="711" t="inlineStr">
        <is>
          <t>ANNUAL</t>
        </is>
      </c>
      <c r="I18" s="711" t="inlineStr">
        <is>
          <t>2023-01-01</t>
        </is>
      </c>
      <c r="J18" s="711" t="inlineStr">
        <is>
          <t>UK-NCSC-CAF</t>
        </is>
      </c>
    </row>
    <row r="19">
      <c r="A19" s="714" t="inlineStr">
        <is>
          <t>UK-CYBER-ESSENTIALS</t>
        </is>
      </c>
      <c r="B19" s="714" t="inlineStr">
        <is>
          <t>Cyber Essentials</t>
        </is>
      </c>
      <c r="C19" s="714" t="inlineStr">
        <is>
          <t>NCSC-UK</t>
        </is>
      </c>
      <c r="D19" s="714" t="inlineStr">
        <is>
          <t>2024</t>
        </is>
      </c>
      <c r="E19" s="714" t="inlineStr">
        <is>
          <t>P</t>
        </is>
      </c>
      <c r="F19" s="714" t="n">
        <v>56</v>
      </c>
      <c r="G19" s="714" t="inlineStr">
        <is>
          <t>ALL</t>
        </is>
      </c>
      <c r="H19" s="714" t="inlineStr">
        <is>
          <t>ANNUAL</t>
        </is>
      </c>
      <c r="I19" s="714" t="inlineStr">
        <is>
          <t>2014-06-01</t>
        </is>
      </c>
      <c r="J19" s="714" t="inlineStr">
        <is>
          <t>UK-CYBER-ESSENTIALS</t>
        </is>
      </c>
    </row>
    <row r="20">
      <c r="A20" s="714" t="inlineStr">
        <is>
          <t>UK-CYBER-ESSENTIALS-PLUS</t>
        </is>
      </c>
      <c r="B20" s="714" t="inlineStr">
        <is>
          <t>Cyber Essentials Plus</t>
        </is>
      </c>
      <c r="C20" s="714" t="inlineStr">
        <is>
          <t>NCSC-UK</t>
        </is>
      </c>
      <c r="D20" s="714" t="inlineStr">
        <is>
          <t>2024</t>
        </is>
      </c>
      <c r="E20" s="714" t="inlineStr">
        <is>
          <t>P</t>
        </is>
      </c>
      <c r="F20" s="714" t="n">
        <v>56</v>
      </c>
      <c r="G20" s="714" t="inlineStr">
        <is>
          <t>ALL</t>
        </is>
      </c>
      <c r="H20" s="714" t="inlineStr">
        <is>
          <t>ANNUAL</t>
        </is>
      </c>
      <c r="I20" s="714" t="inlineStr">
        <is>
          <t>2014-06-01</t>
        </is>
      </c>
      <c r="J20" s="714" t="inlineStr">
        <is>
          <t>UK-CYBER-ESSENTIALS-PLUS</t>
        </is>
      </c>
    </row>
    <row r="21">
      <c r="A21" s="711" t="inlineStr">
        <is>
          <t>FCA-SYSC</t>
        </is>
      </c>
      <c r="B21" s="711" t="inlineStr">
        <is>
          <t>FCA Senior Management Arrangements (SYSC)</t>
        </is>
      </c>
      <c r="C21" s="711" t="inlineStr">
        <is>
          <t>FCA</t>
        </is>
      </c>
      <c r="D21" s="711" t="inlineStr">
        <is>
          <t>2024</t>
        </is>
      </c>
      <c r="E21" s="711" t="inlineStr">
        <is>
          <t>Y</t>
        </is>
      </c>
      <c r="F21" s="711" t="n">
        <v>80</v>
      </c>
      <c r="G21" s="711" t="inlineStr">
        <is>
          <t>FIN</t>
        </is>
      </c>
      <c r="H21" s="711" t="inlineStr">
        <is>
          <t>CONTINUOUS</t>
        </is>
      </c>
      <c r="I21" s="711" t="inlineStr">
        <is>
          <t>2001-12-01</t>
        </is>
      </c>
      <c r="J21" s="711" t="inlineStr">
        <is>
          <t>FCA-SYSC</t>
        </is>
      </c>
    </row>
    <row r="22">
      <c r="A22" s="711" t="inlineStr">
        <is>
          <t>FCA-CONSUMER-DUTY</t>
        </is>
      </c>
      <c r="B22" s="711" t="inlineStr">
        <is>
          <t>FCA Consumer Duty</t>
        </is>
      </c>
      <c r="C22" s="711" t="inlineStr">
        <is>
          <t>FCA</t>
        </is>
      </c>
      <c r="D22" s="711" t="inlineStr">
        <is>
          <t>2023</t>
        </is>
      </c>
      <c r="E22" s="711" t="inlineStr">
        <is>
          <t>Y</t>
        </is>
      </c>
      <c r="F22" s="711" t="n">
        <v>30</v>
      </c>
      <c r="G22" s="711" t="inlineStr">
        <is>
          <t>FIN</t>
        </is>
      </c>
      <c r="H22" s="711" t="inlineStr">
        <is>
          <t>ANNUAL</t>
        </is>
      </c>
      <c r="I22" s="711" t="inlineStr">
        <is>
          <t>2023-07-31</t>
        </is>
      </c>
      <c r="J22" s="711" t="inlineStr">
        <is>
          <t>FCA-CONSUMER-DUTY</t>
        </is>
      </c>
    </row>
    <row r="23">
      <c r="A23" s="711" t="inlineStr">
        <is>
          <t>FCA-SMCR</t>
        </is>
      </c>
      <c r="B23" s="711" t="inlineStr">
        <is>
          <t>FCA Senior Managers &amp; Certification Regime (SMCR)</t>
        </is>
      </c>
      <c r="C23" s="711" t="inlineStr">
        <is>
          <t>FCA/PRA</t>
        </is>
      </c>
      <c r="D23" s="711" t="inlineStr">
        <is>
          <t>2019</t>
        </is>
      </c>
      <c r="E23" s="711" t="inlineStr">
        <is>
          <t>Y</t>
        </is>
      </c>
      <c r="F23" s="711" t="n">
        <v>25</v>
      </c>
      <c r="G23" s="711" t="inlineStr">
        <is>
          <t>FIN</t>
        </is>
      </c>
      <c r="H23" s="711" t="inlineStr">
        <is>
          <t>ANNUAL</t>
        </is>
      </c>
      <c r="I23" s="711" t="inlineStr">
        <is>
          <t>2019-12-09</t>
        </is>
      </c>
      <c r="J23" s="711" t="inlineStr">
        <is>
          <t>FCA-SMCR</t>
        </is>
      </c>
    </row>
    <row r="24">
      <c r="A24" s="711" t="inlineStr">
        <is>
          <t>PRA-OPRES</t>
        </is>
      </c>
      <c r="B24" s="711" t="inlineStr">
        <is>
          <t>PRA Operational Resilience Policy</t>
        </is>
      </c>
      <c r="C24" s="711" t="inlineStr">
        <is>
          <t>PRA</t>
        </is>
      </c>
      <c r="D24" s="711" t="inlineStr">
        <is>
          <t>2021</t>
        </is>
      </c>
      <c r="E24" s="711" t="inlineStr">
        <is>
          <t>Y</t>
        </is>
      </c>
      <c r="F24" s="711" t="n">
        <v>30</v>
      </c>
      <c r="G24" s="711" t="inlineStr">
        <is>
          <t>FIN</t>
        </is>
      </c>
      <c r="H24" s="711" t="inlineStr">
        <is>
          <t>ANNUAL</t>
        </is>
      </c>
      <c r="I24" s="711" t="inlineStr">
        <is>
          <t>2022-03-31</t>
        </is>
      </c>
      <c r="J24" s="711" t="inlineStr">
        <is>
          <t>PRA-OPRES</t>
        </is>
      </c>
    </row>
    <row r="25">
      <c r="A25" s="711" t="inlineStr">
        <is>
          <t>BOE-CBEST</t>
        </is>
      </c>
      <c r="B25" s="711" t="inlineStr">
        <is>
          <t>Bank of England CBEST Threat-Led Pen Testing</t>
        </is>
      </c>
      <c r="C25" s="711" t="inlineStr">
        <is>
          <t>BoE</t>
        </is>
      </c>
      <c r="D25" s="711" t="inlineStr">
        <is>
          <t>2022</t>
        </is>
      </c>
      <c r="E25" s="711" t="inlineStr">
        <is>
          <t>Y</t>
        </is>
      </c>
      <c r="F25" s="711" t="n">
        <v>15</v>
      </c>
      <c r="G25" s="711" t="inlineStr">
        <is>
          <t>SYS_IMPORTANT</t>
        </is>
      </c>
      <c r="H25" s="711" t="inlineStr">
        <is>
          <t>BIENNIAL</t>
        </is>
      </c>
      <c r="I25" s="711" t="inlineStr">
        <is>
          <t>2014-06-01</t>
        </is>
      </c>
      <c r="J25" s="711" t="inlineStr">
        <is>
          <t>BOE-CBEST</t>
        </is>
      </c>
    </row>
    <row r="26">
      <c r="A26" s="711" t="inlineStr">
        <is>
          <t>UK-CTP-REGIME</t>
        </is>
      </c>
      <c r="B26" s="711" t="inlineStr">
        <is>
          <t>UK Critical Third Parties Regime (FSMA 2023)</t>
        </is>
      </c>
      <c r="C26" s="711" t="inlineStr">
        <is>
          <t>FCA/PRA/BoE</t>
        </is>
      </c>
      <c r="D26" s="711" t="inlineStr">
        <is>
          <t>2023</t>
        </is>
      </c>
      <c r="E26" s="711" t="inlineStr">
        <is>
          <t>Y</t>
        </is>
      </c>
      <c r="F26" s="711" t="n">
        <v>20</v>
      </c>
      <c r="G26" s="711" t="inlineStr">
        <is>
          <t>FIN</t>
        </is>
      </c>
      <c r="H26" s="711" t="inlineStr">
        <is>
          <t>ANNUAL</t>
        </is>
      </c>
      <c r="I26" s="711" t="inlineStr">
        <is>
          <t>2023-01-01</t>
        </is>
      </c>
      <c r="J26" s="711" t="inlineStr">
        <is>
          <t>UK-CTP-REGIME</t>
        </is>
      </c>
    </row>
    <row r="27">
      <c r="A27" s="711" t="inlineStr">
        <is>
          <t>UK-NIS-REGS</t>
        </is>
      </c>
      <c r="B27" s="711" t="inlineStr">
        <is>
          <t>UK Network &amp; Information Systems Regulations 2018</t>
        </is>
      </c>
      <c r="C27" s="711" t="inlineStr">
        <is>
          <t>NCSC-UK</t>
        </is>
      </c>
      <c r="D27" s="711" t="inlineStr">
        <is>
          <t>2018</t>
        </is>
      </c>
      <c r="E27" s="711" t="inlineStr">
        <is>
          <t>Y</t>
        </is>
      </c>
      <c r="F27" s="711" t="n">
        <v>40</v>
      </c>
      <c r="G27" s="711" t="inlineStr">
        <is>
          <t>CNI</t>
        </is>
      </c>
      <c r="H27" s="711" t="inlineStr">
        <is>
          <t>ANNUAL</t>
        </is>
      </c>
      <c r="I27" s="711" t="inlineStr">
        <is>
          <t>2018-05-10</t>
        </is>
      </c>
      <c r="J27" s="711" t="inlineStr">
        <is>
          <t>UK-NIS-REGS</t>
        </is>
      </c>
    </row>
    <row r="28">
      <c r="A28" s="711" t="inlineStr">
        <is>
          <t>MHRA-MDR</t>
        </is>
      </c>
      <c r="B28" s="711" t="inlineStr">
        <is>
          <t>UK Medical Device Regulations</t>
        </is>
      </c>
      <c r="C28" s="711" t="inlineStr">
        <is>
          <t>MHRA</t>
        </is>
      </c>
      <c r="D28" s="711" t="inlineStr">
        <is>
          <t>2002+2023</t>
        </is>
      </c>
      <c r="E28" s="711" t="inlineStr">
        <is>
          <t>Y</t>
        </is>
      </c>
      <c r="F28" s="711" t="n">
        <v>45</v>
      </c>
      <c r="G28" s="711" t="inlineStr">
        <is>
          <t>HC</t>
        </is>
      </c>
      <c r="H28" s="711" t="inlineStr">
        <is>
          <t>ANNUAL</t>
        </is>
      </c>
      <c r="I28" s="711" t="inlineStr">
        <is>
          <t>2021-07-01</t>
        </is>
      </c>
      <c r="J28" s="711" t="inlineStr">
        <is>
          <t>MHRA-MDR</t>
        </is>
      </c>
    </row>
    <row r="29">
      <c r="A29" s="711" t="inlineStr">
        <is>
          <t>UK-AML-POCA</t>
        </is>
      </c>
      <c r="B29" s="711" t="inlineStr">
        <is>
          <t>UK AML – Proceeds of Crime Act + MLRs</t>
        </is>
      </c>
      <c r="C29" s="711" t="inlineStr">
        <is>
          <t>FCA</t>
        </is>
      </c>
      <c r="D29" s="711" t="inlineStr">
        <is>
          <t>2017+</t>
        </is>
      </c>
      <c r="E29" s="711" t="inlineStr">
        <is>
          <t>Y</t>
        </is>
      </c>
      <c r="F29" s="711" t="n">
        <v>35</v>
      </c>
      <c r="G29" s="711" t="inlineStr">
        <is>
          <t>FIN</t>
        </is>
      </c>
      <c r="H29" s="711" t="inlineStr">
        <is>
          <t>CONTINUOUS</t>
        </is>
      </c>
      <c r="I29" s="711" t="inlineStr">
        <is>
          <t>2017-06-26</t>
        </is>
      </c>
      <c r="J29" s="711" t="inlineStr">
        <is>
          <t>UK-AML-POCA</t>
        </is>
      </c>
    </row>
    <row r="30">
      <c r="A30" s="714" t="inlineStr">
        <is>
          <t>UK-DORA-SCOPE</t>
        </is>
      </c>
      <c r="B30" s="714" t="inlineStr">
        <is>
          <t>EU DORA (UK firms with EU operations)</t>
        </is>
      </c>
      <c r="C30" s="714" t="inlineStr">
        <is>
          <t>FCA</t>
        </is>
      </c>
      <c r="D30" s="714" t="inlineStr">
        <is>
          <t>2022</t>
        </is>
      </c>
      <c r="E30" s="714" t="inlineStr">
        <is>
          <t>P</t>
        </is>
      </c>
      <c r="F30" s="714" t="n">
        <v>100</v>
      </c>
      <c r="G30" s="714" t="inlineStr">
        <is>
          <t>FIN-EU</t>
        </is>
      </c>
      <c r="H30" s="714" t="inlineStr">
        <is>
          <t>ANNUAL</t>
        </is>
      </c>
      <c r="I30" s="714" t="inlineStr">
        <is>
          <t>2025-01-17</t>
        </is>
      </c>
      <c r="J30" s="714" t="inlineStr">
        <is>
          <t>UK-DORA-SCOPE</t>
        </is>
      </c>
    </row>
    <row r="31">
      <c r="A31" s="711" t="inlineStr">
        <is>
          <t>UK-ONLINE-SAFETY</t>
        </is>
      </c>
      <c r="B31" s="711" t="inlineStr">
        <is>
          <t>Online Safety Act 2023</t>
        </is>
      </c>
      <c r="C31" s="711" t="inlineStr">
        <is>
          <t>Ofcom</t>
        </is>
      </c>
      <c r="D31" s="711" t="inlineStr">
        <is>
          <t>2023</t>
        </is>
      </c>
      <c r="E31" s="711" t="inlineStr">
        <is>
          <t>Y</t>
        </is>
      </c>
      <c r="F31" s="711" t="n">
        <v>40</v>
      </c>
      <c r="G31" s="711" t="inlineStr">
        <is>
          <t>DIGITAL</t>
        </is>
      </c>
      <c r="H31" s="711" t="inlineStr">
        <is>
          <t>ANNUAL</t>
        </is>
      </c>
      <c r="I31" s="711" t="inlineStr">
        <is>
          <t>2023-10-26</t>
        </is>
      </c>
      <c r="J31" s="711" t="inlineStr">
        <is>
          <t>UK-ONLINE-SAFETY</t>
        </is>
      </c>
    </row>
    <row r="33">
      <c r="A33" s="715" t="inlineStr">
        <is>
          <t xml:space="preserve">  C │ CONTROL DOMAINS</t>
        </is>
      </c>
      <c r="B33" s="766" t="n"/>
      <c r="C33" s="766" t="n"/>
      <c r="D33" s="766" t="n"/>
      <c r="E33" s="766" t="n"/>
      <c r="F33" s="766" t="n"/>
      <c r="G33" s="766" t="n"/>
      <c r="H33" s="766" t="n"/>
      <c r="I33" s="766" t="n"/>
      <c r="J33" s="767" t="n"/>
    </row>
    <row r="34">
      <c r="A34" s="716" t="inlineStr">
        <is>
          <t>Domain Code</t>
        </is>
      </c>
      <c r="B34" s="716" t="inlineStr">
        <is>
          <t>Domain Name</t>
        </is>
      </c>
      <c r="C34" s="716" t="inlineStr">
        <is>
          <t>Primary Framework</t>
        </is>
      </c>
      <c r="D34" s="716" t="inlineStr">
        <is>
          <t>Control Count</t>
        </is>
      </c>
      <c r="E34" s="716" t="inlineStr">
        <is>
          <t>Risk Level</t>
        </is>
      </c>
      <c r="F34" s="716" t="inlineStr">
        <is>
          <t>IoT Relevance</t>
        </is>
      </c>
      <c r="G34" s="716" t="inlineStr">
        <is>
          <t>Automation Possible?</t>
        </is>
      </c>
      <c r="H34" s="716" t="inlineStr">
        <is>
          <t>Audit Method</t>
        </is>
      </c>
      <c r="I34" s="716" t="inlineStr">
        <is>
          <t>Shahin AI Score</t>
        </is>
      </c>
      <c r="J34" s="716" t="inlineStr">
        <is>
          <t>Notes</t>
        </is>
      </c>
    </row>
    <row r="35">
      <c r="A35" s="717" t="inlineStr">
        <is>
          <t>GB-CD-01</t>
        </is>
      </c>
      <c r="B35" s="717" t="inlineStr">
        <is>
          <t>UK GDPR / Data Privacy</t>
        </is>
      </c>
      <c r="C35" s="717" t="inlineStr">
        <is>
          <t>UK-GDPR-2018</t>
        </is>
      </c>
      <c r="D35" s="717" t="n">
        <v>71</v>
      </c>
      <c r="E35" s="717" t="inlineStr">
        <is>
          <t>HIGHEST</t>
        </is>
      </c>
      <c r="F35" s="717" t="inlineStr">
        <is>
          <t>MODERATE</t>
        </is>
      </c>
      <c r="G35" s="717" t="inlineStr">
        <is>
          <t>Y</t>
        </is>
      </c>
      <c r="H35" s="717" t="inlineStr">
        <is>
          <t>EXTERNAL_AUDIT</t>
        </is>
      </c>
      <c r="I35" s="717" t="n">
        <v>95</v>
      </c>
      <c r="J35" s="717" t="inlineStr"/>
    </row>
    <row r="36">
      <c r="A36" s="718" t="inlineStr">
        <is>
          <t>GB-CD-02</t>
        </is>
      </c>
      <c r="B36" s="718" t="inlineStr">
        <is>
          <t>Financial Conduct &amp; Consumer Duty</t>
        </is>
      </c>
      <c r="C36" s="718" t="inlineStr">
        <is>
          <t>FCA-CONSUMER-DUTY</t>
        </is>
      </c>
      <c r="D36" s="718" t="n">
        <v>80</v>
      </c>
      <c r="E36" s="718" t="inlineStr">
        <is>
          <t>HIGHEST</t>
        </is>
      </c>
      <c r="F36" s="718" t="inlineStr">
        <is>
          <t>LOW</t>
        </is>
      </c>
      <c r="G36" s="718" t="inlineStr">
        <is>
          <t>Y</t>
        </is>
      </c>
      <c r="H36" s="718" t="inlineStr">
        <is>
          <t>REGULATOR_INSPECTION</t>
        </is>
      </c>
      <c r="I36" s="718" t="n">
        <v>93</v>
      </c>
      <c r="J36" s="718" t="inlineStr"/>
    </row>
    <row r="37">
      <c r="A37" s="717" t="inlineStr">
        <is>
          <t>GB-CD-03</t>
        </is>
      </c>
      <c r="B37" s="717" t="inlineStr">
        <is>
          <t>Operational Resilience</t>
        </is>
      </c>
      <c r="C37" s="717" t="inlineStr">
        <is>
          <t>PRA-OPRES</t>
        </is>
      </c>
      <c r="D37" s="717" t="n">
        <v>30</v>
      </c>
      <c r="E37" s="717" t="inlineStr">
        <is>
          <t>HIGHEST</t>
        </is>
      </c>
      <c r="F37" s="717" t="inlineStr">
        <is>
          <t>MODERATE</t>
        </is>
      </c>
      <c r="G37" s="717" t="inlineStr">
        <is>
          <t>PARTIAL</t>
        </is>
      </c>
      <c r="H37" s="717" t="inlineStr">
        <is>
          <t>EXTERNAL_AUDIT</t>
        </is>
      </c>
      <c r="I37" s="717" t="n">
        <v>90</v>
      </c>
      <c r="J37" s="717" t="inlineStr"/>
    </row>
    <row r="38">
      <c r="A38" s="718" t="inlineStr">
        <is>
          <t>GB-CD-04</t>
        </is>
      </c>
      <c r="B38" s="718" t="inlineStr">
        <is>
          <t>Cybersecurity (CAF / Essentials)</t>
        </is>
      </c>
      <c r="C38" s="718" t="inlineStr">
        <is>
          <t>UK-NCSC-CAF</t>
        </is>
      </c>
      <c r="D38" s="718" t="n">
        <v>56</v>
      </c>
      <c r="E38" s="718" t="inlineStr">
        <is>
          <t>HIGH</t>
        </is>
      </c>
      <c r="F38" s="718" t="inlineStr">
        <is>
          <t>HIGH</t>
        </is>
      </c>
      <c r="G38" s="718" t="inlineStr">
        <is>
          <t>Y</t>
        </is>
      </c>
      <c r="H38" s="718" t="inlineStr">
        <is>
          <t>CERTIFICATION</t>
        </is>
      </c>
      <c r="I38" s="718" t="n">
        <v>92</v>
      </c>
      <c r="J38" s="718" t="inlineStr"/>
    </row>
    <row r="39">
      <c r="A39" s="717" t="inlineStr">
        <is>
          <t>GB-CD-05</t>
        </is>
      </c>
      <c r="B39" s="717" t="inlineStr">
        <is>
          <t>AML/CFT</t>
        </is>
      </c>
      <c r="C39" s="717" t="inlineStr">
        <is>
          <t>UK-AML-POCA</t>
        </is>
      </c>
      <c r="D39" s="717" t="n">
        <v>35</v>
      </c>
      <c r="E39" s="717" t="inlineStr">
        <is>
          <t>HIGHEST</t>
        </is>
      </c>
      <c r="F39" s="717" t="inlineStr">
        <is>
          <t>LOW</t>
        </is>
      </c>
      <c r="G39" s="717" t="inlineStr">
        <is>
          <t>PARTIAL</t>
        </is>
      </c>
      <c r="H39" s="717" t="inlineStr">
        <is>
          <t>REGULATOR_INSPECTION</t>
        </is>
      </c>
      <c r="I39" s="717" t="n">
        <v>90</v>
      </c>
      <c r="J39" s="717" t="inlineStr"/>
    </row>
    <row r="40">
      <c r="A40" s="718" t="inlineStr">
        <is>
          <t>GB-CD-06</t>
        </is>
      </c>
      <c r="B40" s="718" t="inlineStr">
        <is>
          <t>Healthcare / Medical Device</t>
        </is>
      </c>
      <c r="C40" s="718" t="inlineStr">
        <is>
          <t>MHRA-MDR</t>
        </is>
      </c>
      <c r="D40" s="718" t="n">
        <v>45</v>
      </c>
      <c r="E40" s="718" t="inlineStr">
        <is>
          <t>HIGH</t>
        </is>
      </c>
      <c r="F40" s="718" t="inlineStr">
        <is>
          <t>HIGH</t>
        </is>
      </c>
      <c r="G40" s="718" t="inlineStr">
        <is>
          <t>PARTIAL</t>
        </is>
      </c>
      <c r="H40" s="718" t="inlineStr">
        <is>
          <t>CERTIFICATION</t>
        </is>
      </c>
      <c r="I40" s="718" t="n">
        <v>85</v>
      </c>
      <c r="J40" s="718" t="inlineStr"/>
    </row>
    <row r="42">
      <c r="A42" s="719" t="inlineStr">
        <is>
          <t xml:space="preserve">  D │ RISK DOMAINS</t>
        </is>
      </c>
      <c r="B42" s="766" t="n"/>
      <c r="C42" s="766" t="n"/>
      <c r="D42" s="766" t="n"/>
      <c r="E42" s="766" t="n"/>
      <c r="F42" s="766" t="n"/>
      <c r="G42" s="766" t="n"/>
      <c r="H42" s="766" t="n"/>
      <c r="I42" s="766" t="n"/>
      <c r="J42" s="767" t="n"/>
    </row>
    <row r="43">
      <c r="A43" s="720" t="inlineStr">
        <is>
          <t>Risk Domain</t>
        </is>
      </c>
      <c r="B43" s="720" t="inlineStr">
        <is>
          <t>Risk Category</t>
        </is>
      </c>
      <c r="C43" s="720" t="inlineStr">
        <is>
          <t>Risk Score (0-100)</t>
        </is>
      </c>
      <c r="D43" s="720" t="inlineStr">
        <is>
          <t>Level</t>
        </is>
      </c>
      <c r="E43" s="720" t="inlineStr">
        <is>
          <t>Primary Regulator</t>
        </is>
      </c>
      <c r="F43" s="720" t="inlineStr">
        <is>
          <t>Linked Framework</t>
        </is>
      </c>
      <c r="G43" s="720" t="inlineStr">
        <is>
          <t>KRI Count</t>
        </is>
      </c>
      <c r="H43" s="720" t="inlineStr">
        <is>
          <t>Escalation Threshold</t>
        </is>
      </c>
      <c r="I43" s="720" t="inlineStr">
        <is>
          <t>Owner Role</t>
        </is>
      </c>
      <c r="J43" s="720" t="inlineStr">
        <is>
          <t>Notes</t>
        </is>
      </c>
    </row>
    <row r="44">
      <c r="A44" s="717" t="inlineStr">
        <is>
          <t>UK GDPR Breach</t>
        </is>
      </c>
      <c r="B44" s="717" t="inlineStr">
        <is>
          <t>Privacy</t>
        </is>
      </c>
      <c r="C44" s="717" t="n">
        <v>92</v>
      </c>
      <c r="D44" s="717" t="inlineStr">
        <is>
          <t>HIGHEST</t>
        </is>
      </c>
      <c r="E44" s="717" t="inlineStr">
        <is>
          <t>ICO</t>
        </is>
      </c>
      <c r="F44" s="717" t="inlineStr">
        <is>
          <t>UK-GDPR-2018</t>
        </is>
      </c>
      <c r="G44" s="717" t="n">
        <v>8</v>
      </c>
      <c r="H44" s="717" t="inlineStr">
        <is>
          <t>72h mandatory notification</t>
        </is>
      </c>
      <c r="I44" s="717" t="inlineStr">
        <is>
          <t>DPO</t>
        </is>
      </c>
      <c r="J44" s="717" t="inlineStr"/>
    </row>
    <row r="45">
      <c r="A45" s="718" t="inlineStr">
        <is>
          <t>Financial Conduct Risk</t>
        </is>
      </c>
      <c r="B45" s="718" t="inlineStr">
        <is>
          <t>Regulatory</t>
        </is>
      </c>
      <c r="C45" s="718" t="n">
        <v>90</v>
      </c>
      <c r="D45" s="718" t="inlineStr">
        <is>
          <t>HIGHEST</t>
        </is>
      </c>
      <c r="E45" s="718" t="inlineStr">
        <is>
          <t>FCA</t>
        </is>
      </c>
      <c r="F45" s="718" t="inlineStr">
        <is>
          <t>FCA-SYSC</t>
        </is>
      </c>
      <c r="G45" s="718" t="n">
        <v>9</v>
      </c>
      <c r="H45" s="718" t="inlineStr">
        <is>
          <t>Consumer harm incident</t>
        </is>
      </c>
      <c r="I45" s="718" t="inlineStr">
        <is>
          <t>CCO</t>
        </is>
      </c>
      <c r="J45" s="718" t="inlineStr"/>
    </row>
    <row r="46">
      <c r="A46" s="717" t="inlineStr">
        <is>
          <t>Operational Resilience</t>
        </is>
      </c>
      <c r="B46" s="717" t="inlineStr">
        <is>
          <t>Operational</t>
        </is>
      </c>
      <c r="C46" s="717" t="n">
        <v>88</v>
      </c>
      <c r="D46" s="717" t="inlineStr">
        <is>
          <t>HIGHEST</t>
        </is>
      </c>
      <c r="E46" s="717" t="inlineStr">
        <is>
          <t>PRA/FCA</t>
        </is>
      </c>
      <c r="F46" s="717" t="inlineStr">
        <is>
          <t>PRA-OPRES</t>
        </is>
      </c>
      <c r="G46" s="717" t="n">
        <v>7</v>
      </c>
      <c r="H46" s="717" t="inlineStr">
        <is>
          <t>Impact tolerance breach</t>
        </is>
      </c>
      <c r="I46" s="717" t="inlineStr">
        <is>
          <t>CRO</t>
        </is>
      </c>
      <c r="J46" s="717" t="inlineStr"/>
    </row>
    <row r="47">
      <c r="A47" s="718" t="inlineStr">
        <is>
          <t>Cybersecurity / CNI</t>
        </is>
      </c>
      <c r="B47" s="718" t="inlineStr">
        <is>
          <t>Cybersecurity</t>
        </is>
      </c>
      <c r="C47" s="718" t="n">
        <v>85</v>
      </c>
      <c r="D47" s="718" t="inlineStr">
        <is>
          <t>HIGHEST</t>
        </is>
      </c>
      <c r="E47" s="718" t="inlineStr">
        <is>
          <t>NCSC-UK</t>
        </is>
      </c>
      <c r="F47" s="718" t="inlineStr">
        <is>
          <t>UK-NCSC-CAF</t>
        </is>
      </c>
      <c r="G47" s="718" t="n">
        <v>6</v>
      </c>
      <c r="H47" s="718" t="inlineStr">
        <is>
          <t>CAF objective failed</t>
        </is>
      </c>
      <c r="I47" s="718" t="inlineStr">
        <is>
          <t>CISO</t>
        </is>
      </c>
      <c r="J47" s="718" t="inlineStr"/>
    </row>
    <row r="48">
      <c r="A48" s="717" t="inlineStr">
        <is>
          <t>AML/Financial Crime</t>
        </is>
      </c>
      <c r="B48" s="717" t="inlineStr">
        <is>
          <t>Financial Crime</t>
        </is>
      </c>
      <c r="C48" s="717" t="n">
        <v>88</v>
      </c>
      <c r="D48" s="717" t="inlineStr">
        <is>
          <t>HIGHEST</t>
        </is>
      </c>
      <c r="E48" s="717" t="inlineStr">
        <is>
          <t>FCA/NCA</t>
        </is>
      </c>
      <c r="F48" s="717" t="inlineStr">
        <is>
          <t>UK-AML-POCA</t>
        </is>
      </c>
      <c r="G48" s="717" t="n">
        <v>7</v>
      </c>
      <c r="H48" s="717" t="inlineStr">
        <is>
          <t>STR failure</t>
        </is>
      </c>
      <c r="I48" s="717" t="inlineStr">
        <is>
          <t>MLRO</t>
        </is>
      </c>
      <c r="J48" s="717" t="inlineStr"/>
    </row>
    <row r="50">
      <c r="A50" s="721" t="inlineStr">
        <is>
          <t xml:space="preserve">  E │ COMPLIANCE LIFECYCLE</t>
        </is>
      </c>
      <c r="B50" s="766" t="n"/>
      <c r="C50" s="766" t="n"/>
      <c r="D50" s="766" t="n"/>
      <c r="E50" s="766" t="n"/>
      <c r="F50" s="766" t="n"/>
      <c r="G50" s="766" t="n"/>
      <c r="H50" s="766" t="n"/>
      <c r="I50" s="766" t="n"/>
      <c r="J50" s="767" t="n"/>
    </row>
    <row r="51">
      <c r="A51" s="722" t="inlineStr">
        <is>
          <t>Stage</t>
        </is>
      </c>
      <c r="B51" s="722" t="inlineStr">
        <is>
          <t>Stage Code</t>
        </is>
      </c>
      <c r="C51" s="722" t="inlineStr">
        <is>
          <t>Entry Trigger</t>
        </is>
      </c>
      <c r="D51" s="722" t="inlineStr">
        <is>
          <t>Exit Trigger</t>
        </is>
      </c>
      <c r="E51" s="722" t="inlineStr">
        <is>
          <t>Next Stage</t>
        </is>
      </c>
      <c r="F51" s="722" t="inlineStr">
        <is>
          <t>Approval Required</t>
        </is>
      </c>
      <c r="G51" s="722" t="inlineStr">
        <is>
          <t>Typical Duration</t>
        </is>
      </c>
      <c r="H51" s="722" t="inlineStr">
        <is>
          <t>Responsible Role</t>
        </is>
      </c>
      <c r="I51" s="722" t="inlineStr">
        <is>
          <t>Automation</t>
        </is>
      </c>
      <c r="J51" s="722" t="inlineStr">
        <is>
          <t>SLA (Days)</t>
        </is>
      </c>
    </row>
    <row r="52">
      <c r="A52" s="717" t="inlineStr">
        <is>
          <t>Draft</t>
        </is>
      </c>
      <c r="B52" s="717" t="inlineStr">
        <is>
          <t>DRAFT</t>
        </is>
      </c>
      <c r="C52" s="717" t="inlineStr">
        <is>
          <t>Registration initiated</t>
        </is>
      </c>
      <c r="D52" s="717" t="inlineStr">
        <is>
          <t>Initial assessment complete</t>
        </is>
      </c>
      <c r="E52" s="717" t="inlineStr">
        <is>
          <t>ASSESSED</t>
        </is>
      </c>
      <c r="F52" s="717" t="inlineStr">
        <is>
          <t>N</t>
        </is>
      </c>
      <c r="G52" s="717" t="inlineStr">
        <is>
          <t>14 days</t>
        </is>
      </c>
      <c r="H52" s="717" t="inlineStr">
        <is>
          <t>Compliance Officer</t>
        </is>
      </c>
      <c r="I52" s="717" t="inlineStr">
        <is>
          <t>FULL</t>
        </is>
      </c>
      <c r="J52" s="717" t="n">
        <v>14</v>
      </c>
    </row>
    <row r="53">
      <c r="A53" s="718" t="inlineStr">
        <is>
          <t>Assessed</t>
        </is>
      </c>
      <c r="B53" s="718" t="inlineStr">
        <is>
          <t>ASSESSED</t>
        </is>
      </c>
      <c r="C53" s="718" t="inlineStr">
        <is>
          <t>Draft submitted</t>
        </is>
      </c>
      <c r="D53" s="718" t="inlineStr">
        <is>
          <t>Gap analysis approved</t>
        </is>
      </c>
      <c r="E53" s="718" t="inlineStr">
        <is>
          <t>REGISTERED</t>
        </is>
      </c>
      <c r="F53" s="718" t="inlineStr">
        <is>
          <t>Y</t>
        </is>
      </c>
      <c r="G53" s="718" t="inlineStr">
        <is>
          <t>30 days</t>
        </is>
      </c>
      <c r="H53" s="718" t="inlineStr">
        <is>
          <t>Lead Auditor</t>
        </is>
      </c>
      <c r="I53" s="718" t="inlineStr">
        <is>
          <t>PARTIAL</t>
        </is>
      </c>
      <c r="J53" s="718" t="n">
        <v>30</v>
      </c>
    </row>
    <row r="54">
      <c r="A54" s="717" t="inlineStr">
        <is>
          <t>Registered</t>
        </is>
      </c>
      <c r="B54" s="717" t="inlineStr">
        <is>
          <t>REGISTERED</t>
        </is>
      </c>
      <c r="C54" s="717" t="inlineStr">
        <is>
          <t>Assessment passed</t>
        </is>
      </c>
      <c r="D54" s="717" t="inlineStr">
        <is>
          <t>Controls implemented</t>
        </is>
      </c>
      <c r="E54" s="717" t="inlineStr">
        <is>
          <t>ACTIVE</t>
        </is>
      </c>
      <c r="F54" s="717" t="inlineStr">
        <is>
          <t>Y</t>
        </is>
      </c>
      <c r="G54" s="717" t="inlineStr">
        <is>
          <t>90 days</t>
        </is>
      </c>
      <c r="H54" s="717" t="inlineStr">
        <is>
          <t>CISO</t>
        </is>
      </c>
      <c r="I54" s="717" t="inlineStr">
        <is>
          <t>PARTIAL</t>
        </is>
      </c>
      <c r="J54" s="717" t="n">
        <v>90</v>
      </c>
    </row>
    <row r="55">
      <c r="A55" s="718" t="inlineStr">
        <is>
          <t>Active</t>
        </is>
      </c>
      <c r="B55" s="718" t="inlineStr">
        <is>
          <t>ACTIVE</t>
        </is>
      </c>
      <c r="C55" s="718" t="inlineStr">
        <is>
          <t>Registration confirmed</t>
        </is>
      </c>
      <c r="D55" s="718" t="inlineStr">
        <is>
          <t>Audit scheduled</t>
        </is>
      </c>
      <c r="E55" s="718" t="inlineStr">
        <is>
          <t>AUDITED</t>
        </is>
      </c>
      <c r="F55" s="718" t="inlineStr">
        <is>
          <t>N</t>
        </is>
      </c>
      <c r="G55" s="718" t="inlineStr">
        <is>
          <t>Ongoing</t>
        </is>
      </c>
      <c r="H55" s="718" t="inlineStr">
        <is>
          <t>Compliance Officer</t>
        </is>
      </c>
      <c r="I55" s="718" t="inlineStr">
        <is>
          <t>FULL</t>
        </is>
      </c>
      <c r="J55" s="718" t="n">
        <v>365</v>
      </c>
    </row>
    <row r="56">
      <c r="A56" s="717" t="inlineStr">
        <is>
          <t>Audited</t>
        </is>
      </c>
      <c r="B56" s="717" t="inlineStr">
        <is>
          <t>AUDITED</t>
        </is>
      </c>
      <c r="C56" s="717" t="inlineStr">
        <is>
          <t>Annual audit cycle</t>
        </is>
      </c>
      <c r="D56" s="717" t="inlineStr">
        <is>
          <t>Audit report issued</t>
        </is>
      </c>
      <c r="E56" s="717" t="inlineStr">
        <is>
          <t>RENEWED</t>
        </is>
      </c>
      <c r="F56" s="717" t="inlineStr">
        <is>
          <t>Y</t>
        </is>
      </c>
      <c r="G56" s="717" t="inlineStr">
        <is>
          <t>60 days</t>
        </is>
      </c>
      <c r="H56" s="717" t="inlineStr">
        <is>
          <t>External Auditor</t>
        </is>
      </c>
      <c r="I56" s="717" t="inlineStr">
        <is>
          <t>PARTIAL</t>
        </is>
      </c>
      <c r="J56" s="717" t="n">
        <v>60</v>
      </c>
    </row>
    <row r="57">
      <c r="A57" s="718" t="inlineStr">
        <is>
          <t>Renewed</t>
        </is>
      </c>
      <c r="B57" s="718" t="inlineStr">
        <is>
          <t>RENEWED</t>
        </is>
      </c>
      <c r="C57" s="718" t="inlineStr">
        <is>
          <t>Successful audit</t>
        </is>
      </c>
      <c r="D57" s="718" t="inlineStr">
        <is>
          <t>Next cycle begins</t>
        </is>
      </c>
      <c r="E57" s="718" t="inlineStr">
        <is>
          <t>ACTIVE</t>
        </is>
      </c>
      <c r="F57" s="718" t="inlineStr">
        <is>
          <t>N</t>
        </is>
      </c>
      <c r="G57" s="718" t="inlineStr">
        <is>
          <t>1 day</t>
        </is>
      </c>
      <c r="H57" s="718" t="inlineStr">
        <is>
          <t>Compliance Officer</t>
        </is>
      </c>
      <c r="I57" s="718" t="inlineStr">
        <is>
          <t>FULL</t>
        </is>
      </c>
      <c r="J57" s="718" t="n">
        <v>1</v>
      </c>
    </row>
    <row r="58">
      <c r="A58" s="717" t="inlineStr">
        <is>
          <t>Archived</t>
        </is>
      </c>
      <c r="B58" s="717" t="inlineStr">
        <is>
          <t>ARCHIVED</t>
        </is>
      </c>
      <c r="C58" s="717" t="inlineStr">
        <is>
          <t>Decommission / superseded</t>
        </is>
      </c>
      <c r="D58" s="717" t="inlineStr">
        <is>
          <t>N/A</t>
        </is>
      </c>
      <c r="E58" s="717" t="inlineStr">
        <is>
          <t>N/A</t>
        </is>
      </c>
      <c r="F58" s="717" t="inlineStr">
        <is>
          <t>Y</t>
        </is>
      </c>
      <c r="G58" s="717" t="inlineStr">
        <is>
          <t>N/A</t>
        </is>
      </c>
      <c r="H58" s="717" t="inlineStr">
        <is>
          <t>CCO</t>
        </is>
      </c>
      <c r="I58" s="717" t="inlineStr">
        <is>
          <t>N</t>
        </is>
      </c>
      <c r="J58" s="717" t="n">
        <v>0</v>
      </c>
    </row>
    <row r="60">
      <c r="A60" s="723" t="inlineStr">
        <is>
          <t xml:space="preserve">  F │ EVIDENCE REQUIREMENTS</t>
        </is>
      </c>
      <c r="B60" s="766" t="n"/>
      <c r="C60" s="766" t="n"/>
      <c r="D60" s="766" t="n"/>
      <c r="E60" s="766" t="n"/>
      <c r="F60" s="766" t="n"/>
      <c r="G60" s="766" t="n"/>
      <c r="H60" s="766" t="n"/>
      <c r="I60" s="766" t="n"/>
      <c r="J60" s="767" t="n"/>
    </row>
    <row r="61">
      <c r="A61" s="724" t="inlineStr">
        <is>
          <t>Evidence Type</t>
        </is>
      </c>
      <c r="B61" s="724" t="inlineStr">
        <is>
          <t>Framework</t>
        </is>
      </c>
      <c r="C61" s="724" t="inlineStr">
        <is>
          <t>Responsible Role</t>
        </is>
      </c>
      <c r="D61" s="724" t="inlineStr">
        <is>
          <t>Collection Frequency</t>
        </is>
      </c>
      <c r="E61" s="724" t="inlineStr">
        <is>
          <t>Retention (Years)</t>
        </is>
      </c>
      <c r="F61" s="724" t="inlineStr">
        <is>
          <t>Format</t>
        </is>
      </c>
      <c r="G61" s="724" t="inlineStr">
        <is>
          <t>Submittable to Regulator?</t>
        </is>
      </c>
      <c r="H61" s="724" t="inlineStr">
        <is>
          <t>AI Extractable?</t>
        </is>
      </c>
      <c r="I61" s="724" t="inlineStr">
        <is>
          <t>Risk if Missing</t>
        </is>
      </c>
      <c r="J61" s="724" t="inlineStr">
        <is>
          <t>Notes</t>
        </is>
      </c>
    </row>
    <row r="62">
      <c r="A62" s="717" t="inlineStr">
        <is>
          <t>Self-Assessment Report</t>
        </is>
      </c>
      <c r="B62" s="717" t="inlineStr">
        <is>
          <t>ALL</t>
        </is>
      </c>
      <c r="C62" s="717" t="inlineStr">
        <is>
          <t>Compliance Officer</t>
        </is>
      </c>
      <c r="D62" s="717" t="inlineStr">
        <is>
          <t>ANNUAL</t>
        </is>
      </c>
      <c r="E62" s="717" t="n">
        <v>5</v>
      </c>
      <c r="F62" s="717" t="inlineStr">
        <is>
          <t>PDF</t>
        </is>
      </c>
      <c r="G62" s="717" t="inlineStr">
        <is>
          <t>Y</t>
        </is>
      </c>
      <c r="H62" s="717" t="inlineStr">
        <is>
          <t>Y</t>
        </is>
      </c>
      <c r="I62" s="717" t="inlineStr">
        <is>
          <t>HIGH</t>
        </is>
      </c>
      <c r="J62" s="717" t="inlineStr"/>
    </row>
    <row r="63">
      <c r="A63" s="718" t="inlineStr">
        <is>
          <t>Gap Analysis Report</t>
        </is>
      </c>
      <c r="B63" s="718" t="inlineStr">
        <is>
          <t>ALL</t>
        </is>
      </c>
      <c r="C63" s="718" t="inlineStr">
        <is>
          <t>Lead Auditor</t>
        </is>
      </c>
      <c r="D63" s="718" t="inlineStr">
        <is>
          <t>ANNUAL</t>
        </is>
      </c>
      <c r="E63" s="718" t="n">
        <v>5</v>
      </c>
      <c r="F63" s="718" t="inlineStr">
        <is>
          <t>PDF/Excel</t>
        </is>
      </c>
      <c r="G63" s="718" t="inlineStr">
        <is>
          <t>N</t>
        </is>
      </c>
      <c r="H63" s="718" t="inlineStr">
        <is>
          <t>Y</t>
        </is>
      </c>
      <c r="I63" s="718" t="inlineStr">
        <is>
          <t>HIGH</t>
        </is>
      </c>
      <c r="J63" s="718" t="inlineStr"/>
    </row>
    <row r="64">
      <c r="A64" s="717" t="inlineStr">
        <is>
          <t>External Audit Report</t>
        </is>
      </c>
      <c r="B64" s="717" t="inlineStr">
        <is>
          <t>ALL</t>
        </is>
      </c>
      <c r="C64" s="717" t="inlineStr">
        <is>
          <t>External Auditor</t>
        </is>
      </c>
      <c r="D64" s="717" t="inlineStr">
        <is>
          <t>ANNUAL</t>
        </is>
      </c>
      <c r="E64" s="717" t="n">
        <v>7</v>
      </c>
      <c r="F64" s="717" t="inlineStr">
        <is>
          <t>PDF</t>
        </is>
      </c>
      <c r="G64" s="717" t="inlineStr">
        <is>
          <t>Y</t>
        </is>
      </c>
      <c r="H64" s="717" t="inlineStr">
        <is>
          <t>Y</t>
        </is>
      </c>
      <c r="I64" s="717" t="inlineStr">
        <is>
          <t>CRITICAL</t>
        </is>
      </c>
      <c r="J64" s="717" t="inlineStr"/>
    </row>
    <row r="65">
      <c r="A65" s="718" t="inlineStr">
        <is>
          <t>Penetration Test Report</t>
        </is>
      </c>
      <c r="B65" s="718" t="inlineStr">
        <is>
          <t>ALL</t>
        </is>
      </c>
      <c r="C65" s="718" t="inlineStr">
        <is>
          <t>CISO</t>
        </is>
      </c>
      <c r="D65" s="718" t="inlineStr">
        <is>
          <t>ANNUAL</t>
        </is>
      </c>
      <c r="E65" s="718" t="n">
        <v>3</v>
      </c>
      <c r="F65" s="718" t="inlineStr">
        <is>
          <t>PDF</t>
        </is>
      </c>
      <c r="G65" s="718" t="inlineStr">
        <is>
          <t>Y</t>
        </is>
      </c>
      <c r="H65" s="718" t="inlineStr">
        <is>
          <t>Y</t>
        </is>
      </c>
      <c r="I65" s="718" t="inlineStr">
        <is>
          <t>HIGH</t>
        </is>
      </c>
      <c r="J65" s="718" t="inlineStr"/>
    </row>
    <row r="66">
      <c r="A66" s="717" t="inlineStr">
        <is>
          <t>Regulator Inspection Record</t>
        </is>
      </c>
      <c r="B66" s="717" t="inlineStr">
        <is>
          <t>ALL</t>
        </is>
      </c>
      <c r="C66" s="717" t="inlineStr">
        <is>
          <t>CCO</t>
        </is>
      </c>
      <c r="D66" s="717" t="inlineStr">
        <is>
          <t>AS_REQUIRED</t>
        </is>
      </c>
      <c r="E66" s="717" t="n">
        <v>10</v>
      </c>
      <c r="F66" s="717" t="inlineStr">
        <is>
          <t>PDF</t>
        </is>
      </c>
      <c r="G66" s="717" t="inlineStr">
        <is>
          <t>Y</t>
        </is>
      </c>
      <c r="H66" s="717" t="inlineStr">
        <is>
          <t>N</t>
        </is>
      </c>
      <c r="I66" s="717" t="inlineStr">
        <is>
          <t>CRITICAL</t>
        </is>
      </c>
      <c r="J66" s="717" t="inlineStr"/>
    </row>
    <row r="67">
      <c r="A67" s="718" t="inlineStr">
        <is>
          <t>Incident Response Log</t>
        </is>
      </c>
      <c r="B67" s="718" t="inlineStr">
        <is>
          <t>ALL</t>
        </is>
      </c>
      <c r="C67" s="718" t="inlineStr">
        <is>
          <t>CISO</t>
        </is>
      </c>
      <c r="D67" s="718" t="inlineStr">
        <is>
          <t>CONTINUOUS</t>
        </is>
      </c>
      <c r="E67" s="718" t="n">
        <v>5</v>
      </c>
      <c r="F67" s="718" t="inlineStr">
        <is>
          <t>SIEM/PDF</t>
        </is>
      </c>
      <c r="G67" s="718" t="inlineStr">
        <is>
          <t>Y</t>
        </is>
      </c>
      <c r="H67" s="718" t="inlineStr">
        <is>
          <t>Y</t>
        </is>
      </c>
      <c r="I67" s="718" t="inlineStr">
        <is>
          <t>HIGH</t>
        </is>
      </c>
      <c r="J67" s="718" t="inlineStr"/>
    </row>
    <row r="68">
      <c r="A68" s="717" t="inlineStr">
        <is>
          <t>Training Completion Records</t>
        </is>
      </c>
      <c r="B68" s="717" t="inlineStr">
        <is>
          <t>ALL</t>
        </is>
      </c>
      <c r="C68" s="717" t="inlineStr">
        <is>
          <t>CISO</t>
        </is>
      </c>
      <c r="D68" s="717" t="inlineStr">
        <is>
          <t>ANNUAL</t>
        </is>
      </c>
      <c r="E68" s="717" t="n">
        <v>3</v>
      </c>
      <c r="F68" s="717" t="inlineStr">
        <is>
          <t>CSV/PDF</t>
        </is>
      </c>
      <c r="G68" s="717" t="inlineStr">
        <is>
          <t>N</t>
        </is>
      </c>
      <c r="H68" s="717" t="inlineStr">
        <is>
          <t>Y</t>
        </is>
      </c>
      <c r="I68" s="717" t="inlineStr">
        <is>
          <t>MEDIUM</t>
        </is>
      </c>
      <c r="J68" s="717" t="inlineStr"/>
    </row>
    <row r="69">
      <c r="A69" s="718" t="inlineStr">
        <is>
          <t>Vendor Risk Assessments</t>
        </is>
      </c>
      <c r="B69" s="718" t="inlineStr">
        <is>
          <t>ALL</t>
        </is>
      </c>
      <c r="C69" s="718" t="inlineStr">
        <is>
          <t>3rd Party Risk Officer</t>
        </is>
      </c>
      <c r="D69" s="718" t="inlineStr">
        <is>
          <t>ANNUAL</t>
        </is>
      </c>
      <c r="E69" s="718" t="n">
        <v>3</v>
      </c>
      <c r="F69" s="718" t="inlineStr">
        <is>
          <t>Excel/PDF</t>
        </is>
      </c>
      <c r="G69" s="718" t="inlineStr">
        <is>
          <t>N</t>
        </is>
      </c>
      <c r="H69" s="718" t="inlineStr">
        <is>
          <t>Y</t>
        </is>
      </c>
      <c r="I69" s="718" t="inlineStr">
        <is>
          <t>HIGH</t>
        </is>
      </c>
      <c r="J69" s="718" t="inlineStr"/>
    </row>
    <row r="70">
      <c r="A70" s="717" t="inlineStr">
        <is>
          <t>Data Protection Impact Assessment</t>
        </is>
      </c>
      <c r="B70" s="717" t="inlineStr">
        <is>
          <t>PRIVACY</t>
        </is>
      </c>
      <c r="C70" s="717" t="inlineStr">
        <is>
          <t>DPO</t>
        </is>
      </c>
      <c r="D70" s="717" t="inlineStr">
        <is>
          <t>PER_PROJECT</t>
        </is>
      </c>
      <c r="E70" s="717" t="n">
        <v>5</v>
      </c>
      <c r="F70" s="717" t="inlineStr">
        <is>
          <t>PDF</t>
        </is>
      </c>
      <c r="G70" s="717" t="inlineStr">
        <is>
          <t>Y</t>
        </is>
      </c>
      <c r="H70" s="717" t="inlineStr">
        <is>
          <t>Y</t>
        </is>
      </c>
      <c r="I70" s="717" t="inlineStr">
        <is>
          <t>HIGH</t>
        </is>
      </c>
      <c r="J70" s="717" t="inlineStr"/>
    </row>
    <row r="71">
      <c r="A71" s="718" t="inlineStr">
        <is>
          <t>Business Continuity Test Report</t>
        </is>
      </c>
      <c r="B71" s="718" t="inlineStr">
        <is>
          <t>ALL</t>
        </is>
      </c>
      <c r="C71" s="718" t="inlineStr">
        <is>
          <t>BCM Manager</t>
        </is>
      </c>
      <c r="D71" s="718" t="inlineStr">
        <is>
          <t>BIENNIAL</t>
        </is>
      </c>
      <c r="E71" s="718" t="n">
        <v>5</v>
      </c>
      <c r="F71" s="718" t="inlineStr">
        <is>
          <t>PDF</t>
        </is>
      </c>
      <c r="G71" s="718" t="inlineStr">
        <is>
          <t>N</t>
        </is>
      </c>
      <c r="H71" s="718" t="inlineStr">
        <is>
          <t>N</t>
        </is>
      </c>
      <c r="I71" s="718" t="inlineStr">
        <is>
          <t>MEDIUM</t>
        </is>
      </c>
      <c r="J71" s="718" t="inlineStr"/>
    </row>
    <row r="73">
      <c r="A73" s="725" t="inlineStr">
        <is>
          <t xml:space="preserve">  G │ GRC MATURITY BENCHMARKS</t>
        </is>
      </c>
      <c r="B73" s="766" t="n"/>
      <c r="C73" s="766" t="n"/>
      <c r="D73" s="766" t="n"/>
      <c r="E73" s="766" t="n"/>
      <c r="F73" s="766" t="n"/>
      <c r="G73" s="766" t="n"/>
      <c r="H73" s="766" t="n"/>
      <c r="I73" s="766" t="n"/>
      <c r="J73" s="767" t="n"/>
    </row>
    <row r="74">
      <c r="A74" s="726" t="inlineStr">
        <is>
          <t>Domain</t>
        </is>
      </c>
      <c r="B74" s="726" t="inlineStr">
        <is>
          <t>Maturity Model</t>
        </is>
      </c>
      <c r="C74" s="726" t="inlineStr">
        <is>
          <t>Country Avg Score</t>
        </is>
      </c>
      <c r="D74" s="726" t="inlineStr">
        <is>
          <t>Best-in-Class</t>
        </is>
      </c>
      <c r="E74" s="726" t="inlineStr">
        <is>
          <t>Typical Target</t>
        </is>
      </c>
      <c r="F74" s="726" t="inlineStr">
        <is>
          <t>Gap to Target</t>
        </is>
      </c>
      <c r="G74" s="726" t="inlineStr">
        <is>
          <t>Priority</t>
        </is>
      </c>
      <c r="H74" s="726" t="inlineStr">
        <is>
          <t>Key Barrier</t>
        </is>
      </c>
      <c r="I74" s="726" t="inlineStr">
        <is>
          <t>Shahin AI Recommendation</t>
        </is>
      </c>
      <c r="J74" s="726" t="inlineStr">
        <is>
          <t>Ref Framework</t>
        </is>
      </c>
    </row>
    <row r="75">
      <c r="A75" s="717" t="inlineStr">
        <is>
          <t>GRC Governance</t>
        </is>
      </c>
      <c r="B75" s="717" t="inlineStr">
        <is>
          <t>CMMI 1-5</t>
        </is>
      </c>
      <c r="C75" s="717" t="n">
        <v>4</v>
      </c>
      <c r="D75" s="717" t="n">
        <v>5</v>
      </c>
      <c r="E75" s="717" t="n">
        <v>4.5</v>
      </c>
      <c r="F75" s="717" t="n">
        <v>0.5</v>
      </c>
      <c r="G75" s="717" t="inlineStr">
        <is>
          <t>MEDIUM</t>
        </is>
      </c>
      <c r="H75" s="717" t="inlineStr">
        <is>
          <t>Regulatory fragmentation</t>
        </is>
      </c>
      <c r="I75" s="717" t="inlineStr">
        <is>
          <t>GRC integration across FCA+PRA+ICO</t>
        </is>
      </c>
      <c r="J75" s="717" t="inlineStr">
        <is>
          <t>FCA-SYSC</t>
        </is>
      </c>
    </row>
    <row r="76">
      <c r="A76" s="718" t="inlineStr">
        <is>
          <t>Data Privacy (UK GDPR)</t>
        </is>
      </c>
      <c r="B76" s="718" t="inlineStr">
        <is>
          <t>CMMI 1-5</t>
        </is>
      </c>
      <c r="C76" s="718" t="n">
        <v>3.8</v>
      </c>
      <c r="D76" s="718" t="n">
        <v>5</v>
      </c>
      <c r="E76" s="718" t="n">
        <v>4.5</v>
      </c>
      <c r="F76" s="718" t="n">
        <v>0.7</v>
      </c>
      <c r="G76" s="718" t="inlineStr">
        <is>
          <t>HIGH</t>
        </is>
      </c>
      <c r="H76" s="718" t="inlineStr">
        <is>
          <t>Third-party data flows</t>
        </is>
      </c>
      <c r="I76" s="718" t="inlineStr">
        <is>
          <t>DP programme governance</t>
        </is>
      </c>
      <c r="J76" s="718" t="inlineStr">
        <is>
          <t>UK-GDPR-2018</t>
        </is>
      </c>
    </row>
    <row r="77">
      <c r="A77" s="717" t="inlineStr">
        <is>
          <t>Operational Resilience</t>
        </is>
      </c>
      <c r="B77" s="717" t="inlineStr">
        <is>
          <t>CMMI 1-5</t>
        </is>
      </c>
      <c r="C77" s="717" t="n">
        <v>3.5</v>
      </c>
      <c r="D77" s="717" t="n">
        <v>5</v>
      </c>
      <c r="E77" s="717" t="n">
        <v>4</v>
      </c>
      <c r="F77" s="717" t="n">
        <v>0.5</v>
      </c>
      <c r="G77" s="717" t="inlineStr">
        <is>
          <t>HIGH</t>
        </is>
      </c>
      <c r="H77" s="717" t="inlineStr">
        <is>
          <t>Testing gaps</t>
        </is>
      </c>
      <c r="I77" s="717" t="inlineStr">
        <is>
          <t>Severe but plausible scenario testing</t>
        </is>
      </c>
      <c r="J77" s="717" t="inlineStr">
        <is>
          <t>PRA-OPRES</t>
        </is>
      </c>
    </row>
    <row r="78">
      <c r="A78" s="718" t="inlineStr">
        <is>
          <t>AML/CFT</t>
        </is>
      </c>
      <c r="B78" s="718" t="inlineStr">
        <is>
          <t>CMMI 1-5</t>
        </is>
      </c>
      <c r="C78" s="718" t="n">
        <v>4</v>
      </c>
      <c r="D78" s="718" t="n">
        <v>5</v>
      </c>
      <c r="E78" s="718" t="n">
        <v>4.5</v>
      </c>
      <c r="F78" s="718" t="n">
        <v>0.5</v>
      </c>
      <c r="G78" s="718" t="inlineStr">
        <is>
          <t>MEDIUM</t>
        </is>
      </c>
      <c r="H78" s="718" t="inlineStr">
        <is>
          <t>Crypto/DeFi risks</t>
        </is>
      </c>
      <c r="I78" s="718" t="inlineStr">
        <is>
          <t>AI-powered transaction monitoring</t>
        </is>
      </c>
      <c r="J78" s="718" t="inlineStr">
        <is>
          <t>UK-AML-POCA</t>
        </is>
      </c>
    </row>
  </sheetData>
  <mergeCells count="8">
    <mergeCell ref="A1:J1"/>
    <mergeCell ref="A15:J15"/>
    <mergeCell ref="A50:J50"/>
    <mergeCell ref="A73:J73"/>
    <mergeCell ref="A2:J2"/>
    <mergeCell ref="A42:J42"/>
    <mergeCell ref="A60:J60"/>
    <mergeCell ref="A33:J33"/>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J81"/>
  <sheetViews>
    <sheetView showGridLines="0" workbookViewId="0">
      <pane ySplit="2" topLeftCell="A3" activePane="bottomLeft" state="frozen"/>
      <selection pane="bottomLeft" activeCell="A1" sqref="A1"/>
    </sheetView>
  </sheetViews>
  <sheetFormatPr baseColWidth="8" defaultRowHeight="15"/>
  <cols>
    <col width="18" customWidth="1" min="1" max="1"/>
    <col width="38" customWidth="1" min="2" max="2"/>
    <col width="28" customWidth="1" min="3" max="3"/>
    <col width="24" customWidth="1" min="4" max="4"/>
    <col width="12" customWidth="1" min="5" max="5"/>
    <col width="12" customWidth="1" min="6" max="6"/>
    <col width="22" customWidth="1" min="7" max="7"/>
    <col width="18" customWidth="1" min="8" max="8"/>
    <col width="20" customWidth="1" min="9" max="9"/>
    <col width="28" customWidth="1" min="10" max="10"/>
  </cols>
  <sheetData>
    <row r="1" ht="30" customHeight="1">
      <c r="A1" s="705" t="inlineStr">
        <is>
          <t>🇺🇸  United States of America (US)  ·  GRC Regulatory Intelligence</t>
        </is>
      </c>
    </row>
    <row r="2">
      <c r="A2" s="706" t="inlineStr">
        <is>
          <t xml:space="preserve">  A │ REGULATORS</t>
        </is>
      </c>
      <c r="B2" s="766" t="n"/>
      <c r="C2" s="766" t="n"/>
      <c r="D2" s="766" t="n"/>
      <c r="E2" s="766" t="n"/>
      <c r="F2" s="766" t="n"/>
      <c r="G2" s="766" t="n"/>
      <c r="H2" s="766" t="n"/>
      <c r="I2" s="766" t="n"/>
      <c r="J2" s="767" t="n"/>
    </row>
    <row r="3">
      <c r="A3" s="707" t="inlineStr">
        <is>
          <t>Code</t>
        </is>
      </c>
      <c r="B3" s="707" t="inlineStr">
        <is>
          <t>Name (EN)</t>
        </is>
      </c>
      <c r="C3" s="707" t="inlineStr">
        <is>
          <t>Name (AR)</t>
        </is>
      </c>
      <c r="D3" s="707" t="inlineStr">
        <is>
          <t>Sector Group</t>
        </is>
      </c>
      <c r="E3" s="707" t="inlineStr">
        <is>
          <t>Tier</t>
        </is>
      </c>
      <c r="F3" s="707" t="inlineStr">
        <is>
          <t>Own FW Count</t>
        </is>
      </c>
      <c r="G3" s="707" t="inlineStr">
        <is>
          <t>Power Index</t>
        </is>
      </c>
      <c r="H3" s="707" t="inlineStr">
        <is>
          <t>Enforcement</t>
        </is>
      </c>
      <c r="I3" s="707" t="inlineStr">
        <is>
          <t>Website</t>
        </is>
      </c>
      <c r="J3" s="707" t="inlineStr">
        <is>
          <t>Notes</t>
        </is>
      </c>
    </row>
    <row r="4">
      <c r="A4" s="708" t="inlineStr">
        <is>
          <t>FED</t>
        </is>
      </c>
      <c r="B4" s="708" t="inlineStr">
        <is>
          <t>Federal Reserve System</t>
        </is>
      </c>
      <c r="C4" s="708" t="inlineStr">
        <is>
          <t>الاحتياطي الفيدرالي</t>
        </is>
      </c>
      <c r="D4" s="708" t="inlineStr">
        <is>
          <t>Financial</t>
        </is>
      </c>
      <c r="E4" s="708" t="inlineStr">
        <is>
          <t>🔴 T1</t>
        </is>
      </c>
      <c r="F4" s="708" t="n">
        <v>6</v>
      </c>
      <c r="G4" s="708" t="n">
        <v>100</v>
      </c>
      <c r="H4" s="708" t="inlineStr">
        <is>
          <t>MANDATORY</t>
        </is>
      </c>
      <c r="I4" s="708" t="inlineStr">
        <is>
          <t>https://federalreserve.gov</t>
        </is>
      </c>
      <c r="J4" s="708" t="inlineStr"/>
    </row>
    <row r="5">
      <c r="A5" s="708" t="inlineStr">
        <is>
          <t>OCC</t>
        </is>
      </c>
      <c r="B5" s="708" t="inlineStr">
        <is>
          <t>Office of the Comptroller of Currency</t>
        </is>
      </c>
      <c r="C5" s="708" t="inlineStr">
        <is>
          <t>مكتب مراقب العملة</t>
        </is>
      </c>
      <c r="D5" s="708" t="inlineStr">
        <is>
          <t>Banking</t>
        </is>
      </c>
      <c r="E5" s="708" t="inlineStr">
        <is>
          <t>🔴 T1</t>
        </is>
      </c>
      <c r="F5" s="708" t="n">
        <v>8</v>
      </c>
      <c r="G5" s="708" t="n">
        <v>95</v>
      </c>
      <c r="H5" s="708" t="inlineStr">
        <is>
          <t>MANDATORY</t>
        </is>
      </c>
      <c r="I5" s="708" t="inlineStr">
        <is>
          <t>https://occ.gov</t>
        </is>
      </c>
      <c r="J5" s="708" t="inlineStr"/>
    </row>
    <row r="6">
      <c r="A6" s="708" t="inlineStr">
        <is>
          <t>SEC-US</t>
        </is>
      </c>
      <c r="B6" s="708" t="inlineStr">
        <is>
          <t>Securities &amp; Exchange Commission</t>
        </is>
      </c>
      <c r="C6" s="708" t="inlineStr">
        <is>
          <t>هيئة الأوراق المالية والبورصات</t>
        </is>
      </c>
      <c r="D6" s="708" t="inlineStr">
        <is>
          <t>Capital Markets</t>
        </is>
      </c>
      <c r="E6" s="708" t="inlineStr">
        <is>
          <t>🔴 T1</t>
        </is>
      </c>
      <c r="F6" s="708" t="n">
        <v>10</v>
      </c>
      <c r="G6" s="708" t="n">
        <v>97</v>
      </c>
      <c r="H6" s="708" t="inlineStr">
        <is>
          <t>MANDATORY</t>
        </is>
      </c>
      <c r="I6" s="708" t="inlineStr">
        <is>
          <t>https://sec.gov</t>
        </is>
      </c>
      <c r="J6" s="708" t="inlineStr"/>
    </row>
    <row r="7">
      <c r="A7" s="708" t="inlineStr">
        <is>
          <t>CISA</t>
        </is>
      </c>
      <c r="B7" s="708" t="inlineStr">
        <is>
          <t>Cybersecurity &amp; Infrastructure Security Agency</t>
        </is>
      </c>
      <c r="C7" s="708" t="inlineStr">
        <is>
          <t>وكالة الأمن السيبراني وأمن البنية التحتية</t>
        </is>
      </c>
      <c r="D7" s="708" t="inlineStr">
        <is>
          <t>Cybersecurity/CNI</t>
        </is>
      </c>
      <c r="E7" s="708" t="inlineStr">
        <is>
          <t>🔴 T1</t>
        </is>
      </c>
      <c r="F7" s="708" t="n">
        <v>8</v>
      </c>
      <c r="G7" s="708" t="n">
        <v>95</v>
      </c>
      <c r="H7" s="708" t="inlineStr">
        <is>
          <t>MANDATORY</t>
        </is>
      </c>
      <c r="I7" s="708" t="inlineStr">
        <is>
          <t>https://cisa.gov</t>
        </is>
      </c>
      <c r="J7" s="708" t="inlineStr"/>
    </row>
    <row r="8">
      <c r="A8" s="708" t="inlineStr">
        <is>
          <t>NIST-US</t>
        </is>
      </c>
      <c r="B8" s="708" t="inlineStr">
        <is>
          <t>National Institute of Standards &amp; Technology</t>
        </is>
      </c>
      <c r="C8" s="708" t="inlineStr">
        <is>
          <t>المعهد الوطني للمعايير والتكنولوجيا</t>
        </is>
      </c>
      <c r="D8" s="708" t="inlineStr">
        <is>
          <t>Standards/Cyber</t>
        </is>
      </c>
      <c r="E8" s="708" t="inlineStr">
        <is>
          <t>🔴 T1</t>
        </is>
      </c>
      <c r="F8" s="708" t="n">
        <v>15</v>
      </c>
      <c r="G8" s="708" t="n">
        <v>93</v>
      </c>
      <c r="H8" s="708" t="inlineStr">
        <is>
          <t>VOLUNTARY (de facto mandatory)</t>
        </is>
      </c>
      <c r="I8" s="708" t="inlineStr">
        <is>
          <t>https://nist.gov</t>
        </is>
      </c>
      <c r="J8" s="708" t="inlineStr"/>
    </row>
    <row r="9">
      <c r="A9" s="709" t="inlineStr">
        <is>
          <t>FDA-US</t>
        </is>
      </c>
      <c r="B9" s="709" t="inlineStr">
        <is>
          <t>Food &amp; Drug Administration</t>
        </is>
      </c>
      <c r="C9" s="709" t="inlineStr">
        <is>
          <t>إدارة الغذاء والدواء</t>
        </is>
      </c>
      <c r="D9" s="709" t="inlineStr">
        <is>
          <t>Healthcare/Devices</t>
        </is>
      </c>
      <c r="E9" s="709" t="inlineStr">
        <is>
          <t>🟠 T2</t>
        </is>
      </c>
      <c r="F9" s="709" t="n">
        <v>8</v>
      </c>
      <c r="G9" s="709" t="n">
        <v>88</v>
      </c>
      <c r="H9" s="709" t="inlineStr">
        <is>
          <t>MANDATORY</t>
        </is>
      </c>
      <c r="I9" s="709" t="inlineStr">
        <is>
          <t>https://fda.gov</t>
        </is>
      </c>
      <c r="J9" s="709" t="inlineStr"/>
    </row>
    <row r="10">
      <c r="A10" s="709" t="inlineStr">
        <is>
          <t>HHS-OCR</t>
        </is>
      </c>
      <c r="B10" s="709" t="inlineStr">
        <is>
          <t>HHS Office for Civil Rights (HIPAA)</t>
        </is>
      </c>
      <c r="C10" s="709" t="inlineStr">
        <is>
          <t>مكتب الحقوق المدنية (هيبا)</t>
        </is>
      </c>
      <c r="D10" s="709" t="inlineStr">
        <is>
          <t>Healthcare/Privacy</t>
        </is>
      </c>
      <c r="E10" s="709" t="inlineStr">
        <is>
          <t>🟠 T2</t>
        </is>
      </c>
      <c r="F10" s="709" t="n">
        <v>3</v>
      </c>
      <c r="G10" s="709" t="n">
        <v>90</v>
      </c>
      <c r="H10" s="709" t="inlineStr">
        <is>
          <t>MANDATORY</t>
        </is>
      </c>
      <c r="I10" s="709" t="inlineStr">
        <is>
          <t>https://hhs.gov/ocr</t>
        </is>
      </c>
      <c r="J10" s="709" t="inlineStr"/>
    </row>
    <row r="11">
      <c r="A11" s="709" t="inlineStr">
        <is>
          <t>FTC</t>
        </is>
      </c>
      <c r="B11" s="709" t="inlineStr">
        <is>
          <t>Federal Trade Commission</t>
        </is>
      </c>
      <c r="C11" s="709" t="inlineStr">
        <is>
          <t>لجنة التجارة الفيدرالية</t>
        </is>
      </c>
      <c r="D11" s="709" t="inlineStr">
        <is>
          <t>Consumer/Privacy</t>
        </is>
      </c>
      <c r="E11" s="709" t="inlineStr">
        <is>
          <t>🟠 T2</t>
        </is>
      </c>
      <c r="F11" s="709" t="n">
        <v>4</v>
      </c>
      <c r="G11" s="709" t="n">
        <v>85</v>
      </c>
      <c r="H11" s="709" t="inlineStr">
        <is>
          <t>MANDATORY</t>
        </is>
      </c>
      <c r="I11" s="709" t="inlineStr">
        <is>
          <t>https://ftc.gov</t>
        </is>
      </c>
      <c r="J11" s="709" t="inlineStr"/>
    </row>
    <row r="12">
      <c r="A12" s="709" t="inlineStr">
        <is>
          <t>FinCEN</t>
        </is>
      </c>
      <c r="B12" s="709" t="inlineStr">
        <is>
          <t>Financial Crimes Enforcement Network</t>
        </is>
      </c>
      <c r="C12" s="709" t="inlineStr">
        <is>
          <t>شبكة إنفاذ الجرائم المالية</t>
        </is>
      </c>
      <c r="D12" s="709" t="inlineStr">
        <is>
          <t>AML/CFT</t>
        </is>
      </c>
      <c r="E12" s="709" t="inlineStr">
        <is>
          <t>🟠 T2</t>
        </is>
      </c>
      <c r="F12" s="709" t="n">
        <v>5</v>
      </c>
      <c r="G12" s="709" t="n">
        <v>90</v>
      </c>
      <c r="H12" s="709" t="inlineStr">
        <is>
          <t>MANDATORY</t>
        </is>
      </c>
      <c r="I12" s="709" t="inlineStr">
        <is>
          <t>https://fincen.gov</t>
        </is>
      </c>
      <c r="J12" s="709" t="inlineStr"/>
    </row>
    <row r="13">
      <c r="A13" s="709" t="inlineStr">
        <is>
          <t>NYDFS</t>
        </is>
      </c>
      <c r="B13" s="709" t="inlineStr">
        <is>
          <t>New York Dept. of Financial Services</t>
        </is>
      </c>
      <c r="C13" s="709" t="inlineStr">
        <is>
          <t>إدارة الخدمات المالية بنيويورك</t>
        </is>
      </c>
      <c r="D13" s="709" t="inlineStr">
        <is>
          <t>Financial (NY State)</t>
        </is>
      </c>
      <c r="E13" s="709" t="inlineStr">
        <is>
          <t>🟠 T2</t>
        </is>
      </c>
      <c r="F13" s="709" t="n">
        <v>3</v>
      </c>
      <c r="G13" s="709" t="n">
        <v>88</v>
      </c>
      <c r="H13" s="709" t="inlineStr">
        <is>
          <t>MANDATORY</t>
        </is>
      </c>
      <c r="I13" s="709" t="inlineStr">
        <is>
          <t>https://dfs.ny.gov</t>
        </is>
      </c>
      <c r="J13" s="709" t="inlineStr"/>
    </row>
    <row r="14">
      <c r="A14" s="709" t="inlineStr">
        <is>
          <t>CPPA</t>
        </is>
      </c>
      <c r="B14" s="709" t="inlineStr">
        <is>
          <t>CA Privacy Protection Agency (CCPA/CPRA)</t>
        </is>
      </c>
      <c r="C14" s="709" t="inlineStr">
        <is>
          <t>وكالة حماية الخصوصية في كاليفورنيا</t>
        </is>
      </c>
      <c r="D14" s="709" t="inlineStr">
        <is>
          <t>Data/Privacy (CA)</t>
        </is>
      </c>
      <c r="E14" s="709" t="inlineStr">
        <is>
          <t>🟠 T2</t>
        </is>
      </c>
      <c r="F14" s="709" t="n">
        <v>2</v>
      </c>
      <c r="G14" s="709" t="n">
        <v>82</v>
      </c>
      <c r="H14" s="709" t="inlineStr">
        <is>
          <t>MANDATORY</t>
        </is>
      </c>
      <c r="I14" s="709" t="inlineStr">
        <is>
          <t>https://cppa.ca.gov</t>
        </is>
      </c>
      <c r="J14" s="709" t="inlineStr"/>
    </row>
    <row r="15">
      <c r="A15" s="709" t="inlineStr">
        <is>
          <t>FDIC</t>
        </is>
      </c>
      <c r="B15" s="709" t="inlineStr">
        <is>
          <t>Federal Deposit Insurance Corporation</t>
        </is>
      </c>
      <c r="C15" s="709" t="inlineStr">
        <is>
          <t>مؤسسة التأمين الفيدرالية على الودائع</t>
        </is>
      </c>
      <c r="D15" s="709" t="inlineStr">
        <is>
          <t>Banking</t>
        </is>
      </c>
      <c r="E15" s="709" t="inlineStr">
        <is>
          <t>🟠 T2</t>
        </is>
      </c>
      <c r="F15" s="709" t="n">
        <v>4</v>
      </c>
      <c r="G15" s="709" t="n">
        <v>88</v>
      </c>
      <c r="H15" s="709" t="inlineStr">
        <is>
          <t>MANDATORY</t>
        </is>
      </c>
      <c r="I15" s="709" t="inlineStr">
        <is>
          <t>https://fdic.gov</t>
        </is>
      </c>
      <c r="J15" s="709" t="inlineStr"/>
    </row>
    <row r="17">
      <c r="A17" s="712" t="inlineStr">
        <is>
          <t xml:space="preserve">  B │ FRAMEWORKS</t>
        </is>
      </c>
      <c r="B17" s="766" t="n"/>
      <c r="C17" s="766" t="n"/>
      <c r="D17" s="766" t="n"/>
      <c r="E17" s="766" t="n"/>
      <c r="F17" s="766" t="n"/>
      <c r="G17" s="766" t="n"/>
      <c r="H17" s="766" t="n"/>
      <c r="I17" s="766" t="n"/>
      <c r="J17" s="767" t="n"/>
    </row>
    <row r="18">
      <c r="A18" s="713" t="inlineStr">
        <is>
          <t>Framework Code</t>
        </is>
      </c>
      <c r="B18" s="713" t="inlineStr">
        <is>
          <t>Name (EN)</t>
        </is>
      </c>
      <c r="C18" s="713" t="inlineStr">
        <is>
          <t>Issuing Regulator</t>
        </is>
      </c>
      <c r="D18" s="713" t="inlineStr">
        <is>
          <t>Version/Year</t>
        </is>
      </c>
      <c r="E18" s="713" t="inlineStr">
        <is>
          <t>Mandatory?</t>
        </is>
      </c>
      <c r="F18" s="713" t="inlineStr">
        <is>
          <t>Control Count</t>
        </is>
      </c>
      <c r="G18" s="713" t="inlineStr">
        <is>
          <t>Sector Applicability</t>
        </is>
      </c>
      <c r="H18" s="713" t="inlineStr">
        <is>
          <t>Audit Frequency</t>
        </is>
      </c>
      <c r="I18" s="713" t="inlineStr">
        <is>
          <t>Effective Date</t>
        </is>
      </c>
      <c r="J18" s="713" t="inlineStr">
        <is>
          <t>Canonical DB Code</t>
        </is>
      </c>
    </row>
    <row r="19">
      <c r="A19" s="714" t="inlineStr">
        <is>
          <t>NIST-CSF-2-0</t>
        </is>
      </c>
      <c r="B19" s="714" t="inlineStr">
        <is>
          <t>NIST Cybersecurity Framework v2.0</t>
        </is>
      </c>
      <c r="C19" s="714" t="inlineStr">
        <is>
          <t>NIST-US</t>
        </is>
      </c>
      <c r="D19" s="714" t="inlineStr">
        <is>
          <t>2.0 (2024)</t>
        </is>
      </c>
      <c r="E19" s="714" t="inlineStr">
        <is>
          <t>P</t>
        </is>
      </c>
      <c r="F19" s="714" t="n">
        <v>106</v>
      </c>
      <c r="G19" s="714" t="inlineStr">
        <is>
          <t>ALL</t>
        </is>
      </c>
      <c r="H19" s="714" t="inlineStr">
        <is>
          <t>ANNUAL</t>
        </is>
      </c>
      <c r="I19" s="714" t="inlineStr">
        <is>
          <t>2024-02-26</t>
        </is>
      </c>
      <c r="J19" s="714" t="inlineStr">
        <is>
          <t>NIST-CSF-2-0</t>
        </is>
      </c>
    </row>
    <row r="20">
      <c r="A20" s="711" t="inlineStr">
        <is>
          <t>NIST-SP-800-53-R5</t>
        </is>
      </c>
      <c r="B20" s="711" t="inlineStr">
        <is>
          <t>NIST SP 800-53 Rev.5 – Security Controls</t>
        </is>
      </c>
      <c r="C20" s="711" t="inlineStr">
        <is>
          <t>NIST-US</t>
        </is>
      </c>
      <c r="D20" s="711" t="inlineStr">
        <is>
          <t>Rev.5 2020</t>
        </is>
      </c>
      <c r="E20" s="711" t="inlineStr">
        <is>
          <t>Y</t>
        </is>
      </c>
      <c r="F20" s="711" t="n">
        <v>1100</v>
      </c>
      <c r="G20" s="711" t="inlineStr">
        <is>
          <t>GOV,FED</t>
        </is>
      </c>
      <c r="H20" s="711" t="inlineStr">
        <is>
          <t>ANNUAL</t>
        </is>
      </c>
      <c r="I20" s="711" t="inlineStr">
        <is>
          <t>2020-09-23</t>
        </is>
      </c>
      <c r="J20" s="711" t="inlineStr">
        <is>
          <t>NIST-SP-800-53-R5</t>
        </is>
      </c>
    </row>
    <row r="21">
      <c r="A21" s="711" t="inlineStr">
        <is>
          <t>HIPAA-HITECH</t>
        </is>
      </c>
      <c r="B21" s="711" t="inlineStr">
        <is>
          <t>HIPAA / HITECH Act</t>
        </is>
      </c>
      <c r="C21" s="711" t="inlineStr">
        <is>
          <t>HHS-OCR</t>
        </is>
      </c>
      <c r="D21" s="711" t="inlineStr">
        <is>
          <t>1996 +HITECH 2009</t>
        </is>
      </c>
      <c r="E21" s="711" t="inlineStr">
        <is>
          <t>Y</t>
        </is>
      </c>
      <c r="F21" s="711" t="n">
        <v>54</v>
      </c>
      <c r="G21" s="711" t="inlineStr">
        <is>
          <t>HC</t>
        </is>
      </c>
      <c r="H21" s="711" t="inlineStr">
        <is>
          <t>ANNUAL</t>
        </is>
      </c>
      <c r="I21" s="711" t="inlineStr">
        <is>
          <t>1996-08-21</t>
        </is>
      </c>
      <c r="J21" s="711" t="inlineStr">
        <is>
          <t>HIPAA-HITECH</t>
        </is>
      </c>
    </row>
    <row r="22">
      <c r="A22" s="711" t="inlineStr">
        <is>
          <t>NY-DFS-23-NYCRR-500</t>
        </is>
      </c>
      <c r="B22" s="711" t="inlineStr">
        <is>
          <t>NY DFS Cybersecurity Regulation (23 NYCRR 500)</t>
        </is>
      </c>
      <c r="C22" s="711" t="inlineStr">
        <is>
          <t>NYDFS</t>
        </is>
      </c>
      <c r="D22" s="711" t="inlineStr">
        <is>
          <t>2023 2nd Amendment</t>
        </is>
      </c>
      <c r="E22" s="711" t="inlineStr">
        <is>
          <t>Y</t>
        </is>
      </c>
      <c r="F22" s="711" t="n">
        <v>22</v>
      </c>
      <c r="G22" s="711" t="inlineStr">
        <is>
          <t>FIN-NY</t>
        </is>
      </c>
      <c r="H22" s="711" t="inlineStr">
        <is>
          <t>ANNUAL</t>
        </is>
      </c>
      <c r="I22" s="711" t="inlineStr">
        <is>
          <t>2017-09-04</t>
        </is>
      </c>
      <c r="J22" s="711" t="inlineStr">
        <is>
          <t>NY-DFS-23-NYCRR-500</t>
        </is>
      </c>
    </row>
    <row r="23">
      <c r="A23" s="711" t="inlineStr">
        <is>
          <t>CCPA-CPRA-2023</t>
        </is>
      </c>
      <c r="B23" s="711" t="inlineStr">
        <is>
          <t>California Consumer Privacy Act / CPRA</t>
        </is>
      </c>
      <c r="C23" s="711" t="inlineStr">
        <is>
          <t>CPPA</t>
        </is>
      </c>
      <c r="D23" s="711" t="inlineStr">
        <is>
          <t>CPRA 2020 effective 2023</t>
        </is>
      </c>
      <c r="E23" s="711" t="inlineStr">
        <is>
          <t>Y</t>
        </is>
      </c>
      <c r="F23" s="711" t="n">
        <v>35</v>
      </c>
      <c r="G23" s="711" t="inlineStr">
        <is>
          <t>ALL-CA</t>
        </is>
      </c>
      <c r="H23" s="711" t="inlineStr">
        <is>
          <t>ANNUAL</t>
        </is>
      </c>
      <c r="I23" s="711" t="inlineStr">
        <is>
          <t>2023-01-01</t>
        </is>
      </c>
      <c r="J23" s="711" t="inlineStr">
        <is>
          <t>CCPA-CPRA-2023</t>
        </is>
      </c>
    </row>
    <row r="24">
      <c r="A24" s="711" t="inlineStr">
        <is>
          <t>SEC-CYBERSEC-RULES-2023</t>
        </is>
      </c>
      <c r="B24" s="711" t="inlineStr">
        <is>
          <t>SEC Cybersecurity Disclosure Rules 2023</t>
        </is>
      </c>
      <c r="C24" s="711" t="inlineStr">
        <is>
          <t>SEC-US</t>
        </is>
      </c>
      <c r="D24" s="711" t="inlineStr">
        <is>
          <t>2023</t>
        </is>
      </c>
      <c r="E24" s="711" t="inlineStr">
        <is>
          <t>Y</t>
        </is>
      </c>
      <c r="F24" s="711" t="n">
        <v>15</v>
      </c>
      <c r="G24" s="711" t="inlineStr">
        <is>
          <t>PUBLIC_CO</t>
        </is>
      </c>
      <c r="H24" s="711" t="inlineStr">
        <is>
          <t>CONTINUOUS</t>
        </is>
      </c>
      <c r="I24" s="711" t="inlineStr">
        <is>
          <t>2023-12-18</t>
        </is>
      </c>
      <c r="J24" s="711" t="inlineStr">
        <is>
          <t>SEC-CYBERSEC-RULES-2023</t>
        </is>
      </c>
    </row>
    <row r="25">
      <c r="A25" s="711" t="inlineStr">
        <is>
          <t>US-GLBA-SAFEGUARDS</t>
        </is>
      </c>
      <c r="B25" s="711" t="inlineStr">
        <is>
          <t>GLBA Safeguards Rule (FTC)</t>
        </is>
      </c>
      <c r="C25" s="711" t="inlineStr">
        <is>
          <t>FTC</t>
        </is>
      </c>
      <c r="D25" s="711" t="inlineStr">
        <is>
          <t>2023 amendment</t>
        </is>
      </c>
      <c r="E25" s="711" t="inlineStr">
        <is>
          <t>Y</t>
        </is>
      </c>
      <c r="F25" s="711" t="n">
        <v>30</v>
      </c>
      <c r="G25" s="711" t="inlineStr">
        <is>
          <t>FIN</t>
        </is>
      </c>
      <c r="H25" s="711" t="inlineStr">
        <is>
          <t>ANNUAL</t>
        </is>
      </c>
      <c r="I25" s="711" t="inlineStr">
        <is>
          <t>2023-06-09</t>
        </is>
      </c>
      <c r="J25" s="711" t="inlineStr">
        <is>
          <t>US-GLBA-SAFEGUARDS</t>
        </is>
      </c>
    </row>
    <row r="26">
      <c r="A26" s="711" t="inlineStr">
        <is>
          <t>FED-OCC-FDIC-INCIDENT-36H</t>
        </is>
      </c>
      <c r="B26" s="711" t="inlineStr">
        <is>
          <t>Banking Agencies 36-Hour Incident Notification</t>
        </is>
      </c>
      <c r="C26" s="711" t="inlineStr">
        <is>
          <t>FED/OCC/FDIC</t>
        </is>
      </c>
      <c r="D26" s="711" t="inlineStr">
        <is>
          <t>2022</t>
        </is>
      </c>
      <c r="E26" s="711" t="inlineStr">
        <is>
          <t>Y</t>
        </is>
      </c>
      <c r="F26" s="711" t="n">
        <v>5</v>
      </c>
      <c r="G26" s="711" t="inlineStr">
        <is>
          <t>FIN</t>
        </is>
      </c>
      <c r="H26" s="711" t="inlineStr">
        <is>
          <t>CONTINUOUS</t>
        </is>
      </c>
      <c r="I26" s="711" t="inlineStr">
        <is>
          <t>2022-04-01</t>
        </is>
      </c>
      <c r="J26" s="711" t="inlineStr">
        <is>
          <t>FED-OCC-FDIC-INCIDENT-36H</t>
        </is>
      </c>
    </row>
    <row r="27">
      <c r="A27" s="711" t="inlineStr">
        <is>
          <t>CIRCIA-2022</t>
        </is>
      </c>
      <c r="B27" s="711" t="inlineStr">
        <is>
          <t>Cyber Incident Reporting for Critical Infrastructure Act</t>
        </is>
      </c>
      <c r="C27" s="711" t="inlineStr">
        <is>
          <t>CISA</t>
        </is>
      </c>
      <c r="D27" s="711" t="inlineStr">
        <is>
          <t>2022</t>
        </is>
      </c>
      <c r="E27" s="711" t="inlineStr">
        <is>
          <t>Y</t>
        </is>
      </c>
      <c r="F27" s="711" t="n">
        <v>8</v>
      </c>
      <c r="G27" s="711" t="inlineStr">
        <is>
          <t>CNI</t>
        </is>
      </c>
      <c r="H27" s="711" t="inlineStr">
        <is>
          <t>CONTINUOUS</t>
        </is>
      </c>
      <c r="I27" s="711" t="inlineStr">
        <is>
          <t>2022-03-15</t>
        </is>
      </c>
      <c r="J27" s="711" t="inlineStr">
        <is>
          <t>CIRCIA-2022</t>
        </is>
      </c>
    </row>
    <row r="28">
      <c r="A28" s="711" t="inlineStr">
        <is>
          <t>FEDRAMP</t>
        </is>
      </c>
      <c r="B28" s="711" t="inlineStr">
        <is>
          <t>FedRAMP (Federal Risk &amp; Authorization Mgmt Program)</t>
        </is>
      </c>
      <c r="C28" s="711" t="inlineStr">
        <is>
          <t>CISA/GSA</t>
        </is>
      </c>
      <c r="D28" s="711" t="inlineStr">
        <is>
          <t>Rev.5 2023</t>
        </is>
      </c>
      <c r="E28" s="711" t="inlineStr">
        <is>
          <t>Y</t>
        </is>
      </c>
      <c r="F28" s="711" t="n">
        <v>325</v>
      </c>
      <c r="G28" s="711" t="inlineStr">
        <is>
          <t>CLOUD-GOV</t>
        </is>
      </c>
      <c r="H28" s="711" t="inlineStr">
        <is>
          <t>ANNUAL</t>
        </is>
      </c>
      <c r="I28" s="711" t="inlineStr">
        <is>
          <t>2011-12-08</t>
        </is>
      </c>
      <c r="J28" s="711" t="inlineStr">
        <is>
          <t>FEDRAMP</t>
        </is>
      </c>
    </row>
    <row r="29">
      <c r="A29" s="711" t="inlineStr">
        <is>
          <t>US-FDA-CYBERSEC-MD</t>
        </is>
      </c>
      <c r="B29" s="711" t="inlineStr">
        <is>
          <t>FDA Cybersecurity for Medical Devices (2023 Guidance)</t>
        </is>
      </c>
      <c r="C29" s="711" t="inlineStr">
        <is>
          <t>FDA-US</t>
        </is>
      </c>
      <c r="D29" s="711" t="inlineStr">
        <is>
          <t>2023</t>
        </is>
      </c>
      <c r="E29" s="711" t="inlineStr">
        <is>
          <t>Y</t>
        </is>
      </c>
      <c r="F29" s="711" t="n">
        <v>40</v>
      </c>
      <c r="G29" s="711" t="inlineStr">
        <is>
          <t>HC</t>
        </is>
      </c>
      <c r="H29" s="711" t="inlineStr">
        <is>
          <t>AS_REQUIRED</t>
        </is>
      </c>
      <c r="I29" s="711" t="inlineStr">
        <is>
          <t>2023-03-29</t>
        </is>
      </c>
      <c r="J29" s="711" t="inlineStr">
        <is>
          <t>US-FDA-CYBERSEC-MD</t>
        </is>
      </c>
    </row>
    <row r="30">
      <c r="A30" s="711" t="inlineStr">
        <is>
          <t>US-AML-BSA</t>
        </is>
      </c>
      <c r="B30" s="711" t="inlineStr">
        <is>
          <t>Bank Secrecy Act / AML</t>
        </is>
      </c>
      <c r="C30" s="711" t="inlineStr">
        <is>
          <t>FinCEN</t>
        </is>
      </c>
      <c r="D30" s="711" t="inlineStr">
        <is>
          <t>1970+</t>
        </is>
      </c>
      <c r="E30" s="711" t="inlineStr">
        <is>
          <t>Y</t>
        </is>
      </c>
      <c r="F30" s="711" t="n">
        <v>45</v>
      </c>
      <c r="G30" s="711" t="inlineStr">
        <is>
          <t>FIN</t>
        </is>
      </c>
      <c r="H30" s="711" t="inlineStr">
        <is>
          <t>CONTINUOUS</t>
        </is>
      </c>
      <c r="I30" s="711" t="inlineStr">
        <is>
          <t>1970-10-26</t>
        </is>
      </c>
      <c r="J30" s="711" t="inlineStr">
        <is>
          <t>US-AML-BSA</t>
        </is>
      </c>
    </row>
    <row r="31">
      <c r="A31" s="714" t="inlineStr">
        <is>
          <t>CISA-CPG</t>
        </is>
      </c>
      <c r="B31" s="714" t="inlineStr">
        <is>
          <t>CISA Cybersecurity Performance Goals</t>
        </is>
      </c>
      <c r="C31" s="714" t="inlineStr">
        <is>
          <t>CISA</t>
        </is>
      </c>
      <c r="D31" s="714" t="inlineStr">
        <is>
          <t>2023</t>
        </is>
      </c>
      <c r="E31" s="714" t="inlineStr">
        <is>
          <t>P</t>
        </is>
      </c>
      <c r="F31" s="714" t="n">
        <v>50</v>
      </c>
      <c r="G31" s="714" t="inlineStr">
        <is>
          <t>CNI</t>
        </is>
      </c>
      <c r="H31" s="714" t="inlineStr">
        <is>
          <t>ANNUAL</t>
        </is>
      </c>
      <c r="I31" s="714" t="inlineStr">
        <is>
          <t>2023-03-01</t>
        </is>
      </c>
      <c r="J31" s="714" t="inlineStr">
        <is>
          <t>CISA-CPG</t>
        </is>
      </c>
    </row>
    <row r="33">
      <c r="A33" s="715" t="inlineStr">
        <is>
          <t xml:space="preserve">  C │ CONTROL DOMAINS</t>
        </is>
      </c>
      <c r="B33" s="766" t="n"/>
      <c r="C33" s="766" t="n"/>
      <c r="D33" s="766" t="n"/>
      <c r="E33" s="766" t="n"/>
      <c r="F33" s="766" t="n"/>
      <c r="G33" s="766" t="n"/>
      <c r="H33" s="766" t="n"/>
      <c r="I33" s="766" t="n"/>
      <c r="J33" s="767" t="n"/>
    </row>
    <row r="34">
      <c r="A34" s="716" t="inlineStr">
        <is>
          <t>Domain Code</t>
        </is>
      </c>
      <c r="B34" s="716" t="inlineStr">
        <is>
          <t>Domain Name</t>
        </is>
      </c>
      <c r="C34" s="716" t="inlineStr">
        <is>
          <t>Primary Framework</t>
        </is>
      </c>
      <c r="D34" s="716" t="inlineStr">
        <is>
          <t>Control Count</t>
        </is>
      </c>
      <c r="E34" s="716" t="inlineStr">
        <is>
          <t>Risk Level</t>
        </is>
      </c>
      <c r="F34" s="716" t="inlineStr">
        <is>
          <t>IoT Relevance</t>
        </is>
      </c>
      <c r="G34" s="716" t="inlineStr">
        <is>
          <t>Automation Possible?</t>
        </is>
      </c>
      <c r="H34" s="716" t="inlineStr">
        <is>
          <t>Audit Method</t>
        </is>
      </c>
      <c r="I34" s="716" t="inlineStr">
        <is>
          <t>Shahin AI Score</t>
        </is>
      </c>
      <c r="J34" s="716" t="inlineStr">
        <is>
          <t>Notes</t>
        </is>
      </c>
    </row>
    <row r="35">
      <c r="A35" s="717" t="inlineStr">
        <is>
          <t>US-CD-01</t>
        </is>
      </c>
      <c r="B35" s="717" t="inlineStr">
        <is>
          <t>NIST CSF / Federal Cybersecurity</t>
        </is>
      </c>
      <c r="C35" s="717" t="inlineStr">
        <is>
          <t>NIST-CSF-2-0</t>
        </is>
      </c>
      <c r="D35" s="717" t="n">
        <v>106</v>
      </c>
      <c r="E35" s="717" t="inlineStr">
        <is>
          <t>HIGHEST</t>
        </is>
      </c>
      <c r="F35" s="717" t="inlineStr">
        <is>
          <t>HIGH</t>
        </is>
      </c>
      <c r="G35" s="717" t="inlineStr">
        <is>
          <t>Y</t>
        </is>
      </c>
      <c r="H35" s="717" t="inlineStr">
        <is>
          <t>EXTERNAL_AUDIT</t>
        </is>
      </c>
      <c r="I35" s="717" t="n">
        <v>95</v>
      </c>
      <c r="J35" s="717" t="inlineStr"/>
    </row>
    <row r="36">
      <c r="A36" s="718" t="inlineStr">
        <is>
          <t>US-CD-02</t>
        </is>
      </c>
      <c r="B36" s="718" t="inlineStr">
        <is>
          <t>Healthcare Privacy (HIPAA)</t>
        </is>
      </c>
      <c r="C36" s="718" t="inlineStr">
        <is>
          <t>HIPAA-HITECH</t>
        </is>
      </c>
      <c r="D36" s="718" t="n">
        <v>54</v>
      </c>
      <c r="E36" s="718" t="inlineStr">
        <is>
          <t>HIGHEST</t>
        </is>
      </c>
      <c r="F36" s="718" t="inlineStr">
        <is>
          <t>HIGHEST</t>
        </is>
      </c>
      <c r="G36" s="718" t="inlineStr">
        <is>
          <t>Y</t>
        </is>
      </c>
      <c r="H36" s="718" t="inlineStr">
        <is>
          <t>EXTERNAL_AUDIT</t>
        </is>
      </c>
      <c r="I36" s="718" t="n">
        <v>93</v>
      </c>
      <c r="J36" s="718" t="inlineStr"/>
    </row>
    <row r="37">
      <c r="A37" s="717" t="inlineStr">
        <is>
          <t>US-CD-03</t>
        </is>
      </c>
      <c r="B37" s="717" t="inlineStr">
        <is>
          <t>NY DFS Cybersecurity</t>
        </is>
      </c>
      <c r="C37" s="717" t="inlineStr">
        <is>
          <t>NY-DFS-23-NYCRR-500</t>
        </is>
      </c>
      <c r="D37" s="717" t="n">
        <v>22</v>
      </c>
      <c r="E37" s="717" t="inlineStr">
        <is>
          <t>HIGHEST</t>
        </is>
      </c>
      <c r="F37" s="717" t="inlineStr">
        <is>
          <t>MODERATE</t>
        </is>
      </c>
      <c r="G37" s="717" t="inlineStr">
        <is>
          <t>Y</t>
        </is>
      </c>
      <c r="H37" s="717" t="inlineStr">
        <is>
          <t>REGULATOR_INSPECTION</t>
        </is>
      </c>
      <c r="I37" s="717" t="n">
        <v>92</v>
      </c>
      <c r="J37" s="717" t="inlineStr"/>
    </row>
    <row r="38">
      <c r="A38" s="718" t="inlineStr">
        <is>
          <t>US-CD-04</t>
        </is>
      </c>
      <c r="B38" s="718" t="inlineStr">
        <is>
          <t>Federal Compliance (NIST 800-53)</t>
        </is>
      </c>
      <c r="C38" s="718" t="inlineStr">
        <is>
          <t>NIST-SP-800-53-R5</t>
        </is>
      </c>
      <c r="D38" s="718" t="n">
        <v>1100</v>
      </c>
      <c r="E38" s="718" t="inlineStr">
        <is>
          <t>HIGHEST</t>
        </is>
      </c>
      <c r="F38" s="718" t="inlineStr">
        <is>
          <t>HIGH</t>
        </is>
      </c>
      <c r="G38" s="718" t="inlineStr">
        <is>
          <t>Y</t>
        </is>
      </c>
      <c r="H38" s="718" t="inlineStr">
        <is>
          <t>EXTERNAL_AUDIT</t>
        </is>
      </c>
      <c r="I38" s="718" t="n">
        <v>95</v>
      </c>
      <c r="J38" s="718" t="inlineStr"/>
    </row>
    <row r="39">
      <c r="A39" s="717" t="inlineStr">
        <is>
          <t>US-CD-05</t>
        </is>
      </c>
      <c r="B39" s="717" t="inlineStr">
        <is>
          <t>Privacy (CCPA/CPRA)</t>
        </is>
      </c>
      <c r="C39" s="717" t="inlineStr">
        <is>
          <t>CCPA-CPRA-2023</t>
        </is>
      </c>
      <c r="D39" s="717" t="n">
        <v>35</v>
      </c>
      <c r="E39" s="717" t="inlineStr">
        <is>
          <t>HIGH</t>
        </is>
      </c>
      <c r="F39" s="717" t="inlineStr">
        <is>
          <t>MODERATE</t>
        </is>
      </c>
      <c r="G39" s="717" t="inlineStr">
        <is>
          <t>Y</t>
        </is>
      </c>
      <c r="H39" s="717" t="inlineStr">
        <is>
          <t>SELF_ASSESSMENT</t>
        </is>
      </c>
      <c r="I39" s="717" t="n">
        <v>88</v>
      </c>
      <c r="J39" s="717" t="inlineStr"/>
    </row>
    <row r="40">
      <c r="A40" s="718" t="inlineStr">
        <is>
          <t>US-CD-06</t>
        </is>
      </c>
      <c r="B40" s="718" t="inlineStr">
        <is>
          <t>AML/BSA</t>
        </is>
      </c>
      <c r="C40" s="718" t="inlineStr">
        <is>
          <t>US-AML-BSA</t>
        </is>
      </c>
      <c r="D40" s="718" t="n">
        <v>45</v>
      </c>
      <c r="E40" s="718" t="inlineStr">
        <is>
          <t>HIGHEST</t>
        </is>
      </c>
      <c r="F40" s="718" t="inlineStr">
        <is>
          <t>LOW</t>
        </is>
      </c>
      <c r="G40" s="718" t="inlineStr">
        <is>
          <t>PARTIAL</t>
        </is>
      </c>
      <c r="H40" s="718" t="inlineStr">
        <is>
          <t>REGULATOR_INSPECTION</t>
        </is>
      </c>
      <c r="I40" s="718" t="n">
        <v>92</v>
      </c>
      <c r="J40" s="718" t="inlineStr"/>
    </row>
    <row r="41">
      <c r="A41" s="717" t="inlineStr">
        <is>
          <t>US-CD-07</t>
        </is>
      </c>
      <c r="B41" s="717" t="inlineStr">
        <is>
          <t>Cloud/FedRAMP</t>
        </is>
      </c>
      <c r="C41" s="717" t="inlineStr">
        <is>
          <t>FEDRAMP</t>
        </is>
      </c>
      <c r="D41" s="717" t="n">
        <v>325</v>
      </c>
      <c r="E41" s="717" t="inlineStr">
        <is>
          <t>HIGH</t>
        </is>
      </c>
      <c r="F41" s="717" t="inlineStr">
        <is>
          <t>MODERATE</t>
        </is>
      </c>
      <c r="G41" s="717" t="inlineStr">
        <is>
          <t>Y</t>
        </is>
      </c>
      <c r="H41" s="717" t="inlineStr">
        <is>
          <t>CERTIFICATION</t>
        </is>
      </c>
      <c r="I41" s="717" t="n">
        <v>92</v>
      </c>
      <c r="J41" s="717" t="inlineStr"/>
    </row>
    <row r="42">
      <c r="A42" s="718" t="inlineStr">
        <is>
          <t>US-CD-08</t>
        </is>
      </c>
      <c r="B42" s="718" t="inlineStr">
        <is>
          <t>Medical Device Cybersecurity</t>
        </is>
      </c>
      <c r="C42" s="718" t="inlineStr">
        <is>
          <t>US-FDA-CYBERSEC-MD</t>
        </is>
      </c>
      <c r="D42" s="718" t="n">
        <v>40</v>
      </c>
      <c r="E42" s="718" t="inlineStr">
        <is>
          <t>HIGHEST</t>
        </is>
      </c>
      <c r="F42" s="718" t="inlineStr">
        <is>
          <t>HIGHEST</t>
        </is>
      </c>
      <c r="G42" s="718" t="inlineStr">
        <is>
          <t>PARTIAL</t>
        </is>
      </c>
      <c r="H42" s="718" t="inlineStr">
        <is>
          <t>CERTIFICATION</t>
        </is>
      </c>
      <c r="I42" s="718" t="n">
        <v>88</v>
      </c>
      <c r="J42" s="718" t="inlineStr"/>
    </row>
    <row r="44">
      <c r="A44" s="719" t="inlineStr">
        <is>
          <t xml:space="preserve">  D │ RISK DOMAINS</t>
        </is>
      </c>
      <c r="B44" s="766" t="n"/>
      <c r="C44" s="766" t="n"/>
      <c r="D44" s="766" t="n"/>
      <c r="E44" s="766" t="n"/>
      <c r="F44" s="766" t="n"/>
      <c r="G44" s="766" t="n"/>
      <c r="H44" s="766" t="n"/>
      <c r="I44" s="766" t="n"/>
      <c r="J44" s="767" t="n"/>
    </row>
    <row r="45">
      <c r="A45" s="720" t="inlineStr">
        <is>
          <t>Risk Domain</t>
        </is>
      </c>
      <c r="B45" s="720" t="inlineStr">
        <is>
          <t>Risk Category</t>
        </is>
      </c>
      <c r="C45" s="720" t="inlineStr">
        <is>
          <t>Risk Score (0-100)</t>
        </is>
      </c>
      <c r="D45" s="720" t="inlineStr">
        <is>
          <t>Level</t>
        </is>
      </c>
      <c r="E45" s="720" t="inlineStr">
        <is>
          <t>Primary Regulator</t>
        </is>
      </c>
      <c r="F45" s="720" t="inlineStr">
        <is>
          <t>Linked Framework</t>
        </is>
      </c>
      <c r="G45" s="720" t="inlineStr">
        <is>
          <t>KRI Count</t>
        </is>
      </c>
      <c r="H45" s="720" t="inlineStr">
        <is>
          <t>Escalation Threshold</t>
        </is>
      </c>
      <c r="I45" s="720" t="inlineStr">
        <is>
          <t>Owner Role</t>
        </is>
      </c>
      <c r="J45" s="720" t="inlineStr">
        <is>
          <t>Notes</t>
        </is>
      </c>
    </row>
    <row r="46">
      <c r="A46" s="717" t="inlineStr">
        <is>
          <t>Federal Cyber / CNI</t>
        </is>
      </c>
      <c r="B46" s="717" t="inlineStr">
        <is>
          <t>Cybersecurity</t>
        </is>
      </c>
      <c r="C46" s="717" t="n">
        <v>95</v>
      </c>
      <c r="D46" s="717" t="inlineStr">
        <is>
          <t>HIGHEST</t>
        </is>
      </c>
      <c r="E46" s="717" t="inlineStr">
        <is>
          <t>CISA</t>
        </is>
      </c>
      <c r="F46" s="717" t="inlineStr">
        <is>
          <t>NIST-CSF-2-0</t>
        </is>
      </c>
      <c r="G46" s="717" t="n">
        <v>10</v>
      </c>
      <c r="H46" s="717" t="inlineStr">
        <is>
          <t>Ransomware / 72h CIRCIA</t>
        </is>
      </c>
      <c r="I46" s="717" t="inlineStr">
        <is>
          <t>CISO</t>
        </is>
      </c>
      <c r="J46" s="717" t="inlineStr"/>
    </row>
    <row r="47">
      <c r="A47" s="718" t="inlineStr">
        <is>
          <t>Healthcare Breach (HIPAA)</t>
        </is>
      </c>
      <c r="B47" s="718" t="inlineStr">
        <is>
          <t>Privacy</t>
        </is>
      </c>
      <c r="C47" s="718" t="n">
        <v>92</v>
      </c>
      <c r="D47" s="718" t="inlineStr">
        <is>
          <t>HIGHEST</t>
        </is>
      </c>
      <c r="E47" s="718" t="inlineStr">
        <is>
          <t>HHS-OCR</t>
        </is>
      </c>
      <c r="F47" s="718" t="inlineStr">
        <is>
          <t>HIPAA-HITECH</t>
        </is>
      </c>
      <c r="G47" s="718" t="n">
        <v>8</v>
      </c>
      <c r="H47" s="718" t="inlineStr">
        <is>
          <t>PHI breach notification 60 days</t>
        </is>
      </c>
      <c r="I47" s="718" t="inlineStr">
        <is>
          <t>DPO/Privacy Officer</t>
        </is>
      </c>
      <c r="J47" s="718" t="inlineStr"/>
    </row>
    <row r="48">
      <c r="A48" s="717" t="inlineStr">
        <is>
          <t>Financial Fraud / SEC Disclosure</t>
        </is>
      </c>
      <c r="B48" s="717" t="inlineStr">
        <is>
          <t>Regulatory</t>
        </is>
      </c>
      <c r="C48" s="717" t="n">
        <v>90</v>
      </c>
      <c r="D48" s="717" t="inlineStr">
        <is>
          <t>HIGHEST</t>
        </is>
      </c>
      <c r="E48" s="717" t="inlineStr">
        <is>
          <t>SEC-US</t>
        </is>
      </c>
      <c r="F48" s="717" t="inlineStr">
        <is>
          <t>SEC-CYBERSEC-RULES-2023</t>
        </is>
      </c>
      <c r="G48" s="717" t="n">
        <v>7</v>
      </c>
      <c r="H48" s="717" t="inlineStr">
        <is>
          <t>Material incident 4-day 8-K</t>
        </is>
      </c>
      <c r="I48" s="717" t="inlineStr">
        <is>
          <t>CISO/CLO</t>
        </is>
      </c>
      <c r="J48" s="717" t="inlineStr"/>
    </row>
    <row r="49">
      <c r="A49" s="718" t="inlineStr">
        <is>
          <t>AML/Financial Crime</t>
        </is>
      </c>
      <c r="B49" s="718" t="inlineStr">
        <is>
          <t>Financial Crime</t>
        </is>
      </c>
      <c r="C49" s="718" t="n">
        <v>92</v>
      </c>
      <c r="D49" s="718" t="inlineStr">
        <is>
          <t>HIGHEST</t>
        </is>
      </c>
      <c r="E49" s="718" t="inlineStr">
        <is>
          <t>FinCEN</t>
        </is>
      </c>
      <c r="F49" s="718" t="inlineStr">
        <is>
          <t>US-AML-BSA</t>
        </is>
      </c>
      <c r="G49" s="718" t="n">
        <v>8</v>
      </c>
      <c r="H49" s="718" t="inlineStr">
        <is>
          <t>SAR filing failure</t>
        </is>
      </c>
      <c r="I49" s="718" t="inlineStr">
        <is>
          <t>MLRO</t>
        </is>
      </c>
      <c r="J49" s="718" t="inlineStr"/>
    </row>
    <row r="50">
      <c r="A50" s="717" t="inlineStr">
        <is>
          <t>Data Privacy (State)</t>
        </is>
      </c>
      <c r="B50" s="717" t="inlineStr">
        <is>
          <t>Privacy</t>
        </is>
      </c>
      <c r="C50" s="717" t="n">
        <v>80</v>
      </c>
      <c r="D50" s="717" t="inlineStr">
        <is>
          <t>HIGH</t>
        </is>
      </c>
      <c r="E50" s="717" t="inlineStr">
        <is>
          <t>CPPA/State AGs</t>
        </is>
      </c>
      <c r="F50" s="717" t="inlineStr">
        <is>
          <t>CCPA-CPRA-2023</t>
        </is>
      </c>
      <c r="G50" s="717" t="n">
        <v>6</v>
      </c>
      <c r="H50" s="717" t="inlineStr">
        <is>
          <t>Consumer data request failure</t>
        </is>
      </c>
      <c r="I50" s="717" t="inlineStr">
        <is>
          <t>DPO</t>
        </is>
      </c>
      <c r="J50" s="717" t="inlineStr"/>
    </row>
    <row r="52">
      <c r="A52" s="721" t="inlineStr">
        <is>
          <t xml:space="preserve">  E │ COMPLIANCE LIFECYCLE</t>
        </is>
      </c>
      <c r="B52" s="766" t="n"/>
      <c r="C52" s="766" t="n"/>
      <c r="D52" s="766" t="n"/>
      <c r="E52" s="766" t="n"/>
      <c r="F52" s="766" t="n"/>
      <c r="G52" s="766" t="n"/>
      <c r="H52" s="766" t="n"/>
      <c r="I52" s="766" t="n"/>
      <c r="J52" s="767" t="n"/>
    </row>
    <row r="53">
      <c r="A53" s="722" t="inlineStr">
        <is>
          <t>Stage</t>
        </is>
      </c>
      <c r="B53" s="722" t="inlineStr">
        <is>
          <t>Stage Code</t>
        </is>
      </c>
      <c r="C53" s="722" t="inlineStr">
        <is>
          <t>Entry Trigger</t>
        </is>
      </c>
      <c r="D53" s="722" t="inlineStr">
        <is>
          <t>Exit Trigger</t>
        </is>
      </c>
      <c r="E53" s="722" t="inlineStr">
        <is>
          <t>Next Stage</t>
        </is>
      </c>
      <c r="F53" s="722" t="inlineStr">
        <is>
          <t>Approval Required</t>
        </is>
      </c>
      <c r="G53" s="722" t="inlineStr">
        <is>
          <t>Typical Duration</t>
        </is>
      </c>
      <c r="H53" s="722" t="inlineStr">
        <is>
          <t>Responsible Role</t>
        </is>
      </c>
      <c r="I53" s="722" t="inlineStr">
        <is>
          <t>Automation</t>
        </is>
      </c>
      <c r="J53" s="722" t="inlineStr">
        <is>
          <t>SLA (Days)</t>
        </is>
      </c>
    </row>
    <row r="54">
      <c r="A54" s="717" t="inlineStr">
        <is>
          <t>Draft</t>
        </is>
      </c>
      <c r="B54" s="717" t="inlineStr">
        <is>
          <t>DRAFT</t>
        </is>
      </c>
      <c r="C54" s="717" t="inlineStr">
        <is>
          <t>Registration initiated</t>
        </is>
      </c>
      <c r="D54" s="717" t="inlineStr">
        <is>
          <t>Initial assessment complete</t>
        </is>
      </c>
      <c r="E54" s="717" t="inlineStr">
        <is>
          <t>ASSESSED</t>
        </is>
      </c>
      <c r="F54" s="717" t="inlineStr">
        <is>
          <t>N</t>
        </is>
      </c>
      <c r="G54" s="717" t="inlineStr">
        <is>
          <t>14 days</t>
        </is>
      </c>
      <c r="H54" s="717" t="inlineStr">
        <is>
          <t>Compliance Officer</t>
        </is>
      </c>
      <c r="I54" s="717" t="inlineStr">
        <is>
          <t>FULL</t>
        </is>
      </c>
      <c r="J54" s="717" t="n">
        <v>14</v>
      </c>
    </row>
    <row r="55">
      <c r="A55" s="718" t="inlineStr">
        <is>
          <t>Assessed</t>
        </is>
      </c>
      <c r="B55" s="718" t="inlineStr">
        <is>
          <t>ASSESSED</t>
        </is>
      </c>
      <c r="C55" s="718" t="inlineStr">
        <is>
          <t>Draft submitted</t>
        </is>
      </c>
      <c r="D55" s="718" t="inlineStr">
        <is>
          <t>Gap analysis approved</t>
        </is>
      </c>
      <c r="E55" s="718" t="inlineStr">
        <is>
          <t>REGISTERED</t>
        </is>
      </c>
      <c r="F55" s="718" t="inlineStr">
        <is>
          <t>Y</t>
        </is>
      </c>
      <c r="G55" s="718" t="inlineStr">
        <is>
          <t>30 days</t>
        </is>
      </c>
      <c r="H55" s="718" t="inlineStr">
        <is>
          <t>Lead Auditor</t>
        </is>
      </c>
      <c r="I55" s="718" t="inlineStr">
        <is>
          <t>PARTIAL</t>
        </is>
      </c>
      <c r="J55" s="718" t="n">
        <v>30</v>
      </c>
    </row>
    <row r="56">
      <c r="A56" s="717" t="inlineStr">
        <is>
          <t>Registered</t>
        </is>
      </c>
      <c r="B56" s="717" t="inlineStr">
        <is>
          <t>REGISTERED</t>
        </is>
      </c>
      <c r="C56" s="717" t="inlineStr">
        <is>
          <t>Assessment passed</t>
        </is>
      </c>
      <c r="D56" s="717" t="inlineStr">
        <is>
          <t>Controls implemented</t>
        </is>
      </c>
      <c r="E56" s="717" t="inlineStr">
        <is>
          <t>ACTIVE</t>
        </is>
      </c>
      <c r="F56" s="717" t="inlineStr">
        <is>
          <t>Y</t>
        </is>
      </c>
      <c r="G56" s="717" t="inlineStr">
        <is>
          <t>90 days</t>
        </is>
      </c>
      <c r="H56" s="717" t="inlineStr">
        <is>
          <t>CISO</t>
        </is>
      </c>
      <c r="I56" s="717" t="inlineStr">
        <is>
          <t>PARTIAL</t>
        </is>
      </c>
      <c r="J56" s="717" t="n">
        <v>90</v>
      </c>
    </row>
    <row r="57">
      <c r="A57" s="718" t="inlineStr">
        <is>
          <t>Active</t>
        </is>
      </c>
      <c r="B57" s="718" t="inlineStr">
        <is>
          <t>ACTIVE</t>
        </is>
      </c>
      <c r="C57" s="718" t="inlineStr">
        <is>
          <t>Registration confirmed</t>
        </is>
      </c>
      <c r="D57" s="718" t="inlineStr">
        <is>
          <t>Audit scheduled</t>
        </is>
      </c>
      <c r="E57" s="718" t="inlineStr">
        <is>
          <t>AUDITED</t>
        </is>
      </c>
      <c r="F57" s="718" t="inlineStr">
        <is>
          <t>N</t>
        </is>
      </c>
      <c r="G57" s="718" t="inlineStr">
        <is>
          <t>Ongoing</t>
        </is>
      </c>
      <c r="H57" s="718" t="inlineStr">
        <is>
          <t>Compliance Officer</t>
        </is>
      </c>
      <c r="I57" s="718" t="inlineStr">
        <is>
          <t>FULL</t>
        </is>
      </c>
      <c r="J57" s="718" t="n">
        <v>365</v>
      </c>
    </row>
    <row r="58">
      <c r="A58" s="717" t="inlineStr">
        <is>
          <t>Audited</t>
        </is>
      </c>
      <c r="B58" s="717" t="inlineStr">
        <is>
          <t>AUDITED</t>
        </is>
      </c>
      <c r="C58" s="717" t="inlineStr">
        <is>
          <t>Annual audit cycle</t>
        </is>
      </c>
      <c r="D58" s="717" t="inlineStr">
        <is>
          <t>Audit report issued</t>
        </is>
      </c>
      <c r="E58" s="717" t="inlineStr">
        <is>
          <t>RENEWED</t>
        </is>
      </c>
      <c r="F58" s="717" t="inlineStr">
        <is>
          <t>Y</t>
        </is>
      </c>
      <c r="G58" s="717" t="inlineStr">
        <is>
          <t>60 days</t>
        </is>
      </c>
      <c r="H58" s="717" t="inlineStr">
        <is>
          <t>External Auditor</t>
        </is>
      </c>
      <c r="I58" s="717" t="inlineStr">
        <is>
          <t>PARTIAL</t>
        </is>
      </c>
      <c r="J58" s="717" t="n">
        <v>60</v>
      </c>
    </row>
    <row r="59">
      <c r="A59" s="718" t="inlineStr">
        <is>
          <t>Renewed</t>
        </is>
      </c>
      <c r="B59" s="718" t="inlineStr">
        <is>
          <t>RENEWED</t>
        </is>
      </c>
      <c r="C59" s="718" t="inlineStr">
        <is>
          <t>Successful audit</t>
        </is>
      </c>
      <c r="D59" s="718" t="inlineStr">
        <is>
          <t>Next cycle begins</t>
        </is>
      </c>
      <c r="E59" s="718" t="inlineStr">
        <is>
          <t>ACTIVE</t>
        </is>
      </c>
      <c r="F59" s="718" t="inlineStr">
        <is>
          <t>N</t>
        </is>
      </c>
      <c r="G59" s="718" t="inlineStr">
        <is>
          <t>1 day</t>
        </is>
      </c>
      <c r="H59" s="718" t="inlineStr">
        <is>
          <t>Compliance Officer</t>
        </is>
      </c>
      <c r="I59" s="718" t="inlineStr">
        <is>
          <t>FULL</t>
        </is>
      </c>
      <c r="J59" s="718" t="n">
        <v>1</v>
      </c>
    </row>
    <row r="60">
      <c r="A60" s="717" t="inlineStr">
        <is>
          <t>Archived</t>
        </is>
      </c>
      <c r="B60" s="717" t="inlineStr">
        <is>
          <t>ARCHIVED</t>
        </is>
      </c>
      <c r="C60" s="717" t="inlineStr">
        <is>
          <t>Decommission / superseded</t>
        </is>
      </c>
      <c r="D60" s="717" t="inlineStr">
        <is>
          <t>N/A</t>
        </is>
      </c>
      <c r="E60" s="717" t="inlineStr">
        <is>
          <t>N/A</t>
        </is>
      </c>
      <c r="F60" s="717" t="inlineStr">
        <is>
          <t>Y</t>
        </is>
      </c>
      <c r="G60" s="717" t="inlineStr">
        <is>
          <t>N/A</t>
        </is>
      </c>
      <c r="H60" s="717" t="inlineStr">
        <is>
          <t>CCO</t>
        </is>
      </c>
      <c r="I60" s="717" t="inlineStr">
        <is>
          <t>N</t>
        </is>
      </c>
      <c r="J60" s="717" t="n">
        <v>0</v>
      </c>
    </row>
    <row r="62">
      <c r="A62" s="723" t="inlineStr">
        <is>
          <t xml:space="preserve">  F │ EVIDENCE REQUIREMENTS</t>
        </is>
      </c>
      <c r="B62" s="766" t="n"/>
      <c r="C62" s="766" t="n"/>
      <c r="D62" s="766" t="n"/>
      <c r="E62" s="766" t="n"/>
      <c r="F62" s="766" t="n"/>
      <c r="G62" s="766" t="n"/>
      <c r="H62" s="766" t="n"/>
      <c r="I62" s="766" t="n"/>
      <c r="J62" s="767" t="n"/>
    </row>
    <row r="63">
      <c r="A63" s="724" t="inlineStr">
        <is>
          <t>Evidence Type</t>
        </is>
      </c>
      <c r="B63" s="724" t="inlineStr">
        <is>
          <t>Framework</t>
        </is>
      </c>
      <c r="C63" s="724" t="inlineStr">
        <is>
          <t>Responsible Role</t>
        </is>
      </c>
      <c r="D63" s="724" t="inlineStr">
        <is>
          <t>Collection Frequency</t>
        </is>
      </c>
      <c r="E63" s="724" t="inlineStr">
        <is>
          <t>Retention (Years)</t>
        </is>
      </c>
      <c r="F63" s="724" t="inlineStr">
        <is>
          <t>Format</t>
        </is>
      </c>
      <c r="G63" s="724" t="inlineStr">
        <is>
          <t>Submittable to Regulator?</t>
        </is>
      </c>
      <c r="H63" s="724" t="inlineStr">
        <is>
          <t>AI Extractable?</t>
        </is>
      </c>
      <c r="I63" s="724" t="inlineStr">
        <is>
          <t>Risk if Missing</t>
        </is>
      </c>
      <c r="J63" s="724" t="inlineStr">
        <is>
          <t>Notes</t>
        </is>
      </c>
    </row>
    <row r="64">
      <c r="A64" s="717" t="inlineStr">
        <is>
          <t>Self-Assessment Report</t>
        </is>
      </c>
      <c r="B64" s="717" t="inlineStr">
        <is>
          <t>ALL</t>
        </is>
      </c>
      <c r="C64" s="717" t="inlineStr">
        <is>
          <t>Compliance Officer</t>
        </is>
      </c>
      <c r="D64" s="717" t="inlineStr">
        <is>
          <t>ANNUAL</t>
        </is>
      </c>
      <c r="E64" s="717" t="n">
        <v>5</v>
      </c>
      <c r="F64" s="717" t="inlineStr">
        <is>
          <t>PDF</t>
        </is>
      </c>
      <c r="G64" s="717" t="inlineStr">
        <is>
          <t>Y</t>
        </is>
      </c>
      <c r="H64" s="717" t="inlineStr">
        <is>
          <t>Y</t>
        </is>
      </c>
      <c r="I64" s="717" t="inlineStr">
        <is>
          <t>HIGH</t>
        </is>
      </c>
      <c r="J64" s="717" t="inlineStr"/>
    </row>
    <row r="65">
      <c r="A65" s="718" t="inlineStr">
        <is>
          <t>Gap Analysis Report</t>
        </is>
      </c>
      <c r="B65" s="718" t="inlineStr">
        <is>
          <t>ALL</t>
        </is>
      </c>
      <c r="C65" s="718" t="inlineStr">
        <is>
          <t>Lead Auditor</t>
        </is>
      </c>
      <c r="D65" s="718" t="inlineStr">
        <is>
          <t>ANNUAL</t>
        </is>
      </c>
      <c r="E65" s="718" t="n">
        <v>5</v>
      </c>
      <c r="F65" s="718" t="inlineStr">
        <is>
          <t>PDF/Excel</t>
        </is>
      </c>
      <c r="G65" s="718" t="inlineStr">
        <is>
          <t>N</t>
        </is>
      </c>
      <c r="H65" s="718" t="inlineStr">
        <is>
          <t>Y</t>
        </is>
      </c>
      <c r="I65" s="718" t="inlineStr">
        <is>
          <t>HIGH</t>
        </is>
      </c>
      <c r="J65" s="718" t="inlineStr"/>
    </row>
    <row r="66">
      <c r="A66" s="717" t="inlineStr">
        <is>
          <t>External Audit Report</t>
        </is>
      </c>
      <c r="B66" s="717" t="inlineStr">
        <is>
          <t>ALL</t>
        </is>
      </c>
      <c r="C66" s="717" t="inlineStr">
        <is>
          <t>External Auditor</t>
        </is>
      </c>
      <c r="D66" s="717" t="inlineStr">
        <is>
          <t>ANNUAL</t>
        </is>
      </c>
      <c r="E66" s="717" t="n">
        <v>7</v>
      </c>
      <c r="F66" s="717" t="inlineStr">
        <is>
          <t>PDF</t>
        </is>
      </c>
      <c r="G66" s="717" t="inlineStr">
        <is>
          <t>Y</t>
        </is>
      </c>
      <c r="H66" s="717" t="inlineStr">
        <is>
          <t>Y</t>
        </is>
      </c>
      <c r="I66" s="717" t="inlineStr">
        <is>
          <t>CRITICAL</t>
        </is>
      </c>
      <c r="J66" s="717" t="inlineStr"/>
    </row>
    <row r="67">
      <c r="A67" s="718" t="inlineStr">
        <is>
          <t>Penetration Test Report</t>
        </is>
      </c>
      <c r="B67" s="718" t="inlineStr">
        <is>
          <t>ALL</t>
        </is>
      </c>
      <c r="C67" s="718" t="inlineStr">
        <is>
          <t>CISO</t>
        </is>
      </c>
      <c r="D67" s="718" t="inlineStr">
        <is>
          <t>ANNUAL</t>
        </is>
      </c>
      <c r="E67" s="718" t="n">
        <v>3</v>
      </c>
      <c r="F67" s="718" t="inlineStr">
        <is>
          <t>PDF</t>
        </is>
      </c>
      <c r="G67" s="718" t="inlineStr">
        <is>
          <t>Y</t>
        </is>
      </c>
      <c r="H67" s="718" t="inlineStr">
        <is>
          <t>Y</t>
        </is>
      </c>
      <c r="I67" s="718" t="inlineStr">
        <is>
          <t>HIGH</t>
        </is>
      </c>
      <c r="J67" s="718" t="inlineStr"/>
    </row>
    <row r="68">
      <c r="A68" s="717" t="inlineStr">
        <is>
          <t>Regulator Inspection Record</t>
        </is>
      </c>
      <c r="B68" s="717" t="inlineStr">
        <is>
          <t>ALL</t>
        </is>
      </c>
      <c r="C68" s="717" t="inlineStr">
        <is>
          <t>CCO</t>
        </is>
      </c>
      <c r="D68" s="717" t="inlineStr">
        <is>
          <t>AS_REQUIRED</t>
        </is>
      </c>
      <c r="E68" s="717" t="n">
        <v>10</v>
      </c>
      <c r="F68" s="717" t="inlineStr">
        <is>
          <t>PDF</t>
        </is>
      </c>
      <c r="G68" s="717" t="inlineStr">
        <is>
          <t>Y</t>
        </is>
      </c>
      <c r="H68" s="717" t="inlineStr">
        <is>
          <t>N</t>
        </is>
      </c>
      <c r="I68" s="717" t="inlineStr">
        <is>
          <t>CRITICAL</t>
        </is>
      </c>
      <c r="J68" s="717" t="inlineStr"/>
    </row>
    <row r="69">
      <c r="A69" s="718" t="inlineStr">
        <is>
          <t>Incident Response Log</t>
        </is>
      </c>
      <c r="B69" s="718" t="inlineStr">
        <is>
          <t>ALL</t>
        </is>
      </c>
      <c r="C69" s="718" t="inlineStr">
        <is>
          <t>CISO</t>
        </is>
      </c>
      <c r="D69" s="718" t="inlineStr">
        <is>
          <t>CONTINUOUS</t>
        </is>
      </c>
      <c r="E69" s="718" t="n">
        <v>5</v>
      </c>
      <c r="F69" s="718" t="inlineStr">
        <is>
          <t>SIEM/PDF</t>
        </is>
      </c>
      <c r="G69" s="718" t="inlineStr">
        <is>
          <t>Y</t>
        </is>
      </c>
      <c r="H69" s="718" t="inlineStr">
        <is>
          <t>Y</t>
        </is>
      </c>
      <c r="I69" s="718" t="inlineStr">
        <is>
          <t>HIGH</t>
        </is>
      </c>
      <c r="J69" s="718" t="inlineStr"/>
    </row>
    <row r="70">
      <c r="A70" s="717" t="inlineStr">
        <is>
          <t>Training Completion Records</t>
        </is>
      </c>
      <c r="B70" s="717" t="inlineStr">
        <is>
          <t>ALL</t>
        </is>
      </c>
      <c r="C70" s="717" t="inlineStr">
        <is>
          <t>CISO</t>
        </is>
      </c>
      <c r="D70" s="717" t="inlineStr">
        <is>
          <t>ANNUAL</t>
        </is>
      </c>
      <c r="E70" s="717" t="n">
        <v>3</v>
      </c>
      <c r="F70" s="717" t="inlineStr">
        <is>
          <t>CSV/PDF</t>
        </is>
      </c>
      <c r="G70" s="717" t="inlineStr">
        <is>
          <t>N</t>
        </is>
      </c>
      <c r="H70" s="717" t="inlineStr">
        <is>
          <t>Y</t>
        </is>
      </c>
      <c r="I70" s="717" t="inlineStr">
        <is>
          <t>MEDIUM</t>
        </is>
      </c>
      <c r="J70" s="717" t="inlineStr"/>
    </row>
    <row r="71">
      <c r="A71" s="718" t="inlineStr">
        <is>
          <t>Vendor Risk Assessments</t>
        </is>
      </c>
      <c r="B71" s="718" t="inlineStr">
        <is>
          <t>ALL</t>
        </is>
      </c>
      <c r="C71" s="718" t="inlineStr">
        <is>
          <t>3rd Party Risk Officer</t>
        </is>
      </c>
      <c r="D71" s="718" t="inlineStr">
        <is>
          <t>ANNUAL</t>
        </is>
      </c>
      <c r="E71" s="718" t="n">
        <v>3</v>
      </c>
      <c r="F71" s="718" t="inlineStr">
        <is>
          <t>Excel/PDF</t>
        </is>
      </c>
      <c r="G71" s="718" t="inlineStr">
        <is>
          <t>N</t>
        </is>
      </c>
      <c r="H71" s="718" t="inlineStr">
        <is>
          <t>Y</t>
        </is>
      </c>
      <c r="I71" s="718" t="inlineStr">
        <is>
          <t>HIGH</t>
        </is>
      </c>
      <c r="J71" s="718" t="inlineStr"/>
    </row>
    <row r="72">
      <c r="A72" s="717" t="inlineStr">
        <is>
          <t>Data Protection Impact Assessment</t>
        </is>
      </c>
      <c r="B72" s="717" t="inlineStr">
        <is>
          <t>PRIVACY</t>
        </is>
      </c>
      <c r="C72" s="717" t="inlineStr">
        <is>
          <t>DPO</t>
        </is>
      </c>
      <c r="D72" s="717" t="inlineStr">
        <is>
          <t>PER_PROJECT</t>
        </is>
      </c>
      <c r="E72" s="717" t="n">
        <v>5</v>
      </c>
      <c r="F72" s="717" t="inlineStr">
        <is>
          <t>PDF</t>
        </is>
      </c>
      <c r="G72" s="717" t="inlineStr">
        <is>
          <t>Y</t>
        </is>
      </c>
      <c r="H72" s="717" t="inlineStr">
        <is>
          <t>Y</t>
        </is>
      </c>
      <c r="I72" s="717" t="inlineStr">
        <is>
          <t>HIGH</t>
        </is>
      </c>
      <c r="J72" s="717" t="inlineStr"/>
    </row>
    <row r="73">
      <c r="A73" s="718" t="inlineStr">
        <is>
          <t>Business Continuity Test Report</t>
        </is>
      </c>
      <c r="B73" s="718" t="inlineStr">
        <is>
          <t>ALL</t>
        </is>
      </c>
      <c r="C73" s="718" t="inlineStr">
        <is>
          <t>BCM Manager</t>
        </is>
      </c>
      <c r="D73" s="718" t="inlineStr">
        <is>
          <t>BIENNIAL</t>
        </is>
      </c>
      <c r="E73" s="718" t="n">
        <v>5</v>
      </c>
      <c r="F73" s="718" t="inlineStr">
        <is>
          <t>PDF</t>
        </is>
      </c>
      <c r="G73" s="718" t="inlineStr">
        <is>
          <t>N</t>
        </is>
      </c>
      <c r="H73" s="718" t="inlineStr">
        <is>
          <t>N</t>
        </is>
      </c>
      <c r="I73" s="718" t="inlineStr">
        <is>
          <t>MEDIUM</t>
        </is>
      </c>
      <c r="J73" s="718" t="inlineStr"/>
    </row>
    <row r="75">
      <c r="A75" s="725" t="inlineStr">
        <is>
          <t xml:space="preserve">  G │ GRC MATURITY BENCHMARKS</t>
        </is>
      </c>
      <c r="B75" s="766" t="n"/>
      <c r="C75" s="766" t="n"/>
      <c r="D75" s="766" t="n"/>
      <c r="E75" s="766" t="n"/>
      <c r="F75" s="766" t="n"/>
      <c r="G75" s="766" t="n"/>
      <c r="H75" s="766" t="n"/>
      <c r="I75" s="766" t="n"/>
      <c r="J75" s="767" t="n"/>
    </row>
    <row r="76">
      <c r="A76" s="726" t="inlineStr">
        <is>
          <t>Domain</t>
        </is>
      </c>
      <c r="B76" s="726" t="inlineStr">
        <is>
          <t>Maturity Model</t>
        </is>
      </c>
      <c r="C76" s="726" t="inlineStr">
        <is>
          <t>Country Avg Score</t>
        </is>
      </c>
      <c r="D76" s="726" t="inlineStr">
        <is>
          <t>Best-in-Class</t>
        </is>
      </c>
      <c r="E76" s="726" t="inlineStr">
        <is>
          <t>Typical Target</t>
        </is>
      </c>
      <c r="F76" s="726" t="inlineStr">
        <is>
          <t>Gap to Target</t>
        </is>
      </c>
      <c r="G76" s="726" t="inlineStr">
        <is>
          <t>Priority</t>
        </is>
      </c>
      <c r="H76" s="726" t="inlineStr">
        <is>
          <t>Key Barrier</t>
        </is>
      </c>
      <c r="I76" s="726" t="inlineStr">
        <is>
          <t>Shahin AI Recommendation</t>
        </is>
      </c>
      <c r="J76" s="726" t="inlineStr">
        <is>
          <t>Ref Framework</t>
        </is>
      </c>
    </row>
    <row r="77">
      <c r="A77" s="717" t="inlineStr">
        <is>
          <t>GRC Governance</t>
        </is>
      </c>
      <c r="B77" s="717" t="inlineStr">
        <is>
          <t>CMMI 1-5</t>
        </is>
      </c>
      <c r="C77" s="717" t="n">
        <v>4</v>
      </c>
      <c r="D77" s="717" t="n">
        <v>5</v>
      </c>
      <c r="E77" s="717" t="n">
        <v>4.5</v>
      </c>
      <c r="F77" s="717" t="n">
        <v>0.5</v>
      </c>
      <c r="G77" s="717" t="inlineStr">
        <is>
          <t>HIGH</t>
        </is>
      </c>
      <c r="H77" s="717" t="inlineStr">
        <is>
          <t>Regulatory complexity (10+ regulators)</t>
        </is>
      </c>
      <c r="I77" s="717" t="inlineStr">
        <is>
          <t>Unified GRC with regulator mapping</t>
        </is>
      </c>
      <c r="J77" s="717" t="inlineStr">
        <is>
          <t>NIST-CSF-2-0</t>
        </is>
      </c>
    </row>
    <row r="78">
      <c r="A78" s="718" t="inlineStr">
        <is>
          <t>Cybersecurity Controls</t>
        </is>
      </c>
      <c r="B78" s="718" t="inlineStr">
        <is>
          <t>CMMI 1-5</t>
        </is>
      </c>
      <c r="C78" s="718" t="n">
        <v>4.2</v>
      </c>
      <c r="D78" s="718" t="n">
        <v>5</v>
      </c>
      <c r="E78" s="718" t="n">
        <v>4.5</v>
      </c>
      <c r="F78" s="718" t="n">
        <v>0.3</v>
      </c>
      <c r="G78" s="718" t="inlineStr">
        <is>
          <t>HIGH</t>
        </is>
      </c>
      <c r="H78" s="718" t="inlineStr">
        <is>
          <t>Supply chain risk</t>
        </is>
      </c>
      <c r="I78" s="718" t="inlineStr">
        <is>
          <t>Zero-trust + SBOM programme</t>
        </is>
      </c>
      <c r="J78" s="718" t="inlineStr">
        <is>
          <t>NIST-SP-800-53-R5</t>
        </is>
      </c>
    </row>
    <row r="79">
      <c r="A79" s="717" t="inlineStr">
        <is>
          <t>Healthcare Privacy</t>
        </is>
      </c>
      <c r="B79" s="717" t="inlineStr">
        <is>
          <t>CMMI 1-5</t>
        </is>
      </c>
      <c r="C79" s="717" t="n">
        <v>3.5</v>
      </c>
      <c r="D79" s="717" t="n">
        <v>5</v>
      </c>
      <c r="E79" s="717" t="n">
        <v>4</v>
      </c>
      <c r="F79" s="717" t="n">
        <v>0.5</v>
      </c>
      <c r="G79" s="717" t="inlineStr">
        <is>
          <t>HIGH</t>
        </is>
      </c>
      <c r="H79" s="717" t="inlineStr">
        <is>
          <t>IoMT device proliferation</t>
        </is>
      </c>
      <c r="I79" s="717" t="inlineStr">
        <is>
          <t>Medical device cyber programme</t>
        </is>
      </c>
      <c r="J79" s="717" t="inlineStr">
        <is>
          <t>US-FDA-CYBERSEC-MD</t>
        </is>
      </c>
    </row>
    <row r="80">
      <c r="A80" s="718" t="inlineStr">
        <is>
          <t>AML/CFT</t>
        </is>
      </c>
      <c r="B80" s="718" t="inlineStr">
        <is>
          <t>CMMI 1-5</t>
        </is>
      </c>
      <c r="C80" s="718" t="n">
        <v>4</v>
      </c>
      <c r="D80" s="718" t="n">
        <v>5</v>
      </c>
      <c r="E80" s="718" t="n">
        <v>4.5</v>
      </c>
      <c r="F80" s="718" t="n">
        <v>0.5</v>
      </c>
      <c r="G80" s="718" t="inlineStr">
        <is>
          <t>HIGH</t>
        </is>
      </c>
      <c r="H80" s="718" t="inlineStr">
        <is>
          <t>Crypto / DeFi</t>
        </is>
      </c>
      <c r="I80" s="718" t="inlineStr">
        <is>
          <t>AI-powered TM + SAR automation</t>
        </is>
      </c>
      <c r="J80" s="718" t="inlineStr">
        <is>
          <t>US-AML-BSA</t>
        </is>
      </c>
    </row>
    <row r="81">
      <c r="A81" s="717" t="inlineStr">
        <is>
          <t>Data Privacy (Multi-State)</t>
        </is>
      </c>
      <c r="B81" s="717" t="inlineStr">
        <is>
          <t>CMMI 1-5</t>
        </is>
      </c>
      <c r="C81" s="717" t="n">
        <v>3.2</v>
      </c>
      <c r="D81" s="717" t="n">
        <v>5</v>
      </c>
      <c r="E81" s="717" t="n">
        <v>4</v>
      </c>
      <c r="F81" s="717" t="n">
        <v>0.8</v>
      </c>
      <c r="G81" s="717" t="inlineStr">
        <is>
          <t>HIGH</t>
        </is>
      </c>
      <c r="H81" s="717" t="inlineStr">
        <is>
          <t>50-state patchwork</t>
        </is>
      </c>
      <c r="I81" s="717" t="inlineStr">
        <is>
          <t>Privacy-by-design programme</t>
        </is>
      </c>
      <c r="J81" s="717" t="inlineStr">
        <is>
          <t>CCPA-CPRA-2023</t>
        </is>
      </c>
    </row>
  </sheetData>
  <mergeCells count="8">
    <mergeCell ref="A44:J44"/>
    <mergeCell ref="A1:J1"/>
    <mergeCell ref="A75:J75"/>
    <mergeCell ref="A17:J17"/>
    <mergeCell ref="A62:J62"/>
    <mergeCell ref="A2:J2"/>
    <mergeCell ref="A52:J52"/>
    <mergeCell ref="A33:J33"/>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K80"/>
  <sheetViews>
    <sheetView showGridLines="0" workbookViewId="0">
      <selection activeCell="A1" sqref="A1"/>
    </sheetView>
  </sheetViews>
  <sheetFormatPr baseColWidth="8" defaultRowHeight="15"/>
  <cols>
    <col width="8" customWidth="1" min="1" max="1"/>
    <col width="6" customWidth="1" min="2" max="2"/>
    <col width="22" customWidth="1" min="3" max="3"/>
    <col width="22" customWidth="1" min="4" max="4"/>
    <col width="22" customWidth="1" min="5" max="5"/>
    <col width="12" customWidth="1" min="6" max="6"/>
    <col width="14" customWidth="1" min="7" max="7"/>
    <col width="45" customWidth="1" min="8" max="8"/>
    <col width="35" customWidth="1" min="9" max="9"/>
    <col width="14" customWidth="1" min="10" max="10"/>
    <col width="10" customWidth="1" min="11" max="11"/>
  </cols>
  <sheetData>
    <row r="1">
      <c r="A1" s="727" t="inlineStr">
        <is>
          <t>⚠️  FRAGILE &amp; CONFLICT-AFFECTED STATES — Regulatory Intelligence (Limited Coverage)</t>
        </is>
      </c>
    </row>
    <row r="2">
      <c r="A2" s="728" t="inlineStr">
        <is>
          <t>Flag</t>
        </is>
      </c>
      <c r="B2" s="728" t="inlineStr">
        <is>
          <t>ISO</t>
        </is>
      </c>
      <c r="C2" s="728" t="inlineStr">
        <is>
          <t>Country</t>
        </is>
      </c>
      <c r="D2" s="728" t="inlineStr">
        <is>
          <t>Status</t>
        </is>
      </c>
      <c r="E2" s="728" t="inlineStr">
        <is>
          <t>Primary Regulator</t>
        </is>
      </c>
      <c r="F2" s="728" t="inlineStr">
        <is>
          <t>Regulator Count</t>
        </is>
      </c>
      <c r="G2" s="728" t="inlineStr">
        <is>
          <t>Framework Count</t>
        </is>
      </c>
      <c r="H2" s="728" t="inlineStr">
        <is>
          <t>Key Risks</t>
        </is>
      </c>
      <c r="I2" s="728" t="inlineStr">
        <is>
          <t>International Baseline</t>
        </is>
      </c>
      <c r="J2" s="728" t="inlineStr">
        <is>
          <t>Coverage Depth</t>
        </is>
      </c>
    </row>
    <row r="3">
      <c r="A3" s="729" t="inlineStr">
        <is>
          <t>🇸🇾</t>
        </is>
      </c>
      <c r="B3" s="729" t="inlineStr">
        <is>
          <t>SY</t>
        </is>
      </c>
      <c r="C3" s="729" t="inlineStr">
        <is>
          <t>Syria</t>
        </is>
      </c>
      <c r="D3" s="729" t="inlineStr">
        <is>
          <t>POST_CONFLICT</t>
        </is>
      </c>
      <c r="E3" s="729" t="inlineStr">
        <is>
          <t>CBS-SY</t>
        </is>
      </c>
      <c r="F3" s="729" t="n">
        <v>3</v>
      </c>
      <c r="G3" s="729" t="n">
        <v>4</v>
      </c>
      <c r="H3" s="729" t="inlineStr">
        <is>
          <t>Sanctions · Conflict risk · Limited enforcement capacity</t>
        </is>
      </c>
      <c r="I3" s="729" t="inlineStr">
        <is>
          <t>FATF · ISO 27001 · SWIFT CSP (where applicable)</t>
        </is>
      </c>
      <c r="J3" s="729" t="inlineStr">
        <is>
          <t>MINIMAL</t>
        </is>
      </c>
    </row>
    <row r="4">
      <c r="A4" s="729" t="inlineStr">
        <is>
          <t>🇮🇶</t>
        </is>
      </c>
      <c r="B4" s="729" t="inlineStr">
        <is>
          <t>IQ</t>
        </is>
      </c>
      <c r="C4" s="729" t="inlineStr">
        <is>
          <t>Iraq</t>
        </is>
      </c>
      <c r="D4" s="729" t="inlineStr">
        <is>
          <t>FRAGILE_IMPROVING</t>
        </is>
      </c>
      <c r="E4" s="729" t="inlineStr">
        <is>
          <t>CBI</t>
        </is>
      </c>
      <c r="F4" s="729" t="n">
        <v>4</v>
      </c>
      <c r="G4" s="729" t="n">
        <v>5</v>
      </c>
      <c r="H4" s="729" t="inlineStr">
        <is>
          <t>No unified data protection law · Fragmented regulation · Geopolitical risk</t>
        </is>
      </c>
      <c r="I4" s="729" t="inlineStr">
        <is>
          <t>FATF · ISO 27001 · PCI DSS</t>
        </is>
      </c>
      <c r="J4" s="729" t="inlineStr">
        <is>
          <t>MINIMAL</t>
        </is>
      </c>
    </row>
    <row r="5">
      <c r="A5" s="729" t="inlineStr">
        <is>
          <t>🇱🇧</t>
        </is>
      </c>
      <c r="B5" s="729" t="inlineStr">
        <is>
          <t>LB</t>
        </is>
      </c>
      <c r="C5" s="729" t="inlineStr">
        <is>
          <t>Lebanon</t>
        </is>
      </c>
      <c r="D5" s="729" t="inlineStr">
        <is>
          <t>ECONOMIC_CRISIS</t>
        </is>
      </c>
      <c r="E5" s="729" t="inlineStr">
        <is>
          <t>BDL</t>
        </is>
      </c>
      <c r="F5" s="729" t="n">
        <v>3</v>
      </c>
      <c r="G5" s="729" t="n">
        <v>5</v>
      </c>
      <c r="H5" s="729" t="inlineStr">
        <is>
          <t>Financial crisis · No independent data protection authority · Governance capacity</t>
        </is>
      </c>
      <c r="I5" s="729" t="inlineStr">
        <is>
          <t>FATF · ISO 27001</t>
        </is>
      </c>
      <c r="J5" s="729" t="inlineStr">
        <is>
          <t>MINIMAL</t>
        </is>
      </c>
    </row>
    <row r="6">
      <c r="A6" s="729" t="inlineStr">
        <is>
          <t>🇵🇸</t>
        </is>
      </c>
      <c r="B6" s="729" t="inlineStr">
        <is>
          <t>PS</t>
        </is>
      </c>
      <c r="C6" s="729" t="inlineStr">
        <is>
          <t>Palestine</t>
        </is>
      </c>
      <c r="D6" s="729" t="inlineStr">
        <is>
          <t>OCCUPIED_TERRITORY</t>
        </is>
      </c>
      <c r="E6" s="729" t="inlineStr">
        <is>
          <t>PMA</t>
        </is>
      </c>
      <c r="F6" s="729" t="n">
        <v>3</v>
      </c>
      <c r="G6" s="729" t="n">
        <v>4</v>
      </c>
      <c r="H6" s="729" t="inlineStr">
        <is>
          <t>Limited territorial control · Restricted access · PMA primary enforcer</t>
        </is>
      </c>
      <c r="I6" s="729" t="inlineStr">
        <is>
          <t>FATF · ISO 27001</t>
        </is>
      </c>
      <c r="J6" s="729" t="inlineStr">
        <is>
          <t>MINIMAL</t>
        </is>
      </c>
    </row>
    <row r="7">
      <c r="A7" s="729" t="inlineStr">
        <is>
          <t>🇸🇩</t>
        </is>
      </c>
      <c r="B7" s="729" t="inlineStr">
        <is>
          <t>SD</t>
        </is>
      </c>
      <c r="C7" s="729" t="inlineStr">
        <is>
          <t>Sudan</t>
        </is>
      </c>
      <c r="D7" s="729" t="inlineStr">
        <is>
          <t>HIGH_RISK</t>
        </is>
      </c>
      <c r="E7" s="729" t="inlineStr">
        <is>
          <t>CBOS</t>
        </is>
      </c>
      <c r="F7" s="729" t="n">
        <v>2</v>
      </c>
      <c r="G7" s="729" t="n">
        <v>3</v>
      </c>
      <c r="H7" s="729" t="inlineStr">
        <is>
          <t>Active conflict · Financial sanctions · Minimal enforcement · FATF watchlist</t>
        </is>
      </c>
      <c r="I7" s="729" t="inlineStr">
        <is>
          <t>FATF · ISO 27001</t>
        </is>
      </c>
      <c r="J7" s="729" t="inlineStr">
        <is>
          <t>MINIMAL</t>
        </is>
      </c>
    </row>
    <row r="8">
      <c r="A8" s="729" t="inlineStr">
        <is>
          <t>🇱🇾</t>
        </is>
      </c>
      <c r="B8" s="729" t="inlineStr">
        <is>
          <t>LY</t>
        </is>
      </c>
      <c r="C8" s="729" t="inlineStr">
        <is>
          <t>Libya</t>
        </is>
      </c>
      <c r="D8" s="729" t="inlineStr">
        <is>
          <t>FRAGILE_DUAL_GOVERNMENT</t>
        </is>
      </c>
      <c r="E8" s="729" t="inlineStr">
        <is>
          <t>CBL</t>
        </is>
      </c>
      <c r="F8" s="729" t="n">
        <v>2</v>
      </c>
      <c r="G8" s="729" t="n">
        <v>3</v>
      </c>
      <c r="H8" s="729" t="inlineStr">
        <is>
          <t>Dual-government · UN arms embargo · Minimal digital governance · FATF monitoring</t>
        </is>
      </c>
      <c r="I8" s="729" t="inlineStr">
        <is>
          <t>FATF · ISO 27001</t>
        </is>
      </c>
      <c r="J8" s="729" t="inlineStr">
        <is>
          <t>MINIMAL</t>
        </is>
      </c>
    </row>
    <row r="11">
      <c r="A11" s="730" t="inlineStr">
        <is>
          <t xml:space="preserve">  🇸🇾 Syria (SY)  ·  Status: POST_CONFLICT</t>
        </is>
      </c>
      <c r="B11" s="766" t="n"/>
      <c r="C11" s="766" t="n"/>
      <c r="D11" s="766" t="n"/>
      <c r="E11" s="766" t="n"/>
      <c r="F11" s="766" t="n"/>
      <c r="G11" s="766" t="n"/>
      <c r="H11" s="766" t="n"/>
      <c r="I11" s="766" t="n"/>
      <c r="J11" s="766" t="n"/>
      <c r="K11" s="767" t="n"/>
    </row>
    <row r="12">
      <c r="A12" s="728" t="inlineStr">
        <is>
          <t>Code</t>
        </is>
      </c>
      <c r="B12" s="728" t="inlineStr">
        <is>
          <t>Name</t>
        </is>
      </c>
      <c r="C12" s="728" t="inlineStr">
        <is>
          <t>Sector</t>
        </is>
      </c>
      <c r="D12" s="728" t="inlineStr">
        <is>
          <t>Tier</t>
        </is>
      </c>
      <c r="E12" s="728" t="inlineStr">
        <is>
          <t>Notes</t>
        </is>
      </c>
      <c r="F12" s="728" t="inlineStr"/>
      <c r="G12" s="728" t="inlineStr"/>
      <c r="H12" s="728" t="inlineStr"/>
      <c r="I12" s="728" t="inlineStr"/>
      <c r="J12" s="728" t="inlineStr"/>
      <c r="K12" s="728" t="inlineStr"/>
    </row>
    <row r="13">
      <c r="A13" s="717" t="inlineStr">
        <is>
          <t>CBS-SY</t>
        </is>
      </c>
      <c r="B13" s="717" t="inlineStr">
        <is>
          <t>Central Bank of Syria</t>
        </is>
      </c>
      <c r="C13" s="717" t="inlineStr">
        <is>
          <t>Financial</t>
        </is>
      </c>
      <c r="D13" s="717" t="inlineStr">
        <is>
          <t>T3</t>
        </is>
      </c>
      <c r="E13" s="717" t="inlineStr">
        <is>
          <t>Limited capacity – post-conflict</t>
        </is>
      </c>
      <c r="F13" s="717" t="inlineStr"/>
      <c r="G13" s="717" t="inlineStr"/>
      <c r="H13" s="717" t="inlineStr"/>
      <c r="I13" s="717" t="inlineStr"/>
      <c r="J13" s="717" t="inlineStr"/>
      <c r="K13" s="717" t="inlineStr"/>
    </row>
    <row r="14">
      <c r="A14" s="718" t="inlineStr">
        <is>
          <t>SYTRA</t>
        </is>
      </c>
      <c r="B14" s="718" t="inlineStr">
        <is>
          <t>Syrian Telecom Regulatory Authority</t>
        </is>
      </c>
      <c r="C14" s="718" t="inlineStr">
        <is>
          <t>ICT/Telecom</t>
        </is>
      </c>
      <c r="D14" s="718" t="inlineStr">
        <is>
          <t>T3</t>
        </is>
      </c>
      <c r="E14" s="718" t="inlineStr">
        <is>
          <t>Partial operations</t>
        </is>
      </c>
      <c r="F14" s="718" t="inlineStr"/>
      <c r="G14" s="718" t="inlineStr"/>
      <c r="H14" s="718" t="inlineStr"/>
      <c r="I14" s="718" t="inlineStr"/>
      <c r="J14" s="718" t="inlineStr"/>
      <c r="K14" s="718" t="inlineStr"/>
    </row>
    <row r="15">
      <c r="A15" s="717" t="inlineStr">
        <is>
          <t>MCT-SY</t>
        </is>
      </c>
      <c r="B15" s="717" t="inlineStr">
        <is>
          <t>Ministry of Communications &amp; Technology</t>
        </is>
      </c>
      <c r="C15" s="717" t="inlineStr">
        <is>
          <t>ICT</t>
        </is>
      </c>
      <c r="D15" s="717" t="inlineStr">
        <is>
          <t>T3</t>
        </is>
      </c>
      <c r="E15" s="717" t="inlineStr">
        <is>
          <t>Reconstruction phase</t>
        </is>
      </c>
      <c r="F15" s="717" t="inlineStr"/>
      <c r="G15" s="717" t="inlineStr"/>
      <c r="H15" s="717" t="inlineStr"/>
      <c r="I15" s="717" t="inlineStr"/>
      <c r="J15" s="717" t="inlineStr"/>
      <c r="K15" s="717" t="inlineStr"/>
    </row>
    <row r="17">
      <c r="A17" s="728" t="inlineStr">
        <is>
          <t>Framework Code</t>
        </is>
      </c>
      <c r="B17" s="728" t="inlineStr">
        <is>
          <t>Name</t>
        </is>
      </c>
      <c r="C17" s="728" t="inlineStr">
        <is>
          <t>Mandatory</t>
        </is>
      </c>
      <c r="D17" s="728" t="inlineStr">
        <is>
          <t>Notes</t>
        </is>
      </c>
      <c r="E17" s="728" t="inlineStr"/>
      <c r="F17" s="728" t="inlineStr"/>
      <c r="G17" s="728" t="inlineStr"/>
      <c r="H17" s="728" t="inlineStr"/>
      <c r="I17" s="728" t="inlineStr"/>
      <c r="J17" s="728" t="inlineStr"/>
      <c r="K17" s="728" t="inlineStr"/>
    </row>
    <row r="18">
      <c r="A18" s="717" t="inlineStr">
        <is>
          <t>SY-CYBERCRIME-LAW</t>
        </is>
      </c>
      <c r="B18" s="717" t="inlineStr">
        <is>
          <t>Syria Cybercrime Law</t>
        </is>
      </c>
      <c r="C18" s="717" t="inlineStr">
        <is>
          <t>Y</t>
        </is>
      </c>
      <c r="D18" s="717" t="inlineStr">
        <is>
          <t>Basic provisions only</t>
        </is>
      </c>
      <c r="E18" s="717" t="inlineStr"/>
      <c r="F18" s="717" t="inlineStr"/>
      <c r="G18" s="717" t="inlineStr"/>
      <c r="H18" s="717" t="inlineStr"/>
      <c r="I18" s="717" t="inlineStr"/>
      <c r="J18" s="717" t="inlineStr"/>
      <c r="K18" s="717" t="inlineStr"/>
    </row>
    <row r="19">
      <c r="A19" s="718" t="inlineStr">
        <is>
          <t>SY-TELECOM-LAW</t>
        </is>
      </c>
      <c r="B19" s="718" t="inlineStr">
        <is>
          <t>Syria Telecom Law</t>
        </is>
      </c>
      <c r="C19" s="718" t="inlineStr">
        <is>
          <t>Y</t>
        </is>
      </c>
      <c r="D19" s="718" t="inlineStr">
        <is>
          <t>Pre-conflict framework</t>
        </is>
      </c>
      <c r="E19" s="718" t="inlineStr"/>
      <c r="F19" s="718" t="inlineStr"/>
      <c r="G19" s="718" t="inlineStr"/>
      <c r="H19" s="718" t="inlineStr"/>
      <c r="I19" s="718" t="inlineStr"/>
      <c r="J19" s="718" t="inlineStr"/>
      <c r="K19" s="718" t="inlineStr"/>
    </row>
    <row r="20">
      <c r="A20" s="717" t="inlineStr">
        <is>
          <t>SY-AML-LAW</t>
        </is>
      </c>
      <c r="B20" s="717" t="inlineStr">
        <is>
          <t>Syria AML Law</t>
        </is>
      </c>
      <c r="C20" s="717" t="inlineStr">
        <is>
          <t>Y</t>
        </is>
      </c>
      <c r="D20" s="717" t="inlineStr">
        <is>
          <t>FATF baseline reference</t>
        </is>
      </c>
      <c r="E20" s="717" t="inlineStr"/>
      <c r="F20" s="717" t="inlineStr"/>
      <c r="G20" s="717" t="inlineStr"/>
      <c r="H20" s="717" t="inlineStr"/>
      <c r="I20" s="717" t="inlineStr"/>
      <c r="J20" s="717" t="inlineStr"/>
      <c r="K20" s="717" t="inlineStr"/>
    </row>
    <row r="21">
      <c r="A21" s="718" t="inlineStr">
        <is>
          <t>ISO-27001-2022</t>
        </is>
      </c>
      <c r="B21" s="718" t="inlineStr">
        <is>
          <t>ISO 27001:2022 (international benchmark)</t>
        </is>
      </c>
      <c r="C21" s="718" t="inlineStr">
        <is>
          <t>P</t>
        </is>
      </c>
      <c r="D21" s="718" t="inlineStr">
        <is>
          <t>Voluntarily adopted by major orgs</t>
        </is>
      </c>
      <c r="E21" s="718" t="inlineStr"/>
      <c r="F21" s="718" t="inlineStr"/>
      <c r="G21" s="718" t="inlineStr"/>
      <c r="H21" s="718" t="inlineStr"/>
      <c r="I21" s="718" t="inlineStr"/>
      <c r="J21" s="718" t="inlineStr"/>
      <c r="K21" s="718" t="inlineStr"/>
    </row>
    <row r="23">
      <c r="A23" s="730" t="inlineStr">
        <is>
          <t xml:space="preserve">  🇮🇶 Iraq (IQ)  ·  Status: FRAGILE_IMPROVING</t>
        </is>
      </c>
      <c r="B23" s="766" t="n"/>
      <c r="C23" s="766" t="n"/>
      <c r="D23" s="766" t="n"/>
      <c r="E23" s="766" t="n"/>
      <c r="F23" s="766" t="n"/>
      <c r="G23" s="766" t="n"/>
      <c r="H23" s="766" t="n"/>
      <c r="I23" s="766" t="n"/>
      <c r="J23" s="766" t="n"/>
      <c r="K23" s="767" t="n"/>
    </row>
    <row r="24">
      <c r="A24" s="728" t="inlineStr">
        <is>
          <t>Code</t>
        </is>
      </c>
      <c r="B24" s="728" t="inlineStr">
        <is>
          <t>Name</t>
        </is>
      </c>
      <c r="C24" s="728" t="inlineStr">
        <is>
          <t>Sector</t>
        </is>
      </c>
      <c r="D24" s="728" t="inlineStr">
        <is>
          <t>Tier</t>
        </is>
      </c>
      <c r="E24" s="728" t="inlineStr">
        <is>
          <t>Notes</t>
        </is>
      </c>
      <c r="F24" s="728" t="inlineStr"/>
      <c r="G24" s="728" t="inlineStr"/>
      <c r="H24" s="728" t="inlineStr"/>
      <c r="I24" s="728" t="inlineStr"/>
      <c r="J24" s="728" t="inlineStr"/>
      <c r="K24" s="728" t="inlineStr"/>
    </row>
    <row r="25">
      <c r="A25" s="717" t="inlineStr">
        <is>
          <t>CBI</t>
        </is>
      </c>
      <c r="B25" s="717" t="inlineStr">
        <is>
          <t>Central Bank of Iraq</t>
        </is>
      </c>
      <c r="C25" s="717" t="inlineStr">
        <is>
          <t>Financial</t>
        </is>
      </c>
      <c r="D25" s="717" t="inlineStr">
        <is>
          <t>T2</t>
        </is>
      </c>
      <c r="E25" s="717" t="inlineStr">
        <is>
          <t>Active – cybersecurity guidance issued</t>
        </is>
      </c>
      <c r="F25" s="717" t="inlineStr"/>
      <c r="G25" s="717" t="inlineStr"/>
      <c r="H25" s="717" t="inlineStr"/>
      <c r="I25" s="717" t="inlineStr"/>
      <c r="J25" s="717" t="inlineStr"/>
      <c r="K25" s="717" t="inlineStr"/>
    </row>
    <row r="26">
      <c r="A26" s="718" t="inlineStr">
        <is>
          <t>CMC-IQ</t>
        </is>
      </c>
      <c r="B26" s="718" t="inlineStr">
        <is>
          <t>Communications &amp; Media Commission</t>
        </is>
      </c>
      <c r="C26" s="718" t="inlineStr">
        <is>
          <t>ICT/Telecom</t>
        </is>
      </c>
      <c r="D26" s="718" t="inlineStr">
        <is>
          <t>T2</t>
        </is>
      </c>
      <c r="E26" s="718" t="inlineStr">
        <is>
          <t>Active regulator</t>
        </is>
      </c>
      <c r="F26" s="718" t="inlineStr"/>
      <c r="G26" s="718" t="inlineStr"/>
      <c r="H26" s="718" t="inlineStr"/>
      <c r="I26" s="718" t="inlineStr"/>
      <c r="J26" s="718" t="inlineStr"/>
      <c r="K26" s="718" t="inlineStr"/>
    </row>
    <row r="27">
      <c r="A27" s="717" t="inlineStr">
        <is>
          <t>ISC-IQ</t>
        </is>
      </c>
      <c r="B27" s="717" t="inlineStr">
        <is>
          <t>Iraq Securities Commission</t>
        </is>
      </c>
      <c r="C27" s="717" t="inlineStr">
        <is>
          <t>Capital Markets</t>
        </is>
      </c>
      <c r="D27" s="717" t="inlineStr">
        <is>
          <t>T3</t>
        </is>
      </c>
      <c r="E27" s="717" t="inlineStr">
        <is>
          <t>Developing capacity</t>
        </is>
      </c>
      <c r="F27" s="717" t="inlineStr"/>
      <c r="G27" s="717" t="inlineStr"/>
      <c r="H27" s="717" t="inlineStr"/>
      <c r="I27" s="717" t="inlineStr"/>
      <c r="J27" s="717" t="inlineStr"/>
      <c r="K27" s="717" t="inlineStr"/>
    </row>
    <row r="28">
      <c r="A28" s="718" t="inlineStr">
        <is>
          <t>NITA-IQ</t>
        </is>
      </c>
      <c r="B28" s="718" t="inlineStr">
        <is>
          <t>National Info Technology Authority</t>
        </is>
      </c>
      <c r="C28" s="718" t="inlineStr">
        <is>
          <t>Digital Gov</t>
        </is>
      </c>
      <c r="D28" s="718" t="inlineStr">
        <is>
          <t>T3</t>
        </is>
      </c>
      <c r="E28" s="718" t="inlineStr">
        <is>
          <t>E-government mandate</t>
        </is>
      </c>
      <c r="F28" s="718" t="inlineStr"/>
      <c r="G28" s="718" t="inlineStr"/>
      <c r="H28" s="718" t="inlineStr"/>
      <c r="I28" s="718" t="inlineStr"/>
      <c r="J28" s="718" t="inlineStr"/>
      <c r="K28" s="718" t="inlineStr"/>
    </row>
    <row r="30">
      <c r="A30" s="728" t="inlineStr">
        <is>
          <t>Framework Code</t>
        </is>
      </c>
      <c r="B30" s="728" t="inlineStr">
        <is>
          <t>Name</t>
        </is>
      </c>
      <c r="C30" s="728" t="inlineStr">
        <is>
          <t>Mandatory</t>
        </is>
      </c>
      <c r="D30" s="728" t="inlineStr">
        <is>
          <t>Notes</t>
        </is>
      </c>
      <c r="E30" s="728" t="inlineStr"/>
      <c r="F30" s="728" t="inlineStr"/>
      <c r="G30" s="728" t="inlineStr"/>
      <c r="H30" s="728" t="inlineStr"/>
      <c r="I30" s="728" t="inlineStr"/>
      <c r="J30" s="728" t="inlineStr"/>
      <c r="K30" s="728" t="inlineStr"/>
    </row>
    <row r="31">
      <c r="A31" s="717" t="inlineStr">
        <is>
          <t>IQ-CBI-CYBERSEC-INSTRUCT</t>
        </is>
      </c>
      <c r="B31" s="717" t="inlineStr">
        <is>
          <t>CBI Cybersecurity Instructions</t>
        </is>
      </c>
      <c r="C31" s="717" t="inlineStr">
        <is>
          <t>Y</t>
        </is>
      </c>
      <c r="D31" s="717" t="inlineStr">
        <is>
          <t>ISO 27001 alignment recommended</t>
        </is>
      </c>
      <c r="E31" s="717" t="inlineStr"/>
      <c r="F31" s="717" t="inlineStr"/>
      <c r="G31" s="717" t="inlineStr"/>
      <c r="H31" s="717" t="inlineStr"/>
      <c r="I31" s="717" t="inlineStr"/>
      <c r="J31" s="717" t="inlineStr"/>
      <c r="K31" s="717" t="inlineStr"/>
    </row>
    <row r="32">
      <c r="A32" s="718" t="inlineStr">
        <is>
          <t>IQ-CMC-TELECOM-REG</t>
        </is>
      </c>
      <c r="B32" s="718" t="inlineStr">
        <is>
          <t>CMC Telecoms Regulations</t>
        </is>
      </c>
      <c r="C32" s="718" t="inlineStr">
        <is>
          <t>Y</t>
        </is>
      </c>
      <c r="D32" s="718" t="inlineStr"/>
      <c r="E32" s="718" t="inlineStr"/>
      <c r="F32" s="718" t="inlineStr"/>
      <c r="G32" s="718" t="inlineStr"/>
      <c r="H32" s="718" t="inlineStr"/>
      <c r="I32" s="718" t="inlineStr"/>
      <c r="J32" s="718" t="inlineStr"/>
      <c r="K32" s="718" t="inlineStr"/>
    </row>
    <row r="33">
      <c r="A33" s="717" t="inlineStr">
        <is>
          <t>IQ-CYBERCRIME-LAW</t>
        </is>
      </c>
      <c r="B33" s="717" t="inlineStr">
        <is>
          <t>Iraq Cybercrime Law</t>
        </is>
      </c>
      <c r="C33" s="717" t="inlineStr">
        <is>
          <t>Y</t>
        </is>
      </c>
      <c r="D33" s="717" t="inlineStr">
        <is>
          <t>No unified national cyber law; criminal code provisions</t>
        </is>
      </c>
      <c r="E33" s="717" t="inlineStr"/>
      <c r="F33" s="717" t="inlineStr"/>
      <c r="G33" s="717" t="inlineStr"/>
      <c r="H33" s="717" t="inlineStr"/>
      <c r="I33" s="717" t="inlineStr"/>
      <c r="J33" s="717" t="inlineStr"/>
      <c r="K33" s="717" t="inlineStr"/>
    </row>
    <row r="34">
      <c r="A34" s="718" t="inlineStr">
        <is>
          <t>IQ-AML-LAW</t>
        </is>
      </c>
      <c r="B34" s="718" t="inlineStr">
        <is>
          <t>Iraq AML Law No.39/2015</t>
        </is>
      </c>
      <c r="C34" s="718" t="inlineStr">
        <is>
          <t>Y</t>
        </is>
      </c>
      <c r="D34" s="718" t="inlineStr">
        <is>
          <t>FATF aligned</t>
        </is>
      </c>
      <c r="E34" s="718" t="inlineStr"/>
      <c r="F34" s="718" t="inlineStr"/>
      <c r="G34" s="718" t="inlineStr"/>
      <c r="H34" s="718" t="inlineStr"/>
      <c r="I34" s="718" t="inlineStr"/>
      <c r="J34" s="718" t="inlineStr"/>
      <c r="K34" s="718" t="inlineStr"/>
    </row>
    <row r="35">
      <c r="A35" s="717" t="inlineStr">
        <is>
          <t>ISO-27001-2022</t>
        </is>
      </c>
      <c r="B35" s="717" t="inlineStr">
        <is>
          <t>ISO 27001:2022 (CBI baseline reference)</t>
        </is>
      </c>
      <c r="C35" s="717" t="inlineStr">
        <is>
          <t>P</t>
        </is>
      </c>
      <c r="D35" s="717" t="inlineStr">
        <is>
          <t>Recommended by CBI</t>
        </is>
      </c>
      <c r="E35" s="717" t="inlineStr"/>
      <c r="F35" s="717" t="inlineStr"/>
      <c r="G35" s="717" t="inlineStr"/>
      <c r="H35" s="717" t="inlineStr"/>
      <c r="I35" s="717" t="inlineStr"/>
      <c r="J35" s="717" t="inlineStr"/>
      <c r="K35" s="717" t="inlineStr"/>
    </row>
    <row r="37">
      <c r="A37" s="730" t="inlineStr">
        <is>
          <t xml:space="preserve">  🇱🇧 Lebanon (LB)  ·  Status: ECONOMIC_CRISIS</t>
        </is>
      </c>
      <c r="B37" s="766" t="n"/>
      <c r="C37" s="766" t="n"/>
      <c r="D37" s="766" t="n"/>
      <c r="E37" s="766" t="n"/>
      <c r="F37" s="766" t="n"/>
      <c r="G37" s="766" t="n"/>
      <c r="H37" s="766" t="n"/>
      <c r="I37" s="766" t="n"/>
      <c r="J37" s="766" t="n"/>
      <c r="K37" s="767" t="n"/>
    </row>
    <row r="38">
      <c r="A38" s="728" t="inlineStr">
        <is>
          <t>Code</t>
        </is>
      </c>
      <c r="B38" s="728" t="inlineStr">
        <is>
          <t>Name</t>
        </is>
      </c>
      <c r="C38" s="728" t="inlineStr">
        <is>
          <t>Sector</t>
        </is>
      </c>
      <c r="D38" s="728" t="inlineStr">
        <is>
          <t>Tier</t>
        </is>
      </c>
      <c r="E38" s="728" t="inlineStr">
        <is>
          <t>Notes</t>
        </is>
      </c>
      <c r="F38" s="728" t="inlineStr"/>
      <c r="G38" s="728" t="inlineStr"/>
      <c r="H38" s="728" t="inlineStr"/>
      <c r="I38" s="728" t="inlineStr"/>
      <c r="J38" s="728" t="inlineStr"/>
      <c r="K38" s="728" t="inlineStr"/>
    </row>
    <row r="39">
      <c r="A39" s="717" t="inlineStr">
        <is>
          <t>BDL</t>
        </is>
      </c>
      <c r="B39" s="717" t="inlineStr">
        <is>
          <t>Banque du Liban (Central Bank)</t>
        </is>
      </c>
      <c r="C39" s="717" t="inlineStr">
        <is>
          <t>Financial</t>
        </is>
      </c>
      <c r="D39" s="717" t="inlineStr">
        <is>
          <t>T2</t>
        </is>
      </c>
      <c r="E39" s="717" t="inlineStr">
        <is>
          <t>Functional despite crisis</t>
        </is>
      </c>
      <c r="F39" s="717" t="inlineStr"/>
      <c r="G39" s="717" t="inlineStr"/>
      <c r="H39" s="717" t="inlineStr"/>
      <c r="I39" s="717" t="inlineStr"/>
      <c r="J39" s="717" t="inlineStr"/>
      <c r="K39" s="717" t="inlineStr"/>
    </row>
    <row r="40">
      <c r="A40" s="718" t="inlineStr">
        <is>
          <t>CMA-LB</t>
        </is>
      </c>
      <c r="B40" s="718" t="inlineStr">
        <is>
          <t>Capital Markets Authority</t>
        </is>
      </c>
      <c r="C40" s="718" t="inlineStr">
        <is>
          <t>Capital Markets</t>
        </is>
      </c>
      <c r="D40" s="718" t="inlineStr">
        <is>
          <t>T3</t>
        </is>
      </c>
      <c r="E40" s="718" t="inlineStr">
        <is>
          <t>Limited capacity</t>
        </is>
      </c>
      <c r="F40" s="718" t="inlineStr"/>
      <c r="G40" s="718" t="inlineStr"/>
      <c r="H40" s="718" t="inlineStr"/>
      <c r="I40" s="718" t="inlineStr"/>
      <c r="J40" s="718" t="inlineStr"/>
      <c r="K40" s="718" t="inlineStr"/>
    </row>
    <row r="41">
      <c r="A41" s="717" t="inlineStr">
        <is>
          <t>TRA-LB</t>
        </is>
      </c>
      <c r="B41" s="717" t="inlineStr">
        <is>
          <t>Telecom Regulatory Authority</t>
        </is>
      </c>
      <c r="C41" s="717" t="inlineStr">
        <is>
          <t>ICT/Telecom</t>
        </is>
      </c>
      <c r="D41" s="717" t="inlineStr">
        <is>
          <t>T3</t>
        </is>
      </c>
      <c r="E41" s="717" t="inlineStr">
        <is>
          <t>Partial capacity</t>
        </is>
      </c>
      <c r="F41" s="717" t="inlineStr"/>
      <c r="G41" s="717" t="inlineStr"/>
      <c r="H41" s="717" t="inlineStr"/>
      <c r="I41" s="717" t="inlineStr"/>
      <c r="J41" s="717" t="inlineStr"/>
      <c r="K41" s="717" t="inlineStr"/>
    </row>
    <row r="43">
      <c r="A43" s="728" t="inlineStr">
        <is>
          <t>Framework Code</t>
        </is>
      </c>
      <c r="B43" s="728" t="inlineStr">
        <is>
          <t>Name</t>
        </is>
      </c>
      <c r="C43" s="728" t="inlineStr">
        <is>
          <t>Mandatory</t>
        </is>
      </c>
      <c r="D43" s="728" t="inlineStr">
        <is>
          <t>Notes</t>
        </is>
      </c>
      <c r="E43" s="728" t="inlineStr"/>
      <c r="F43" s="728" t="inlineStr"/>
      <c r="G43" s="728" t="inlineStr"/>
      <c r="H43" s="728" t="inlineStr"/>
      <c r="I43" s="728" t="inlineStr"/>
      <c r="J43" s="728" t="inlineStr"/>
      <c r="K43" s="728" t="inlineStr"/>
    </row>
    <row r="44">
      <c r="A44" s="717" t="inlineStr">
        <is>
          <t>LB-ECOM-DATAPROT-2018</t>
        </is>
      </c>
      <c r="B44" s="717" t="inlineStr">
        <is>
          <t>Lebanon E-Commerce &amp; Data Protection Law 81/2018</t>
        </is>
      </c>
      <c r="C44" s="717" t="inlineStr">
        <is>
          <t>Y</t>
        </is>
      </c>
      <c r="D44" s="717" t="inlineStr">
        <is>
          <t>Not GDPR equivalent; MoET oversight</t>
        </is>
      </c>
      <c r="E44" s="717" t="inlineStr"/>
      <c r="F44" s="717" t="inlineStr"/>
      <c r="G44" s="717" t="inlineStr"/>
      <c r="H44" s="717" t="inlineStr"/>
      <c r="I44" s="717" t="inlineStr"/>
      <c r="J44" s="717" t="inlineStr"/>
      <c r="K44" s="717" t="inlineStr"/>
    </row>
    <row r="45">
      <c r="A45" s="718" t="inlineStr">
        <is>
          <t>BDL-547-DATASEC</t>
        </is>
      </c>
      <c r="B45" s="718" t="inlineStr">
        <is>
          <t>BDL Circular 547 – Data Security</t>
        </is>
      </c>
      <c r="C45" s="718" t="inlineStr">
        <is>
          <t>Y</t>
        </is>
      </c>
      <c r="D45" s="718" t="inlineStr">
        <is>
          <t>Banks only</t>
        </is>
      </c>
      <c r="E45" s="718" t="inlineStr"/>
      <c r="F45" s="718" t="inlineStr"/>
      <c r="G45" s="718" t="inlineStr"/>
      <c r="H45" s="718" t="inlineStr"/>
      <c r="I45" s="718" t="inlineStr"/>
      <c r="J45" s="718" t="inlineStr"/>
      <c r="K45" s="718" t="inlineStr"/>
    </row>
    <row r="46">
      <c r="A46" s="717" t="inlineStr">
        <is>
          <t>BDL-AML-CIRCULARS</t>
        </is>
      </c>
      <c r="B46" s="717" t="inlineStr">
        <is>
          <t>BDL AML/CFT Circulars</t>
        </is>
      </c>
      <c r="C46" s="717" t="inlineStr">
        <is>
          <t>Y</t>
        </is>
      </c>
      <c r="D46" s="717" t="inlineStr">
        <is>
          <t>FATF aligned</t>
        </is>
      </c>
      <c r="E46" s="717" t="inlineStr"/>
      <c r="F46" s="717" t="inlineStr"/>
      <c r="G46" s="717" t="inlineStr"/>
      <c r="H46" s="717" t="inlineStr"/>
      <c r="I46" s="717" t="inlineStr"/>
      <c r="J46" s="717" t="inlineStr"/>
      <c r="K46" s="717" t="inlineStr"/>
    </row>
    <row r="47">
      <c r="A47" s="718" t="inlineStr">
        <is>
          <t>LB-CYBERCRIME-LAW</t>
        </is>
      </c>
      <c r="B47" s="718" t="inlineStr">
        <is>
          <t>Lebanon Cybercrime Law</t>
        </is>
      </c>
      <c r="C47" s="718" t="inlineStr">
        <is>
          <t>Y</t>
        </is>
      </c>
      <c r="D47" s="718" t="inlineStr"/>
      <c r="E47" s="718" t="inlineStr"/>
      <c r="F47" s="718" t="inlineStr"/>
      <c r="G47" s="718" t="inlineStr"/>
      <c r="H47" s="718" t="inlineStr"/>
      <c r="I47" s="718" t="inlineStr"/>
      <c r="J47" s="718" t="inlineStr"/>
      <c r="K47" s="718" t="inlineStr"/>
    </row>
    <row r="48">
      <c r="A48" s="717" t="inlineStr">
        <is>
          <t>LB-TELECOM-LAW</t>
        </is>
      </c>
      <c r="B48" s="717" t="inlineStr">
        <is>
          <t>Lebanon Telecom Law</t>
        </is>
      </c>
      <c r="C48" s="717" t="inlineStr">
        <is>
          <t>Y</t>
        </is>
      </c>
      <c r="D48" s="717" t="inlineStr"/>
      <c r="E48" s="717" t="inlineStr"/>
      <c r="F48" s="717" t="inlineStr"/>
      <c r="G48" s="717" t="inlineStr"/>
      <c r="H48" s="717" t="inlineStr"/>
      <c r="I48" s="717" t="inlineStr"/>
      <c r="J48" s="717" t="inlineStr"/>
      <c r="K48" s="717" t="inlineStr"/>
    </row>
    <row r="50">
      <c r="A50" s="730" t="inlineStr">
        <is>
          <t xml:space="preserve">  🇵🇸 Palestine (PS)  ·  Status: OCCUPIED_TERRITORY</t>
        </is>
      </c>
      <c r="B50" s="766" t="n"/>
      <c r="C50" s="766" t="n"/>
      <c r="D50" s="766" t="n"/>
      <c r="E50" s="766" t="n"/>
      <c r="F50" s="766" t="n"/>
      <c r="G50" s="766" t="n"/>
      <c r="H50" s="766" t="n"/>
      <c r="I50" s="766" t="n"/>
      <c r="J50" s="766" t="n"/>
      <c r="K50" s="767" t="n"/>
    </row>
    <row r="51">
      <c r="A51" s="728" t="inlineStr">
        <is>
          <t>Code</t>
        </is>
      </c>
      <c r="B51" s="728" t="inlineStr">
        <is>
          <t>Name</t>
        </is>
      </c>
      <c r="C51" s="728" t="inlineStr">
        <is>
          <t>Sector</t>
        </is>
      </c>
      <c r="D51" s="728" t="inlineStr">
        <is>
          <t>Tier</t>
        </is>
      </c>
      <c r="E51" s="728" t="inlineStr">
        <is>
          <t>Notes</t>
        </is>
      </c>
      <c r="F51" s="728" t="inlineStr"/>
      <c r="G51" s="728" t="inlineStr"/>
      <c r="H51" s="728" t="inlineStr"/>
      <c r="I51" s="728" t="inlineStr"/>
      <c r="J51" s="728" t="inlineStr"/>
      <c r="K51" s="728" t="inlineStr"/>
    </row>
    <row r="52">
      <c r="A52" s="717" t="inlineStr">
        <is>
          <t>PMA</t>
        </is>
      </c>
      <c r="B52" s="717" t="inlineStr">
        <is>
          <t>Palestine Monetary Authority</t>
        </is>
      </c>
      <c r="C52" s="717" t="inlineStr">
        <is>
          <t>Financial</t>
        </is>
      </c>
      <c r="D52" s="717" t="inlineStr">
        <is>
          <t>T2</t>
        </is>
      </c>
      <c r="E52" s="717" t="inlineStr">
        <is>
          <t>Active GRC regulator</t>
        </is>
      </c>
      <c r="F52" s="717" t="inlineStr"/>
      <c r="G52" s="717" t="inlineStr"/>
      <c r="H52" s="717" t="inlineStr"/>
      <c r="I52" s="717" t="inlineStr"/>
      <c r="J52" s="717" t="inlineStr"/>
      <c r="K52" s="717" t="inlineStr"/>
    </row>
    <row r="53">
      <c r="A53" s="718" t="inlineStr">
        <is>
          <t>PCMA</t>
        </is>
      </c>
      <c r="B53" s="718" t="inlineStr">
        <is>
          <t>Palestine Capital Market Authority</t>
        </is>
      </c>
      <c r="C53" s="718" t="inlineStr">
        <is>
          <t>Capital Markets</t>
        </is>
      </c>
      <c r="D53" s="718" t="inlineStr">
        <is>
          <t>T3</t>
        </is>
      </c>
      <c r="E53" s="718" t="inlineStr">
        <is>
          <t>Limited capacity</t>
        </is>
      </c>
      <c r="F53" s="718" t="inlineStr"/>
      <c r="G53" s="718" t="inlineStr"/>
      <c r="H53" s="718" t="inlineStr"/>
      <c r="I53" s="718" t="inlineStr"/>
      <c r="J53" s="718" t="inlineStr"/>
      <c r="K53" s="718" t="inlineStr"/>
    </row>
    <row r="54">
      <c r="A54" s="717" t="inlineStr">
        <is>
          <t>MTIT-PS</t>
        </is>
      </c>
      <c r="B54" s="717" t="inlineStr">
        <is>
          <t>Ministry of Telecom &amp; IT</t>
        </is>
      </c>
      <c r="C54" s="717" t="inlineStr">
        <is>
          <t>ICT</t>
        </is>
      </c>
      <c r="D54" s="717" t="inlineStr">
        <is>
          <t>T3</t>
        </is>
      </c>
      <c r="E54" s="717" t="inlineStr"/>
      <c r="F54" s="717" t="inlineStr"/>
      <c r="G54" s="717" t="inlineStr"/>
      <c r="H54" s="717" t="inlineStr"/>
      <c r="I54" s="717" t="inlineStr"/>
      <c r="J54" s="717" t="inlineStr"/>
      <c r="K54" s="717" t="inlineStr"/>
    </row>
    <row r="56">
      <c r="A56" s="728" t="inlineStr">
        <is>
          <t>Framework Code</t>
        </is>
      </c>
      <c r="B56" s="728" t="inlineStr">
        <is>
          <t>Name</t>
        </is>
      </c>
      <c r="C56" s="728" t="inlineStr">
        <is>
          <t>Mandatory</t>
        </is>
      </c>
      <c r="D56" s="728" t="inlineStr">
        <is>
          <t>Notes</t>
        </is>
      </c>
      <c r="E56" s="728" t="inlineStr"/>
      <c r="F56" s="728" t="inlineStr"/>
      <c r="G56" s="728" t="inlineStr"/>
      <c r="H56" s="728" t="inlineStr"/>
      <c r="I56" s="728" t="inlineStr"/>
      <c r="J56" s="728" t="inlineStr"/>
      <c r="K56" s="728" t="inlineStr"/>
    </row>
    <row r="57">
      <c r="A57" s="717" t="inlineStr">
        <is>
          <t>PS-PMA-CYBERSEC-GUIDE</t>
        </is>
      </c>
      <c r="B57" s="717" t="inlineStr">
        <is>
          <t>PMA Cybersecurity Guidelines</t>
        </is>
      </c>
      <c r="C57" s="717" t="inlineStr">
        <is>
          <t>Y</t>
        </is>
      </c>
      <c r="D57" s="717" t="inlineStr">
        <is>
          <t>ISO 27001 aligned</t>
        </is>
      </c>
      <c r="E57" s="717" t="inlineStr"/>
      <c r="F57" s="717" t="inlineStr"/>
      <c r="G57" s="717" t="inlineStr"/>
      <c r="H57" s="717" t="inlineStr"/>
      <c r="I57" s="717" t="inlineStr"/>
      <c r="J57" s="717" t="inlineStr"/>
      <c r="K57" s="717" t="inlineStr"/>
    </row>
    <row r="58">
      <c r="A58" s="718" t="inlineStr">
        <is>
          <t>PS-CYBERCRIME-LAW</t>
        </is>
      </c>
      <c r="B58" s="718" t="inlineStr">
        <is>
          <t>Palestinian Cybercrime Law</t>
        </is>
      </c>
      <c r="C58" s="718" t="inlineStr">
        <is>
          <t>Y</t>
        </is>
      </c>
      <c r="D58" s="718" t="inlineStr"/>
      <c r="E58" s="718" t="inlineStr"/>
      <c r="F58" s="718" t="inlineStr"/>
      <c r="G58" s="718" t="inlineStr"/>
      <c r="H58" s="718" t="inlineStr"/>
      <c r="I58" s="718" t="inlineStr"/>
      <c r="J58" s="718" t="inlineStr"/>
      <c r="K58" s="718" t="inlineStr"/>
    </row>
    <row r="59">
      <c r="A59" s="717" t="inlineStr">
        <is>
          <t>PS-ECOM-LAW</t>
        </is>
      </c>
      <c r="B59" s="717" t="inlineStr">
        <is>
          <t>Palestinian Electronic Commerce Law</t>
        </is>
      </c>
      <c r="C59" s="717" t="inlineStr">
        <is>
          <t>Y</t>
        </is>
      </c>
      <c r="D59" s="717" t="inlineStr"/>
      <c r="E59" s="717" t="inlineStr"/>
      <c r="F59" s="717" t="inlineStr"/>
      <c r="G59" s="717" t="inlineStr"/>
      <c r="H59" s="717" t="inlineStr"/>
      <c r="I59" s="717" t="inlineStr"/>
      <c r="J59" s="717" t="inlineStr"/>
      <c r="K59" s="717" t="inlineStr"/>
    </row>
    <row r="60">
      <c r="A60" s="718" t="inlineStr">
        <is>
          <t>PS-AML-LAW</t>
        </is>
      </c>
      <c r="B60" s="718" t="inlineStr">
        <is>
          <t>Palestinian AML Law</t>
        </is>
      </c>
      <c r="C60" s="718" t="inlineStr">
        <is>
          <t>Y</t>
        </is>
      </c>
      <c r="D60" s="718" t="inlineStr">
        <is>
          <t>FATF baseline</t>
        </is>
      </c>
      <c r="E60" s="718" t="inlineStr"/>
      <c r="F60" s="718" t="inlineStr"/>
      <c r="G60" s="718" t="inlineStr"/>
      <c r="H60" s="718" t="inlineStr"/>
      <c r="I60" s="718" t="inlineStr"/>
      <c r="J60" s="718" t="inlineStr"/>
      <c r="K60" s="718" t="inlineStr"/>
    </row>
    <row r="62">
      <c r="A62" s="730" t="inlineStr">
        <is>
          <t xml:space="preserve">  🇸🇩 Sudan (SD)  ·  Status: HIGH_RISK</t>
        </is>
      </c>
      <c r="B62" s="766" t="n"/>
      <c r="C62" s="766" t="n"/>
      <c r="D62" s="766" t="n"/>
      <c r="E62" s="766" t="n"/>
      <c r="F62" s="766" t="n"/>
      <c r="G62" s="766" t="n"/>
      <c r="H62" s="766" t="n"/>
      <c r="I62" s="766" t="n"/>
      <c r="J62" s="766" t="n"/>
      <c r="K62" s="767" t="n"/>
    </row>
    <row r="63">
      <c r="A63" s="728" t="inlineStr">
        <is>
          <t>Code</t>
        </is>
      </c>
      <c r="B63" s="728" t="inlineStr">
        <is>
          <t>Name</t>
        </is>
      </c>
      <c r="C63" s="728" t="inlineStr">
        <is>
          <t>Sector</t>
        </is>
      </c>
      <c r="D63" s="728" t="inlineStr">
        <is>
          <t>Tier</t>
        </is>
      </c>
      <c r="E63" s="728" t="inlineStr">
        <is>
          <t>Notes</t>
        </is>
      </c>
      <c r="F63" s="728" t="inlineStr"/>
      <c r="G63" s="728" t="inlineStr"/>
      <c r="H63" s="728" t="inlineStr"/>
      <c r="I63" s="728" t="inlineStr"/>
      <c r="J63" s="728" t="inlineStr"/>
      <c r="K63" s="728" t="inlineStr"/>
    </row>
    <row r="64">
      <c r="A64" s="717" t="inlineStr">
        <is>
          <t>CBOS</t>
        </is>
      </c>
      <c r="B64" s="717" t="inlineStr">
        <is>
          <t>Central Bank of Sudan</t>
        </is>
      </c>
      <c r="C64" s="717" t="inlineStr">
        <is>
          <t>Financial</t>
        </is>
      </c>
      <c r="D64" s="717" t="inlineStr">
        <is>
          <t>T3</t>
        </is>
      </c>
      <c r="E64" s="717" t="inlineStr">
        <is>
          <t>Operational in limited capacity</t>
        </is>
      </c>
      <c r="F64" s="717" t="inlineStr"/>
      <c r="G64" s="717" t="inlineStr"/>
      <c r="H64" s="717" t="inlineStr"/>
      <c r="I64" s="717" t="inlineStr"/>
      <c r="J64" s="717" t="inlineStr"/>
      <c r="K64" s="717" t="inlineStr"/>
    </row>
    <row r="65">
      <c r="A65" s="718" t="inlineStr">
        <is>
          <t>NTC-SD</t>
        </is>
      </c>
      <c r="B65" s="718" t="inlineStr">
        <is>
          <t>National Telecom Corporation</t>
        </is>
      </c>
      <c r="C65" s="718" t="inlineStr">
        <is>
          <t>ICT/Telecom</t>
        </is>
      </c>
      <c r="D65" s="718" t="inlineStr">
        <is>
          <t>T3</t>
        </is>
      </c>
      <c r="E65" s="718" t="inlineStr"/>
      <c r="F65" s="718" t="inlineStr"/>
      <c r="G65" s="718" t="inlineStr"/>
      <c r="H65" s="718" t="inlineStr"/>
      <c r="I65" s="718" t="inlineStr"/>
      <c r="J65" s="718" t="inlineStr"/>
      <c r="K65" s="718" t="inlineStr"/>
    </row>
    <row r="67">
      <c r="A67" s="728" t="inlineStr">
        <is>
          <t>Framework Code</t>
        </is>
      </c>
      <c r="B67" s="728" t="inlineStr">
        <is>
          <t>Name</t>
        </is>
      </c>
      <c r="C67" s="728" t="inlineStr">
        <is>
          <t>Mandatory</t>
        </is>
      </c>
      <c r="D67" s="728" t="inlineStr">
        <is>
          <t>Notes</t>
        </is>
      </c>
      <c r="E67" s="728" t="inlineStr"/>
      <c r="F67" s="728" t="inlineStr"/>
      <c r="G67" s="728" t="inlineStr"/>
      <c r="H67" s="728" t="inlineStr"/>
      <c r="I67" s="728" t="inlineStr"/>
      <c r="J67" s="728" t="inlineStr"/>
      <c r="K67" s="728" t="inlineStr"/>
    </row>
    <row r="68">
      <c r="A68" s="717" t="inlineStr">
        <is>
          <t>SD-CYBERCRIME-LAW</t>
        </is>
      </c>
      <c r="B68" s="717" t="inlineStr">
        <is>
          <t>Sudan Cybercrime Law</t>
        </is>
      </c>
      <c r="C68" s="717" t="inlineStr">
        <is>
          <t>Y</t>
        </is>
      </c>
      <c r="D68" s="717" t="inlineStr"/>
      <c r="E68" s="717" t="inlineStr"/>
      <c r="F68" s="717" t="inlineStr"/>
      <c r="G68" s="717" t="inlineStr"/>
      <c r="H68" s="717" t="inlineStr"/>
      <c r="I68" s="717" t="inlineStr"/>
      <c r="J68" s="717" t="inlineStr"/>
      <c r="K68" s="717" t="inlineStr"/>
    </row>
    <row r="69">
      <c r="A69" s="718" t="inlineStr">
        <is>
          <t>CBOS-AML-REGS</t>
        </is>
      </c>
      <c r="B69" s="718" t="inlineStr">
        <is>
          <t>CBOS AML Regulations</t>
        </is>
      </c>
      <c r="C69" s="718" t="inlineStr">
        <is>
          <t>Y</t>
        </is>
      </c>
      <c r="D69" s="718" t="inlineStr">
        <is>
          <t>FATF baseline</t>
        </is>
      </c>
      <c r="E69" s="718" t="inlineStr"/>
      <c r="F69" s="718" t="inlineStr"/>
      <c r="G69" s="718" t="inlineStr"/>
      <c r="H69" s="718" t="inlineStr"/>
      <c r="I69" s="718" t="inlineStr"/>
      <c r="J69" s="718" t="inlineStr"/>
      <c r="K69" s="718" t="inlineStr"/>
    </row>
    <row r="70">
      <c r="A70" s="717" t="inlineStr">
        <is>
          <t>SD-TELECOM-LAW</t>
        </is>
      </c>
      <c r="B70" s="717" t="inlineStr">
        <is>
          <t>Sudan Telecom Law</t>
        </is>
      </c>
      <c r="C70" s="717" t="inlineStr">
        <is>
          <t>Y</t>
        </is>
      </c>
      <c r="D70" s="717" t="inlineStr"/>
      <c r="E70" s="717" t="inlineStr"/>
      <c r="F70" s="717" t="inlineStr"/>
      <c r="G70" s="717" t="inlineStr"/>
      <c r="H70" s="717" t="inlineStr"/>
      <c r="I70" s="717" t="inlineStr"/>
      <c r="J70" s="717" t="inlineStr"/>
      <c r="K70" s="717" t="inlineStr"/>
    </row>
    <row r="72">
      <c r="A72" s="730" t="inlineStr">
        <is>
          <t xml:space="preserve">  🇱🇾 Libya (LY)  ·  Status: FRAGILE_DUAL_GOVERNMENT</t>
        </is>
      </c>
      <c r="B72" s="766" t="n"/>
      <c r="C72" s="766" t="n"/>
      <c r="D72" s="766" t="n"/>
      <c r="E72" s="766" t="n"/>
      <c r="F72" s="766" t="n"/>
      <c r="G72" s="766" t="n"/>
      <c r="H72" s="766" t="n"/>
      <c r="I72" s="766" t="n"/>
      <c r="J72" s="766" t="n"/>
      <c r="K72" s="767" t="n"/>
    </row>
    <row r="73">
      <c r="A73" s="728" t="inlineStr">
        <is>
          <t>Code</t>
        </is>
      </c>
      <c r="B73" s="728" t="inlineStr">
        <is>
          <t>Name</t>
        </is>
      </c>
      <c r="C73" s="728" t="inlineStr">
        <is>
          <t>Sector</t>
        </is>
      </c>
      <c r="D73" s="728" t="inlineStr">
        <is>
          <t>Tier</t>
        </is>
      </c>
      <c r="E73" s="728" t="inlineStr">
        <is>
          <t>Notes</t>
        </is>
      </c>
      <c r="F73" s="728" t="inlineStr"/>
      <c r="G73" s="728" t="inlineStr"/>
      <c r="H73" s="728" t="inlineStr"/>
      <c r="I73" s="728" t="inlineStr"/>
      <c r="J73" s="728" t="inlineStr"/>
      <c r="K73" s="728" t="inlineStr"/>
    </row>
    <row r="74">
      <c r="A74" s="717" t="inlineStr">
        <is>
          <t>CBL</t>
        </is>
      </c>
      <c r="B74" s="717" t="inlineStr">
        <is>
          <t>Central Bank of Libya</t>
        </is>
      </c>
      <c r="C74" s="717" t="inlineStr">
        <is>
          <t>Financial</t>
        </is>
      </c>
      <c r="D74" s="717" t="inlineStr">
        <is>
          <t>T3</t>
        </is>
      </c>
      <c r="E74" s="717" t="inlineStr">
        <is>
          <t>Dual-government context</t>
        </is>
      </c>
      <c r="F74" s="717" t="inlineStr"/>
      <c r="G74" s="717" t="inlineStr"/>
      <c r="H74" s="717" t="inlineStr"/>
      <c r="I74" s="717" t="inlineStr"/>
      <c r="J74" s="717" t="inlineStr"/>
      <c r="K74" s="717" t="inlineStr"/>
    </row>
    <row r="75">
      <c r="A75" s="718" t="inlineStr">
        <is>
          <t>GACIT</t>
        </is>
      </c>
      <c r="B75" s="718" t="inlineStr">
        <is>
          <t>General Authority Comm. &amp; IT</t>
        </is>
      </c>
      <c r="C75" s="718" t="inlineStr">
        <is>
          <t>ICT/Telecom</t>
        </is>
      </c>
      <c r="D75" s="718" t="inlineStr">
        <is>
          <t>T3</t>
        </is>
      </c>
      <c r="E75" s="718" t="inlineStr">
        <is>
          <t>Limited capacity</t>
        </is>
      </c>
      <c r="F75" s="718" t="inlineStr"/>
      <c r="G75" s="718" t="inlineStr"/>
      <c r="H75" s="718" t="inlineStr"/>
      <c r="I75" s="718" t="inlineStr"/>
      <c r="J75" s="718" t="inlineStr"/>
      <c r="K75" s="718" t="inlineStr"/>
    </row>
    <row r="77">
      <c r="A77" s="728" t="inlineStr">
        <is>
          <t>Framework Code</t>
        </is>
      </c>
      <c r="B77" s="728" t="inlineStr">
        <is>
          <t>Name</t>
        </is>
      </c>
      <c r="C77" s="728" t="inlineStr">
        <is>
          <t>Mandatory</t>
        </is>
      </c>
      <c r="D77" s="728" t="inlineStr">
        <is>
          <t>Notes</t>
        </is>
      </c>
      <c r="E77" s="728" t="inlineStr"/>
      <c r="F77" s="728" t="inlineStr"/>
      <c r="G77" s="728" t="inlineStr"/>
      <c r="H77" s="728" t="inlineStr"/>
      <c r="I77" s="728" t="inlineStr"/>
      <c r="J77" s="728" t="inlineStr"/>
      <c r="K77" s="728" t="inlineStr"/>
    </row>
    <row r="78">
      <c r="A78" s="717" t="inlineStr">
        <is>
          <t>LY-CYBERCRIME-LAW</t>
        </is>
      </c>
      <c r="B78" s="717" t="inlineStr">
        <is>
          <t>Libya Cybercrime Law</t>
        </is>
      </c>
      <c r="C78" s="717" t="inlineStr">
        <is>
          <t>Y</t>
        </is>
      </c>
      <c r="D78" s="717" t="inlineStr"/>
      <c r="E78" s="717" t="inlineStr"/>
      <c r="F78" s="717" t="inlineStr"/>
      <c r="G78" s="717" t="inlineStr"/>
      <c r="H78" s="717" t="inlineStr"/>
      <c r="I78" s="717" t="inlineStr"/>
      <c r="J78" s="717" t="inlineStr"/>
      <c r="K78" s="717" t="inlineStr"/>
    </row>
    <row r="79">
      <c r="A79" s="718" t="inlineStr">
        <is>
          <t>CBL-AML-REGS</t>
        </is>
      </c>
      <c r="B79" s="718" t="inlineStr">
        <is>
          <t>CBL AML Regulations</t>
        </is>
      </c>
      <c r="C79" s="718" t="inlineStr">
        <is>
          <t>Y</t>
        </is>
      </c>
      <c r="D79" s="718" t="inlineStr">
        <is>
          <t>FATF baseline</t>
        </is>
      </c>
      <c r="E79" s="718" t="inlineStr"/>
      <c r="F79" s="718" t="inlineStr"/>
      <c r="G79" s="718" t="inlineStr"/>
      <c r="H79" s="718" t="inlineStr"/>
      <c r="I79" s="718" t="inlineStr"/>
      <c r="J79" s="718" t="inlineStr"/>
      <c r="K79" s="718" t="inlineStr"/>
    </row>
    <row r="80">
      <c r="A80" s="717" t="inlineStr">
        <is>
          <t>LY-TELECOM-LAW</t>
        </is>
      </c>
      <c r="B80" s="717" t="inlineStr">
        <is>
          <t>Libya Telecom Law</t>
        </is>
      </c>
      <c r="C80" s="717" t="inlineStr">
        <is>
          <t>Y</t>
        </is>
      </c>
      <c r="D80" s="717" t="inlineStr"/>
      <c r="E80" s="717" t="inlineStr"/>
      <c r="F80" s="717" t="inlineStr"/>
      <c r="G80" s="717" t="inlineStr"/>
      <c r="H80" s="717" t="inlineStr"/>
      <c r="I80" s="717" t="inlineStr"/>
      <c r="J80" s="717" t="inlineStr"/>
      <c r="K80" s="717" t="inlineStr"/>
    </row>
  </sheetData>
  <mergeCells count="7">
    <mergeCell ref="A50:K50"/>
    <mergeCell ref="A62:K62"/>
    <mergeCell ref="A37:K37"/>
    <mergeCell ref="A72:K72"/>
    <mergeCell ref="A11:K11"/>
    <mergeCell ref="A1:K1"/>
    <mergeCell ref="A23:K23"/>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K24"/>
  <sheetViews>
    <sheetView showGridLines="0" workbookViewId="0">
      <selection activeCell="A1" sqref="A1"/>
    </sheetView>
  </sheetViews>
  <sheetFormatPr baseColWidth="8" defaultRowHeight="15"/>
  <cols>
    <col width="24" customWidth="1" min="1" max="1"/>
    <col width="52" customWidth="1" min="2" max="2"/>
    <col width="16" customWidth="1" min="3" max="3"/>
    <col width="24" customWidth="1" min="4" max="4"/>
    <col width="40" customWidth="1" min="5" max="5"/>
    <col width="14" customWidth="1" min="6" max="6"/>
    <col width="12" customWidth="1" min="7" max="7"/>
    <col width="14" customWidth="1" min="8" max="8"/>
    <col width="16" customWidth="1" min="9" max="9"/>
    <col width="60" customWidth="1" min="10" max="10"/>
    <col width="10" customWidth="1" min="11" max="11"/>
  </cols>
  <sheetData>
    <row r="1">
      <c r="A1" s="731" t="inlineStr">
        <is>
          <t>🌐  INTERNATIONAL REGULATORY BODIES &amp; FRAMEWORKS — GCC + Global Applicability</t>
        </is>
      </c>
    </row>
    <row r="2">
      <c r="A2" s="732" t="inlineStr">
        <is>
          <t>Framework Code</t>
        </is>
      </c>
      <c r="B2" s="732" t="inlineStr">
        <is>
          <t>Name (EN)</t>
        </is>
      </c>
      <c r="C2" s="732" t="inlineStr">
        <is>
          <t>Issuing Body</t>
        </is>
      </c>
      <c r="D2" s="732" t="inlineStr">
        <is>
          <t>Type</t>
        </is>
      </c>
      <c r="E2" s="732" t="inlineStr">
        <is>
          <t>Applies To</t>
        </is>
      </c>
      <c r="F2" s="732" t="inlineStr">
        <is>
          <t>Control Count</t>
        </is>
      </c>
      <c r="G2" s="732" t="inlineStr">
        <is>
          <t>Mandatory?</t>
        </is>
      </c>
      <c r="H2" s="732" t="inlineStr">
        <is>
          <t>Cross-border?</t>
        </is>
      </c>
      <c r="I2" s="732" t="inlineStr">
        <is>
          <t>Shahin AI Ready?</t>
        </is>
      </c>
      <c r="J2" s="732" t="inlineStr">
        <is>
          <t>Notes</t>
        </is>
      </c>
      <c r="K2" s="732" t="inlineStr"/>
    </row>
    <row r="3">
      <c r="A3" s="711" t="inlineStr">
        <is>
          <t>FATF-REC-2023</t>
        </is>
      </c>
      <c r="B3" s="711" t="inlineStr">
        <is>
          <t>FATF 40 Recommendations (2023)</t>
        </is>
      </c>
      <c r="C3" s="711" t="inlineStr">
        <is>
          <t>FATF</t>
        </is>
      </c>
      <c r="D3" s="711" t="inlineStr">
        <is>
          <t>HARD_LAW</t>
        </is>
      </c>
      <c r="E3" s="711" t="inlineStr">
        <is>
          <t>All 18</t>
        </is>
      </c>
      <c r="F3" s="711" t="n">
        <v>40</v>
      </c>
      <c r="G3" s="711" t="inlineStr">
        <is>
          <t>Y</t>
        </is>
      </c>
      <c r="H3" s="711" t="inlineStr">
        <is>
          <t>Y</t>
        </is>
      </c>
      <c r="I3" s="711" t="inlineStr">
        <is>
          <t>Y</t>
        </is>
      </c>
      <c r="J3" s="711" t="inlineStr">
        <is>
          <t>AML/CFT – mandatory adoption via national law across all countries</t>
        </is>
      </c>
      <c r="K3" s="711" t="inlineStr"/>
    </row>
    <row r="4">
      <c r="A4" s="711" t="inlineStr">
        <is>
          <t>FATF-VAs</t>
        </is>
      </c>
      <c r="B4" s="711" t="inlineStr">
        <is>
          <t>FATF Virtual Asset Standards (R.15)</t>
        </is>
      </c>
      <c r="C4" s="711" t="inlineStr">
        <is>
          <t>FATF</t>
        </is>
      </c>
      <c r="D4" s="711" t="inlineStr">
        <is>
          <t>HARD_LAW</t>
        </is>
      </c>
      <c r="E4" s="711" t="inlineStr">
        <is>
          <t>All 18</t>
        </is>
      </c>
      <c r="F4" s="711" t="n">
        <v>25</v>
      </c>
      <c r="G4" s="711" t="inlineStr">
        <is>
          <t>Y</t>
        </is>
      </c>
      <c r="H4" s="711" t="inlineStr">
        <is>
          <t>Y</t>
        </is>
      </c>
      <c r="I4" s="711" t="inlineStr">
        <is>
          <t>Y</t>
        </is>
      </c>
      <c r="J4" s="711" t="inlineStr">
        <is>
          <t>Travel Rule + VASP licensing</t>
        </is>
      </c>
      <c r="K4" s="711" t="inlineStr"/>
    </row>
    <row r="5">
      <c r="A5" s="711" t="inlineStr">
        <is>
          <t>BCBS-BASEL3</t>
        </is>
      </c>
      <c r="B5" s="711" t="inlineStr">
        <is>
          <t>Basel III Capital Requirements (BCBS)</t>
        </is>
      </c>
      <c r="C5" s="711" t="inlineStr">
        <is>
          <t>BIS/BCBS</t>
        </is>
      </c>
      <c r="D5" s="711" t="inlineStr">
        <is>
          <t>INTL_STANDARD</t>
        </is>
      </c>
      <c r="E5" s="711" t="inlineStr">
        <is>
          <t>All 18 – Banks</t>
        </is>
      </c>
      <c r="F5" s="711" t="n">
        <v>75</v>
      </c>
      <c r="G5" s="711" t="inlineStr">
        <is>
          <t>Y</t>
        </is>
      </c>
      <c r="H5" s="711" t="inlineStr">
        <is>
          <t>Y</t>
        </is>
      </c>
      <c r="I5" s="711" t="inlineStr">
        <is>
          <t>Y</t>
        </is>
      </c>
      <c r="J5" s="711" t="inlineStr">
        <is>
          <t>Capital adequacy, LCR, NSFR</t>
        </is>
      </c>
      <c r="K5" s="711" t="inlineStr"/>
    </row>
    <row r="6">
      <c r="A6" s="711" t="inlineStr">
        <is>
          <t>BCBS-BASEL4</t>
        </is>
      </c>
      <c r="B6" s="711" t="inlineStr">
        <is>
          <t>Basel IV (FRTB + CR Output Floor)</t>
        </is>
      </c>
      <c r="C6" s="711" t="inlineStr">
        <is>
          <t>BIS/BCBS</t>
        </is>
      </c>
      <c r="D6" s="711" t="inlineStr">
        <is>
          <t>INTL_STANDARD</t>
        </is>
      </c>
      <c r="E6" s="711" t="inlineStr">
        <is>
          <t>All 18 – Banks</t>
        </is>
      </c>
      <c r="F6" s="711" t="n">
        <v>50</v>
      </c>
      <c r="G6" s="711" t="inlineStr">
        <is>
          <t>Y</t>
        </is>
      </c>
      <c r="H6" s="711" t="inlineStr">
        <is>
          <t>Y</t>
        </is>
      </c>
      <c r="I6" s="711" t="inlineStr">
        <is>
          <t>Y</t>
        </is>
      </c>
      <c r="J6" s="711" t="inlineStr">
        <is>
          <t>Full implementation 2025-2028</t>
        </is>
      </c>
      <c r="K6" s="711" t="inlineStr"/>
    </row>
    <row r="7">
      <c r="A7" s="711" t="inlineStr">
        <is>
          <t>IOSCO-PRINCIPLES</t>
        </is>
      </c>
      <c r="B7" s="711" t="inlineStr">
        <is>
          <t>IOSCO Principles for Securities Regulation</t>
        </is>
      </c>
      <c r="C7" s="711" t="inlineStr">
        <is>
          <t>IOSCO</t>
        </is>
      </c>
      <c r="D7" s="711" t="inlineStr">
        <is>
          <t>INTL_STANDARD</t>
        </is>
      </c>
      <c r="E7" s="711" t="inlineStr">
        <is>
          <t>All 18 – Capital Markets</t>
        </is>
      </c>
      <c r="F7" s="711" t="n">
        <v>38</v>
      </c>
      <c r="G7" s="711" t="inlineStr">
        <is>
          <t>Y</t>
        </is>
      </c>
      <c r="H7" s="711" t="inlineStr">
        <is>
          <t>Y</t>
        </is>
      </c>
      <c r="I7" s="711" t="inlineStr">
        <is>
          <t>Y</t>
        </is>
      </c>
      <c r="J7" s="711" t="inlineStr">
        <is>
          <t>Investor protection, market integrity</t>
        </is>
      </c>
      <c r="K7" s="711" t="inlineStr"/>
    </row>
    <row r="8">
      <c r="A8" s="711" t="inlineStr">
        <is>
          <t>AAOIFI-SS</t>
        </is>
      </c>
      <c r="B8" s="711" t="inlineStr">
        <is>
          <t>AAOIFI Sharia Standards (Islamic Finance)</t>
        </is>
      </c>
      <c r="C8" s="711" t="inlineStr">
        <is>
          <t>AAOIFI</t>
        </is>
      </c>
      <c r="D8" s="711" t="inlineStr">
        <is>
          <t>INTL_STANDARD</t>
        </is>
      </c>
      <c r="E8" s="711" t="inlineStr">
        <is>
          <t>GCC + MENA (Islamic finance)</t>
        </is>
      </c>
      <c r="F8" s="711" t="n">
        <v>60</v>
      </c>
      <c r="G8" s="711" t="inlineStr">
        <is>
          <t>Y</t>
        </is>
      </c>
      <c r="H8" s="711" t="inlineStr">
        <is>
          <t>Y</t>
        </is>
      </c>
      <c r="I8" s="711" t="inlineStr">
        <is>
          <t>Y</t>
        </is>
      </c>
      <c r="J8" s="711" t="inlineStr">
        <is>
          <t>60 standards covering murabaha, sukuk, takaful etc.</t>
        </is>
      </c>
      <c r="K8" s="711" t="inlineStr"/>
    </row>
    <row r="9">
      <c r="A9" s="711" t="inlineStr">
        <is>
          <t>IFSB-17</t>
        </is>
      </c>
      <c r="B9" s="711" t="inlineStr">
        <is>
          <t>IFSB Core Principles for Islamic Banking</t>
        </is>
      </c>
      <c r="C9" s="711" t="inlineStr">
        <is>
          <t>IFSB</t>
        </is>
      </c>
      <c r="D9" s="711" t="inlineStr">
        <is>
          <t>INTL_STANDARD</t>
        </is>
      </c>
      <c r="E9" s="711" t="inlineStr">
        <is>
          <t>GCC + MENA</t>
        </is>
      </c>
      <c r="F9" s="711" t="n">
        <v>29</v>
      </c>
      <c r="G9" s="711" t="inlineStr">
        <is>
          <t>Y</t>
        </is>
      </c>
      <c r="H9" s="711" t="inlineStr">
        <is>
          <t>Y</t>
        </is>
      </c>
      <c r="I9" s="711" t="inlineStr">
        <is>
          <t>Y</t>
        </is>
      </c>
      <c r="J9" s="711" t="inlineStr">
        <is>
          <t>Bank supervision in Islamic finance context</t>
        </is>
      </c>
      <c r="K9" s="711" t="inlineStr"/>
    </row>
    <row r="10">
      <c r="A10" s="711" t="inlineStr">
        <is>
          <t>SWIFT-CSP-2024</t>
        </is>
      </c>
      <c r="B10" s="711" t="inlineStr">
        <is>
          <t>SWIFT Customer Security Programme 2024</t>
        </is>
      </c>
      <c r="C10" s="711" t="inlineStr">
        <is>
          <t>SWIFT</t>
        </is>
      </c>
      <c r="D10" s="711" t="inlineStr">
        <is>
          <t>MANDATORY_TECHNICAL</t>
        </is>
      </c>
      <c r="E10" s="711" t="inlineStr">
        <is>
          <t>All SWIFT members</t>
        </is>
      </c>
      <c r="F10" s="711" t="n">
        <v>31</v>
      </c>
      <c r="G10" s="711" t="inlineStr">
        <is>
          <t>Y</t>
        </is>
      </c>
      <c r="H10" s="711" t="inlineStr">
        <is>
          <t>Y</t>
        </is>
      </c>
      <c r="I10" s="711" t="inlineStr">
        <is>
          <t>Y</t>
        </is>
      </c>
      <c r="J10" s="711" t="inlineStr">
        <is>
          <t>31 controls; 23 mandatory. Annual self-attestation required</t>
        </is>
      </c>
      <c r="K10" s="711" t="inlineStr"/>
    </row>
    <row r="11">
      <c r="A11" s="711" t="inlineStr">
        <is>
          <t>ISO-27001-2022</t>
        </is>
      </c>
      <c r="B11" s="711" t="inlineStr">
        <is>
          <t>ISO/IEC 27001:2022 – ISMS</t>
        </is>
      </c>
      <c r="C11" s="711" t="inlineStr">
        <is>
          <t>ISO/IEC</t>
        </is>
      </c>
      <c r="D11" s="711" t="inlineStr">
        <is>
          <t>INTL_STANDARD</t>
        </is>
      </c>
      <c r="E11" s="711" t="inlineStr">
        <is>
          <t>All 18</t>
        </is>
      </c>
      <c r="F11" s="711" t="n">
        <v>93</v>
      </c>
      <c r="G11" s="711" t="inlineStr">
        <is>
          <t>Y</t>
        </is>
      </c>
      <c r="H11" s="711" t="inlineStr">
        <is>
          <t>Y</t>
        </is>
      </c>
      <c r="I11" s="711" t="inlineStr">
        <is>
          <t>Y</t>
        </is>
      </c>
      <c r="J11" s="711" t="inlineStr">
        <is>
          <t>Annex A: 93 controls in 4 themes. Widely mandated by regulators across all countries</t>
        </is>
      </c>
      <c r="K11" s="711" t="inlineStr"/>
    </row>
    <row r="12">
      <c r="A12" s="711" t="inlineStr">
        <is>
          <t>ISO-27701</t>
        </is>
      </c>
      <c r="B12" s="711" t="inlineStr">
        <is>
          <t>ISO/IEC 27701 – Privacy Information Management</t>
        </is>
      </c>
      <c r="C12" s="711" t="inlineStr">
        <is>
          <t>ISO/IEC</t>
        </is>
      </c>
      <c r="D12" s="711" t="inlineStr">
        <is>
          <t>INTL_STANDARD</t>
        </is>
      </c>
      <c r="E12" s="711" t="inlineStr">
        <is>
          <t>All 18</t>
        </is>
      </c>
      <c r="F12" s="711" t="n">
        <v>49</v>
      </c>
      <c r="G12" s="711" t="inlineStr">
        <is>
          <t>Y</t>
        </is>
      </c>
      <c r="H12" s="711" t="inlineStr">
        <is>
          <t>Y</t>
        </is>
      </c>
      <c r="I12" s="711" t="inlineStr">
        <is>
          <t>Y</t>
        </is>
      </c>
      <c r="J12" s="711" t="inlineStr">
        <is>
          <t>Extension to ISO 27001 for privacy (GDPR/PDPL alignment)</t>
        </is>
      </c>
      <c r="K12" s="711" t="inlineStr"/>
    </row>
    <row r="13">
      <c r="A13" s="711" t="inlineStr">
        <is>
          <t>ISO-27017</t>
        </is>
      </c>
      <c r="B13" s="711" t="inlineStr">
        <is>
          <t>ISO/IEC 27017 – Cloud Security Controls</t>
        </is>
      </c>
      <c r="C13" s="711" t="inlineStr">
        <is>
          <t>ISO/IEC</t>
        </is>
      </c>
      <c r="D13" s="711" t="inlineStr">
        <is>
          <t>INTL_STANDARD</t>
        </is>
      </c>
      <c r="E13" s="711" t="inlineStr">
        <is>
          <t>All 18</t>
        </is>
      </c>
      <c r="F13" s="711" t="n">
        <v>37</v>
      </c>
      <c r="G13" s="711" t="inlineStr">
        <is>
          <t>Y</t>
        </is>
      </c>
      <c r="H13" s="711" t="inlineStr">
        <is>
          <t>Y</t>
        </is>
      </c>
      <c r="I13" s="711" t="inlineStr">
        <is>
          <t>Y</t>
        </is>
      </c>
      <c r="J13" s="711" t="inlineStr">
        <is>
          <t>Cloud-specific guidance; 37 additional controls</t>
        </is>
      </c>
      <c r="K13" s="711" t="inlineStr"/>
    </row>
    <row r="14">
      <c r="A14" s="711" t="inlineStr">
        <is>
          <t>ISO-27018</t>
        </is>
      </c>
      <c r="B14" s="711" t="inlineStr">
        <is>
          <t>ISO/IEC 27018 – PII in Public Cloud</t>
        </is>
      </c>
      <c r="C14" s="711" t="inlineStr">
        <is>
          <t>ISO/IEC</t>
        </is>
      </c>
      <c r="D14" s="711" t="inlineStr">
        <is>
          <t>INTL_STANDARD</t>
        </is>
      </c>
      <c r="E14" s="711" t="inlineStr">
        <is>
          <t>All 18</t>
        </is>
      </c>
      <c r="F14" s="711" t="n">
        <v>25</v>
      </c>
      <c r="G14" s="711" t="inlineStr">
        <is>
          <t>Y</t>
        </is>
      </c>
      <c r="H14" s="711" t="inlineStr">
        <is>
          <t>Y</t>
        </is>
      </c>
      <c r="I14" s="711" t="inlineStr">
        <is>
          <t>Y</t>
        </is>
      </c>
      <c r="J14" s="711" t="inlineStr">
        <is>
          <t>Personally identifiable information in cloud</t>
        </is>
      </c>
      <c r="K14" s="711" t="inlineStr"/>
    </row>
    <row r="15">
      <c r="A15" s="711" t="inlineStr">
        <is>
          <t>IEC-62443</t>
        </is>
      </c>
      <c r="B15" s="711" t="inlineStr">
        <is>
          <t>IEC 62443 OT/ICS Security Series</t>
        </is>
      </c>
      <c r="C15" s="711" t="inlineStr">
        <is>
          <t>IEC</t>
        </is>
      </c>
      <c r="D15" s="711" t="inlineStr">
        <is>
          <t>INTL_STANDARD</t>
        </is>
      </c>
      <c r="E15" s="711" t="inlineStr">
        <is>
          <t>All 18 (CNI/OT)</t>
        </is>
      </c>
      <c r="F15" s="711" t="n">
        <v>200</v>
      </c>
      <c r="G15" s="711" t="inlineStr">
        <is>
          <t>Y</t>
        </is>
      </c>
      <c r="H15" s="711" t="inlineStr">
        <is>
          <t>Y</t>
        </is>
      </c>
      <c r="I15" s="711" t="inlineStr">
        <is>
          <t>Y</t>
        </is>
      </c>
      <c r="J15" s="711" t="inlineStr">
        <is>
          <t>4-part series for OT/ICS/SCADA security – critical for HC IoT, energy, utilities</t>
        </is>
      </c>
      <c r="K15" s="711" t="inlineStr"/>
    </row>
    <row r="16">
      <c r="A16" s="714" t="inlineStr">
        <is>
          <t>NIST-CSF-2-0</t>
        </is>
      </c>
      <c r="B16" s="714" t="inlineStr">
        <is>
          <t>NIST Cybersecurity Framework v2.0</t>
        </is>
      </c>
      <c r="C16" s="714" t="inlineStr">
        <is>
          <t>NIST</t>
        </is>
      </c>
      <c r="D16" s="714" t="inlineStr">
        <is>
          <t>VOLUNTARY_BENCHMARK</t>
        </is>
      </c>
      <c r="E16" s="714" t="inlineStr">
        <is>
          <t>All 18 (de facto mandatory in GCC+US)</t>
        </is>
      </c>
      <c r="F16" s="714" t="n">
        <v>106</v>
      </c>
      <c r="G16" s="714" t="inlineStr">
        <is>
          <t>P</t>
        </is>
      </c>
      <c r="H16" s="714" t="inlineStr">
        <is>
          <t>Y</t>
        </is>
      </c>
      <c r="I16" s="714" t="inlineStr">
        <is>
          <t>Y</t>
        </is>
      </c>
      <c r="J16" s="714" t="inlineStr">
        <is>
          <t>6 functions: Govern/Identify/Protect/Detect/Respond/Recover</t>
        </is>
      </c>
      <c r="K16" s="714" t="inlineStr"/>
    </row>
    <row r="17">
      <c r="A17" s="711" t="inlineStr">
        <is>
          <t>NIST-SP-800-53-R5</t>
        </is>
      </c>
      <c r="B17" s="711" t="inlineStr">
        <is>
          <t>NIST SP 800-53 Rev.5</t>
        </is>
      </c>
      <c r="C17" s="711" t="inlineStr">
        <is>
          <t>NIST</t>
        </is>
      </c>
      <c r="D17" s="711" t="inlineStr">
        <is>
          <t>MANDATORY_US_GOV</t>
        </is>
      </c>
      <c r="E17" s="711" t="inlineStr">
        <is>
          <t>USA federal; benchmark elsewhere</t>
        </is>
      </c>
      <c r="F17" s="711" t="n">
        <v>1100</v>
      </c>
      <c r="G17" s="711" t="inlineStr">
        <is>
          <t>Y</t>
        </is>
      </c>
      <c r="H17" s="711" t="inlineStr">
        <is>
          <t>Y</t>
        </is>
      </c>
      <c r="I17" s="711" t="inlineStr">
        <is>
          <t>Y</t>
        </is>
      </c>
      <c r="J17" s="711" t="inlineStr">
        <is>
          <t>Comprehensive control catalog used globally as reference</t>
        </is>
      </c>
      <c r="K17" s="711" t="inlineStr"/>
    </row>
    <row r="18">
      <c r="A18" s="711" t="inlineStr">
        <is>
          <t>PCI-DSS-4</t>
        </is>
      </c>
      <c r="B18" s="711" t="inlineStr">
        <is>
          <t>PCI DSS v4.0</t>
        </is>
      </c>
      <c r="C18" s="711" t="inlineStr">
        <is>
          <t>PCI SSC</t>
        </is>
      </c>
      <c r="D18" s="711" t="inlineStr">
        <is>
          <t>MANDATORY_TECHNICAL</t>
        </is>
      </c>
      <c r="E18" s="711" t="inlineStr">
        <is>
          <t>All 18 (card payment)</t>
        </is>
      </c>
      <c r="F18" s="711" t="n">
        <v>300</v>
      </c>
      <c r="G18" s="711" t="inlineStr">
        <is>
          <t>Y</t>
        </is>
      </c>
      <c r="H18" s="711" t="inlineStr">
        <is>
          <t>Y</t>
        </is>
      </c>
      <c r="I18" s="711" t="inlineStr">
        <is>
          <t>Y</t>
        </is>
      </c>
      <c r="J18" s="711" t="inlineStr">
        <is>
          <t>300+ requirements for cardholder data protection. Mandatory for card brands</t>
        </is>
      </c>
      <c r="K18" s="711" t="inlineStr"/>
    </row>
    <row r="19">
      <c r="A19" s="711" t="inlineStr">
        <is>
          <t>IFRS-ALL</t>
        </is>
      </c>
      <c r="B19" s="711" t="inlineStr">
        <is>
          <t>IFRS Standards (IASB)</t>
        </is>
      </c>
      <c r="C19" s="711" t="inlineStr">
        <is>
          <t>IASB</t>
        </is>
      </c>
      <c r="D19" s="711" t="inlineStr">
        <is>
          <t>INTL_STANDARD</t>
        </is>
      </c>
      <c r="E19" s="711" t="inlineStr">
        <is>
          <t>All 18 (listed cos.)</t>
        </is>
      </c>
      <c r="F19" s="711" t="n">
        <v>0</v>
      </c>
      <c r="G19" s="711" t="inlineStr">
        <is>
          <t>Y</t>
        </is>
      </c>
      <c r="H19" s="711" t="inlineStr">
        <is>
          <t>Y</t>
        </is>
      </c>
      <c r="I19" s="711" t="inlineStr">
        <is>
          <t>Y</t>
        </is>
      </c>
      <c r="J19" s="711" t="inlineStr">
        <is>
          <t>Financial reporting standards; required for listed companies in GCC</t>
        </is>
      </c>
      <c r="K19" s="711" t="inlineStr"/>
    </row>
    <row r="20">
      <c r="A20" s="711" t="inlineStr">
        <is>
          <t>GCC-AML-UNIFIED</t>
        </is>
      </c>
      <c r="B20" s="711" t="inlineStr">
        <is>
          <t>GCC Unified AML/CFT Framework</t>
        </is>
      </c>
      <c r="C20" s="711" t="inlineStr">
        <is>
          <t>GCC Secretariat</t>
        </is>
      </c>
      <c r="D20" s="711" t="inlineStr">
        <is>
          <t>REGIONAL</t>
        </is>
      </c>
      <c r="E20" s="711" t="inlineStr">
        <is>
          <t>GCC 6 only</t>
        </is>
      </c>
      <c r="F20" s="711" t="n">
        <v>30</v>
      </c>
      <c r="G20" s="711" t="inlineStr">
        <is>
          <t>Y</t>
        </is>
      </c>
      <c r="H20" s="711" t="inlineStr">
        <is>
          <t>Y</t>
        </is>
      </c>
      <c r="I20" s="711" t="inlineStr">
        <is>
          <t>Y</t>
        </is>
      </c>
      <c r="J20" s="711" t="inlineStr">
        <is>
          <t>Harmonisation layer on top of national FATF implementations</t>
        </is>
      </c>
      <c r="K20" s="711" t="inlineStr"/>
    </row>
    <row r="21">
      <c r="A21" s="711" t="inlineStr">
        <is>
          <t>EU-GDPR</t>
        </is>
      </c>
      <c r="B21" s="711" t="inlineStr">
        <is>
          <t>EU GDPR 2016/679</t>
        </is>
      </c>
      <c r="C21" s="711" t="inlineStr">
        <is>
          <t>EU</t>
        </is>
      </c>
      <c r="D21" s="711" t="inlineStr">
        <is>
          <t>HARD_LAW</t>
        </is>
      </c>
      <c r="E21" s="711" t="inlineStr">
        <is>
          <t>Cyprus + cross-border EU ops</t>
        </is>
      </c>
      <c r="F21" s="711" t="n">
        <v>71</v>
      </c>
      <c r="G21" s="711" t="inlineStr">
        <is>
          <t>Y</t>
        </is>
      </c>
      <c r="H21" s="711" t="inlineStr">
        <is>
          <t>Y</t>
        </is>
      </c>
      <c r="I21" s="711" t="inlineStr">
        <is>
          <t>Y</t>
        </is>
      </c>
      <c r="J21" s="711" t="inlineStr">
        <is>
          <t>Applies extraterritorially to any org processing EU citizen data</t>
        </is>
      </c>
      <c r="K21" s="711" t="inlineStr"/>
    </row>
    <row r="22">
      <c r="A22" s="711" t="inlineStr">
        <is>
          <t>EU-NIS2</t>
        </is>
      </c>
      <c r="B22" s="711" t="inlineStr">
        <is>
          <t>EU NIS2 Directive 2022/2555</t>
        </is>
      </c>
      <c r="C22" s="711" t="inlineStr">
        <is>
          <t>EU</t>
        </is>
      </c>
      <c r="D22" s="711" t="inlineStr">
        <is>
          <t>HARD_LAW</t>
        </is>
      </c>
      <c r="E22" s="711" t="inlineStr">
        <is>
          <t>Cyprus + EU-connected entities</t>
        </is>
      </c>
      <c r="F22" s="711" t="n">
        <v>85</v>
      </c>
      <c r="G22" s="711" t="inlineStr">
        <is>
          <t>Y</t>
        </is>
      </c>
      <c r="H22" s="711" t="inlineStr">
        <is>
          <t>Y</t>
        </is>
      </c>
      <c r="I22" s="711" t="inlineStr">
        <is>
          <t>Y</t>
        </is>
      </c>
      <c r="J22" s="711" t="inlineStr">
        <is>
          <t>Oct 2024 deadline; enhanced critical entity requirements</t>
        </is>
      </c>
      <c r="K22" s="711" t="inlineStr"/>
    </row>
    <row r="23">
      <c r="A23" s="711" t="inlineStr">
        <is>
          <t>EU-DORA</t>
        </is>
      </c>
      <c r="B23" s="711" t="inlineStr">
        <is>
          <t>EU DORA 2022/2554</t>
        </is>
      </c>
      <c r="C23" s="711" t="inlineStr">
        <is>
          <t>EU</t>
        </is>
      </c>
      <c r="D23" s="711" t="inlineStr">
        <is>
          <t>HARD_LAW</t>
        </is>
      </c>
      <c r="E23" s="711" t="inlineStr">
        <is>
          <t>Cyprus + UK/US EU-operating firms</t>
        </is>
      </c>
      <c r="F23" s="711" t="n">
        <v>100</v>
      </c>
      <c r="G23" s="711" t="inlineStr">
        <is>
          <t>Y</t>
        </is>
      </c>
      <c r="H23" s="711" t="inlineStr">
        <is>
          <t>Y</t>
        </is>
      </c>
      <c r="I23" s="711" t="inlineStr">
        <is>
          <t>Y</t>
        </is>
      </c>
      <c r="J23" s="711" t="inlineStr">
        <is>
          <t>Jan 2025 in force; ICT risk, 3rd-party oversight, incident reporting</t>
        </is>
      </c>
      <c r="K23" s="711" t="inlineStr"/>
    </row>
    <row r="24">
      <c r="A24" s="711" t="inlineStr">
        <is>
          <t>EU-AI-ACT-2024</t>
        </is>
      </c>
      <c r="B24" s="711" t="inlineStr">
        <is>
          <t>EU AI Act 2024</t>
        </is>
      </c>
      <c r="C24" s="711" t="inlineStr">
        <is>
          <t>EU</t>
        </is>
      </c>
      <c r="D24" s="711" t="inlineStr">
        <is>
          <t>HARD_LAW</t>
        </is>
      </c>
      <c r="E24" s="711" t="inlineStr">
        <is>
          <t>Cyprus + all orgs using AI in EU</t>
        </is>
      </c>
      <c r="F24" s="711" t="n">
        <v>50</v>
      </c>
      <c r="G24" s="711" t="inlineStr">
        <is>
          <t>Y</t>
        </is>
      </c>
      <c r="H24" s="711" t="inlineStr">
        <is>
          <t>Y</t>
        </is>
      </c>
      <c r="I24" s="711" t="inlineStr">
        <is>
          <t>Y</t>
        </is>
      </c>
      <c r="J24" s="711" t="inlineStr">
        <is>
          <t>Risk-tiered AI regulation; Aug 2024 entry into force; phased timeline</t>
        </is>
      </c>
      <c r="K24" s="711" t="inlineStr"/>
    </row>
  </sheetData>
  <mergeCells count="1">
    <mergeCell ref="A1:K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T23"/>
  <sheetViews>
    <sheetView showGridLines="0" workbookViewId="0">
      <selection activeCell="A1" sqref="A1"/>
    </sheetView>
  </sheetViews>
  <sheetFormatPr baseColWidth="8" defaultRowHeight="15"/>
  <cols>
    <col width="26" customWidth="1" min="1" max="1"/>
    <col width="22"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7" customWidth="1" min="17" max="17"/>
    <col width="7" customWidth="1" min="18" max="18"/>
    <col width="7" customWidth="1" min="19" max="19"/>
    <col width="7" customWidth="1" min="20" max="20"/>
  </cols>
  <sheetData>
    <row r="1" ht="40" customHeight="1">
      <c r="A1" s="733" t="inlineStr">
        <is>
          <t>Framework / Country</t>
        </is>
      </c>
      <c r="B1" s="733" t="inlineStr">
        <is>
          <t>Domain</t>
        </is>
      </c>
      <c r="C1" s="707" t="inlineStr">
        <is>
          <t>🇸🇦
SA</t>
        </is>
      </c>
      <c r="D1" s="707" t="inlineStr">
        <is>
          <t>🇦🇪
AE</t>
        </is>
      </c>
      <c r="E1" s="707" t="inlineStr">
        <is>
          <t>🇶🇦
QA</t>
        </is>
      </c>
      <c r="F1" s="707" t="inlineStr">
        <is>
          <t>🇧🇭
BH</t>
        </is>
      </c>
      <c r="G1" s="707" t="inlineStr">
        <is>
          <t>🇰🇼
KW</t>
        </is>
      </c>
      <c r="H1" s="707" t="inlineStr">
        <is>
          <t>🇴🇲
OM</t>
        </is>
      </c>
      <c r="I1" s="707" t="inlineStr">
        <is>
          <t>🇯🇴
JO</t>
        </is>
      </c>
      <c r="J1" s="707" t="inlineStr">
        <is>
          <t>🇪🇬
EG</t>
        </is>
      </c>
      <c r="K1" s="707" t="inlineStr">
        <is>
          <t>🇹🇷
TR</t>
        </is>
      </c>
      <c r="L1" s="707" t="inlineStr">
        <is>
          <t>🇨🇾
CY</t>
        </is>
      </c>
      <c r="M1" s="707" t="inlineStr">
        <is>
          <t>🇸🇾
SY</t>
        </is>
      </c>
      <c r="N1" s="707" t="inlineStr">
        <is>
          <t>🇮🇶
IQ</t>
        </is>
      </c>
      <c r="O1" s="707" t="inlineStr">
        <is>
          <t>🇱🇧
LB</t>
        </is>
      </c>
      <c r="P1" s="707" t="inlineStr">
        <is>
          <t>🇵🇸
PS</t>
        </is>
      </c>
      <c r="Q1" s="707" t="inlineStr">
        <is>
          <t>🇸🇩
SD</t>
        </is>
      </c>
      <c r="R1" s="707" t="inlineStr">
        <is>
          <t>🇱🇾
LY</t>
        </is>
      </c>
      <c r="S1" s="707" t="inlineStr">
        <is>
          <t>🇬🇧
GB</t>
        </is>
      </c>
      <c r="T1" s="707" t="inlineStr">
        <is>
          <t>🇺🇸
US</t>
        </is>
      </c>
    </row>
    <row r="2">
      <c r="A2" s="734" t="inlineStr">
        <is>
          <t>FATF-REC-2023</t>
        </is>
      </c>
      <c r="B2" s="734" t="inlineStr">
        <is>
          <t>AML/CFT</t>
        </is>
      </c>
      <c r="C2" s="735" t="inlineStr">
        <is>
          <t>Y</t>
        </is>
      </c>
      <c r="D2" s="735" t="inlineStr">
        <is>
          <t>Y</t>
        </is>
      </c>
      <c r="E2" s="735" t="inlineStr">
        <is>
          <t>Y</t>
        </is>
      </c>
      <c r="F2" s="735" t="inlineStr">
        <is>
          <t>Y</t>
        </is>
      </c>
      <c r="G2" s="735" t="inlineStr">
        <is>
          <t>Y</t>
        </is>
      </c>
      <c r="H2" s="735" t="inlineStr">
        <is>
          <t>Y</t>
        </is>
      </c>
      <c r="I2" s="735" t="inlineStr">
        <is>
          <t>Y</t>
        </is>
      </c>
      <c r="J2" s="735" t="inlineStr">
        <is>
          <t>Y</t>
        </is>
      </c>
      <c r="K2" s="735" t="inlineStr">
        <is>
          <t>Y</t>
        </is>
      </c>
      <c r="L2" s="735" t="inlineStr">
        <is>
          <t>Y</t>
        </is>
      </c>
      <c r="M2" s="736" t="inlineStr">
        <is>
          <t>P</t>
        </is>
      </c>
      <c r="N2" s="736" t="inlineStr">
        <is>
          <t>P</t>
        </is>
      </c>
      <c r="O2" s="736" t="inlineStr">
        <is>
          <t>P</t>
        </is>
      </c>
      <c r="P2" s="736" t="inlineStr">
        <is>
          <t>P</t>
        </is>
      </c>
      <c r="Q2" s="736" t="inlineStr">
        <is>
          <t>P</t>
        </is>
      </c>
      <c r="R2" s="736" t="inlineStr">
        <is>
          <t>P</t>
        </is>
      </c>
      <c r="S2" s="735" t="inlineStr">
        <is>
          <t>Y</t>
        </is>
      </c>
      <c r="T2" s="735" t="inlineStr">
        <is>
          <t>Y</t>
        </is>
      </c>
    </row>
    <row r="3">
      <c r="A3" s="734" t="inlineStr">
        <is>
          <t>ISO-27001-2022</t>
        </is>
      </c>
      <c r="B3" s="734" t="inlineStr">
        <is>
          <t>ISMS</t>
        </is>
      </c>
      <c r="C3" s="735" t="inlineStr">
        <is>
          <t>Y</t>
        </is>
      </c>
      <c r="D3" s="735" t="inlineStr">
        <is>
          <t>Y</t>
        </is>
      </c>
      <c r="E3" s="735" t="inlineStr">
        <is>
          <t>Y</t>
        </is>
      </c>
      <c r="F3" s="735" t="inlineStr">
        <is>
          <t>Y</t>
        </is>
      </c>
      <c r="G3" s="735" t="inlineStr">
        <is>
          <t>Y</t>
        </is>
      </c>
      <c r="H3" s="735" t="inlineStr">
        <is>
          <t>Y</t>
        </is>
      </c>
      <c r="I3" s="735" t="inlineStr">
        <is>
          <t>Y</t>
        </is>
      </c>
      <c r="J3" s="735" t="inlineStr">
        <is>
          <t>Y</t>
        </is>
      </c>
      <c r="K3" s="735" t="inlineStr">
        <is>
          <t>Y</t>
        </is>
      </c>
      <c r="L3" s="735" t="inlineStr">
        <is>
          <t>Y</t>
        </is>
      </c>
      <c r="M3" s="736" t="inlineStr">
        <is>
          <t>P</t>
        </is>
      </c>
      <c r="N3" s="736" t="inlineStr">
        <is>
          <t>P</t>
        </is>
      </c>
      <c r="O3" s="736" t="inlineStr">
        <is>
          <t>P</t>
        </is>
      </c>
      <c r="P3" s="736" t="inlineStr">
        <is>
          <t>P</t>
        </is>
      </c>
      <c r="Q3" s="736" t="inlineStr">
        <is>
          <t>P</t>
        </is>
      </c>
      <c r="R3" s="736" t="inlineStr">
        <is>
          <t>P</t>
        </is>
      </c>
      <c r="S3" s="735" t="inlineStr">
        <is>
          <t>Y</t>
        </is>
      </c>
      <c r="T3" s="735" t="inlineStr">
        <is>
          <t>Y</t>
        </is>
      </c>
    </row>
    <row r="4">
      <c r="A4" s="734" t="inlineStr">
        <is>
          <t>PCI-DSS-4</t>
        </is>
      </c>
      <c r="B4" s="734" t="inlineStr">
        <is>
          <t>Payments</t>
        </is>
      </c>
      <c r="C4" s="735" t="inlineStr">
        <is>
          <t>Y</t>
        </is>
      </c>
      <c r="D4" s="735" t="inlineStr">
        <is>
          <t>Y</t>
        </is>
      </c>
      <c r="E4" s="735" t="inlineStr">
        <is>
          <t>Y</t>
        </is>
      </c>
      <c r="F4" s="735" t="inlineStr">
        <is>
          <t>Y</t>
        </is>
      </c>
      <c r="G4" s="735" t="inlineStr">
        <is>
          <t>Y</t>
        </is>
      </c>
      <c r="H4" s="735" t="inlineStr">
        <is>
          <t>Y</t>
        </is>
      </c>
      <c r="I4" s="735" t="inlineStr">
        <is>
          <t>Y</t>
        </is>
      </c>
      <c r="J4" s="735" t="inlineStr">
        <is>
          <t>Y</t>
        </is>
      </c>
      <c r="K4" s="735" t="inlineStr">
        <is>
          <t>Y</t>
        </is>
      </c>
      <c r="L4" s="735" t="inlineStr">
        <is>
          <t>Y</t>
        </is>
      </c>
      <c r="M4" s="736" t="inlineStr">
        <is>
          <t>P</t>
        </is>
      </c>
      <c r="N4" s="736" t="inlineStr">
        <is>
          <t>P</t>
        </is>
      </c>
      <c r="O4" s="736" t="inlineStr">
        <is>
          <t>P</t>
        </is>
      </c>
      <c r="P4" s="736" t="inlineStr">
        <is>
          <t>P</t>
        </is>
      </c>
      <c r="Q4" s="736" t="inlineStr">
        <is>
          <t>P</t>
        </is>
      </c>
      <c r="R4" s="736" t="inlineStr">
        <is>
          <t>P</t>
        </is>
      </c>
      <c r="S4" s="735" t="inlineStr">
        <is>
          <t>Y</t>
        </is>
      </c>
      <c r="T4" s="735" t="inlineStr">
        <is>
          <t>Y</t>
        </is>
      </c>
    </row>
    <row r="5">
      <c r="A5" s="734" t="inlineStr">
        <is>
          <t>BCBS-BASEL3</t>
        </is>
      </c>
      <c r="B5" s="734" t="inlineStr">
        <is>
          <t>Banking</t>
        </is>
      </c>
      <c r="C5" s="735" t="inlineStr">
        <is>
          <t>Y</t>
        </is>
      </c>
      <c r="D5" s="735" t="inlineStr">
        <is>
          <t>Y</t>
        </is>
      </c>
      <c r="E5" s="735" t="inlineStr">
        <is>
          <t>Y</t>
        </is>
      </c>
      <c r="F5" s="735" t="inlineStr">
        <is>
          <t>Y</t>
        </is>
      </c>
      <c r="G5" s="735" t="inlineStr">
        <is>
          <t>Y</t>
        </is>
      </c>
      <c r="H5" s="735" t="inlineStr">
        <is>
          <t>Y</t>
        </is>
      </c>
      <c r="I5" s="735" t="inlineStr">
        <is>
          <t>Y</t>
        </is>
      </c>
      <c r="J5" s="735" t="inlineStr">
        <is>
          <t>Y</t>
        </is>
      </c>
      <c r="K5" s="735" t="inlineStr">
        <is>
          <t>Y</t>
        </is>
      </c>
      <c r="L5" s="735" t="inlineStr">
        <is>
          <t>Y</t>
        </is>
      </c>
      <c r="M5" s="737" t="inlineStr">
        <is>
          <t>N</t>
        </is>
      </c>
      <c r="N5" s="736" t="inlineStr">
        <is>
          <t>P</t>
        </is>
      </c>
      <c r="O5" s="736" t="inlineStr">
        <is>
          <t>P</t>
        </is>
      </c>
      <c r="P5" s="736" t="inlineStr">
        <is>
          <t>P</t>
        </is>
      </c>
      <c r="Q5" s="737" t="inlineStr">
        <is>
          <t>N</t>
        </is>
      </c>
      <c r="R5" s="737" t="inlineStr">
        <is>
          <t>N</t>
        </is>
      </c>
      <c r="S5" s="735" t="inlineStr">
        <is>
          <t>Y</t>
        </is>
      </c>
      <c r="T5" s="735" t="inlineStr">
        <is>
          <t>Y</t>
        </is>
      </c>
    </row>
    <row r="6">
      <c r="A6" s="734" t="inlineStr">
        <is>
          <t>IOSCO-PRINCIPLES</t>
        </is>
      </c>
      <c r="B6" s="734" t="inlineStr">
        <is>
          <t>Capital Markets</t>
        </is>
      </c>
      <c r="C6" s="735" t="inlineStr">
        <is>
          <t>Y</t>
        </is>
      </c>
      <c r="D6" s="735" t="inlineStr">
        <is>
          <t>Y</t>
        </is>
      </c>
      <c r="E6" s="735" t="inlineStr">
        <is>
          <t>Y</t>
        </is>
      </c>
      <c r="F6" s="735" t="inlineStr">
        <is>
          <t>Y</t>
        </is>
      </c>
      <c r="G6" s="735" t="inlineStr">
        <is>
          <t>Y</t>
        </is>
      </c>
      <c r="H6" s="735" t="inlineStr">
        <is>
          <t>Y</t>
        </is>
      </c>
      <c r="I6" s="735" t="inlineStr">
        <is>
          <t>Y</t>
        </is>
      </c>
      <c r="J6" s="735" t="inlineStr">
        <is>
          <t>Y</t>
        </is>
      </c>
      <c r="K6" s="735" t="inlineStr">
        <is>
          <t>Y</t>
        </is>
      </c>
      <c r="L6" s="735" t="inlineStr">
        <is>
          <t>Y</t>
        </is>
      </c>
      <c r="M6" s="737" t="inlineStr">
        <is>
          <t>N</t>
        </is>
      </c>
      <c r="N6" s="736" t="inlineStr">
        <is>
          <t>P</t>
        </is>
      </c>
      <c r="O6" s="736" t="inlineStr">
        <is>
          <t>P</t>
        </is>
      </c>
      <c r="P6" s="736" t="inlineStr">
        <is>
          <t>P</t>
        </is>
      </c>
      <c r="Q6" s="737" t="inlineStr">
        <is>
          <t>N</t>
        </is>
      </c>
      <c r="R6" s="737" t="inlineStr">
        <is>
          <t>N</t>
        </is>
      </c>
      <c r="S6" s="735" t="inlineStr">
        <is>
          <t>Y</t>
        </is>
      </c>
      <c r="T6" s="735" t="inlineStr">
        <is>
          <t>Y</t>
        </is>
      </c>
    </row>
    <row r="7">
      <c r="A7" s="734" t="inlineStr">
        <is>
          <t>SWIFT-CSP-2024</t>
        </is>
      </c>
      <c r="B7" s="734" t="inlineStr">
        <is>
          <t>Financial Messaging</t>
        </is>
      </c>
      <c r="C7" s="735" t="inlineStr">
        <is>
          <t>Y</t>
        </is>
      </c>
      <c r="D7" s="735" t="inlineStr">
        <is>
          <t>Y</t>
        </is>
      </c>
      <c r="E7" s="735" t="inlineStr">
        <is>
          <t>Y</t>
        </is>
      </c>
      <c r="F7" s="735" t="inlineStr">
        <is>
          <t>Y</t>
        </is>
      </c>
      <c r="G7" s="735" t="inlineStr">
        <is>
          <t>Y</t>
        </is>
      </c>
      <c r="H7" s="735" t="inlineStr">
        <is>
          <t>Y</t>
        </is>
      </c>
      <c r="I7" s="735" t="inlineStr">
        <is>
          <t>Y</t>
        </is>
      </c>
      <c r="J7" s="735" t="inlineStr">
        <is>
          <t>Y</t>
        </is>
      </c>
      <c r="K7" s="735" t="inlineStr">
        <is>
          <t>Y</t>
        </is>
      </c>
      <c r="L7" s="735" t="inlineStr">
        <is>
          <t>Y</t>
        </is>
      </c>
      <c r="M7" s="736" t="inlineStr">
        <is>
          <t>P</t>
        </is>
      </c>
      <c r="N7" s="736" t="inlineStr">
        <is>
          <t>P</t>
        </is>
      </c>
      <c r="O7" s="736" t="inlineStr">
        <is>
          <t>P</t>
        </is>
      </c>
      <c r="P7" s="736" t="inlineStr">
        <is>
          <t>P</t>
        </is>
      </c>
      <c r="Q7" s="736" t="inlineStr">
        <is>
          <t>P</t>
        </is>
      </c>
      <c r="R7" s="736" t="inlineStr">
        <is>
          <t>P</t>
        </is>
      </c>
      <c r="S7" s="735" t="inlineStr">
        <is>
          <t>Y</t>
        </is>
      </c>
      <c r="T7" s="735" t="inlineStr">
        <is>
          <t>Y</t>
        </is>
      </c>
    </row>
    <row r="8">
      <c r="A8" s="734" t="inlineStr">
        <is>
          <t>IEC-62443</t>
        </is>
      </c>
      <c r="B8" s="734" t="inlineStr">
        <is>
          <t>OT/ICS Security</t>
        </is>
      </c>
      <c r="C8" s="735" t="inlineStr">
        <is>
          <t>Y</t>
        </is>
      </c>
      <c r="D8" s="735" t="inlineStr">
        <is>
          <t>Y</t>
        </is>
      </c>
      <c r="E8" s="735" t="inlineStr">
        <is>
          <t>Y</t>
        </is>
      </c>
      <c r="F8" s="735" t="inlineStr">
        <is>
          <t>Y</t>
        </is>
      </c>
      <c r="G8" s="735" t="inlineStr">
        <is>
          <t>Y</t>
        </is>
      </c>
      <c r="H8" s="735" t="inlineStr">
        <is>
          <t>Y</t>
        </is>
      </c>
      <c r="I8" s="736" t="inlineStr">
        <is>
          <t>P</t>
        </is>
      </c>
      <c r="J8" s="736" t="inlineStr">
        <is>
          <t>P</t>
        </is>
      </c>
      <c r="K8" s="736" t="inlineStr">
        <is>
          <t>P</t>
        </is>
      </c>
      <c r="L8" s="736" t="inlineStr">
        <is>
          <t>P</t>
        </is>
      </c>
      <c r="M8" s="737" t="inlineStr">
        <is>
          <t>N</t>
        </is>
      </c>
      <c r="N8" s="736" t="inlineStr">
        <is>
          <t>P</t>
        </is>
      </c>
      <c r="O8" s="737" t="inlineStr">
        <is>
          <t>N</t>
        </is>
      </c>
      <c r="P8" s="737" t="inlineStr">
        <is>
          <t>N</t>
        </is>
      </c>
      <c r="Q8" s="737" t="inlineStr">
        <is>
          <t>N</t>
        </is>
      </c>
      <c r="R8" s="737" t="inlineStr">
        <is>
          <t>N</t>
        </is>
      </c>
      <c r="S8" s="735" t="inlineStr">
        <is>
          <t>Y</t>
        </is>
      </c>
      <c r="T8" s="735" t="inlineStr">
        <is>
          <t>Y</t>
        </is>
      </c>
    </row>
    <row r="9">
      <c r="A9" s="734" t="inlineStr">
        <is>
          <t>NIST-CSF-2-0</t>
        </is>
      </c>
      <c r="B9" s="734" t="inlineStr">
        <is>
          <t>Cybersecurity</t>
        </is>
      </c>
      <c r="C9" s="735" t="inlineStr">
        <is>
          <t>Y</t>
        </is>
      </c>
      <c r="D9" s="735" t="inlineStr">
        <is>
          <t>Y</t>
        </is>
      </c>
      <c r="E9" s="735" t="inlineStr">
        <is>
          <t>Y</t>
        </is>
      </c>
      <c r="F9" s="735" t="inlineStr">
        <is>
          <t>Y</t>
        </is>
      </c>
      <c r="G9" s="735" t="inlineStr">
        <is>
          <t>Y</t>
        </is>
      </c>
      <c r="H9" s="735" t="inlineStr">
        <is>
          <t>Y</t>
        </is>
      </c>
      <c r="I9" s="735" t="inlineStr">
        <is>
          <t>Y</t>
        </is>
      </c>
      <c r="J9" s="735" t="inlineStr">
        <is>
          <t>Y</t>
        </is>
      </c>
      <c r="K9" s="735" t="inlineStr">
        <is>
          <t>Y</t>
        </is>
      </c>
      <c r="L9" s="735" t="inlineStr">
        <is>
          <t>Y</t>
        </is>
      </c>
      <c r="M9" s="736" t="inlineStr">
        <is>
          <t>P</t>
        </is>
      </c>
      <c r="N9" s="736" t="inlineStr">
        <is>
          <t>P</t>
        </is>
      </c>
      <c r="O9" s="736" t="inlineStr">
        <is>
          <t>P</t>
        </is>
      </c>
      <c r="P9" s="736" t="inlineStr">
        <is>
          <t>P</t>
        </is>
      </c>
      <c r="Q9" s="736" t="inlineStr">
        <is>
          <t>P</t>
        </is>
      </c>
      <c r="R9" s="736" t="inlineStr">
        <is>
          <t>P</t>
        </is>
      </c>
      <c r="S9" s="735" t="inlineStr">
        <is>
          <t>Y</t>
        </is>
      </c>
      <c r="T9" s="735" t="inlineStr">
        <is>
          <t>Y</t>
        </is>
      </c>
    </row>
    <row r="10">
      <c r="A10" s="734" t="inlineStr">
        <is>
          <t>AAOIFI-SS</t>
        </is>
      </c>
      <c r="B10" s="734" t="inlineStr">
        <is>
          <t>Islamic Finance</t>
        </is>
      </c>
      <c r="C10" s="735" t="inlineStr">
        <is>
          <t>Y</t>
        </is>
      </c>
      <c r="D10" s="735" t="inlineStr">
        <is>
          <t>Y</t>
        </is>
      </c>
      <c r="E10" s="735" t="inlineStr">
        <is>
          <t>Y</t>
        </is>
      </c>
      <c r="F10" s="735" t="inlineStr">
        <is>
          <t>Y</t>
        </is>
      </c>
      <c r="G10" s="735" t="inlineStr">
        <is>
          <t>Y</t>
        </is>
      </c>
      <c r="H10" s="735" t="inlineStr">
        <is>
          <t>Y</t>
        </is>
      </c>
      <c r="I10" s="735" t="inlineStr">
        <is>
          <t>Y</t>
        </is>
      </c>
      <c r="J10" s="735" t="inlineStr">
        <is>
          <t>Y</t>
        </is>
      </c>
      <c r="K10" s="736" t="inlineStr">
        <is>
          <t>P</t>
        </is>
      </c>
      <c r="L10" s="737" t="inlineStr">
        <is>
          <t>N</t>
        </is>
      </c>
      <c r="M10" s="736" t="inlineStr">
        <is>
          <t>P</t>
        </is>
      </c>
      <c r="N10" s="736" t="inlineStr">
        <is>
          <t>P</t>
        </is>
      </c>
      <c r="O10" s="736" t="inlineStr">
        <is>
          <t>P</t>
        </is>
      </c>
      <c r="P10" s="736" t="inlineStr">
        <is>
          <t>P</t>
        </is>
      </c>
      <c r="Q10" s="736" t="inlineStr">
        <is>
          <t>P</t>
        </is>
      </c>
      <c r="R10" s="736" t="inlineStr">
        <is>
          <t>P</t>
        </is>
      </c>
      <c r="S10" s="736" t="inlineStr">
        <is>
          <t>P</t>
        </is>
      </c>
      <c r="T10" s="737" t="inlineStr">
        <is>
          <t>N</t>
        </is>
      </c>
    </row>
    <row r="11">
      <c r="A11" s="734" t="inlineStr">
        <is>
          <t>ISO-27701</t>
        </is>
      </c>
      <c r="B11" s="734" t="inlineStr">
        <is>
          <t>Privacy ISMS</t>
        </is>
      </c>
      <c r="C11" s="735" t="inlineStr">
        <is>
          <t>Y</t>
        </is>
      </c>
      <c r="D11" s="735" t="inlineStr">
        <is>
          <t>Y</t>
        </is>
      </c>
      <c r="E11" s="735" t="inlineStr">
        <is>
          <t>Y</t>
        </is>
      </c>
      <c r="F11" s="735" t="inlineStr">
        <is>
          <t>Y</t>
        </is>
      </c>
      <c r="G11" s="735" t="inlineStr">
        <is>
          <t>Y</t>
        </is>
      </c>
      <c r="H11" s="735" t="inlineStr">
        <is>
          <t>Y</t>
        </is>
      </c>
      <c r="I11" s="735" t="inlineStr">
        <is>
          <t>Y</t>
        </is>
      </c>
      <c r="J11" s="735" t="inlineStr">
        <is>
          <t>Y</t>
        </is>
      </c>
      <c r="K11" s="735" t="inlineStr">
        <is>
          <t>Y</t>
        </is>
      </c>
      <c r="L11" s="735" t="inlineStr">
        <is>
          <t>Y</t>
        </is>
      </c>
      <c r="M11" s="736" t="inlineStr">
        <is>
          <t>P</t>
        </is>
      </c>
      <c r="N11" s="736" t="inlineStr">
        <is>
          <t>P</t>
        </is>
      </c>
      <c r="O11" s="736" t="inlineStr">
        <is>
          <t>P</t>
        </is>
      </c>
      <c r="P11" s="736" t="inlineStr">
        <is>
          <t>P</t>
        </is>
      </c>
      <c r="Q11" s="736" t="inlineStr">
        <is>
          <t>P</t>
        </is>
      </c>
      <c r="R11" s="736" t="inlineStr">
        <is>
          <t>P</t>
        </is>
      </c>
      <c r="S11" s="735" t="inlineStr">
        <is>
          <t>Y</t>
        </is>
      </c>
      <c r="T11" s="735" t="inlineStr">
        <is>
          <t>Y</t>
        </is>
      </c>
    </row>
    <row r="12">
      <c r="A12" s="734" t="inlineStr">
        <is>
          <t>EU-GDPR</t>
        </is>
      </c>
      <c r="B12" s="734" t="inlineStr">
        <is>
          <t>Data Privacy (EU)</t>
        </is>
      </c>
      <c r="C12" s="737" t="inlineStr">
        <is>
          <t>N</t>
        </is>
      </c>
      <c r="D12" s="737" t="inlineStr">
        <is>
          <t>N</t>
        </is>
      </c>
      <c r="E12" s="737" t="inlineStr">
        <is>
          <t>N</t>
        </is>
      </c>
      <c r="F12" s="737" t="inlineStr">
        <is>
          <t>N</t>
        </is>
      </c>
      <c r="G12" s="737" t="inlineStr">
        <is>
          <t>N</t>
        </is>
      </c>
      <c r="H12" s="737" t="inlineStr">
        <is>
          <t>N</t>
        </is>
      </c>
      <c r="I12" s="737" t="inlineStr">
        <is>
          <t>N</t>
        </is>
      </c>
      <c r="J12" s="737" t="inlineStr">
        <is>
          <t>N</t>
        </is>
      </c>
      <c r="K12" s="737" t="inlineStr">
        <is>
          <t>N</t>
        </is>
      </c>
      <c r="L12" s="735" t="inlineStr">
        <is>
          <t>Y</t>
        </is>
      </c>
      <c r="M12" s="737" t="inlineStr">
        <is>
          <t>N</t>
        </is>
      </c>
      <c r="N12" s="737" t="inlineStr">
        <is>
          <t>N</t>
        </is>
      </c>
      <c r="O12" s="737" t="inlineStr">
        <is>
          <t>N</t>
        </is>
      </c>
      <c r="P12" s="737" t="inlineStr">
        <is>
          <t>N</t>
        </is>
      </c>
      <c r="Q12" s="737" t="inlineStr">
        <is>
          <t>N</t>
        </is>
      </c>
      <c r="R12" s="737" t="inlineStr">
        <is>
          <t>N</t>
        </is>
      </c>
      <c r="S12" s="737" t="inlineStr">
        <is>
          <t>N</t>
        </is>
      </c>
      <c r="T12" s="737" t="inlineStr">
        <is>
          <t>N</t>
        </is>
      </c>
    </row>
    <row r="13">
      <c r="A13" s="734" t="inlineStr">
        <is>
          <t>EU-NIS2</t>
        </is>
      </c>
      <c r="B13" s="734" t="inlineStr">
        <is>
          <t>Cyber (EU)</t>
        </is>
      </c>
      <c r="C13" s="737" t="inlineStr">
        <is>
          <t>N</t>
        </is>
      </c>
      <c r="D13" s="737" t="inlineStr">
        <is>
          <t>N</t>
        </is>
      </c>
      <c r="E13" s="737" t="inlineStr">
        <is>
          <t>N</t>
        </is>
      </c>
      <c r="F13" s="737" t="inlineStr">
        <is>
          <t>N</t>
        </is>
      </c>
      <c r="G13" s="737" t="inlineStr">
        <is>
          <t>N</t>
        </is>
      </c>
      <c r="H13" s="737" t="inlineStr">
        <is>
          <t>N</t>
        </is>
      </c>
      <c r="I13" s="737" t="inlineStr">
        <is>
          <t>N</t>
        </is>
      </c>
      <c r="J13" s="737" t="inlineStr">
        <is>
          <t>N</t>
        </is>
      </c>
      <c r="K13" s="737" t="inlineStr">
        <is>
          <t>N</t>
        </is>
      </c>
      <c r="L13" s="735" t="inlineStr">
        <is>
          <t>Y</t>
        </is>
      </c>
      <c r="M13" s="737" t="inlineStr">
        <is>
          <t>N</t>
        </is>
      </c>
      <c r="N13" s="737" t="inlineStr">
        <is>
          <t>N</t>
        </is>
      </c>
      <c r="O13" s="737" t="inlineStr">
        <is>
          <t>N</t>
        </is>
      </c>
      <c r="P13" s="737" t="inlineStr">
        <is>
          <t>N</t>
        </is>
      </c>
      <c r="Q13" s="737" t="inlineStr">
        <is>
          <t>N</t>
        </is>
      </c>
      <c r="R13" s="737" t="inlineStr">
        <is>
          <t>N</t>
        </is>
      </c>
      <c r="S13" s="737" t="inlineStr">
        <is>
          <t>N</t>
        </is>
      </c>
      <c r="T13" s="737" t="inlineStr">
        <is>
          <t>N</t>
        </is>
      </c>
    </row>
    <row r="14">
      <c r="A14" s="734" t="inlineStr">
        <is>
          <t>EU-DORA</t>
        </is>
      </c>
      <c r="B14" s="734" t="inlineStr">
        <is>
          <t>Fin. Resilience (EU)</t>
        </is>
      </c>
      <c r="C14" s="737" t="inlineStr">
        <is>
          <t>N</t>
        </is>
      </c>
      <c r="D14" s="737" t="inlineStr">
        <is>
          <t>N</t>
        </is>
      </c>
      <c r="E14" s="737" t="inlineStr">
        <is>
          <t>N</t>
        </is>
      </c>
      <c r="F14" s="737" t="inlineStr">
        <is>
          <t>N</t>
        </is>
      </c>
      <c r="G14" s="737" t="inlineStr">
        <is>
          <t>N</t>
        </is>
      </c>
      <c r="H14" s="737" t="inlineStr">
        <is>
          <t>N</t>
        </is>
      </c>
      <c r="I14" s="737" t="inlineStr">
        <is>
          <t>N</t>
        </is>
      </c>
      <c r="J14" s="737" t="inlineStr">
        <is>
          <t>N</t>
        </is>
      </c>
      <c r="K14" s="737" t="inlineStr">
        <is>
          <t>N</t>
        </is>
      </c>
      <c r="L14" s="735" t="inlineStr">
        <is>
          <t>Y</t>
        </is>
      </c>
      <c r="M14" s="737" t="inlineStr">
        <is>
          <t>N</t>
        </is>
      </c>
      <c r="N14" s="737" t="inlineStr">
        <is>
          <t>N</t>
        </is>
      </c>
      <c r="O14" s="737" t="inlineStr">
        <is>
          <t>N</t>
        </is>
      </c>
      <c r="P14" s="737" t="inlineStr">
        <is>
          <t>N</t>
        </is>
      </c>
      <c r="Q14" s="737" t="inlineStr">
        <is>
          <t>N</t>
        </is>
      </c>
      <c r="R14" s="737" t="inlineStr">
        <is>
          <t>N</t>
        </is>
      </c>
      <c r="S14" s="736" t="inlineStr">
        <is>
          <t>P</t>
        </is>
      </c>
      <c r="T14" s="737" t="inlineStr">
        <is>
          <t>N</t>
        </is>
      </c>
    </row>
    <row r="15">
      <c r="A15" s="734" t="inlineStr">
        <is>
          <t>EU-AI-ACT-2024</t>
        </is>
      </c>
      <c r="B15" s="734" t="inlineStr">
        <is>
          <t>AI Governance</t>
        </is>
      </c>
      <c r="C15" s="737" t="inlineStr">
        <is>
          <t>N</t>
        </is>
      </c>
      <c r="D15" s="737" t="inlineStr">
        <is>
          <t>N</t>
        </is>
      </c>
      <c r="E15" s="737" t="inlineStr">
        <is>
          <t>N</t>
        </is>
      </c>
      <c r="F15" s="737" t="inlineStr">
        <is>
          <t>N</t>
        </is>
      </c>
      <c r="G15" s="737" t="inlineStr">
        <is>
          <t>N</t>
        </is>
      </c>
      <c r="H15" s="737" t="inlineStr">
        <is>
          <t>N</t>
        </is>
      </c>
      <c r="I15" s="737" t="inlineStr">
        <is>
          <t>N</t>
        </is>
      </c>
      <c r="J15" s="737" t="inlineStr">
        <is>
          <t>N</t>
        </is>
      </c>
      <c r="K15" s="737" t="inlineStr">
        <is>
          <t>N</t>
        </is>
      </c>
      <c r="L15" s="735" t="inlineStr">
        <is>
          <t>Y</t>
        </is>
      </c>
      <c r="M15" s="737" t="inlineStr">
        <is>
          <t>N</t>
        </is>
      </c>
      <c r="N15" s="737" t="inlineStr">
        <is>
          <t>N</t>
        </is>
      </c>
      <c r="O15" s="737" t="inlineStr">
        <is>
          <t>N</t>
        </is>
      </c>
      <c r="P15" s="737" t="inlineStr">
        <is>
          <t>N</t>
        </is>
      </c>
      <c r="Q15" s="737" t="inlineStr">
        <is>
          <t>N</t>
        </is>
      </c>
      <c r="R15" s="737" t="inlineStr">
        <is>
          <t>N</t>
        </is>
      </c>
      <c r="S15" s="736" t="inlineStr">
        <is>
          <t>P</t>
        </is>
      </c>
      <c r="T15" s="737" t="inlineStr">
        <is>
          <t>N</t>
        </is>
      </c>
    </row>
    <row r="16">
      <c r="A16" s="734" t="inlineStr">
        <is>
          <t>GCC-AML-UNIFIED</t>
        </is>
      </c>
      <c r="B16" s="734" t="inlineStr">
        <is>
          <t>GCC AML</t>
        </is>
      </c>
      <c r="C16" s="735" t="inlineStr">
        <is>
          <t>Y</t>
        </is>
      </c>
      <c r="D16" s="735" t="inlineStr">
        <is>
          <t>Y</t>
        </is>
      </c>
      <c r="E16" s="735" t="inlineStr">
        <is>
          <t>Y</t>
        </is>
      </c>
      <c r="F16" s="735" t="inlineStr">
        <is>
          <t>Y</t>
        </is>
      </c>
      <c r="G16" s="735" t="inlineStr">
        <is>
          <t>Y</t>
        </is>
      </c>
      <c r="H16" s="735" t="inlineStr">
        <is>
          <t>Y</t>
        </is>
      </c>
      <c r="I16" s="737" t="inlineStr">
        <is>
          <t>N</t>
        </is>
      </c>
      <c r="J16" s="737" t="inlineStr">
        <is>
          <t>N</t>
        </is>
      </c>
      <c r="K16" s="737" t="inlineStr">
        <is>
          <t>N</t>
        </is>
      </c>
      <c r="L16" s="737" t="inlineStr">
        <is>
          <t>N</t>
        </is>
      </c>
      <c r="M16" s="737" t="inlineStr">
        <is>
          <t>N</t>
        </is>
      </c>
      <c r="N16" s="737" t="inlineStr">
        <is>
          <t>N</t>
        </is>
      </c>
      <c r="O16" s="737" t="inlineStr">
        <is>
          <t>N</t>
        </is>
      </c>
      <c r="P16" s="737" t="inlineStr">
        <is>
          <t>N</t>
        </is>
      </c>
      <c r="Q16" s="737" t="inlineStr">
        <is>
          <t>N</t>
        </is>
      </c>
      <c r="R16" s="737" t="inlineStr">
        <is>
          <t>N</t>
        </is>
      </c>
      <c r="S16" s="737" t="inlineStr">
        <is>
          <t>N</t>
        </is>
      </c>
      <c r="T16" s="737" t="inlineStr">
        <is>
          <t>N</t>
        </is>
      </c>
    </row>
    <row r="17">
      <c r="A17" s="734" t="inlineStr">
        <is>
          <t>NCA-ECC-2:2024</t>
        </is>
      </c>
      <c r="B17" s="734" t="inlineStr">
        <is>
          <t>Cybersecurity (KSA)</t>
        </is>
      </c>
      <c r="C17" s="735" t="inlineStr">
        <is>
          <t>Y</t>
        </is>
      </c>
      <c r="D17" s="737" t="inlineStr">
        <is>
          <t>N</t>
        </is>
      </c>
      <c r="E17" s="737" t="inlineStr">
        <is>
          <t>N</t>
        </is>
      </c>
      <c r="F17" s="737" t="inlineStr">
        <is>
          <t>N</t>
        </is>
      </c>
      <c r="G17" s="737" t="inlineStr">
        <is>
          <t>N</t>
        </is>
      </c>
      <c r="H17" s="737" t="inlineStr">
        <is>
          <t>N</t>
        </is>
      </c>
      <c r="I17" s="737" t="inlineStr">
        <is>
          <t>N</t>
        </is>
      </c>
      <c r="J17" s="737" t="inlineStr">
        <is>
          <t>N</t>
        </is>
      </c>
      <c r="K17" s="737" t="inlineStr">
        <is>
          <t>N</t>
        </is>
      </c>
      <c r="L17" s="737" t="inlineStr">
        <is>
          <t>N</t>
        </is>
      </c>
      <c r="M17" s="737" t="inlineStr">
        <is>
          <t>N</t>
        </is>
      </c>
      <c r="N17" s="737" t="inlineStr">
        <is>
          <t>N</t>
        </is>
      </c>
      <c r="O17" s="737" t="inlineStr">
        <is>
          <t>N</t>
        </is>
      </c>
      <c r="P17" s="737" t="inlineStr">
        <is>
          <t>N</t>
        </is>
      </c>
      <c r="Q17" s="737" t="inlineStr">
        <is>
          <t>N</t>
        </is>
      </c>
      <c r="R17" s="737" t="inlineStr">
        <is>
          <t>N</t>
        </is>
      </c>
      <c r="S17" s="737" t="inlineStr">
        <is>
          <t>N</t>
        </is>
      </c>
      <c r="T17" s="737" t="inlineStr">
        <is>
          <t>N</t>
        </is>
      </c>
    </row>
    <row r="18">
      <c r="A18" s="734" t="inlineStr">
        <is>
          <t>NIST-SP-800-53-R5</t>
        </is>
      </c>
      <c r="B18" s="734" t="inlineStr">
        <is>
          <t>US Gov. Controls</t>
        </is>
      </c>
      <c r="C18" s="737" t="inlineStr">
        <is>
          <t>N</t>
        </is>
      </c>
      <c r="D18" s="737" t="inlineStr">
        <is>
          <t>N</t>
        </is>
      </c>
      <c r="E18" s="737" t="inlineStr">
        <is>
          <t>N</t>
        </is>
      </c>
      <c r="F18" s="737" t="inlineStr">
        <is>
          <t>N</t>
        </is>
      </c>
      <c r="G18" s="737" t="inlineStr">
        <is>
          <t>N</t>
        </is>
      </c>
      <c r="H18" s="737" t="inlineStr">
        <is>
          <t>N</t>
        </is>
      </c>
      <c r="I18" s="737" t="inlineStr">
        <is>
          <t>N</t>
        </is>
      </c>
      <c r="J18" s="737" t="inlineStr">
        <is>
          <t>N</t>
        </is>
      </c>
      <c r="K18" s="737" t="inlineStr">
        <is>
          <t>N</t>
        </is>
      </c>
      <c r="L18" s="737" t="inlineStr">
        <is>
          <t>N</t>
        </is>
      </c>
      <c r="M18" s="737" t="inlineStr">
        <is>
          <t>N</t>
        </is>
      </c>
      <c r="N18" s="737" t="inlineStr">
        <is>
          <t>N</t>
        </is>
      </c>
      <c r="O18" s="737" t="inlineStr">
        <is>
          <t>N</t>
        </is>
      </c>
      <c r="P18" s="737" t="inlineStr">
        <is>
          <t>N</t>
        </is>
      </c>
      <c r="Q18" s="737" t="inlineStr">
        <is>
          <t>N</t>
        </is>
      </c>
      <c r="R18" s="737" t="inlineStr">
        <is>
          <t>N</t>
        </is>
      </c>
      <c r="S18" s="737" t="inlineStr">
        <is>
          <t>N</t>
        </is>
      </c>
      <c r="T18" s="735" t="inlineStr">
        <is>
          <t>Y</t>
        </is>
      </c>
    </row>
    <row r="19">
      <c r="A19" s="734" t="inlineStr">
        <is>
          <t>HIPAA-HITECH</t>
        </is>
      </c>
      <c r="B19" s="734" t="inlineStr">
        <is>
          <t>Healthcare Privacy</t>
        </is>
      </c>
      <c r="C19" s="737" t="inlineStr">
        <is>
          <t>N</t>
        </is>
      </c>
      <c r="D19" s="737" t="inlineStr">
        <is>
          <t>N</t>
        </is>
      </c>
      <c r="E19" s="737" t="inlineStr">
        <is>
          <t>N</t>
        </is>
      </c>
      <c r="F19" s="737" t="inlineStr">
        <is>
          <t>N</t>
        </is>
      </c>
      <c r="G19" s="737" t="inlineStr">
        <is>
          <t>N</t>
        </is>
      </c>
      <c r="H19" s="737" t="inlineStr">
        <is>
          <t>N</t>
        </is>
      </c>
      <c r="I19" s="737" t="inlineStr">
        <is>
          <t>N</t>
        </is>
      </c>
      <c r="J19" s="737" t="inlineStr">
        <is>
          <t>N</t>
        </is>
      </c>
      <c r="K19" s="737" t="inlineStr">
        <is>
          <t>N</t>
        </is>
      </c>
      <c r="L19" s="737" t="inlineStr">
        <is>
          <t>N</t>
        </is>
      </c>
      <c r="M19" s="737" t="inlineStr">
        <is>
          <t>N</t>
        </is>
      </c>
      <c r="N19" s="737" t="inlineStr">
        <is>
          <t>N</t>
        </is>
      </c>
      <c r="O19" s="737" t="inlineStr">
        <is>
          <t>N</t>
        </is>
      </c>
      <c r="P19" s="737" t="inlineStr">
        <is>
          <t>N</t>
        </is>
      </c>
      <c r="Q19" s="737" t="inlineStr">
        <is>
          <t>N</t>
        </is>
      </c>
      <c r="R19" s="737" t="inlineStr">
        <is>
          <t>N</t>
        </is>
      </c>
      <c r="S19" s="737" t="inlineStr">
        <is>
          <t>N</t>
        </is>
      </c>
      <c r="T19" s="735" t="inlineStr">
        <is>
          <t>Y</t>
        </is>
      </c>
    </row>
    <row r="20">
      <c r="A20" s="734" t="inlineStr">
        <is>
          <t>NY-DFS-23-NYCRR-500</t>
        </is>
      </c>
      <c r="B20" s="734" t="inlineStr">
        <is>
          <t>Financial Cyber(NY)</t>
        </is>
      </c>
      <c r="C20" s="737" t="inlineStr">
        <is>
          <t>N</t>
        </is>
      </c>
      <c r="D20" s="737" t="inlineStr">
        <is>
          <t>N</t>
        </is>
      </c>
      <c r="E20" s="737" t="inlineStr">
        <is>
          <t>N</t>
        </is>
      </c>
      <c r="F20" s="737" t="inlineStr">
        <is>
          <t>N</t>
        </is>
      </c>
      <c r="G20" s="737" t="inlineStr">
        <is>
          <t>N</t>
        </is>
      </c>
      <c r="H20" s="737" t="inlineStr">
        <is>
          <t>N</t>
        </is>
      </c>
      <c r="I20" s="737" t="inlineStr">
        <is>
          <t>N</t>
        </is>
      </c>
      <c r="J20" s="737" t="inlineStr">
        <is>
          <t>N</t>
        </is>
      </c>
      <c r="K20" s="737" t="inlineStr">
        <is>
          <t>N</t>
        </is>
      </c>
      <c r="L20" s="737" t="inlineStr">
        <is>
          <t>N</t>
        </is>
      </c>
      <c r="M20" s="737" t="inlineStr">
        <is>
          <t>N</t>
        </is>
      </c>
      <c r="N20" s="737" t="inlineStr">
        <is>
          <t>N</t>
        </is>
      </c>
      <c r="O20" s="737" t="inlineStr">
        <is>
          <t>N</t>
        </is>
      </c>
      <c r="P20" s="737" t="inlineStr">
        <is>
          <t>N</t>
        </is>
      </c>
      <c r="Q20" s="737" t="inlineStr">
        <is>
          <t>N</t>
        </is>
      </c>
      <c r="R20" s="737" t="inlineStr">
        <is>
          <t>N</t>
        </is>
      </c>
      <c r="S20" s="737" t="inlineStr">
        <is>
          <t>N</t>
        </is>
      </c>
      <c r="T20" s="735" t="inlineStr">
        <is>
          <t>Y</t>
        </is>
      </c>
    </row>
    <row r="23">
      <c r="A23" s="738" t="inlineStr">
        <is>
          <t>LEGEND:  Y = Mandatory/Directly Applicable   ·   P = Partially/Voluntary Benchmark   ·   N = Not Applicable</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P78"/>
  <sheetViews>
    <sheetView showGridLines="0" workbookViewId="0">
      <selection activeCell="A1" sqref="A1"/>
    </sheetView>
  </sheetViews>
  <sheetFormatPr baseColWidth="8" defaultRowHeight="15"/>
  <cols>
    <col width="18" customWidth="1" min="1" max="1"/>
    <col width="24" customWidth="1" min="2" max="2"/>
    <col width="14" customWidth="1" min="3" max="3"/>
    <col width="14" customWidth="1" min="4" max="4"/>
    <col width="14" customWidth="1" min="5" max="5"/>
    <col width="14" customWidth="1" min="6" max="6"/>
    <col width="14" customWidth="1" min="7" max="7"/>
    <col width="14" customWidth="1" min="8" max="8"/>
    <col width="18"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1" ht="28" customHeight="1">
      <c r="A1" s="768" t="inlineStr">
        <is>
          <t>🇸🇦  KSA SECTOR DRILL-DOWN  ·  Per Sector: Regulators · Frameworks · Controls · Evidence · Risk</t>
        </is>
      </c>
    </row>
    <row r="2" ht="22" customHeight="1">
      <c r="A2" s="769" t="inlineStr">
        <is>
          <t xml:space="preserve">  🏦  Financial Services  (FIN)  ·  الخدمات المالية  ·  Reg Count: 10  ·  Controls: 387  ·  IoT Intensity: LOW  ·  Risk: CRITICAL</t>
        </is>
      </c>
    </row>
    <row r="3" ht="16" customHeight="1">
      <c r="A3" s="747" t="inlineStr">
        <is>
          <t>▸ Local Regulators:</t>
        </is>
      </c>
      <c r="B3" s="765" t="inlineStr">
        <is>
          <t>SAMA  ·  CMA  ·  ZATCA</t>
        </is>
      </c>
      <c r="I3" s="747" t="inlineStr">
        <is>
          <t>International:</t>
        </is>
      </c>
      <c r="K3" s="765" t="inlineStr">
        <is>
          <t>FATF  ·  BCBS  ·  IOSCO  ·  AAOIFI  ·  IFSB  ·  SWIFT_BODY  ·  IASB</t>
        </is>
      </c>
    </row>
    <row r="4" ht="15" customHeight="1">
      <c r="A4" s="747" t="inlineStr">
        <is>
          <t>▸ Key Frameworks:</t>
        </is>
      </c>
      <c r="B4" s="765" t="inlineStr">
        <is>
          <t>SAMA-CSF  ·  NCA-ECC-2:2024  ·  PDPL-2021  ·  FATF-40  ·  Basel III  ·  AAOIFI-SS  ·  PCI-DSS-4  ·  ISO-27001-2022</t>
        </is>
      </c>
    </row>
    <row r="5" ht="15" customHeight="1">
      <c r="A5" s="747" t="inlineStr">
        <is>
          <t>▸ Mandatory Certs:</t>
        </is>
      </c>
      <c r="B5" s="765" t="inlineStr">
        <is>
          <t>ISO 27001  ·  PCI DSS (if cards)  ·  SAMA CSF Self-Assessment</t>
        </is>
      </c>
      <c r="I5" s="747" t="inlineStr">
        <is>
          <t>▸ Audit Frequency:</t>
        </is>
      </c>
      <c r="J5" s="765" t="inlineStr">
        <is>
          <t>ANNUAL + CONTINUOUS</t>
        </is>
      </c>
    </row>
    <row r="6" ht="15" customHeight="1">
      <c r="A6" s="747" t="inlineStr">
        <is>
          <t>▸ Org Types:</t>
        </is>
      </c>
      <c r="B6" s="770" t="inlineStr">
        <is>
          <t>Bank  ·  Islamic Bank  ·  Insurance Company  ·  Fintech  ·  Payment Provider  ·  Money Exchange  ·  Capital Market Firm  ·  Investment Fund</t>
        </is>
      </c>
    </row>
    <row r="8" ht="22" customHeight="1">
      <c r="A8" s="771" t="inlineStr">
        <is>
          <t xml:space="preserve">  🏥  Healthcare &amp; Life Sciences  (HC)  ·  الرعاية الصحية وعلوم الحياة  ·  Reg Count: 10  ·  Controls: 298  ·  IoT Intensity: HIGHEST  ·  Risk: CRITICAL</t>
        </is>
      </c>
    </row>
    <row r="9" ht="16" customHeight="1">
      <c r="A9" s="747" t="inlineStr">
        <is>
          <t>▸ Local Regulators:</t>
        </is>
      </c>
      <c r="B9" s="765" t="inlineStr">
        <is>
          <t>MOH  ·  SFDA  ·  CBAHI  ·  GAHAR  ·  CCHI  ·  SCFHS  ·  NHIC</t>
        </is>
      </c>
      <c r="I9" s="747" t="inlineStr">
        <is>
          <t>International:</t>
        </is>
      </c>
      <c r="K9" s="765" t="inlineStr">
        <is>
          <t>ISO_IEC  ·  WHO_BODY  ·  PCI_SSC</t>
        </is>
      </c>
    </row>
    <row r="10" ht="15" customHeight="1">
      <c r="A10" s="747" t="inlineStr">
        <is>
          <t>▸ Key Frameworks:</t>
        </is>
      </c>
      <c r="B10" s="765" t="inlineStr">
        <is>
          <t>MOH-HIS  ·  SFDA-MDR  ·  CBAHI-STDS  ·  NCA-ECC-2:2024  ·  NCA-OTCC-1:2022  ·  PDPL-2021  ·  ISO-27001-2022  ·  IEC-62443</t>
        </is>
      </c>
    </row>
    <row r="11" ht="15" customHeight="1">
      <c r="A11" s="747" t="inlineStr">
        <is>
          <t>▸ Mandatory Certs:</t>
        </is>
      </c>
      <c r="B11" s="765" t="inlineStr">
        <is>
          <t>CBAHI Accreditation  ·  SFDA Registration  ·  ISO 27001 (for HIS)</t>
        </is>
      </c>
      <c r="I11" s="747" t="inlineStr">
        <is>
          <t>▸ Audit Frequency:</t>
        </is>
      </c>
      <c r="J11" s="765" t="inlineStr">
        <is>
          <t>ANNUAL + AS_REQUIRED</t>
        </is>
      </c>
    </row>
    <row r="12" ht="15" customHeight="1">
      <c r="A12" s="747" t="inlineStr">
        <is>
          <t>▸ Org Types:</t>
        </is>
      </c>
      <c r="B12" s="770" t="inlineStr">
        <is>
          <t>Public Hospital  ·  Private Hospital  ·  Medical Device Manufacturer  ·  Pharmacy  ·  Health Insurance  ·  Polyclinic  ·  Lab</t>
        </is>
      </c>
    </row>
    <row r="14" ht="22" customHeight="1">
      <c r="A14" s="740" t="inlineStr">
        <is>
          <t xml:space="preserve">  🔒  Cybersecurity &amp; Data  (CYB)  ·  الأمن السيبراني والبيانات  ·  Reg Count: 7  ·  Controls: 358  ·  IoT Intensity: HIGHEST  ·  Risk: CRITICAL</t>
        </is>
      </c>
    </row>
    <row r="15" ht="16" customHeight="1">
      <c r="A15" s="747" t="inlineStr">
        <is>
          <t>▸ Local Regulators:</t>
        </is>
      </c>
      <c r="B15" s="765" t="inlineStr">
        <is>
          <t>NCA  ·  SDAIA  ·  NDMO  ·  NCSC</t>
        </is>
      </c>
      <c r="I15" s="747" t="inlineStr">
        <is>
          <t>International:</t>
        </is>
      </c>
      <c r="K15" s="765" t="inlineStr">
        <is>
          <t>ISO_IEC  ·  NIST_US  ·  PCI_SSC</t>
        </is>
      </c>
    </row>
    <row r="16" ht="15" customHeight="1">
      <c r="A16" s="747" t="inlineStr">
        <is>
          <t>▸ Key Frameworks:</t>
        </is>
      </c>
      <c r="B16" s="765" t="inlineStr">
        <is>
          <t>NCA-ECC-2:2024  ·  NCA-OTCC-1:2022  ·  NCA-CCC-1:2020  ·  NCA-DCC-1:2022  ·  PDPL-2021  ·  ISO-27001-2022  ·  ISO-27701</t>
        </is>
      </c>
    </row>
    <row r="17" ht="15" customHeight="1">
      <c r="A17" s="747" t="inlineStr">
        <is>
          <t>▸ Mandatory Certs:</t>
        </is>
      </c>
      <c r="B17" s="765" t="inlineStr">
        <is>
          <t>NCA Self-Assessment  ·  ISO 27001  ·  PDPL DPO registration</t>
        </is>
      </c>
      <c r="I17" s="747" t="inlineStr">
        <is>
          <t>▸ Audit Frequency:</t>
        </is>
      </c>
      <c r="J17" s="765" t="inlineStr">
        <is>
          <t>ANNUAL</t>
        </is>
      </c>
    </row>
    <row r="18" ht="15" customHeight="1">
      <c r="A18" s="747" t="inlineStr">
        <is>
          <t>▸ Org Types:</t>
        </is>
      </c>
      <c r="B18" s="770" t="inlineStr">
        <is>
          <t>MSSP  ·  Cybersecurity Vendor  ·  Cloud Provider  ·  Data Centre  ·  Gov Entity  ·  CNI Operator</t>
        </is>
      </c>
    </row>
    <row r="20" ht="22" customHeight="1">
      <c r="A20" s="772" t="inlineStr">
        <is>
          <t xml:space="preserve">  📡  ICT / Digital / Telecom  (ICT)  ·  تقنية المعلومات والاتصالات  ·  Reg Count: 6  ·  Controls: 245  ·  IoT Intensity: HIGH  ·  Risk: HIGH</t>
        </is>
      </c>
    </row>
    <row r="21" ht="16" customHeight="1">
      <c r="A21" s="747" t="inlineStr">
        <is>
          <t>▸ Local Regulators:</t>
        </is>
      </c>
      <c r="B21" s="765" t="inlineStr">
        <is>
          <t>CITC  ·  MCIT  ·  DGA  ·  YESSER</t>
        </is>
      </c>
      <c r="I21" s="747" t="inlineStr">
        <is>
          <t>International:</t>
        </is>
      </c>
      <c r="K21" s="765" t="inlineStr">
        <is>
          <t>ISO_IEC  ·  PCI_SSC</t>
        </is>
      </c>
    </row>
    <row r="22" ht="15" customHeight="1">
      <c r="A22" s="747" t="inlineStr">
        <is>
          <t>▸ Key Frameworks:</t>
        </is>
      </c>
      <c r="B22" s="765" t="inlineStr">
        <is>
          <t>CITC-REGS  ·  NCA-ECC-2:2024  ·  PDPL-2021  ·  DGA-CLOUD  ·  ISO-27001-2022  ·  NCA-CCC-1:2020</t>
        </is>
      </c>
    </row>
    <row r="23" ht="15" customHeight="1">
      <c r="A23" s="747" t="inlineStr">
        <is>
          <t>▸ Mandatory Certs:</t>
        </is>
      </c>
      <c r="B23" s="765" t="inlineStr">
        <is>
          <t>CITC License  ·  NCA ECC Self-Assessment  ·  ISO 27001</t>
        </is>
      </c>
      <c r="I23" s="747" t="inlineStr">
        <is>
          <t>▸ Audit Frequency:</t>
        </is>
      </c>
      <c r="J23" s="765" t="inlineStr">
        <is>
          <t>ANNUAL</t>
        </is>
      </c>
    </row>
    <row r="24" ht="15" customHeight="1">
      <c r="A24" s="747" t="inlineStr">
        <is>
          <t>▸ Org Types:</t>
        </is>
      </c>
      <c r="B24" s="770" t="inlineStr">
        <is>
          <t>Telecom Operator  ·  ISP  ·  Cloud Provider  ·  SaaS Company  ·  IT Services</t>
        </is>
      </c>
    </row>
    <row r="26" ht="22" customHeight="1">
      <c r="A26" s="773" t="inlineStr">
        <is>
          <t xml:space="preserve">  ⚡  Energy &amp; Utilities  (ENR)  ·  الطاقة والمرافق  ·  Reg Count: 7  ·  Controls: 223  ·  IoT Intensity: HIGHEST  ·  Risk: CRITICAL</t>
        </is>
      </c>
    </row>
    <row r="27" ht="16" customHeight="1">
      <c r="A27" s="747" t="inlineStr">
        <is>
          <t>▸ Local Regulators:</t>
        </is>
      </c>
      <c r="B27" s="765" t="inlineStr">
        <is>
          <t>ECRA  ·  WERA  ·  KACARE  ·  MOI  ·  MEWA</t>
        </is>
      </c>
      <c r="I27" s="747" t="inlineStr">
        <is>
          <t>International:</t>
        </is>
      </c>
      <c r="K27" s="765" t="inlineStr">
        <is>
          <t>ISO_IEC  ·  IAEA_BODY</t>
        </is>
      </c>
    </row>
    <row r="28" ht="15" customHeight="1">
      <c r="A28" s="747" t="inlineStr">
        <is>
          <t>▸ Key Frameworks:</t>
        </is>
      </c>
      <c r="B28" s="765" t="inlineStr">
        <is>
          <t>NCA-OTCC-1:2022  ·  NCA-ECC-2:2024  ·  IEC-62443  ·  ISO-27001-2022  ·  IAEA-Safety-Standards  ·  ECRA-REGS</t>
        </is>
      </c>
    </row>
    <row r="29" ht="15" customHeight="1">
      <c r="A29" s="747" t="inlineStr">
        <is>
          <t>▸ Mandatory Certs:</t>
        </is>
      </c>
      <c r="B29" s="765" t="inlineStr">
        <is>
          <t>NCA OTCC Assessment  ·  ISO 27001  ·  IEC 62443 (OT systems)</t>
        </is>
      </c>
      <c r="I29" s="747" t="inlineStr">
        <is>
          <t>▸ Audit Frequency:</t>
        </is>
      </c>
      <c r="J29" s="765" t="inlineStr">
        <is>
          <t>BIENNIAL + CONTINUOUS(OT)</t>
        </is>
      </c>
    </row>
    <row r="30" ht="15" customHeight="1">
      <c r="A30" s="747" t="inlineStr">
        <is>
          <t>▸ Org Types:</t>
        </is>
      </c>
      <c r="B30" s="770" t="inlineStr">
        <is>
          <t>Power Generator  ·  Utility Operator  ·  Oil &amp; Gas  ·  Renewable Energy  ·  Water Authority</t>
        </is>
      </c>
    </row>
    <row r="32" ht="22" customHeight="1">
      <c r="A32" s="764" t="inlineStr">
        <is>
          <t xml:space="preserve">  🏛️  Government &amp; Public Sector  (GOV)  ·  القطاع الحكومي  ·  Reg Count: 7  ·  Controls: 305  ·  IoT Intensity: MODERATE  ·  Risk: CRITICAL</t>
        </is>
      </c>
    </row>
    <row r="33" ht="16" customHeight="1">
      <c r="A33" s="747" t="inlineStr">
        <is>
          <t>▸ Local Regulators:</t>
        </is>
      </c>
      <c r="B33" s="765" t="inlineStr">
        <is>
          <t>NCA  ·  DGA  ·  MOI  ·  MOF  ·  YESSER  ·  MCIT</t>
        </is>
      </c>
      <c r="I33" s="747" t="inlineStr">
        <is>
          <t>International:</t>
        </is>
      </c>
      <c r="K33" s="765" t="inlineStr">
        <is>
          <t>ISO_IEC</t>
        </is>
      </c>
    </row>
    <row r="34" ht="15" customHeight="1">
      <c r="A34" s="747" t="inlineStr">
        <is>
          <t>▸ Key Frameworks:</t>
        </is>
      </c>
      <c r="B34" s="765" t="inlineStr">
        <is>
          <t>NCA-ECC-2:2024  ·  NCA-CCC-1:2020  ·  PDPL-2021  ·  DGA-CLOUD  ·  ISO-27001-2022  ·  GOV-ARCH-STANDARDS</t>
        </is>
      </c>
    </row>
    <row r="35" ht="15" customHeight="1">
      <c r="A35" s="747" t="inlineStr">
        <is>
          <t>▸ Mandatory Certs:</t>
        </is>
      </c>
      <c r="B35" s="765" t="inlineStr">
        <is>
          <t>NCA Self-Assessment (mandatory for all gov)  ·  DGA Cloud compliance</t>
        </is>
      </c>
      <c r="I35" s="747" t="inlineStr">
        <is>
          <t>▸ Audit Frequency:</t>
        </is>
      </c>
      <c r="J35" s="765" t="inlineStr">
        <is>
          <t>ANNUAL</t>
        </is>
      </c>
    </row>
    <row r="36" ht="15" customHeight="1">
      <c r="A36" s="747" t="inlineStr">
        <is>
          <t>▸ Org Types:</t>
        </is>
      </c>
      <c r="B36" s="770" t="inlineStr">
        <is>
          <t>Ministry  ·  Government Agency  ·  Royal Commission  ·  Regulatory Body  ·  Municipality</t>
        </is>
      </c>
    </row>
    <row r="38" ht="22" customHeight="1">
      <c r="A38" s="774" t="inlineStr">
        <is>
          <t xml:space="preserve">  📋  Tax / Customs / Trade  (TAX)  ·  الضرائب والجمارك والتجارة  ·  Reg Count: 5  ·  Controls: 115  ·  IoT Intensity: LOW  ·  Risk: HIGH</t>
        </is>
      </c>
    </row>
    <row r="39" ht="16" customHeight="1">
      <c r="A39" s="747" t="inlineStr">
        <is>
          <t>▸ Local Regulators:</t>
        </is>
      </c>
      <c r="B39" s="765" t="inlineStr">
        <is>
          <t>ZATCA  ·  GAC  ·  MISA</t>
        </is>
      </c>
      <c r="I39" s="747" t="inlineStr">
        <is>
          <t>International:</t>
        </is>
      </c>
      <c r="K39" s="765" t="inlineStr">
        <is>
          <t>FATF  ·  GCC_SEC</t>
        </is>
      </c>
    </row>
    <row r="40" ht="15" customHeight="1">
      <c r="A40" s="747" t="inlineStr">
        <is>
          <t>▸ Key Frameworks:</t>
        </is>
      </c>
      <c r="B40" s="765" t="inlineStr">
        <is>
          <t>ZATCA-VAT-REGS  ·  ZATCA-ETAX  ·  ZATCA-ZAKAT  ·  GCC-CUSTOMS-UNION  ·  AML-CTF-LAW</t>
        </is>
      </c>
    </row>
    <row r="41" ht="15" customHeight="1">
      <c r="A41" s="747" t="inlineStr">
        <is>
          <t>▸ Mandatory Certs:</t>
        </is>
      </c>
      <c r="B41" s="765" t="inlineStr">
        <is>
          <t>ZATCA e-invoicing compliance  ·  AEO (for importers)</t>
        </is>
      </c>
      <c r="I41" s="747" t="inlineStr">
        <is>
          <t>▸ Audit Frequency:</t>
        </is>
      </c>
      <c r="J41" s="765" t="inlineStr">
        <is>
          <t>ANNUAL</t>
        </is>
      </c>
    </row>
    <row r="42" ht="15" customHeight="1">
      <c r="A42" s="747" t="inlineStr">
        <is>
          <t>▸ Org Types:</t>
        </is>
      </c>
      <c r="B42" s="770" t="inlineStr">
        <is>
          <t>Any Business Entity  ·  Importer/Exporter  ·  E-Commerce  ·  SME</t>
        </is>
      </c>
    </row>
    <row r="44" ht="22" customHeight="1">
      <c r="A44" s="775" t="inlineStr">
        <is>
          <t xml:space="preserve">  ✅  Standards &amp; Quality  (STD)  ·  المعايير والجودة  ·  Reg Count: 4  ·  Controls: 85  ·  IoT Intensity: LOW  ·  Risk: MEDIUM</t>
        </is>
      </c>
    </row>
    <row r="45" ht="16" customHeight="1">
      <c r="A45" s="747" t="inlineStr">
        <is>
          <t>▸ Local Regulators:</t>
        </is>
      </c>
      <c r="B45" s="765" t="inlineStr">
        <is>
          <t>SASO  ·  SFDA</t>
        </is>
      </c>
      <c r="I45" s="747" t="inlineStr">
        <is>
          <t>International:</t>
        </is>
      </c>
      <c r="K45" s="765" t="inlineStr">
        <is>
          <t>ISO_IEC  ·  PCI_SSC</t>
        </is>
      </c>
    </row>
    <row r="46" ht="15" customHeight="1">
      <c r="A46" s="747" t="inlineStr">
        <is>
          <t>▸ Key Frameworks:</t>
        </is>
      </c>
      <c r="B46" s="765" t="inlineStr">
        <is>
          <t>SASO-STANDARDS  ·  ISO-9001  ·  ISO-14001  ·  SFDA-PROD-REGS</t>
        </is>
      </c>
    </row>
    <row r="47" ht="15" customHeight="1">
      <c r="A47" s="747" t="inlineStr">
        <is>
          <t>▸ Mandatory Certs:</t>
        </is>
      </c>
      <c r="B47" s="765" t="inlineStr">
        <is>
          <t>SASO IECEE  ·  SFDA product registration</t>
        </is>
      </c>
      <c r="I47" s="747" t="inlineStr">
        <is>
          <t>▸ Audit Frequency:</t>
        </is>
      </c>
      <c r="J47" s="765" t="inlineStr">
        <is>
          <t>AS_REQUIRED</t>
        </is>
      </c>
    </row>
    <row r="48" ht="15" customHeight="1">
      <c r="A48" s="747" t="inlineStr">
        <is>
          <t>▸ Org Types:</t>
        </is>
      </c>
      <c r="B48" s="770" t="inlineStr">
        <is>
          <t>Manufacturer  ·  Importer  ·  Food Producer  ·  Medical Device</t>
        </is>
      </c>
    </row>
    <row r="50" ht="22" customHeight="1">
      <c r="A50" s="776" t="inlineStr">
        <is>
          <t xml:space="preserve">  🚢  Transport &amp; Logistics  (TRN)  ·  النقل والخدمات اللوجستية  ·  Reg Count: 5  ·  Controls: 132  ·  IoT Intensity: HIGH  ·  Risk: HIGH</t>
        </is>
      </c>
    </row>
    <row r="51" ht="16" customHeight="1">
      <c r="A51" s="747" t="inlineStr">
        <is>
          <t>▸ Local Regulators:</t>
        </is>
      </c>
      <c r="B51" s="765" t="inlineStr">
        <is>
          <t>GACA  ·  MAWANI  ·  MOT  ·  SAR</t>
        </is>
      </c>
      <c r="I51" s="747" t="inlineStr">
        <is>
          <t>International:</t>
        </is>
      </c>
      <c r="K51" s="765" t="inlineStr">
        <is>
          <t>ISO_IEC</t>
        </is>
      </c>
    </row>
    <row r="52" ht="15" customHeight="1">
      <c r="A52" s="747" t="inlineStr">
        <is>
          <t>▸ Key Frameworks:</t>
        </is>
      </c>
      <c r="B52" s="765" t="inlineStr">
        <is>
          <t>GACA-REGS  ·  ICAO-STANDARDS  ·  ISPS-CODE  ·  NCA-ECC-2:2024</t>
        </is>
      </c>
    </row>
    <row r="53" ht="15" customHeight="1">
      <c r="A53" s="747" t="inlineStr">
        <is>
          <t>▸ Mandatory Certs:</t>
        </is>
      </c>
      <c r="B53" s="765" t="inlineStr">
        <is>
          <t>IATA membership (airlines)  ·  ISPS (ports)  ·  NCA ECC</t>
        </is>
      </c>
      <c r="I53" s="747" t="inlineStr">
        <is>
          <t>▸ Audit Frequency:</t>
        </is>
      </c>
      <c r="J53" s="765" t="inlineStr">
        <is>
          <t>ANNUAL</t>
        </is>
      </c>
    </row>
    <row r="54" ht="15" customHeight="1">
      <c r="A54" s="747" t="inlineStr">
        <is>
          <t>▸ Org Types:</t>
        </is>
      </c>
      <c r="B54" s="770" t="inlineStr">
        <is>
          <t>Airline  ·  Shipping Company  ·  Port Operator  ·  Rail  ·  Logistics Provider</t>
        </is>
      </c>
    </row>
    <row r="56" ht="22" customHeight="1">
      <c r="A56" s="777" t="inlineStr">
        <is>
          <t xml:space="preserve">  🏭  Industry &amp; Manufacturing  (IND)  ·  الصناعة والتصنيع  ·  Reg Count: 6  ·  Controls: 145  ·  IoT Intensity: HIGH  ·  Risk: HIGH</t>
        </is>
      </c>
    </row>
    <row r="57" ht="16" customHeight="1">
      <c r="A57" s="747" t="inlineStr">
        <is>
          <t>▸ Local Regulators:</t>
        </is>
      </c>
      <c r="B57" s="765" t="inlineStr">
        <is>
          <t>MODON  ·  RCJY  ·  MISA  ·  SASO</t>
        </is>
      </c>
      <c r="I57" s="747" t="inlineStr">
        <is>
          <t>International:</t>
        </is>
      </c>
      <c r="K57" s="765" t="inlineStr">
        <is>
          <t>ISO_IEC  ·  IAEA_BODY</t>
        </is>
      </c>
    </row>
    <row r="58" ht="15" customHeight="1">
      <c r="A58" s="747" t="inlineStr">
        <is>
          <t>▸ Key Frameworks:</t>
        </is>
      </c>
      <c r="B58" s="765" t="inlineStr">
        <is>
          <t>NCA-ECC-2:2024  ·  ISO-27001-2022  ·  IEC-62443  ·  SASO-STANDARDS  ·  MISA-REGS</t>
        </is>
      </c>
    </row>
    <row r="59" ht="15" customHeight="1">
      <c r="A59" s="747" t="inlineStr">
        <is>
          <t>▸ Mandatory Certs:</t>
        </is>
      </c>
      <c r="B59" s="765" t="inlineStr">
        <is>
          <t>ISO 9001  ·  SASO CoC  ·  MISA investment license</t>
        </is>
      </c>
      <c r="I59" s="747" t="inlineStr">
        <is>
          <t>▸ Audit Frequency:</t>
        </is>
      </c>
      <c r="J59" s="765" t="inlineStr">
        <is>
          <t>AS_REQUIRED</t>
        </is>
      </c>
    </row>
    <row r="60" ht="15" customHeight="1">
      <c r="A60" s="747" t="inlineStr">
        <is>
          <t>▸ Org Types:</t>
        </is>
      </c>
      <c r="B60" s="770" t="inlineStr">
        <is>
          <t>Factory  ·  Defense Contractor  ·  Special Economic Zone Operator</t>
        </is>
      </c>
    </row>
    <row r="62" ht="22" customHeight="1">
      <c r="A62" s="778" t="inlineStr">
        <is>
          <t xml:space="preserve">  🎓  Education &amp; Research  (EDU)  ·  التعليم والبحث  ·  Reg Count: 5  ·  Controls: 95  ·  IoT Intensity: MODERATE  ·  Risk: MEDIUM</t>
        </is>
      </c>
    </row>
    <row r="63" ht="16" customHeight="1">
      <c r="A63" s="747" t="inlineStr">
        <is>
          <t>▸ Local Regulators:</t>
        </is>
      </c>
      <c r="B63" s="765" t="inlineStr">
        <is>
          <t>MOE_ED  ·  ETEC  ·  TVTC  ·  HRDF</t>
        </is>
      </c>
      <c r="I63" s="747" t="inlineStr">
        <is>
          <t>International:</t>
        </is>
      </c>
      <c r="K63" s="765" t="inlineStr">
        <is>
          <t>ISO_IEC</t>
        </is>
      </c>
    </row>
    <row r="64" ht="15" customHeight="1">
      <c r="A64" s="747" t="inlineStr">
        <is>
          <t>▸ Key Frameworks:</t>
        </is>
      </c>
      <c r="B64" s="765" t="inlineStr">
        <is>
          <t>NCA-ECC-2:2024  ·  PDPL-2021  ·  MOE-REGS  ·  ISO-27001-2022</t>
        </is>
      </c>
    </row>
    <row r="65" ht="15" customHeight="1">
      <c r="A65" s="747" t="inlineStr">
        <is>
          <t>▸ Mandatory Certs:</t>
        </is>
      </c>
      <c r="B65" s="765" t="inlineStr">
        <is>
          <t>MOE accreditation  ·  NCA ECC (universities)</t>
        </is>
      </c>
      <c r="I65" s="747" t="inlineStr">
        <is>
          <t>▸ Audit Frequency:</t>
        </is>
      </c>
      <c r="J65" s="765" t="inlineStr">
        <is>
          <t>BIENNIAL</t>
        </is>
      </c>
    </row>
    <row r="66" ht="15" customHeight="1">
      <c r="A66" s="747" t="inlineStr">
        <is>
          <t>▸ Org Types:</t>
        </is>
      </c>
      <c r="B66" s="770" t="inlineStr">
        <is>
          <t>University  ·  School  ·  Research Institute  ·  Training Provider</t>
        </is>
      </c>
    </row>
    <row r="68" ht="22" customHeight="1">
      <c r="A68" s="764" t="inlineStr">
        <is>
          <t xml:space="preserve">  ⚖️  Legal &amp; Anti-Corruption  (LEG)  ·  القانوني ومكافحة الفساد  ·  Reg Count: 4  ·  Controls: 68  ·  IoT Intensity: LOW  ·  Risk: HIGH</t>
        </is>
      </c>
    </row>
    <row r="69" ht="16" customHeight="1">
      <c r="A69" s="747" t="inlineStr">
        <is>
          <t>▸ Local Regulators:</t>
        </is>
      </c>
      <c r="B69" s="765" t="inlineStr">
        <is>
          <t>MOJ  ·  NAZAHA  ·  DIWAN</t>
        </is>
      </c>
      <c r="I69" s="747" t="inlineStr">
        <is>
          <t>International:</t>
        </is>
      </c>
      <c r="K69" s="765" t="inlineStr">
        <is>
          <t>FATF</t>
        </is>
      </c>
    </row>
    <row r="70" ht="15" customHeight="1">
      <c r="A70" s="747" t="inlineStr">
        <is>
          <t>▸ Key Frameworks:</t>
        </is>
      </c>
      <c r="B70" s="765" t="inlineStr">
        <is>
          <t>AML-CTF-LAW  ·  NAZAHA-FRAMEWORK  ·  MOJ-REGS  ·  FATF-40</t>
        </is>
      </c>
    </row>
    <row r="71" ht="15" customHeight="1">
      <c r="A71" s="747" t="inlineStr">
        <is>
          <t>▸ Mandatory Certs:</t>
        </is>
      </c>
      <c r="B71" s="765" t="inlineStr">
        <is>
          <t>NAZAHA integrity certification</t>
        </is>
      </c>
      <c r="I71" s="747" t="inlineStr">
        <is>
          <t>▸ Audit Frequency:</t>
        </is>
      </c>
      <c r="J71" s="765" t="inlineStr">
        <is>
          <t>AS_REQUIRED</t>
        </is>
      </c>
    </row>
    <row r="72" ht="15" customHeight="1">
      <c r="A72" s="747" t="inlineStr">
        <is>
          <t>▸ Org Types:</t>
        </is>
      </c>
      <c r="B72" s="770" t="inlineStr">
        <is>
          <t>Law Firm  ·  Gov Entity  ·  Listed Company</t>
        </is>
      </c>
    </row>
    <row r="74" ht="22" customHeight="1">
      <c r="A74" s="771" t="inlineStr">
        <is>
          <t xml:space="preserve">  🌆  Giga &amp; Special Zones  (GIGA)  ·  المشاريع العملاقة والمناطق الخاصة  ·  Reg Count: 7  ·  Controls: 178  ·  IoT Intensity: HIGHEST  ·  Risk: HIGH</t>
        </is>
      </c>
    </row>
    <row r="75" ht="16" customHeight="1">
      <c r="A75" s="747" t="inlineStr">
        <is>
          <t>▸ Local Regulators:</t>
        </is>
      </c>
      <c r="B75" s="765" t="inlineStr">
        <is>
          <t>NEOM  ·  PIF  ·  RCJY  ·  MISA  ·  NHC</t>
        </is>
      </c>
      <c r="I75" s="747" t="inlineStr">
        <is>
          <t>International:</t>
        </is>
      </c>
      <c r="K75" s="765" t="inlineStr">
        <is>
          <t>ISO_IEC  ·  PCI_SSC</t>
        </is>
      </c>
    </row>
    <row r="76" ht="15" customHeight="1">
      <c r="A76" s="747" t="inlineStr">
        <is>
          <t>▸ Key Frameworks:</t>
        </is>
      </c>
      <c r="B76" s="765" t="inlineStr">
        <is>
          <t>NCA-ECC-2:2024  ·  PDPL-2021  ·  ISO-27001-2022  ·  NEOM-SMART-CITY-STDS</t>
        </is>
      </c>
    </row>
    <row r="77" ht="15" customHeight="1">
      <c r="A77" s="747" t="inlineStr">
        <is>
          <t>▸ Mandatory Certs:</t>
        </is>
      </c>
      <c r="B77" s="765" t="inlineStr">
        <is>
          <t>NCA ECC  ·  ISO 27001  ·  PDPL compliance</t>
        </is>
      </c>
      <c r="I77" s="747" t="inlineStr">
        <is>
          <t>▸ Audit Frequency:</t>
        </is>
      </c>
      <c r="J77" s="765" t="inlineStr">
        <is>
          <t>ANNUAL</t>
        </is>
      </c>
    </row>
    <row r="78" ht="15" customHeight="1">
      <c r="A78" s="747" t="inlineStr">
        <is>
          <t>▸ Org Types:</t>
        </is>
      </c>
      <c r="B78" s="770" t="inlineStr">
        <is>
          <t>Giga Project Entity  ·  Special Zone Company  ·  Smart City Operator</t>
        </is>
      </c>
    </row>
  </sheetData>
  <mergeCells count="105">
    <mergeCell ref="K75:P75"/>
    <mergeCell ref="A62:P62"/>
    <mergeCell ref="B33:H33"/>
    <mergeCell ref="B51:H51"/>
    <mergeCell ref="A68:P68"/>
    <mergeCell ref="J71:P71"/>
    <mergeCell ref="J23:P23"/>
    <mergeCell ref="B41:H41"/>
    <mergeCell ref="B10:P10"/>
    <mergeCell ref="B35:H35"/>
    <mergeCell ref="B3:H3"/>
    <mergeCell ref="B27:H27"/>
    <mergeCell ref="B36:P36"/>
    <mergeCell ref="B76:P76"/>
    <mergeCell ref="J77:P77"/>
    <mergeCell ref="B11:H11"/>
    <mergeCell ref="K33:P33"/>
    <mergeCell ref="B53:H53"/>
    <mergeCell ref="B22:P22"/>
    <mergeCell ref="A74:P74"/>
    <mergeCell ref="B46:P46"/>
    <mergeCell ref="J11:P11"/>
    <mergeCell ref="B29:H29"/>
    <mergeCell ref="A26:P26"/>
    <mergeCell ref="I69:J69"/>
    <mergeCell ref="B12:P12"/>
    <mergeCell ref="B48:P48"/>
    <mergeCell ref="I15:J15"/>
    <mergeCell ref="A8:P8"/>
    <mergeCell ref="B15:H15"/>
    <mergeCell ref="B78:P78"/>
    <mergeCell ref="I57:J57"/>
    <mergeCell ref="J29:P29"/>
    <mergeCell ref="K39:P39"/>
    <mergeCell ref="B71:H71"/>
    <mergeCell ref="A1:P1"/>
    <mergeCell ref="I33:J33"/>
    <mergeCell ref="K15:P15"/>
    <mergeCell ref="J65:P65"/>
    <mergeCell ref="B17:H17"/>
    <mergeCell ref="B57:H57"/>
    <mergeCell ref="B66:P66"/>
    <mergeCell ref="J35:P35"/>
    <mergeCell ref="K21:P21"/>
    <mergeCell ref="K51:P51"/>
    <mergeCell ref="I9:J9"/>
    <mergeCell ref="A32:P32"/>
    <mergeCell ref="K63:P63"/>
    <mergeCell ref="B9:H9"/>
    <mergeCell ref="A14:P14"/>
    <mergeCell ref="I45:J45"/>
    <mergeCell ref="A38:P38"/>
    <mergeCell ref="B5:H5"/>
    <mergeCell ref="B45:H45"/>
    <mergeCell ref="K27:P27"/>
    <mergeCell ref="B75:H75"/>
    <mergeCell ref="B47:H47"/>
    <mergeCell ref="J5:P5"/>
    <mergeCell ref="B40:P40"/>
    <mergeCell ref="B59:H59"/>
    <mergeCell ref="I21:J21"/>
    <mergeCell ref="B24:P24"/>
    <mergeCell ref="B64:P64"/>
    <mergeCell ref="B21:H21"/>
    <mergeCell ref="B39:H39"/>
    <mergeCell ref="K3:P3"/>
    <mergeCell ref="J53:P53"/>
    <mergeCell ref="K69:P69"/>
    <mergeCell ref="B23:H23"/>
    <mergeCell ref="I51:J51"/>
    <mergeCell ref="K9:P9"/>
    <mergeCell ref="B16:P16"/>
    <mergeCell ref="K45:P45"/>
    <mergeCell ref="I63:J63"/>
    <mergeCell ref="A50:P50"/>
    <mergeCell ref="B18:P18"/>
    <mergeCell ref="B58:P58"/>
    <mergeCell ref="B52:P52"/>
    <mergeCell ref="J41:P41"/>
    <mergeCell ref="B42:P42"/>
    <mergeCell ref="J47:P47"/>
    <mergeCell ref="B65:H65"/>
    <mergeCell ref="B60:P60"/>
    <mergeCell ref="I27:J27"/>
    <mergeCell ref="A20:P20"/>
    <mergeCell ref="B63:H63"/>
    <mergeCell ref="B34:P34"/>
    <mergeCell ref="A44:P44"/>
    <mergeCell ref="B28:P28"/>
    <mergeCell ref="J17:P17"/>
    <mergeCell ref="I75:J75"/>
    <mergeCell ref="B30:P30"/>
    <mergeCell ref="I3:J3"/>
    <mergeCell ref="B6:P6"/>
    <mergeCell ref="J59:P59"/>
    <mergeCell ref="K57:P57"/>
    <mergeCell ref="B77:H77"/>
    <mergeCell ref="I39:J39"/>
    <mergeCell ref="B4:P4"/>
    <mergeCell ref="B54:P54"/>
    <mergeCell ref="B72:P72"/>
    <mergeCell ref="A56:P56"/>
    <mergeCell ref="B69:H69"/>
    <mergeCell ref="B70:P70"/>
    <mergeCell ref="A2:P2"/>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O14"/>
  <sheetViews>
    <sheetView showGridLines="0" workbookViewId="0">
      <selection activeCell="A1" sqref="A1"/>
    </sheetView>
  </sheetViews>
  <sheetFormatPr baseColWidth="8" defaultRowHeight="15"/>
  <cols>
    <col width="30" customWidth="1" min="1" max="1"/>
    <col width="10" customWidth="1" min="2" max="2"/>
    <col width="12" customWidth="1" min="3" max="3"/>
    <col width="38" customWidth="1" min="4" max="4"/>
    <col width="42" customWidth="1" min="5" max="5"/>
    <col width="12" customWidth="1" min="6" max="6"/>
    <col width="20" customWidth="1" min="7" max="7"/>
    <col width="12" customWidth="1" min="8" max="8"/>
    <col width="12" customWidth="1" min="9" max="9"/>
    <col width="12" customWidth="1" min="10" max="10"/>
    <col width="12" customWidth="1" min="11" max="11"/>
    <col width="14" customWidth="1" min="12" max="12"/>
    <col width="55" customWidth="1" min="13" max="13"/>
    <col width="22" customWidth="1" min="14" max="14"/>
    <col width="10" customWidth="1" min="15" max="15"/>
  </cols>
  <sheetData>
    <row r="1" ht="28" customHeight="1">
      <c r="A1" s="779" t="inlineStr">
        <is>
          <t>🇸🇦  KSA GRC — PER ORG TYPE OBLIGATION MATRIX  ·  What applies to each type of organisation?</t>
        </is>
      </c>
    </row>
    <row r="2" ht="30" customHeight="1">
      <c r="A2" s="724" t="inlineStr">
        <is>
          <t>Org Type</t>
        </is>
      </c>
      <c r="B2" s="724" t="inlineStr">
        <is>
          <t>Sector</t>
        </is>
      </c>
      <c r="C2" s="724" t="inlineStr">
        <is>
          <t>Complexity</t>
        </is>
      </c>
      <c r="D2" s="724" t="inlineStr">
        <is>
          <t>Mandatory Regulators</t>
        </is>
      </c>
      <c r="E2" s="724" t="inlineStr">
        <is>
          <t>Mandatory Frameworks</t>
        </is>
      </c>
      <c r="F2" s="724" t="inlineStr">
        <is>
          <t>Controls Required</t>
        </is>
      </c>
      <c r="G2" s="724" t="inlineStr">
        <is>
          <t>Saudisation Target</t>
        </is>
      </c>
      <c r="H2" s="724" t="inlineStr">
        <is>
          <t>Board Required?</t>
        </is>
      </c>
      <c r="I2" s="724" t="inlineStr">
        <is>
          <t>CISO Required?</t>
        </is>
      </c>
      <c r="J2" s="724" t="inlineStr">
        <is>
          <t>DPO Required?</t>
        </is>
      </c>
      <c r="K2" s="724" t="inlineStr">
        <is>
          <t>MLRO Required?</t>
        </is>
      </c>
      <c r="L2" s="724" t="inlineStr">
        <is>
          <t>Min Org Size</t>
        </is>
      </c>
      <c r="M2" s="724" t="inlineStr">
        <is>
          <t>Mandatory Evidence (Summary)</t>
        </is>
      </c>
      <c r="N2" s="724" t="inlineStr">
        <is>
          <t>Audit Frequency</t>
        </is>
      </c>
      <c r="O2" s="724" t="inlineStr"/>
    </row>
    <row r="3" ht="60" customHeight="1">
      <c r="A3" s="742" t="inlineStr">
        <is>
          <t>Bank (Conventional or Islamic)</t>
        </is>
      </c>
      <c r="B3" s="742" t="inlineStr">
        <is>
          <t>FIN</t>
        </is>
      </c>
      <c r="C3" s="742" t="inlineStr">
        <is>
          <t>HIGHEST</t>
        </is>
      </c>
      <c r="D3" s="742" t="inlineStr">
        <is>
          <t>SAMA
NCA
SDAIA
ZATCA
NAZAHA
FATF</t>
        </is>
      </c>
      <c r="E3" s="742" t="inlineStr">
        <is>
          <t>SAMA-CSF
NCA-ECC-2:2024
PDPL-2021
FATF-40
Basel III</t>
        </is>
      </c>
      <c r="F3" s="742" t="n">
        <v>387</v>
      </c>
      <c r="G3" s="742" t="inlineStr">
        <is>
          <t>75%</t>
        </is>
      </c>
      <c r="H3" s="742" t="inlineStr">
        <is>
          <t>✅</t>
        </is>
      </c>
      <c r="I3" s="742" t="inlineStr">
        <is>
          <t>✅</t>
        </is>
      </c>
      <c r="J3" s="742" t="inlineStr">
        <is>
          <t>✅</t>
        </is>
      </c>
      <c r="K3" s="742" t="inlineStr">
        <is>
          <t>✅</t>
        </is>
      </c>
      <c r="L3" s="742" t="inlineStr">
        <is>
          <t>Medium+</t>
        </is>
      </c>
      <c r="M3" s="742" t="inlineStr">
        <is>
          <t>Annual SAMA Cyber Audit · CDD/KYC Records · STR/SAR Logs · Annual Financial Statements (IFRS)</t>
        </is>
      </c>
      <c r="N3" s="742" t="inlineStr">
        <is>
          <t>ANNUAL + CONTINUOUS</t>
        </is>
      </c>
      <c r="O3" s="742" t="inlineStr"/>
    </row>
    <row r="4" ht="60" customHeight="1">
      <c r="A4" s="743" t="inlineStr">
        <is>
          <t>Insurance Company</t>
        </is>
      </c>
      <c r="B4" s="743" t="inlineStr">
        <is>
          <t>FIN</t>
        </is>
      </c>
      <c r="C4" s="743" t="inlineStr">
        <is>
          <t>HIGH</t>
        </is>
      </c>
      <c r="D4" s="743" t="inlineStr">
        <is>
          <t>SAMA
NCA
SDAIA
CCHI
ZATCA
FATF</t>
        </is>
      </c>
      <c r="E4" s="743" t="inlineStr">
        <is>
          <t>SAMA-CSF
NCA-ECC-2:2024
PDPL-2021
CCHI-REGS
IAIS-ICP</t>
        </is>
      </c>
      <c r="F4" s="743" t="n">
        <v>265</v>
      </c>
      <c r="G4" s="743" t="inlineStr">
        <is>
          <t>75%</t>
        </is>
      </c>
      <c r="H4" s="743" t="inlineStr">
        <is>
          <t>✅</t>
        </is>
      </c>
      <c r="I4" s="743" t="inlineStr">
        <is>
          <t>✅</t>
        </is>
      </c>
      <c r="J4" s="743" t="inlineStr">
        <is>
          <t>✅</t>
        </is>
      </c>
      <c r="K4" s="743" t="inlineStr">
        <is>
          <t>✅</t>
        </is>
      </c>
      <c r="L4" s="743" t="inlineStr">
        <is>
          <t>Medium</t>
        </is>
      </c>
      <c r="M4" s="743" t="inlineStr">
        <is>
          <t>SAMA Insurance Audit · CCHI compliance report · Annual Actuarial Report · ISO 27001</t>
        </is>
      </c>
      <c r="N4" s="743" t="inlineStr">
        <is>
          <t>ANNUAL + CONTINUOUS</t>
        </is>
      </c>
      <c r="O4" s="743" t="inlineStr"/>
    </row>
    <row r="5" ht="60" customHeight="1">
      <c r="A5" s="743" t="inlineStr">
        <is>
          <t>Fintech / Payment Provider</t>
        </is>
      </c>
      <c r="B5" s="743" t="inlineStr">
        <is>
          <t>FIN</t>
        </is>
      </c>
      <c r="C5" s="743" t="inlineStr">
        <is>
          <t>HIGH</t>
        </is>
      </c>
      <c r="D5" s="743" t="inlineStr">
        <is>
          <t>SAMA
NCA
SDAIA
ZATCA
CITC
FATF</t>
        </is>
      </c>
      <c r="E5" s="743" t="inlineStr">
        <is>
          <t>SAMA-CSF
NCA-ECC-2:2024
PDPL-2021
PCI-DSS-4
FATF-40</t>
        </is>
      </c>
      <c r="F5" s="743" t="n">
        <v>298</v>
      </c>
      <c r="G5" s="743" t="inlineStr">
        <is>
          <t>40%</t>
        </is>
      </c>
      <c r="H5" s="743" t="inlineStr">
        <is>
          <t>❌</t>
        </is>
      </c>
      <c r="I5" s="743" t="inlineStr">
        <is>
          <t>✅</t>
        </is>
      </c>
      <c r="J5" s="743" t="inlineStr">
        <is>
          <t>✅</t>
        </is>
      </c>
      <c r="K5" s="743" t="inlineStr">
        <is>
          <t>✅</t>
        </is>
      </c>
      <c r="L5" s="743" t="inlineStr">
        <is>
          <t>Small+</t>
        </is>
      </c>
      <c r="M5" s="743" t="inlineStr">
        <is>
          <t>SAMA Fintech License · PCI DSS cert · AML program docs · NCA ECC self-assessment</t>
        </is>
      </c>
      <c r="N5" s="743" t="inlineStr">
        <is>
          <t>ANNUAL + CONTINUOUS</t>
        </is>
      </c>
      <c r="O5" s="743" t="inlineStr"/>
    </row>
    <row r="6" ht="60" customHeight="1">
      <c r="A6" s="742" t="inlineStr">
        <is>
          <t>Public Hospital / Health Authority</t>
        </is>
      </c>
      <c r="B6" s="742" t="inlineStr">
        <is>
          <t>HC</t>
        </is>
      </c>
      <c r="C6" s="742" t="inlineStr">
        <is>
          <t>HIGHEST</t>
        </is>
      </c>
      <c r="D6" s="742" t="inlineStr">
        <is>
          <t>MOH
CBAHI
GAHAR
NHIC
NCA
SDAIA</t>
        </is>
      </c>
      <c r="E6" s="742" t="inlineStr">
        <is>
          <t>MOH-HIS
NCA-ECC-2:2024
PDPL-2021
CBAHI-STDS
SFDA-MDR (if devices)</t>
        </is>
      </c>
      <c r="F6" s="742" t="n">
        <v>298</v>
      </c>
      <c r="G6" s="742" t="inlineStr">
        <is>
          <t>60%</t>
        </is>
      </c>
      <c r="H6" s="742" t="inlineStr">
        <is>
          <t>✅</t>
        </is>
      </c>
      <c r="I6" s="742" t="inlineStr">
        <is>
          <t>✅</t>
        </is>
      </c>
      <c r="J6" s="742" t="inlineStr">
        <is>
          <t>✅</t>
        </is>
      </c>
      <c r="K6" s="742" t="inlineStr">
        <is>
          <t>❌</t>
        </is>
      </c>
      <c r="L6" s="742" t="inlineStr">
        <is>
          <t>Large</t>
        </is>
      </c>
      <c r="M6" s="742" t="inlineStr">
        <is>
          <t>CBAHI Accreditation Certificate · MOH annual report · NHIC data exchange compliance · NCA self-assessment</t>
        </is>
      </c>
      <c r="N6" s="742" t="inlineStr">
        <is>
          <t>ANNUAL + CONTINUOUS</t>
        </is>
      </c>
      <c r="O6" s="742" t="inlineStr"/>
    </row>
    <row r="7" ht="60" customHeight="1">
      <c r="A7" s="743" t="inlineStr">
        <is>
          <t>Private Hospital / Clinic</t>
        </is>
      </c>
      <c r="B7" s="743" t="inlineStr">
        <is>
          <t>HC</t>
        </is>
      </c>
      <c r="C7" s="743" t="inlineStr">
        <is>
          <t>HIGH</t>
        </is>
      </c>
      <c r="D7" s="743" t="inlineStr">
        <is>
          <t>MOH
CCHI
CBAHI
SFDA
SCFHS
NCA</t>
        </is>
      </c>
      <c r="E7" s="743" t="inlineStr">
        <is>
          <t>MOH-HIS
NCA-ECC-2:2024
PDPL-2021
CBAHI-STDS
CCHI-REGS</t>
        </is>
      </c>
      <c r="F7" s="743" t="n">
        <v>235</v>
      </c>
      <c r="G7" s="743" t="inlineStr">
        <is>
          <t>35%</t>
        </is>
      </c>
      <c r="H7" s="743" t="inlineStr">
        <is>
          <t>❌</t>
        </is>
      </c>
      <c r="I7" s="743" t="inlineStr">
        <is>
          <t>❌</t>
        </is>
      </c>
      <c r="J7" s="743" t="inlineStr">
        <is>
          <t>✅</t>
        </is>
      </c>
      <c r="K7" s="743" t="inlineStr">
        <is>
          <t>❌</t>
        </is>
      </c>
      <c r="L7" s="743" t="inlineStr">
        <is>
          <t>Small+</t>
        </is>
      </c>
      <c r="M7" s="743" t="inlineStr">
        <is>
          <t>CCHI insurance compliance · CBAHI/GAHAR cert · MOH license · SFDA device registration</t>
        </is>
      </c>
      <c r="N7" s="743" t="inlineStr">
        <is>
          <t>ANNUAL + CONTINUOUS</t>
        </is>
      </c>
      <c r="O7" s="743" t="inlineStr"/>
    </row>
    <row r="8" ht="60" customHeight="1">
      <c r="A8" s="743" t="inlineStr">
        <is>
          <t>Telecom Operator</t>
        </is>
      </c>
      <c r="B8" s="743" t="inlineStr">
        <is>
          <t>ICT</t>
        </is>
      </c>
      <c r="C8" s="743" t="inlineStr">
        <is>
          <t>HIGH</t>
        </is>
      </c>
      <c r="D8" s="743" t="inlineStr">
        <is>
          <t>CITC
NCA
SDAIA
ZATCA
MCIT
FATF</t>
        </is>
      </c>
      <c r="E8" s="743" t="inlineStr">
        <is>
          <t>CITC-REGS
NCA-ECC-2:2024
NCA-CCC-1:2020
PDPL-2021
ISO-27001-2022</t>
        </is>
      </c>
      <c r="F8" s="743" t="n">
        <v>245</v>
      </c>
      <c r="G8" s="743" t="inlineStr">
        <is>
          <t>50%</t>
        </is>
      </c>
      <c r="H8" s="743" t="inlineStr">
        <is>
          <t>✅</t>
        </is>
      </c>
      <c r="I8" s="743" t="inlineStr">
        <is>
          <t>✅</t>
        </is>
      </c>
      <c r="J8" s="743" t="inlineStr">
        <is>
          <t>✅</t>
        </is>
      </c>
      <c r="K8" s="743" t="inlineStr">
        <is>
          <t>❌</t>
        </is>
      </c>
      <c r="L8" s="743" t="inlineStr">
        <is>
          <t>Large</t>
        </is>
      </c>
      <c r="M8" s="743" t="inlineStr">
        <is>
          <t>CITC license · NCA ECC audit · PDPL compliance cert · Annual spectrum report</t>
        </is>
      </c>
      <c r="N8" s="743" t="inlineStr">
        <is>
          <t>ANNUAL + CONTINUOUS</t>
        </is>
      </c>
      <c r="O8" s="743" t="inlineStr"/>
    </row>
    <row r="9" ht="60" customHeight="1">
      <c r="A9" s="742" t="inlineStr">
        <is>
          <t>Government Ministry / Agency</t>
        </is>
      </c>
      <c r="B9" s="742" t="inlineStr">
        <is>
          <t>GOV</t>
        </is>
      </c>
      <c r="C9" s="742" t="inlineStr">
        <is>
          <t>HIGHEST</t>
        </is>
      </c>
      <c r="D9" s="742" t="inlineStr">
        <is>
          <t>NCA
SDAIA
DGA
YESSER
MOF
MOI</t>
        </is>
      </c>
      <c r="E9" s="742" t="inlineStr">
        <is>
          <t>NCA-ECC-2:2024
NCA-CCC-1:2020
PDPL-2021
DGA-CLOUD
GOV-ARCH-STANDARDS</t>
        </is>
      </c>
      <c r="F9" s="742" t="n">
        <v>305</v>
      </c>
      <c r="G9" s="742" t="inlineStr">
        <is>
          <t>100%</t>
        </is>
      </c>
      <c r="H9" s="742" t="inlineStr">
        <is>
          <t>✅</t>
        </is>
      </c>
      <c r="I9" s="742" t="inlineStr">
        <is>
          <t>✅</t>
        </is>
      </c>
      <c r="J9" s="742" t="inlineStr">
        <is>
          <t>✅</t>
        </is>
      </c>
      <c r="K9" s="742" t="inlineStr">
        <is>
          <t>❌</t>
        </is>
      </c>
      <c r="L9" s="742" t="inlineStr">
        <is>
          <t>Large</t>
        </is>
      </c>
      <c r="M9" s="742" t="inlineStr">
        <is>
          <t>NCA self-assessment (mandatory annual) · DGA cloud compliance · SDAIA data governance report · Ministry annual report (MOF)</t>
        </is>
      </c>
      <c r="N9" s="742" t="inlineStr">
        <is>
          <t>ANNUAL + CONTINUOUS</t>
        </is>
      </c>
      <c r="O9" s="742" t="inlineStr"/>
    </row>
    <row r="10" ht="60" customHeight="1">
      <c r="A10" s="743" t="inlineStr">
        <is>
          <t>Listed Company (TADAWUL)</t>
        </is>
      </c>
      <c r="B10" s="743" t="inlineStr">
        <is>
          <t>FIN</t>
        </is>
      </c>
      <c r="C10" s="743" t="inlineStr">
        <is>
          <t>HIGH</t>
        </is>
      </c>
      <c r="D10" s="743" t="inlineStr">
        <is>
          <t>CMA
TADAWUL
NCA
SDAIA
ZATCA
NAZAHA</t>
        </is>
      </c>
      <c r="E10" s="743" t="inlineStr">
        <is>
          <t>CMA-REGS
NCA-ECC-2:2024
PDPL-2021
IFRS
ZATCA-VAT</t>
        </is>
      </c>
      <c r="F10" s="743" t="n">
        <v>250</v>
      </c>
      <c r="G10" s="743" t="inlineStr">
        <is>
          <t>75%</t>
        </is>
      </c>
      <c r="H10" s="743" t="inlineStr">
        <is>
          <t>✅</t>
        </is>
      </c>
      <c r="I10" s="743" t="inlineStr">
        <is>
          <t>✅</t>
        </is>
      </c>
      <c r="J10" s="743" t="inlineStr">
        <is>
          <t>✅</t>
        </is>
      </c>
      <c r="K10" s="743" t="inlineStr">
        <is>
          <t>✅</t>
        </is>
      </c>
      <c r="L10" s="743" t="inlineStr">
        <is>
          <t>Large</t>
        </is>
      </c>
      <c r="M10" s="743" t="inlineStr">
        <is>
          <t>Quarterly financial statements (IFRS) · Annual CMA disclosure · ESG report · Audited financial statements</t>
        </is>
      </c>
      <c r="N10" s="743" t="inlineStr">
        <is>
          <t>ANNUAL + CONTINUOUS</t>
        </is>
      </c>
      <c r="O10" s="743" t="inlineStr"/>
    </row>
    <row r="11" ht="60" customHeight="1">
      <c r="A11" s="742" t="inlineStr">
        <is>
          <t>Energy / Utility Operator</t>
        </is>
      </c>
      <c r="B11" s="742" t="inlineStr">
        <is>
          <t>ENR</t>
        </is>
      </c>
      <c r="C11" s="742" t="inlineStr">
        <is>
          <t>HIGHEST</t>
        </is>
      </c>
      <c r="D11" s="742" t="inlineStr">
        <is>
          <t>ECRA
WERA
NCA
SDAIA
MOI
KACARE (nuclear)</t>
        </is>
      </c>
      <c r="E11" s="742" t="inlineStr">
        <is>
          <t>NCA-ECC-2:2024
NCA-OTCC-1:2022
IEC-62443
ISO-27001-2022
ECRA-REGS</t>
        </is>
      </c>
      <c r="F11" s="742" t="n">
        <v>223</v>
      </c>
      <c r="G11" s="742" t="inlineStr">
        <is>
          <t>45%</t>
        </is>
      </c>
      <c r="H11" s="742" t="inlineStr">
        <is>
          <t>✅</t>
        </is>
      </c>
      <c r="I11" s="742" t="inlineStr">
        <is>
          <t>✅</t>
        </is>
      </c>
      <c r="J11" s="742" t="inlineStr">
        <is>
          <t>✅</t>
        </is>
      </c>
      <c r="K11" s="742" t="inlineStr">
        <is>
          <t>❌</t>
        </is>
      </c>
      <c r="L11" s="742" t="inlineStr">
        <is>
          <t>Enterprise</t>
        </is>
      </c>
      <c r="M11" s="742" t="inlineStr">
        <is>
          <t>NCA OTCC assessment · IEC 62443 certification (OT) · Annual ECRA compliance · Incident response drill</t>
        </is>
      </c>
      <c r="N11" s="742" t="inlineStr">
        <is>
          <t>ANNUAL + CONTINUOUS</t>
        </is>
      </c>
      <c r="O11" s="742" t="inlineStr"/>
    </row>
    <row r="12" ht="60" customHeight="1">
      <c r="A12" s="744" t="inlineStr">
        <is>
          <t>Small &amp; Medium Enterprise</t>
        </is>
      </c>
      <c r="B12" s="744" t="inlineStr">
        <is>
          <t>ALL</t>
        </is>
      </c>
      <c r="C12" s="744" t="inlineStr">
        <is>
          <t>MEDIUM</t>
        </is>
      </c>
      <c r="D12" s="744" t="inlineStr">
        <is>
          <t>NCA (risk-based)
SDAIA
ZATCA
MHRSD
SMEA</t>
        </is>
      </c>
      <c r="E12" s="744" t="inlineStr">
        <is>
          <t>NCA-ECC-2:2024 (simplified)
PDPL-2021
ZATCA-VAT
SAUDISATION</t>
        </is>
      </c>
      <c r="F12" s="744" t="n">
        <v>85</v>
      </c>
      <c r="G12" s="744" t="inlineStr">
        <is>
          <t>Nitaqat-dependent</t>
        </is>
      </c>
      <c r="H12" s="744" t="inlineStr">
        <is>
          <t>❌</t>
        </is>
      </c>
      <c r="I12" s="744" t="inlineStr">
        <is>
          <t>❌</t>
        </is>
      </c>
      <c r="J12" s="744" t="inlineStr">
        <is>
          <t>❌</t>
        </is>
      </c>
      <c r="K12" s="744" t="inlineStr">
        <is>
          <t>❌</t>
        </is>
      </c>
      <c r="L12" s="744" t="inlineStr">
        <is>
          <t>NA</t>
        </is>
      </c>
      <c r="M12" s="744" t="inlineStr">
        <is>
          <t>ZATCA VAT filing · Saudisation certificate (QIWA) · PDPL consent records · Basic cyber controls</t>
        </is>
      </c>
      <c r="N12" s="744" t="inlineStr">
        <is>
          <t>ANNUAL + CONTINUOUS</t>
        </is>
      </c>
      <c r="O12" s="744" t="inlineStr"/>
    </row>
    <row r="13" ht="60" customHeight="1">
      <c r="A13" s="743" t="inlineStr">
        <is>
          <t>Cloud Service Provider</t>
        </is>
      </c>
      <c r="B13" s="743" t="inlineStr">
        <is>
          <t>ICT</t>
        </is>
      </c>
      <c r="C13" s="743" t="inlineStr">
        <is>
          <t>HIGH</t>
        </is>
      </c>
      <c r="D13" s="743" t="inlineStr">
        <is>
          <t>NCA
SDAIA
CITC
DGA
MOI</t>
        </is>
      </c>
      <c r="E13" s="743" t="inlineStr">
        <is>
          <t>NCA-ECC-2:2024
NCA-CCC-1:2020
NCA-DCC-1:2022
PDPL-2021
ISO-27001-2022</t>
        </is>
      </c>
      <c r="F13" s="743" t="n">
        <v>280</v>
      </c>
      <c r="G13" s="743" t="inlineStr">
        <is>
          <t>30%</t>
        </is>
      </c>
      <c r="H13" s="743" t="inlineStr">
        <is>
          <t>❌</t>
        </is>
      </c>
      <c r="I13" s="743" t="inlineStr">
        <is>
          <t>✅</t>
        </is>
      </c>
      <c r="J13" s="743" t="inlineStr">
        <is>
          <t>✅</t>
        </is>
      </c>
      <c r="K13" s="743" t="inlineStr">
        <is>
          <t>❌</t>
        </is>
      </c>
      <c r="L13" s="743" t="inlineStr">
        <is>
          <t>Medium</t>
        </is>
      </c>
      <c r="M13" s="743" t="inlineStr">
        <is>
          <t>NCA CCC assessment · ISO 27001 cert · ISO 27017 cert · PDPL data residency compliance</t>
        </is>
      </c>
      <c r="N13" s="743" t="inlineStr">
        <is>
          <t>ANNUAL + CONTINUOUS</t>
        </is>
      </c>
      <c r="O13" s="743" t="inlineStr"/>
    </row>
    <row r="14" ht="60" customHeight="1">
      <c r="A14" s="742" t="inlineStr">
        <is>
          <t>Giga Project Entity (NEOM, AMAALA, etc.)</t>
        </is>
      </c>
      <c r="B14" s="742" t="inlineStr">
        <is>
          <t>GIGA</t>
        </is>
      </c>
      <c r="C14" s="742" t="inlineStr">
        <is>
          <t>HIGHEST</t>
        </is>
      </c>
      <c r="D14" s="742" t="inlineStr">
        <is>
          <t>NCA
SDAIA
MOI
PIF
MISA
ECRA (if energy)</t>
        </is>
      </c>
      <c r="E14" s="742" t="inlineStr">
        <is>
          <t>NCA-ECC-2:2024
NCA-OTCC-1:2022
PDPL-2021
ISO-27001-2022
IEC-62443</t>
        </is>
      </c>
      <c r="F14" s="742" t="n">
        <v>340</v>
      </c>
      <c r="G14" s="742" t="inlineStr">
        <is>
          <t>Giga-project SLA</t>
        </is>
      </c>
      <c r="H14" s="742" t="inlineStr">
        <is>
          <t>✅</t>
        </is>
      </c>
      <c r="I14" s="742" t="inlineStr">
        <is>
          <t>✅</t>
        </is>
      </c>
      <c r="J14" s="742" t="inlineStr">
        <is>
          <t>✅</t>
        </is>
      </c>
      <c r="K14" s="742" t="inlineStr">
        <is>
          <t>✅</t>
        </is>
      </c>
      <c r="L14" s="742" t="inlineStr">
        <is>
          <t>Enterprise</t>
        </is>
      </c>
      <c r="M14" s="742" t="inlineStr">
        <is>
          <t>PIF investment compliance · NCA ECC · SDAIA AI governance · Smart city security audit</t>
        </is>
      </c>
      <c r="N14" s="742" t="inlineStr">
        <is>
          <t>ANNUAL + CONTINUOUS</t>
        </is>
      </c>
      <c r="O14" s="742" t="inlineStr"/>
    </row>
  </sheetData>
  <mergeCells count="1">
    <mergeCell ref="A1:O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L18"/>
  <sheetViews>
    <sheetView showGridLines="0" workbookViewId="0">
      <selection activeCell="A1" sqref="A1"/>
    </sheetView>
  </sheetViews>
  <sheetFormatPr baseColWidth="8" defaultRowHeight="15"/>
  <cols>
    <col width="22" customWidth="1" min="1" max="1"/>
    <col width="16" customWidth="1" min="2" max="2"/>
    <col width="20" customWidth="1" min="3" max="3"/>
    <col width="14" customWidth="1" min="4" max="4"/>
    <col width="18" customWidth="1" min="5" max="5"/>
    <col width="14" customWidth="1" min="6" max="6"/>
    <col width="38" customWidth="1" min="7" max="7"/>
    <col width="38" customWidth="1" min="8" max="8"/>
    <col width="26" customWidth="1" min="9" max="9"/>
    <col width="20" customWidth="1" min="10" max="10"/>
    <col width="18" customWidth="1" min="11" max="11"/>
    <col width="30" customWidth="1" min="12" max="12"/>
  </cols>
  <sheetData>
    <row r="1" ht="28" customHeight="1">
      <c r="A1" s="780" t="inlineStr">
        <is>
          <t>🇸🇦  KSA GRC — ORGANISATION SIZE COMPLIANCE GUIDE  ·  Micro → SIFI</t>
        </is>
      </c>
    </row>
    <row r="2" ht="30" customHeight="1">
      <c r="A2" s="781" t="inlineStr">
        <is>
          <t>Size Tier</t>
        </is>
      </c>
      <c r="B2" s="781" t="inlineStr">
        <is>
          <t>Employees</t>
        </is>
      </c>
      <c r="C2" s="781" t="inlineStr">
        <is>
          <t>Revenue</t>
        </is>
      </c>
      <c r="D2" s="781" t="inlineStr">
        <is>
          <t>Complexity</t>
        </is>
      </c>
      <c r="E2" s="781" t="inlineStr">
        <is>
          <t>Frameworks Required</t>
        </is>
      </c>
      <c r="F2" s="781" t="inlineStr">
        <is>
          <t>Controls Required</t>
        </is>
      </c>
      <c r="G2" s="781" t="inlineStr">
        <is>
          <t>NCA Level</t>
        </is>
      </c>
      <c r="H2" s="781" t="inlineStr">
        <is>
          <t>PDPL Level</t>
        </is>
      </c>
      <c r="I2" s="781" t="inlineStr">
        <is>
          <t>Audit Requirement</t>
        </is>
      </c>
      <c r="J2" s="781" t="inlineStr">
        <is>
          <t>Saudisation</t>
        </is>
      </c>
      <c r="K2" s="781" t="inlineStr">
        <is>
          <t>Est. Annual Compliance Cost (SAR)</t>
        </is>
      </c>
      <c r="L2" s="781" t="inlineStr">
        <is>
          <t>Regulatory Burden Score (0-100)</t>
        </is>
      </c>
    </row>
    <row r="3" ht="45" customHeight="1">
      <c r="A3" s="782" t="inlineStr">
        <is>
          <t>Micro (متناهية الصغر)</t>
        </is>
      </c>
      <c r="B3" s="782" t="inlineStr">
        <is>
          <t>1–9</t>
        </is>
      </c>
      <c r="C3" s="782" t="inlineStr">
        <is>
          <t>&lt; SAR 3M</t>
        </is>
      </c>
      <c r="D3" s="782" t="inlineStr">
        <is>
          <t>BASIC</t>
        </is>
      </c>
      <c r="E3" s="782" t="n">
        <v>2</v>
      </c>
      <c r="F3" s="782" t="n">
        <v>25</v>
      </c>
      <c r="G3" s="782" t="inlineStr">
        <is>
          <t>Awareness only</t>
        </is>
      </c>
      <c r="H3" s="782" t="inlineStr">
        <is>
          <t>Consent + basic records</t>
        </is>
      </c>
      <c r="I3" s="782" t="inlineStr">
        <is>
          <t>Self-assessment only</t>
        </is>
      </c>
      <c r="J3" s="782" t="inlineStr">
        <is>
          <t>Nitaqat Platinum Exempt</t>
        </is>
      </c>
      <c r="K3" s="782" t="inlineStr">
        <is>
          <t>5,000–15,000</t>
        </is>
      </c>
      <c r="L3" s="782" t="n">
        <v>15</v>
      </c>
    </row>
    <row r="4" ht="45" customHeight="1">
      <c r="A4" s="744" t="inlineStr">
        <is>
          <t>Small (صغيرة)</t>
        </is>
      </c>
      <c r="B4" s="744" t="inlineStr">
        <is>
          <t>10–49</t>
        </is>
      </c>
      <c r="C4" s="744" t="inlineStr">
        <is>
          <t>SAR 3M–40M</t>
        </is>
      </c>
      <c r="D4" s="744" t="inlineStr">
        <is>
          <t>STANDARD</t>
        </is>
      </c>
      <c r="E4" s="744" t="n">
        <v>4</v>
      </c>
      <c r="F4" s="744" t="n">
        <v>65</v>
      </c>
      <c r="G4" s="744" t="inlineStr">
        <is>
          <t>NCA ECC awareness + basic controls</t>
        </is>
      </c>
      <c r="H4" s="744" t="inlineStr">
        <is>
          <t>Full PDPL compliance</t>
        </is>
      </c>
      <c r="I4" s="744" t="inlineStr">
        <is>
          <t>Internal + periodic external</t>
        </is>
      </c>
      <c r="J4" s="744" t="inlineStr">
        <is>
          <t>Nitaqat (sector-dependent)</t>
        </is>
      </c>
      <c r="K4" s="744" t="inlineStr">
        <is>
          <t>30,000–120,000</t>
        </is>
      </c>
      <c r="L4" s="744" t="n">
        <v>35</v>
      </c>
    </row>
    <row r="5" ht="45" customHeight="1">
      <c r="A5" s="743" t="inlineStr">
        <is>
          <t>Medium (متوسطة)</t>
        </is>
      </c>
      <c r="B5" s="743" t="inlineStr">
        <is>
          <t>50–249</t>
        </is>
      </c>
      <c r="C5" s="743" t="inlineStr">
        <is>
          <t>SAR 40M–200M</t>
        </is>
      </c>
      <c r="D5" s="743" t="inlineStr">
        <is>
          <t>ENHANCED</t>
        </is>
      </c>
      <c r="E5" s="743" t="n">
        <v>6</v>
      </c>
      <c r="F5" s="743" t="n">
        <v>120</v>
      </c>
      <c r="G5" s="743" t="inlineStr">
        <is>
          <t>Full NCA ECC self-assessment</t>
        </is>
      </c>
      <c r="H5" s="743" t="inlineStr">
        <is>
          <t>Full PDPL + DPO if processing sensitive</t>
        </is>
      </c>
      <c r="I5" s="743" t="inlineStr">
        <is>
          <t>Annual external audit</t>
        </is>
      </c>
      <c r="J5" s="743" t="inlineStr">
        <is>
          <t>Nitaqat mandatory</t>
        </is>
      </c>
      <c r="K5" s="743" t="inlineStr">
        <is>
          <t>150,000–500,000</t>
        </is>
      </c>
      <c r="L5" s="743" t="n">
        <v>55</v>
      </c>
    </row>
    <row r="6" ht="45" customHeight="1">
      <c r="A6" s="783" t="inlineStr">
        <is>
          <t>Large (كبيرة)</t>
        </is>
      </c>
      <c r="B6" s="783" t="inlineStr">
        <is>
          <t>250–999</t>
        </is>
      </c>
      <c r="C6" s="783" t="inlineStr">
        <is>
          <t>SAR 200M–1B</t>
        </is>
      </c>
      <c r="D6" s="783" t="inlineStr">
        <is>
          <t>ADVANCED</t>
        </is>
      </c>
      <c r="E6" s="783" t="n">
        <v>8</v>
      </c>
      <c r="F6" s="783" t="n">
        <v>220</v>
      </c>
      <c r="G6" s="783" t="inlineStr">
        <is>
          <t>Full NCA ECC + sector overlay</t>
        </is>
      </c>
      <c r="H6" s="783" t="inlineStr">
        <is>
          <t>DPO mandatory (if processing &gt;threshold)</t>
        </is>
      </c>
      <c r="I6" s="783" t="inlineStr">
        <is>
          <t>Annual external + regulator inspection</t>
        </is>
      </c>
      <c r="J6" s="783" t="inlineStr">
        <is>
          <t>Nitaqat mandatory + Vision 2030 targets</t>
        </is>
      </c>
      <c r="K6" s="783" t="inlineStr">
        <is>
          <t>700,000–3,000,000</t>
        </is>
      </c>
      <c r="L6" s="783" t="n">
        <v>72</v>
      </c>
    </row>
    <row r="7" ht="45" customHeight="1">
      <c r="A7" s="784" t="inlineStr">
        <is>
          <t>Enterprise (مؤسسة كبرى)</t>
        </is>
      </c>
      <c r="B7" s="784" t="inlineStr">
        <is>
          <t>1,000+</t>
        </is>
      </c>
      <c r="C7" s="784" t="inlineStr">
        <is>
          <t>&gt; SAR 1B</t>
        </is>
      </c>
      <c r="D7" s="784" t="inlineStr">
        <is>
          <t>FULL</t>
        </is>
      </c>
      <c r="E7" s="784" t="n">
        <v>12</v>
      </c>
      <c r="F7" s="784" t="n">
        <v>385</v>
      </c>
      <c r="G7" s="784" t="inlineStr">
        <is>
          <t>Full NCA ECC + sector overlay + SOC</t>
        </is>
      </c>
      <c r="H7" s="784" t="inlineStr">
        <is>
          <t>Full DPO + cross-border transfers</t>
        </is>
      </c>
      <c r="I7" s="784" t="inlineStr">
        <is>
          <t>Annual external + regulator + board oversight</t>
        </is>
      </c>
      <c r="J7" s="784" t="inlineStr">
        <is>
          <t>Nitaqat Platinum target</t>
        </is>
      </c>
      <c r="K7" s="784" t="inlineStr">
        <is>
          <t>3,000,000–15,000,000</t>
        </is>
      </c>
      <c r="L7" s="784" t="n">
        <v>88</v>
      </c>
    </row>
    <row r="8" ht="45" customHeight="1">
      <c r="A8" s="785" t="inlineStr">
        <is>
          <t>Systemically Important (SIFI) (مؤسسة ذات أهمية نظامية)</t>
        </is>
      </c>
      <c r="B8" s="785" t="inlineStr">
        <is>
          <t>Varies</t>
        </is>
      </c>
      <c r="C8" s="785" t="inlineStr">
        <is>
          <t>Tier-1 by SAMA</t>
        </is>
      </c>
      <c r="D8" s="785" t="inlineStr">
        <is>
          <t>MAXIMUM</t>
        </is>
      </c>
      <c r="E8" s="785" t="n">
        <v>15</v>
      </c>
      <c r="F8" s="785" t="n">
        <v>500</v>
      </c>
      <c r="G8" s="785" t="inlineStr">
        <is>
          <t>Full NCA ECC + OTCC + dedicated NCA team</t>
        </is>
      </c>
      <c r="H8" s="785" t="inlineStr">
        <is>
          <t>Full compliance + cross-border + AI governance</t>
        </is>
      </c>
      <c r="I8" s="785" t="inlineStr">
        <is>
          <t>Continuous regulatory oversight + quarterly reporting</t>
        </is>
      </c>
      <c r="J8" s="785" t="inlineStr">
        <is>
          <t>Vision 2030 leadership targets</t>
        </is>
      </c>
      <c r="K8" s="785" t="inlineStr">
        <is>
          <t>15,000,000+</t>
        </is>
      </c>
      <c r="L8" s="785" t="n">
        <v>100</v>
      </c>
    </row>
    <row r="11" ht="18" customHeight="1">
      <c r="A11" s="772" t="inlineStr">
        <is>
          <t xml:space="preserve">  KEY FRAMEWORKS PER SIZE TIER</t>
        </is>
      </c>
    </row>
    <row r="12" ht="30" customHeight="1">
      <c r="A12" s="786" t="inlineStr">
        <is>
          <t>Size</t>
        </is>
      </c>
      <c r="B12" s="786" t="inlineStr">
        <is>
          <t>Framework 1</t>
        </is>
      </c>
      <c r="C12" s="786" t="inlineStr">
        <is>
          <t>Framework 2</t>
        </is>
      </c>
      <c r="D12" s="786" t="inlineStr">
        <is>
          <t>Framework 3</t>
        </is>
      </c>
      <c r="E12" s="786" t="inlineStr">
        <is>
          <t>Framework 4</t>
        </is>
      </c>
      <c r="F12" s="786" t="inlineStr">
        <is>
          <t>Framework 5</t>
        </is>
      </c>
      <c r="G12" s="786" t="inlineStr">
        <is>
          <t>Framework 6</t>
        </is>
      </c>
      <c r="H12" s="786" t="inlineStr">
        <is>
          <t>Evidence Type 1</t>
        </is>
      </c>
      <c r="I12" s="786" t="inlineStr">
        <is>
          <t>Evidence Type 2</t>
        </is>
      </c>
      <c r="J12" s="786" t="inlineStr">
        <is>
          <t>Evidence Type 3</t>
        </is>
      </c>
      <c r="K12" s="786" t="inlineStr">
        <is>
          <t>Controls</t>
        </is>
      </c>
      <c r="L12" s="786" t="inlineStr">
        <is>
          <t>Notes</t>
        </is>
      </c>
    </row>
    <row r="13">
      <c r="A13" s="787" t="inlineStr">
        <is>
          <t>Micro</t>
        </is>
      </c>
      <c r="B13" s="787" t="inlineStr">
        <is>
          <t>PDPL-2021 (basic)</t>
        </is>
      </c>
      <c r="C13" s="787" t="inlineStr">
        <is>
          <t>ZATCA-VAT</t>
        </is>
      </c>
      <c r="D13" s="787" t="inlineStr">
        <is>
          <t>-</t>
        </is>
      </c>
      <c r="E13" s="787" t="inlineStr">
        <is>
          <t>-</t>
        </is>
      </c>
      <c r="F13" s="787" t="inlineStr">
        <is>
          <t>-</t>
        </is>
      </c>
      <c r="G13" s="787" t="inlineStr">
        <is>
          <t>-</t>
        </is>
      </c>
      <c r="H13" s="787" t="inlineStr">
        <is>
          <t>VAT filing</t>
        </is>
      </c>
      <c r="I13" s="787" t="inlineStr">
        <is>
          <t>Basic privacy notice</t>
        </is>
      </c>
      <c r="J13" s="787" t="inlineStr">
        <is>
          <t>-</t>
        </is>
      </c>
      <c r="K13" s="787" t="n">
        <v>25</v>
      </c>
      <c r="L13" s="787" t="inlineStr">
        <is>
          <t>-</t>
        </is>
      </c>
    </row>
    <row r="14">
      <c r="A14" s="787" t="inlineStr">
        <is>
          <t>Small</t>
        </is>
      </c>
      <c r="B14" s="787" t="inlineStr">
        <is>
          <t>NCA-ECC-2:2024 (simplified)</t>
        </is>
      </c>
      <c r="C14" s="787" t="inlineStr">
        <is>
          <t>PDPL-2021</t>
        </is>
      </c>
      <c r="D14" s="787" t="inlineStr">
        <is>
          <t>ZATCA-VAT</t>
        </is>
      </c>
      <c r="E14" s="787" t="inlineStr">
        <is>
          <t>SAUDISATION</t>
        </is>
      </c>
      <c r="F14" s="787" t="inlineStr">
        <is>
          <t>-</t>
        </is>
      </c>
      <c r="G14" s="787" t="inlineStr">
        <is>
          <t>-</t>
        </is>
      </c>
      <c r="H14" s="787" t="inlineStr">
        <is>
          <t>Annual self-assessment</t>
        </is>
      </c>
      <c r="I14" s="787" t="inlineStr">
        <is>
          <t>PDPL records</t>
        </is>
      </c>
      <c r="J14" s="787" t="inlineStr">
        <is>
          <t>HR Nitaqat cert</t>
        </is>
      </c>
      <c r="K14" s="787" t="n">
        <v>65</v>
      </c>
      <c r="L14" s="787" t="inlineStr">
        <is>
          <t>-</t>
        </is>
      </c>
    </row>
    <row r="15">
      <c r="A15" s="787" t="inlineStr">
        <is>
          <t>Medium</t>
        </is>
      </c>
      <c r="B15" s="787" t="inlineStr">
        <is>
          <t>NCA-ECC-2:2024</t>
        </is>
      </c>
      <c r="C15" s="787" t="inlineStr">
        <is>
          <t>PDPL-2021</t>
        </is>
      </c>
      <c r="D15" s="787" t="inlineStr">
        <is>
          <t>ISO-27001-2022</t>
        </is>
      </c>
      <c r="E15" s="787" t="inlineStr">
        <is>
          <t>ZATCA</t>
        </is>
      </c>
      <c r="F15" s="787" t="inlineStr">
        <is>
          <t>SAUDISATION</t>
        </is>
      </c>
      <c r="G15" s="787" t="inlineStr">
        <is>
          <t>Sector-specific</t>
        </is>
      </c>
      <c r="H15" s="787" t="inlineStr">
        <is>
          <t>NCA self-assessment</t>
        </is>
      </c>
      <c r="I15" s="787" t="inlineStr">
        <is>
          <t>External audit report</t>
        </is>
      </c>
      <c r="J15" s="787" t="inlineStr">
        <is>
          <t>PDPL DPIA</t>
        </is>
      </c>
      <c r="K15" s="787" t="n">
        <v>120</v>
      </c>
      <c r="L15" s="787" t="inlineStr">
        <is>
          <t>-</t>
        </is>
      </c>
    </row>
    <row r="16">
      <c r="A16" s="787" t="inlineStr">
        <is>
          <t>Large</t>
        </is>
      </c>
      <c r="B16" s="787" t="inlineStr">
        <is>
          <t>NCA-ECC-2:2024</t>
        </is>
      </c>
      <c r="C16" s="787" t="inlineStr">
        <is>
          <t>PDPL-2021</t>
        </is>
      </c>
      <c r="D16" s="787" t="inlineStr">
        <is>
          <t>ISO-27001-2022</t>
        </is>
      </c>
      <c r="E16" s="787" t="inlineStr">
        <is>
          <t>Sector-specific (3–5 FW)</t>
        </is>
      </c>
      <c r="F16" s="787" t="inlineStr">
        <is>
          <t>ZATCA</t>
        </is>
      </c>
      <c r="G16" s="787" t="inlineStr">
        <is>
          <t>FATF (if financial)</t>
        </is>
      </c>
      <c r="H16" s="787" t="inlineStr">
        <is>
          <t>NCA external audit</t>
        </is>
      </c>
      <c r="I16" s="787" t="inlineStr">
        <is>
          <t>PDPL DPO annual report</t>
        </is>
      </c>
      <c r="J16" s="787" t="inlineStr">
        <is>
          <t>ISO 27001 cert</t>
        </is>
      </c>
      <c r="K16" s="787" t="n">
        <v>220</v>
      </c>
      <c r="L16" s="787" t="inlineStr">
        <is>
          <t>-</t>
        </is>
      </c>
    </row>
    <row r="17">
      <c r="A17" s="787" t="inlineStr">
        <is>
          <t>Enterprise</t>
        </is>
      </c>
      <c r="B17" s="787" t="inlineStr">
        <is>
          <t>NCA-ECC-2:2024</t>
        </is>
      </c>
      <c r="C17" s="787" t="inlineStr">
        <is>
          <t>NCA-OTCC/CCC/DCC</t>
        </is>
      </c>
      <c r="D17" s="787" t="inlineStr">
        <is>
          <t>PDPL-2021</t>
        </is>
      </c>
      <c r="E17" s="787" t="inlineStr">
        <is>
          <t>ISO-27001-2022</t>
        </is>
      </c>
      <c r="F17" s="787" t="inlineStr">
        <is>
          <t>All sector frameworks</t>
        </is>
      </c>
      <c r="G17" s="787" t="inlineStr">
        <is>
          <t>FATF</t>
        </is>
      </c>
      <c r="H17" s="787" t="inlineStr">
        <is>
          <t>CISO board report</t>
        </is>
      </c>
      <c r="I17" s="787" t="inlineStr">
        <is>
          <t>External cyber audit</t>
        </is>
      </c>
      <c r="J17" s="787" t="inlineStr">
        <is>
          <t>Regulator inspection evidence</t>
        </is>
      </c>
      <c r="K17" s="787" t="n">
        <v>385</v>
      </c>
      <c r="L17" s="787" t="inlineStr">
        <is>
          <t>-</t>
        </is>
      </c>
    </row>
    <row r="18">
      <c r="A18" s="787" t="inlineStr">
        <is>
          <t>Systemically Important (SIFI)</t>
        </is>
      </c>
      <c r="B18" s="787" t="inlineStr">
        <is>
          <t>ALL NCA frameworks</t>
        </is>
      </c>
      <c r="C18" s="787" t="inlineStr">
        <is>
          <t>PDPL-2021 + IR</t>
        </is>
      </c>
      <c r="D18" s="787" t="inlineStr">
        <is>
          <t>SAMA-CSF (if FIN)</t>
        </is>
      </c>
      <c r="E18" s="787" t="inlineStr">
        <is>
          <t>Basel II/III/IV (if bank)</t>
        </is>
      </c>
      <c r="F18" s="787" t="inlineStr">
        <is>
          <t>FATF</t>
        </is>
      </c>
      <c r="G18" s="787" t="inlineStr">
        <is>
          <t>AAOIFI (if Islamic)</t>
        </is>
      </c>
      <c r="H18" s="787" t="inlineStr">
        <is>
          <t>Quarterly SAMA/NCA reporting</t>
        </is>
      </c>
      <c r="I18" s="787" t="inlineStr">
        <is>
          <t>IFRS audited statements</t>
        </is>
      </c>
      <c r="J18" s="787" t="inlineStr">
        <is>
          <t>Systemic risk assessment</t>
        </is>
      </c>
      <c r="K18" s="787" t="n">
        <v>500</v>
      </c>
      <c r="L18" s="787" t="inlineStr">
        <is>
          <t>-</t>
        </is>
      </c>
    </row>
  </sheetData>
  <mergeCells count="2">
    <mergeCell ref="A11:L11"/>
    <mergeCell ref="A1:L1"/>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N25"/>
  <sheetViews>
    <sheetView showGridLines="0" workbookViewId="0">
      <selection activeCell="A1" sqref="A1"/>
    </sheetView>
  </sheetViews>
  <sheetFormatPr baseColWidth="8" defaultRowHeight="15"/>
  <cols>
    <col width="24" customWidth="1" min="1" max="1"/>
    <col width="48" customWidth="1" min="2" max="2"/>
    <col width="10" customWidth="1" min="3" max="3"/>
    <col width="12" customWidth="1" min="4" max="4"/>
    <col width="38" customWidth="1" min="5" max="5"/>
    <col width="24" customWidth="1" min="6" max="6"/>
    <col width="8" customWidth="1" min="7" max="7"/>
    <col width="18" customWidth="1" min="8" max="8"/>
    <col width="55" customWidth="1" min="9" max="9"/>
    <col width="22" customWidth="1" min="10" max="10"/>
    <col width="14" customWidth="1" min="11" max="11"/>
    <col width="14" customWidth="1" min="12" max="12"/>
    <col width="55" customWidth="1" min="13" max="13"/>
    <col width="10" customWidth="1" min="14" max="14"/>
  </cols>
  <sheetData>
    <row r="1" ht="28" customHeight="1">
      <c r="A1" s="788" t="inlineStr">
        <is>
          <t>🇸🇦  KSA FRAMEWORK MASTER  ·  All Mandatory + Key Frameworks with Control Counts, Evidence, Risk Domain</t>
        </is>
      </c>
    </row>
    <row r="2" ht="30" customHeight="1">
      <c r="A2" s="789" t="inlineStr">
        <is>
          <t>Framework Code</t>
        </is>
      </c>
      <c r="B2" s="789" t="inlineStr">
        <is>
          <t>Framework Name</t>
        </is>
      </c>
      <c r="C2" s="789" t="inlineStr">
        <is>
          <t>Domains</t>
        </is>
      </c>
      <c r="D2" s="789" t="inlineStr">
        <is>
          <t>Controls</t>
        </is>
      </c>
      <c r="E2" s="789" t="inlineStr">
        <is>
          <t>Mandatory For</t>
        </is>
      </c>
      <c r="F2" s="789" t="inlineStr">
        <is>
          <t>Sectors</t>
        </is>
      </c>
      <c r="G2" s="789" t="inlineStr">
        <is>
          <t>Tier</t>
        </is>
      </c>
      <c r="H2" s="789" t="inlineStr">
        <is>
          <t>Audit Frequency</t>
        </is>
      </c>
      <c r="I2" s="789" t="inlineStr">
        <is>
          <t>Evidence Type Required</t>
        </is>
      </c>
      <c r="J2" s="789" t="inlineStr">
        <is>
          <t>Risk Domain</t>
        </is>
      </c>
      <c r="K2" s="789" t="inlineStr">
        <is>
          <t>Effective Date</t>
        </is>
      </c>
      <c r="L2" s="789" t="inlineStr">
        <is>
          <t>Issuing Body</t>
        </is>
      </c>
      <c r="M2" s="789" t="inlineStr">
        <is>
          <t>Key Notes</t>
        </is>
      </c>
      <c r="N2" s="789" t="inlineStr"/>
    </row>
    <row r="3" ht="35" customHeight="1">
      <c r="A3" s="742" t="inlineStr">
        <is>
          <t>NCA-ECC-2:2024</t>
        </is>
      </c>
      <c r="B3" s="742" t="inlineStr">
        <is>
          <t>NCA Essential Cybersecurity Controls v2</t>
        </is>
      </c>
      <c r="C3" s="742" t="n">
        <v>4</v>
      </c>
      <c r="D3" s="742" t="n">
        <v>108</v>
      </c>
      <c r="E3" s="742" t="inlineStr">
        <is>
          <t>ALL KSA entities</t>
        </is>
      </c>
      <c r="F3" s="742" t="inlineStr">
        <is>
          <t>ALL</t>
        </is>
      </c>
      <c r="G3" s="742" t="inlineStr">
        <is>
          <t>T1</t>
        </is>
      </c>
      <c r="H3" s="742" t="inlineStr">
        <is>
          <t>ANNUAL</t>
        </is>
      </c>
      <c r="I3" s="742" t="inlineStr">
        <is>
          <t>NCA Self-Assessment + External Audit</t>
        </is>
      </c>
      <c r="J3" s="742" t="inlineStr">
        <is>
          <t>Cyber</t>
        </is>
      </c>
      <c r="K3" s="742" t="inlineStr">
        <is>
          <t>2024-01-01</t>
        </is>
      </c>
      <c r="L3" s="742" t="inlineStr">
        <is>
          <t>NCA</t>
        </is>
      </c>
      <c r="M3" s="742" t="inlineStr">
        <is>
          <t>Supersedes ECC v1 (2018). Mandatory for all organisations.</t>
        </is>
      </c>
      <c r="N3" s="742" t="inlineStr"/>
    </row>
    <row r="4" ht="35" customHeight="1">
      <c r="A4" s="742" t="inlineStr">
        <is>
          <t>NCA-OTCC-1:2022</t>
        </is>
      </c>
      <c r="B4" s="742" t="inlineStr">
        <is>
          <t>NCA Operational Technology Cybersecurity Controls</t>
        </is>
      </c>
      <c r="C4" s="742" t="n">
        <v>4</v>
      </c>
      <c r="D4" s="742" t="n">
        <v>53</v>
      </c>
      <c r="E4" s="742" t="inlineStr">
        <is>
          <t>CNI, Energy, HC with OT/IoMT</t>
        </is>
      </c>
      <c r="F4" s="742" t="inlineStr">
        <is>
          <t>ENR,HC,IND,TRN</t>
        </is>
      </c>
      <c r="G4" s="742" t="inlineStr">
        <is>
          <t>T1</t>
        </is>
      </c>
      <c r="H4" s="742" t="inlineStr">
        <is>
          <t>BIENNIAL</t>
        </is>
      </c>
      <c r="I4" s="742" t="inlineStr">
        <is>
          <t>NCA OTCC Self-Assessment + IEC 62443 audit</t>
        </is>
      </c>
      <c r="J4" s="742" t="inlineStr">
        <is>
          <t>OT/ICS Cyber</t>
        </is>
      </c>
      <c r="K4" s="742" t="inlineStr">
        <is>
          <t>2022-01-01</t>
        </is>
      </c>
      <c r="L4" s="742" t="inlineStr">
        <is>
          <t>NCA</t>
        </is>
      </c>
      <c r="M4" s="742" t="inlineStr">
        <is>
          <t>Critical for hospitals with medical devices, smart grids</t>
        </is>
      </c>
      <c r="N4" s="742" t="inlineStr"/>
    </row>
    <row r="5" ht="35" customHeight="1">
      <c r="A5" s="742" t="inlineStr">
        <is>
          <t>NCA-CCC-1:2020</t>
        </is>
      </c>
      <c r="B5" s="742" t="inlineStr">
        <is>
          <t>NCA Cloud Cybersecurity Controls</t>
        </is>
      </c>
      <c r="C5" s="742" t="n">
        <v>3</v>
      </c>
      <c r="D5" s="742" t="n">
        <v>67</v>
      </c>
      <c r="E5" s="742" t="inlineStr">
        <is>
          <t>Cloud users + Cloud providers</t>
        </is>
      </c>
      <c r="F5" s="742" t="inlineStr">
        <is>
          <t>ALL (cloud users)</t>
        </is>
      </c>
      <c r="G5" s="742" t="inlineStr">
        <is>
          <t>T1</t>
        </is>
      </c>
      <c r="H5" s="742" t="inlineStr">
        <is>
          <t>ANNUAL</t>
        </is>
      </c>
      <c r="I5" s="742" t="inlineStr">
        <is>
          <t>NCA CCC Assessment + Cloud audit log</t>
        </is>
      </c>
      <c r="J5" s="742" t="inlineStr">
        <is>
          <t>Cloud Cyber</t>
        </is>
      </c>
      <c r="K5" s="742" t="inlineStr">
        <is>
          <t>2020-01-01</t>
        </is>
      </c>
      <c r="L5" s="742" t="inlineStr">
        <is>
          <t>NCA</t>
        </is>
      </c>
      <c r="M5" s="742" t="inlineStr">
        <is>
          <t>Applies to any Gov/regulated entity using cloud</t>
        </is>
      </c>
      <c r="N5" s="742" t="inlineStr"/>
    </row>
    <row r="6" ht="35" customHeight="1">
      <c r="A6" s="742" t="inlineStr">
        <is>
          <t>NCA-DCC-1:2022</t>
        </is>
      </c>
      <c r="B6" s="742" t="inlineStr">
        <is>
          <t>NCA Data Cybersecurity Controls</t>
        </is>
      </c>
      <c r="C6" s="742" t="n">
        <v>3</v>
      </c>
      <c r="D6" s="742" t="n">
        <v>40</v>
      </c>
      <c r="E6" s="742" t="inlineStr">
        <is>
          <t>High/Top Secret data handlers</t>
        </is>
      </c>
      <c r="F6" s="742" t="inlineStr">
        <is>
          <t>GOV,FIN,HC,CYB</t>
        </is>
      </c>
      <c r="G6" s="742" t="inlineStr">
        <is>
          <t>T1</t>
        </is>
      </c>
      <c r="H6" s="742" t="inlineStr">
        <is>
          <t>ANNUAL</t>
        </is>
      </c>
      <c r="I6" s="742" t="inlineStr">
        <is>
          <t>DCC Self-Assessment + data classification report</t>
        </is>
      </c>
      <c r="J6" s="742" t="inlineStr">
        <is>
          <t>Data Security</t>
        </is>
      </c>
      <c r="K6" s="742" t="inlineStr">
        <is>
          <t>2022-01-01</t>
        </is>
      </c>
      <c r="L6" s="742" t="inlineStr">
        <is>
          <t>NCA</t>
        </is>
      </c>
      <c r="M6" s="742" t="inlineStr">
        <is>
          <t>Mandatory when NCA-ECC data controls are insufficient</t>
        </is>
      </c>
      <c r="N6" s="742" t="inlineStr"/>
    </row>
    <row r="7" ht="35" customHeight="1">
      <c r="A7" s="742" t="inlineStr">
        <is>
          <t>NCA-CSCC-1:2019</t>
        </is>
      </c>
      <c r="B7" s="742" t="inlineStr">
        <is>
          <t>NCA Cybersecurity Controls for Critical Systems</t>
        </is>
      </c>
      <c r="C7" s="742" t="n">
        <v>3</v>
      </c>
      <c r="D7" s="742" t="n">
        <v>60</v>
      </c>
      <c r="E7" s="742" t="inlineStr">
        <is>
          <t>Critical national systems</t>
        </is>
      </c>
      <c r="F7" s="742" t="inlineStr">
        <is>
          <t>GOV,ENR,FIN</t>
        </is>
      </c>
      <c r="G7" s="742" t="inlineStr">
        <is>
          <t>T1</t>
        </is>
      </c>
      <c r="H7" s="742" t="inlineStr">
        <is>
          <t>ANNUAL</t>
        </is>
      </c>
      <c r="I7" s="742" t="inlineStr">
        <is>
          <t>NCA CSCC assessment</t>
        </is>
      </c>
      <c r="J7" s="742" t="inlineStr">
        <is>
          <t>CNI Cyber</t>
        </is>
      </c>
      <c r="K7" s="742" t="inlineStr">
        <is>
          <t>2019-01-01</t>
        </is>
      </c>
      <c r="L7" s="742" t="inlineStr">
        <is>
          <t>NCA</t>
        </is>
      </c>
      <c r="M7" s="742" t="inlineStr"/>
      <c r="N7" s="742" t="inlineStr"/>
    </row>
    <row r="8" ht="35" customHeight="1">
      <c r="A8" s="742" t="inlineStr">
        <is>
          <t>NCA-REG-2024</t>
        </is>
      </c>
      <c r="B8" s="742" t="inlineStr">
        <is>
          <t>NCA Enforcement Regulation 2024</t>
        </is>
      </c>
      <c r="C8" s="742" t="n">
        <v>1</v>
      </c>
      <c r="D8" s="742" t="inlineStr">
        <is>
          <t>Domain-based</t>
        </is>
      </c>
      <c r="E8" s="742" t="inlineStr">
        <is>
          <t>ALL</t>
        </is>
      </c>
      <c r="F8" s="742" t="inlineStr">
        <is>
          <t>ALL</t>
        </is>
      </c>
      <c r="G8" s="742" t="inlineStr">
        <is>
          <t>T1</t>
        </is>
      </c>
      <c r="H8" s="742" t="inlineStr">
        <is>
          <t>CONTINUOUS</t>
        </is>
      </c>
      <c r="I8" s="742" t="inlineStr">
        <is>
          <t>Regulatory filing</t>
        </is>
      </c>
      <c r="J8" s="742" t="inlineStr">
        <is>
          <t>Compliance</t>
        </is>
      </c>
      <c r="K8" s="742" t="inlineStr">
        <is>
          <t>2024-01-01</t>
        </is>
      </c>
      <c r="L8" s="742" t="inlineStr">
        <is>
          <t>NCA</t>
        </is>
      </c>
      <c r="M8" s="742" t="inlineStr">
        <is>
          <t>SAR 25M max fine. First enforcement regulation.</t>
        </is>
      </c>
      <c r="N8" s="742" t="inlineStr"/>
    </row>
    <row r="9" ht="35" customHeight="1">
      <c r="A9" s="742" t="inlineStr">
        <is>
          <t>PDPL-2021</t>
        </is>
      </c>
      <c r="B9" s="742" t="inlineStr">
        <is>
          <t>Saudi Personal Data Protection Law</t>
        </is>
      </c>
      <c r="C9" s="742" t="n">
        <v>6</v>
      </c>
      <c r="D9" s="742" t="n">
        <v>45</v>
      </c>
      <c r="E9" s="742" t="inlineStr">
        <is>
          <t>ALL organisations processing personal data</t>
        </is>
      </c>
      <c r="F9" s="742" t="inlineStr">
        <is>
          <t>ALL</t>
        </is>
      </c>
      <c r="G9" s="742" t="inlineStr">
        <is>
          <t>T1</t>
        </is>
      </c>
      <c r="H9" s="742" t="inlineStr">
        <is>
          <t>ANNUAL</t>
        </is>
      </c>
      <c r="I9" s="742" t="inlineStr">
        <is>
          <t>PDPL compliance report + DPO declaration + consent records</t>
        </is>
      </c>
      <c r="J9" s="742" t="inlineStr">
        <is>
          <t>Data Privacy</t>
        </is>
      </c>
      <c r="K9" s="742" t="inlineStr">
        <is>
          <t>2021-09-01</t>
        </is>
      </c>
      <c r="L9" s="742" t="inlineStr">
        <is>
          <t>SDAIA</t>
        </is>
      </c>
      <c r="M9" s="742" t="inlineStr">
        <is>
          <t>2-year grace period ended Sep 2023. Fully enforceable.</t>
        </is>
      </c>
      <c r="N9" s="742" t="inlineStr"/>
    </row>
    <row r="10" ht="35" customHeight="1">
      <c r="A10" s="742" t="inlineStr">
        <is>
          <t>PDPL-IR-2023</t>
        </is>
      </c>
      <c r="B10" s="742" t="inlineStr">
        <is>
          <t>PDPL Implementing Regulations</t>
        </is>
      </c>
      <c r="C10" s="742" t="n">
        <v>6</v>
      </c>
      <c r="D10" s="742" t="n">
        <v>89</v>
      </c>
      <c r="E10" s="742" t="inlineStr">
        <is>
          <t>ALL</t>
        </is>
      </c>
      <c r="F10" s="742" t="inlineStr">
        <is>
          <t>ALL</t>
        </is>
      </c>
      <c r="G10" s="742" t="inlineStr">
        <is>
          <t>T1</t>
        </is>
      </c>
      <c r="H10" s="742" t="inlineStr">
        <is>
          <t>ANNUAL</t>
        </is>
      </c>
      <c r="I10" s="742" t="inlineStr">
        <is>
          <t>DPIA + data processing records + transfer agreements</t>
        </is>
      </c>
      <c r="J10" s="742" t="inlineStr">
        <is>
          <t>Data Privacy</t>
        </is>
      </c>
      <c r="K10" s="742" t="inlineStr">
        <is>
          <t>2023-09-01</t>
        </is>
      </c>
      <c r="L10" s="742" t="inlineStr">
        <is>
          <t>SDAIA</t>
        </is>
      </c>
      <c r="M10" s="742" t="inlineStr">
        <is>
          <t>Detailed technical requirements for PDPL compliance</t>
        </is>
      </c>
      <c r="N10" s="742" t="inlineStr"/>
    </row>
    <row r="11" ht="35" customHeight="1">
      <c r="A11" s="742" t="inlineStr">
        <is>
          <t>PDPL-DTR-2024</t>
        </is>
      </c>
      <c r="B11" s="742" t="inlineStr">
        <is>
          <t>PDPL Data Transfer Regulations v2</t>
        </is>
      </c>
      <c r="C11" s="742" t="n">
        <v>2</v>
      </c>
      <c r="D11" s="742" t="n">
        <v>30</v>
      </c>
      <c r="E11" s="742" t="inlineStr">
        <is>
          <t>Entities transferring data cross-border</t>
        </is>
      </c>
      <c r="F11" s="742" t="inlineStr">
        <is>
          <t>ALL (cross-border)</t>
        </is>
      </c>
      <c r="G11" s="742" t="inlineStr">
        <is>
          <t>T1</t>
        </is>
      </c>
      <c r="H11" s="742" t="inlineStr">
        <is>
          <t>ANNUAL</t>
        </is>
      </c>
      <c r="I11" s="742" t="inlineStr">
        <is>
          <t>Data transfer impact assessment + adequacy decision docs</t>
        </is>
      </c>
      <c r="J11" s="742" t="inlineStr">
        <is>
          <t>Data Privacy/Cross-border</t>
        </is>
      </c>
      <c r="K11" s="742" t="inlineStr">
        <is>
          <t>2024-09-01</t>
        </is>
      </c>
      <c r="L11" s="742" t="inlineStr">
        <is>
          <t>SDAIA</t>
        </is>
      </c>
      <c r="M11" s="742" t="inlineStr">
        <is>
          <t>Updated in 2024 – assessment required for all transfers</t>
        </is>
      </c>
      <c r="N11" s="742" t="inlineStr"/>
    </row>
    <row r="12" ht="35" customHeight="1">
      <c r="A12" s="742" t="inlineStr">
        <is>
          <t>SAMA-CSF</t>
        </is>
      </c>
      <c r="B12" s="742" t="inlineStr">
        <is>
          <t>SAMA Cybersecurity Framework</t>
        </is>
      </c>
      <c r="C12" s="742" t="n">
        <v>5</v>
      </c>
      <c r="D12" s="742" t="inlineStr">
        <is>
          <t>Domain-based</t>
        </is>
      </c>
      <c r="E12" s="742" t="inlineStr">
        <is>
          <t>ALL SAMA-licensed entities</t>
        </is>
      </c>
      <c r="F12" s="742" t="inlineStr">
        <is>
          <t>FIN</t>
        </is>
      </c>
      <c r="G12" s="742" t="inlineStr">
        <is>
          <t>T1</t>
        </is>
      </c>
      <c r="H12" s="742" t="inlineStr">
        <is>
          <t>ANNUAL</t>
        </is>
      </c>
      <c r="I12" s="742" t="inlineStr">
        <is>
          <t>Annual SAMA cyber audit + incident log</t>
        </is>
      </c>
      <c r="J12" s="742" t="inlineStr">
        <is>
          <t>Financial Cyber</t>
        </is>
      </c>
      <c r="K12" s="742" t="inlineStr">
        <is>
          <t>2017-05-01</t>
        </is>
      </c>
      <c r="L12" s="742" t="inlineStr">
        <is>
          <t>SAMA</t>
        </is>
      </c>
      <c r="M12" s="742" t="inlineStr">
        <is>
          <t>Aligns to NIST CSF + NCA ECC. Banks must score ≥ 3.5/5</t>
        </is>
      </c>
      <c r="N12" s="742" t="inlineStr"/>
    </row>
    <row r="13" ht="35" customHeight="1">
      <c r="A13" s="742" t="inlineStr">
        <is>
          <t>SAMA-AML</t>
        </is>
      </c>
      <c r="B13" s="742" t="inlineStr">
        <is>
          <t>SAMA AML/CFT Framework</t>
        </is>
      </c>
      <c r="C13" s="742" t="n">
        <v>4</v>
      </c>
      <c r="D13" s="742" t="n">
        <v>55</v>
      </c>
      <c r="E13" s="742" t="inlineStr">
        <is>
          <t>Banks, Insurance, Fintechs, Money Exchange</t>
        </is>
      </c>
      <c r="F13" s="742" t="inlineStr">
        <is>
          <t>FIN</t>
        </is>
      </c>
      <c r="G13" s="742" t="inlineStr">
        <is>
          <t>T1</t>
        </is>
      </c>
      <c r="H13" s="742" t="inlineStr">
        <is>
          <t>CONTINUOUS</t>
        </is>
      </c>
      <c r="I13" s="742" t="inlineStr">
        <is>
          <t>CDD/KYC records + STR logs + training records + MLRO reports</t>
        </is>
      </c>
      <c r="J13" s="742" t="inlineStr">
        <is>
          <t>Financial Crime</t>
        </is>
      </c>
      <c r="K13" s="742" t="inlineStr">
        <is>
          <t>2017-01-01</t>
        </is>
      </c>
      <c r="L13" s="742" t="inlineStr">
        <is>
          <t>SAMA</t>
        </is>
      </c>
      <c r="M13" s="742" t="inlineStr">
        <is>
          <t>FATF-aligned. SAMA conducts surprise AML inspections.</t>
        </is>
      </c>
      <c r="N13" s="742" t="inlineStr"/>
    </row>
    <row r="14" ht="35" customHeight="1">
      <c r="A14" s="742" t="inlineStr">
        <is>
          <t>SAMA-OPR</t>
        </is>
      </c>
      <c r="B14" s="742" t="inlineStr">
        <is>
          <t>SAMA Operational Risk Framework</t>
        </is>
      </c>
      <c r="C14" s="742" t="n">
        <v>3</v>
      </c>
      <c r="D14" s="742" t="n">
        <v>40</v>
      </c>
      <c r="E14" s="742" t="inlineStr">
        <is>
          <t>Banks, Insurance</t>
        </is>
      </c>
      <c r="F14" s="742" t="inlineStr">
        <is>
          <t>FIN</t>
        </is>
      </c>
      <c r="G14" s="742" t="inlineStr">
        <is>
          <t>T1</t>
        </is>
      </c>
      <c r="H14" s="742" t="inlineStr">
        <is>
          <t>ANNUAL</t>
        </is>
      </c>
      <c r="I14" s="742" t="inlineStr">
        <is>
          <t>BCP test results + operational risk register + loss event database</t>
        </is>
      </c>
      <c r="J14" s="742" t="inlineStr">
        <is>
          <t>Operational</t>
        </is>
      </c>
      <c r="K14" s="742" t="inlineStr">
        <is>
          <t>2020-01-01</t>
        </is>
      </c>
      <c r="L14" s="742" t="inlineStr">
        <is>
          <t>SAMA</t>
        </is>
      </c>
      <c r="M14" s="742" t="inlineStr"/>
      <c r="N14" s="742" t="inlineStr"/>
    </row>
    <row r="15" ht="35" customHeight="1">
      <c r="A15" s="743" t="inlineStr">
        <is>
          <t>SAMA-OPEN-BANKING</t>
        </is>
      </c>
      <c r="B15" s="743" t="inlineStr">
        <is>
          <t>SAMA Open Banking Framework</t>
        </is>
      </c>
      <c r="C15" s="743" t="n">
        <v>3</v>
      </c>
      <c r="D15" s="743" t="n">
        <v>35</v>
      </c>
      <c r="E15" s="743" t="inlineStr">
        <is>
          <t>Banks + licensed Fintechs</t>
        </is>
      </c>
      <c r="F15" s="743" t="inlineStr">
        <is>
          <t>FIN</t>
        </is>
      </c>
      <c r="G15" s="743" t="inlineStr">
        <is>
          <t>T2</t>
        </is>
      </c>
      <c r="H15" s="743" t="inlineStr">
        <is>
          <t>ANNUAL</t>
        </is>
      </c>
      <c r="I15" s="743" t="inlineStr">
        <is>
          <t>API security audit + consent management</t>
        </is>
      </c>
      <c r="J15" s="743" t="inlineStr">
        <is>
          <t>Digital/API</t>
        </is>
      </c>
      <c r="K15" s="743" t="inlineStr">
        <is>
          <t>2022-01-01</t>
        </is>
      </c>
      <c r="L15" s="743" t="inlineStr">
        <is>
          <t>SAMA</t>
        </is>
      </c>
      <c r="M15" s="743" t="inlineStr"/>
      <c r="N15" s="743" t="inlineStr"/>
    </row>
    <row r="16" ht="35" customHeight="1">
      <c r="A16" s="742" t="inlineStr">
        <is>
          <t>CMA-CYBER</t>
        </is>
      </c>
      <c r="B16" s="742" t="inlineStr">
        <is>
          <t>CMA Cybersecurity Regulations</t>
        </is>
      </c>
      <c r="C16" s="742" t="n">
        <v>4</v>
      </c>
      <c r="D16" s="742" t="n">
        <v>80</v>
      </c>
      <c r="E16" s="742" t="inlineStr">
        <is>
          <t>Listed companies + CMA-licensed entities</t>
        </is>
      </c>
      <c r="F16" s="742" t="inlineStr">
        <is>
          <t>CAP_MKT</t>
        </is>
      </c>
      <c r="G16" s="742" t="inlineStr">
        <is>
          <t>T1</t>
        </is>
      </c>
      <c r="H16" s="742" t="inlineStr">
        <is>
          <t>ANNUAL</t>
        </is>
      </c>
      <c r="I16" s="742" t="inlineStr">
        <is>
          <t>Annual CMA cybersecurity report + board declaration</t>
        </is>
      </c>
      <c r="J16" s="742" t="inlineStr">
        <is>
          <t>Financial Cyber</t>
        </is>
      </c>
      <c r="K16" s="742" t="inlineStr">
        <is>
          <t>2021-01-01</t>
        </is>
      </c>
      <c r="L16" s="742" t="inlineStr">
        <is>
          <t>Various</t>
        </is>
      </c>
      <c r="M16" s="742" t="inlineStr"/>
      <c r="N16" s="742" t="inlineStr"/>
    </row>
    <row r="17" ht="35" customHeight="1">
      <c r="A17" s="743" t="inlineStr">
        <is>
          <t>CMA-ESG</t>
        </is>
      </c>
      <c r="B17" s="743" t="inlineStr">
        <is>
          <t>CMA ESG Reporting Guidelines</t>
        </is>
      </c>
      <c r="C17" s="743" t="n">
        <v>3</v>
      </c>
      <c r="D17" s="743" t="n">
        <v>20</v>
      </c>
      <c r="E17" s="743" t="inlineStr">
        <is>
          <t>Listed companies</t>
        </is>
      </c>
      <c r="F17" s="743" t="inlineStr">
        <is>
          <t>CAP_MKT</t>
        </is>
      </c>
      <c r="G17" s="743" t="inlineStr">
        <is>
          <t>T2</t>
        </is>
      </c>
      <c r="H17" s="743" t="inlineStr">
        <is>
          <t>ANNUAL</t>
        </is>
      </c>
      <c r="I17" s="743" t="inlineStr">
        <is>
          <t>Annual ESG report</t>
        </is>
      </c>
      <c r="J17" s="743" t="inlineStr">
        <is>
          <t>Governance</t>
        </is>
      </c>
      <c r="K17" s="743" t="inlineStr">
        <is>
          <t>2023-01-01</t>
        </is>
      </c>
      <c r="L17" s="743" t="inlineStr">
        <is>
          <t>Various</t>
        </is>
      </c>
      <c r="M17" s="743" t="inlineStr"/>
      <c r="N17" s="743" t="inlineStr"/>
    </row>
    <row r="18" ht="35" customHeight="1">
      <c r="A18" s="742" t="inlineStr">
        <is>
          <t>MOH-HIS</t>
        </is>
      </c>
      <c r="B18" s="742" t="inlineStr">
        <is>
          <t>MOH EHealth &amp; HIS Standards</t>
        </is>
      </c>
      <c r="C18" s="742" t="n">
        <v>4</v>
      </c>
      <c r="D18" s="742" t="inlineStr">
        <is>
          <t>Domain-based</t>
        </is>
      </c>
      <c r="E18" s="742" t="inlineStr">
        <is>
          <t>All hospitals + clinics</t>
        </is>
      </c>
      <c r="F18" s="742" t="inlineStr">
        <is>
          <t>HC</t>
        </is>
      </c>
      <c r="G18" s="742" t="inlineStr">
        <is>
          <t>T1</t>
        </is>
      </c>
      <c r="H18" s="742" t="inlineStr">
        <is>
          <t>ANNUAL</t>
        </is>
      </c>
      <c r="I18" s="742" t="inlineStr">
        <is>
          <t>HIS certification + NHIC integration cert + HL7/FHIR compliance</t>
        </is>
      </c>
      <c r="J18" s="742" t="inlineStr">
        <is>
          <t>Health Data</t>
        </is>
      </c>
      <c r="K18" s="742" t="inlineStr">
        <is>
          <t>2020-01-01</t>
        </is>
      </c>
      <c r="L18" s="742" t="inlineStr">
        <is>
          <t>Various</t>
        </is>
      </c>
      <c r="M18" s="742" t="inlineStr">
        <is>
          <t>NABIDH integration required for Dubai connections</t>
        </is>
      </c>
      <c r="N18" s="742" t="inlineStr"/>
    </row>
    <row r="19" ht="35" customHeight="1">
      <c r="A19" s="742" t="inlineStr">
        <is>
          <t>SFDA-MDR</t>
        </is>
      </c>
      <c r="B19" s="742" t="inlineStr">
        <is>
          <t>SFDA Medical Device Regulations</t>
        </is>
      </c>
      <c r="C19" s="742" t="n">
        <v>3</v>
      </c>
      <c r="D19" s="742" t="inlineStr">
        <is>
          <t>Domain-based</t>
        </is>
      </c>
      <c r="E19" s="742" t="inlineStr">
        <is>
          <t>Medical device manufacturers/importers + hospitals</t>
        </is>
      </c>
      <c r="F19" s="742" t="inlineStr">
        <is>
          <t>HC</t>
        </is>
      </c>
      <c r="G19" s="742" t="inlineStr">
        <is>
          <t>T1</t>
        </is>
      </c>
      <c r="H19" s="742" t="inlineStr">
        <is>
          <t>CONTINUOUS</t>
        </is>
      </c>
      <c r="I19" s="742" t="inlineStr">
        <is>
          <t>SFDA device registration certificate + PMS records + recall notices</t>
        </is>
      </c>
      <c r="J19" s="742" t="inlineStr">
        <is>
          <t>Patient Safety</t>
        </is>
      </c>
      <c r="K19" s="742" t="inlineStr">
        <is>
          <t>2019-01-01</t>
        </is>
      </c>
      <c r="L19" s="742" t="inlineStr">
        <is>
          <t>Various</t>
        </is>
      </c>
      <c r="M19" s="742" t="inlineStr">
        <is>
          <t>IoMT devices require cybersecurity evidence</t>
        </is>
      </c>
      <c r="N19" s="742" t="inlineStr"/>
    </row>
    <row r="20" ht="35" customHeight="1">
      <c r="A20" s="743" t="inlineStr">
        <is>
          <t>CBAHI-STDS</t>
        </is>
      </c>
      <c r="B20" s="743" t="inlineStr">
        <is>
          <t>CBAHI Hospital Standards</t>
        </is>
      </c>
      <c r="C20" s="743" t="n">
        <v>12</v>
      </c>
      <c r="D20" s="743" t="inlineStr">
        <is>
          <t>Domain-based</t>
        </is>
      </c>
      <c r="E20" s="743" t="inlineStr">
        <is>
          <t>Public and private hospitals (&gt;50 beds)</t>
        </is>
      </c>
      <c r="F20" s="743" t="inlineStr">
        <is>
          <t>HC</t>
        </is>
      </c>
      <c r="G20" s="743" t="inlineStr">
        <is>
          <t>T2</t>
        </is>
      </c>
      <c r="H20" s="743" t="inlineStr">
        <is>
          <t>TRIENNIAL</t>
        </is>
      </c>
      <c r="I20" s="743" t="inlineStr">
        <is>
          <t>CBAHI accreditation certificate + quality report</t>
        </is>
      </c>
      <c r="J20" s="743" t="inlineStr">
        <is>
          <t>Patient Safety/Quality</t>
        </is>
      </c>
      <c r="K20" s="743" t="inlineStr">
        <is>
          <t>2007-01-01</t>
        </is>
      </c>
      <c r="L20" s="743" t="inlineStr">
        <is>
          <t>Various</t>
        </is>
      </c>
      <c r="M20" s="743" t="inlineStr">
        <is>
          <t>3-year accreditation cycle</t>
        </is>
      </c>
      <c r="N20" s="743" t="inlineStr"/>
    </row>
    <row r="21" ht="35" customHeight="1">
      <c r="A21" s="743" t="inlineStr">
        <is>
          <t>ISO-27001-2022</t>
        </is>
      </c>
      <c r="B21" s="743" t="inlineStr">
        <is>
          <t>ISO/IEC 27001:2022 ISMS</t>
        </is>
      </c>
      <c r="C21" s="743" t="n">
        <v>4</v>
      </c>
      <c r="D21" s="743" t="n">
        <v>93</v>
      </c>
      <c r="E21" s="743" t="inlineStr">
        <is>
          <t>Cloud providers, Critical regulated entities</t>
        </is>
      </c>
      <c r="F21" s="743" t="inlineStr">
        <is>
          <t>CYB,ICT,FIN,HC</t>
        </is>
      </c>
      <c r="G21" s="743" t="inlineStr">
        <is>
          <t>T2</t>
        </is>
      </c>
      <c r="H21" s="743" t="inlineStr">
        <is>
          <t>TRIENNIAL+SURVEILLANCE</t>
        </is>
      </c>
      <c r="I21" s="743" t="inlineStr">
        <is>
          <t>ISO 27001 certificate + surveillance audit report + ISMS scope doc</t>
        </is>
      </c>
      <c r="J21" s="743" t="inlineStr">
        <is>
          <t>Information Security</t>
        </is>
      </c>
      <c r="K21" s="743" t="inlineStr">
        <is>
          <t>2022-10-25</t>
        </is>
      </c>
      <c r="L21" s="743" t="inlineStr">
        <is>
          <t>Various</t>
        </is>
      </c>
      <c r="M21" s="743" t="inlineStr">
        <is>
          <t>NCA now expects ISO 27001 for NCA-regulated entities. 3-yr cert cycle.</t>
        </is>
      </c>
      <c r="N21" s="743" t="inlineStr"/>
    </row>
    <row r="22" ht="35" customHeight="1">
      <c r="A22" s="743" t="inlineStr">
        <is>
          <t>IEC-62443</t>
        </is>
      </c>
      <c r="B22" s="743" t="inlineStr">
        <is>
          <t>IEC 62443 OT/ICS Security Standard</t>
        </is>
      </c>
      <c r="C22" s="743" t="n">
        <v>4</v>
      </c>
      <c r="D22" s="743" t="n">
        <v>200</v>
      </c>
      <c r="E22" s="743" t="inlineStr">
        <is>
          <t>OT/ICS operators (energy, HC IoMT, industry)</t>
        </is>
      </c>
      <c r="F22" s="743" t="inlineStr">
        <is>
          <t>ENR,HC,IND</t>
        </is>
      </c>
      <c r="G22" s="743" t="inlineStr">
        <is>
          <t>T2</t>
        </is>
      </c>
      <c r="H22" s="743" t="inlineStr">
        <is>
          <t>CONTINUOUS</t>
        </is>
      </c>
      <c r="I22" s="743" t="inlineStr">
        <is>
          <t>IEC 62443 assessment report + zone-conduit diagram + patch records</t>
        </is>
      </c>
      <c r="J22" s="743" t="inlineStr">
        <is>
          <t>OT/ICS Security</t>
        </is>
      </c>
      <c r="K22" s="743" t="inlineStr">
        <is>
          <t>Ongoing</t>
        </is>
      </c>
      <c r="L22" s="743" t="inlineStr">
        <is>
          <t>Various</t>
        </is>
      </c>
      <c r="M22" s="743" t="inlineStr">
        <is>
          <t>4-part standard. NCA-OTCC aligns to IEC 62443.</t>
        </is>
      </c>
      <c r="N22" s="743" t="inlineStr"/>
    </row>
    <row r="23" ht="35" customHeight="1">
      <c r="A23" s="743" t="inlineStr">
        <is>
          <t>PCI-DSS-4</t>
        </is>
      </c>
      <c r="B23" s="743" t="inlineStr">
        <is>
          <t>PCI DSS v4.0</t>
        </is>
      </c>
      <c r="C23" s="743" t="n">
        <v>12</v>
      </c>
      <c r="D23" s="743" t="n">
        <v>300</v>
      </c>
      <c r="E23" s="743" t="inlineStr">
        <is>
          <t>Any entity processing card payments</t>
        </is>
      </c>
      <c r="F23" s="743" t="inlineStr">
        <is>
          <t>FIN,RETAIL,ICT</t>
        </is>
      </c>
      <c r="G23" s="743" t="inlineStr">
        <is>
          <t>T2</t>
        </is>
      </c>
      <c r="H23" s="743" t="inlineStr">
        <is>
          <t>ANNUAL</t>
        </is>
      </c>
      <c r="I23" s="743" t="inlineStr">
        <is>
          <t>PCI DSS AoC (Attestation of Compliance) + ASV scan results</t>
        </is>
      </c>
      <c r="J23" s="743" t="inlineStr">
        <is>
          <t>Payment Security</t>
        </is>
      </c>
      <c r="K23" s="743" t="inlineStr">
        <is>
          <t>2024-03-31</t>
        </is>
      </c>
      <c r="L23" s="743" t="inlineStr">
        <is>
          <t>Various</t>
        </is>
      </c>
      <c r="M23" s="743" t="inlineStr">
        <is>
          <t>v3.2.1 retired. All must be on v4 from March 2025.</t>
        </is>
      </c>
      <c r="N23" s="743" t="inlineStr"/>
    </row>
    <row r="24" ht="35" customHeight="1">
      <c r="A24" s="746" t="inlineStr">
        <is>
          <t>FATF-40</t>
        </is>
      </c>
      <c r="B24" s="746" t="inlineStr">
        <is>
          <t>FATF 40 Recommendations</t>
        </is>
      </c>
      <c r="C24" s="746" t="n">
        <v>7</v>
      </c>
      <c r="D24" s="746" t="n">
        <v>40</v>
      </c>
      <c r="E24" s="746" t="inlineStr">
        <is>
          <t>ALL via national AML/CTF law</t>
        </is>
      </c>
      <c r="F24" s="746" t="inlineStr">
        <is>
          <t>ALL</t>
        </is>
      </c>
      <c r="G24" s="746" t="inlineStr">
        <is>
          <t>INTL</t>
        </is>
      </c>
      <c r="H24" s="746" t="inlineStr">
        <is>
          <t>MUTUAL_EVALUATION</t>
        </is>
      </c>
      <c r="I24" s="746" t="inlineStr">
        <is>
          <t>Mutual evaluation report + STR stats + institution AML audit</t>
        </is>
      </c>
      <c r="J24" s="746" t="inlineStr">
        <is>
          <t>Financial Crime</t>
        </is>
      </c>
      <c r="K24" s="746" t="inlineStr">
        <is>
          <t>2012 (updated 2023)</t>
        </is>
      </c>
      <c r="L24" s="746" t="inlineStr">
        <is>
          <t>International</t>
        </is>
      </c>
      <c r="M24" s="746" t="inlineStr">
        <is>
          <t>KSA last mutual evaluation 2024</t>
        </is>
      </c>
      <c r="N24" s="746" t="inlineStr"/>
    </row>
    <row r="25" ht="35" customHeight="1">
      <c r="A25" s="742" t="inlineStr">
        <is>
          <t>SAMA-CSF-RATING</t>
        </is>
      </c>
      <c r="B25" s="742" t="inlineStr">
        <is>
          <t>SAMA CSF Maturity Rating</t>
        </is>
      </c>
      <c r="C25" s="742" t="n">
        <v>5</v>
      </c>
      <c r="D25" s="742" t="inlineStr">
        <is>
          <t>Domain-based</t>
        </is>
      </c>
      <c r="E25" s="742" t="inlineStr">
        <is>
          <t>ALL SAMA-licensed entities</t>
        </is>
      </c>
      <c r="F25" s="742" t="inlineStr">
        <is>
          <t>FIN</t>
        </is>
      </c>
      <c r="G25" s="742" t="inlineStr">
        <is>
          <t>T1</t>
        </is>
      </c>
      <c r="H25" s="742" t="inlineStr">
        <is>
          <t>ANNUAL</t>
        </is>
      </c>
      <c r="I25" s="742" t="inlineStr">
        <is>
          <t>Self-scoring worksheet + evidence binder per control</t>
        </is>
      </c>
      <c r="J25" s="742" t="inlineStr">
        <is>
          <t>Financial Cyber</t>
        </is>
      </c>
      <c r="K25" s="742" t="inlineStr">
        <is>
          <t>2017-05-01</t>
        </is>
      </c>
      <c r="L25" s="742" t="inlineStr">
        <is>
          <t>SAMA</t>
        </is>
      </c>
      <c r="M25" s="742" t="inlineStr">
        <is>
          <t>Target: 3.5/5.0 for Tier-1 banks</t>
        </is>
      </c>
      <c r="N25" s="742" t="inlineStr"/>
    </row>
  </sheetData>
  <mergeCells count="1">
    <mergeCell ref="A1:N1"/>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N37"/>
  <sheetViews>
    <sheetView showGridLines="0" workbookViewId="0">
      <selection activeCell="A1" sqref="A1"/>
    </sheetView>
  </sheetViews>
  <sheetFormatPr baseColWidth="8" defaultRowHeight="15"/>
  <cols>
    <col width="45" customWidth="1" min="1" max="1"/>
    <col width="12" customWidth="1" min="2" max="2"/>
    <col width="18" customWidth="1" min="3" max="3"/>
    <col width="28" customWidth="1" min="4" max="4"/>
    <col width="12" customWidth="1" min="5" max="5"/>
    <col width="20" customWidth="1" min="6" max="6"/>
    <col width="14" customWidth="1" min="7" max="7"/>
    <col width="55" customWidth="1" min="8" max="8"/>
    <col width="18" customWidth="1" min="9" max="9"/>
    <col width="12" customWidth="1" min="10" max="10"/>
  </cols>
  <sheetData>
    <row r="1" ht="28" customHeight="1">
      <c r="A1" s="779" t="inlineStr">
        <is>
          <t>🇸🇦  KSA EVIDENCE REQUIREMENTS MATRIX  ·  What evidence? For whom? How often? What if missing?</t>
        </is>
      </c>
    </row>
    <row r="2" ht="30" customHeight="1">
      <c r="A2" s="790" t="inlineStr">
        <is>
          <t>Evidence Type</t>
        </is>
      </c>
      <c r="B2" s="790" t="inlineStr">
        <is>
          <t>Applies To</t>
        </is>
      </c>
      <c r="C2" s="790" t="inlineStr">
        <is>
          <t>Collection Frequency</t>
        </is>
      </c>
      <c r="D2" s="790" t="inlineStr">
        <is>
          <t>Submittable To Regulator</t>
        </is>
      </c>
      <c r="E2" s="790" t="inlineStr">
        <is>
          <t>Retention (Yrs)</t>
        </is>
      </c>
      <c r="F2" s="790" t="inlineStr">
        <is>
          <t>Format</t>
        </is>
      </c>
      <c r="G2" s="790" t="inlineStr">
        <is>
          <t>AI-Extractable?</t>
        </is>
      </c>
      <c r="H2" s="790" t="inlineStr">
        <is>
          <t>Risk if Missing</t>
        </is>
      </c>
      <c r="I2" s="790" t="inlineStr">
        <is>
          <t>Owner Role</t>
        </is>
      </c>
      <c r="J2" s="790" t="inlineStr">
        <is>
          <t>Notes</t>
        </is>
      </c>
      <c r="K2" s="790" t="inlineStr"/>
    </row>
    <row r="3" ht="35" customHeight="1">
      <c r="A3" s="791" t="inlineStr">
        <is>
          <t>NCA Self-Assessment Report</t>
        </is>
      </c>
      <c r="B3" s="791" t="inlineStr">
        <is>
          <t>All organisations</t>
        </is>
      </c>
      <c r="C3" s="791" t="inlineStr">
        <is>
          <t>ANNUAL</t>
        </is>
      </c>
      <c r="D3" s="791" t="inlineStr">
        <is>
          <t>NCA portal</t>
        </is>
      </c>
      <c r="E3" s="791" t="n">
        <v>5</v>
      </c>
      <c r="F3" s="791" t="inlineStr">
        <is>
          <t>NCA-prescribed template</t>
        </is>
      </c>
      <c r="G3" s="791" t="inlineStr">
        <is>
          <t>Y</t>
        </is>
      </c>
      <c r="H3" s="791" t="inlineStr">
        <is>
          <t>REGULATORY_ACTION – NCA enforcement up to SAR 25M</t>
        </is>
      </c>
      <c r="I3" s="791" t="inlineStr">
        <is>
          <t>CISO/IT Risk</t>
        </is>
      </c>
      <c r="J3" s="791" t="inlineStr"/>
      <c r="K3" s="791" t="inlineStr"/>
    </row>
    <row r="4" ht="35" customHeight="1">
      <c r="A4" s="792" t="inlineStr">
        <is>
          <t>External Cybersecurity Audit</t>
        </is>
      </c>
      <c r="B4" s="792" t="inlineStr">
        <is>
          <t>Large + Enterprise + SIFI</t>
        </is>
      </c>
      <c r="C4" s="792" t="inlineStr">
        <is>
          <t>ANNUAL</t>
        </is>
      </c>
      <c r="D4" s="792" t="inlineStr">
        <is>
          <t>NCA / Sector regulator</t>
        </is>
      </c>
      <c r="E4" s="792" t="n">
        <v>7</v>
      </c>
      <c r="F4" s="792" t="inlineStr">
        <is>
          <t>PDF (licensed auditor)</t>
        </is>
      </c>
      <c r="G4" s="792" t="inlineStr">
        <is>
          <t>Y</t>
        </is>
      </c>
      <c r="H4" s="792" t="inlineStr">
        <is>
          <t>REGULATORY NON-COMPLIANCE</t>
        </is>
      </c>
      <c r="I4" s="792" t="inlineStr">
        <is>
          <t>CISO</t>
        </is>
      </c>
      <c r="J4" s="792" t="inlineStr"/>
      <c r="K4" s="792" t="inlineStr"/>
    </row>
    <row r="5" ht="35" customHeight="1">
      <c r="A5" s="791" t="inlineStr">
        <is>
          <t>PDPL Compliance Report / DPO Declaration</t>
        </is>
      </c>
      <c r="B5" s="791" t="inlineStr">
        <is>
          <t>All data processors</t>
        </is>
      </c>
      <c r="C5" s="791" t="inlineStr">
        <is>
          <t>ANNUAL</t>
        </is>
      </c>
      <c r="D5" s="791" t="inlineStr">
        <is>
          <t>SDAIA (on request)</t>
        </is>
      </c>
      <c r="E5" s="791" t="n">
        <v>5</v>
      </c>
      <c r="F5" s="791" t="inlineStr">
        <is>
          <t>PDF</t>
        </is>
      </c>
      <c r="G5" s="791" t="inlineStr">
        <is>
          <t>Y</t>
        </is>
      </c>
      <c r="H5" s="791" t="inlineStr">
        <is>
          <t>PDPL fine up to SAR 5M (criminal up to 2yr jail)</t>
        </is>
      </c>
      <c r="I5" s="791" t="inlineStr">
        <is>
          <t>DPO</t>
        </is>
      </c>
      <c r="J5" s="791" t="inlineStr"/>
      <c r="K5" s="791" t="inlineStr"/>
    </row>
    <row r="6" ht="35" customHeight="1">
      <c r="A6" s="792" t="inlineStr">
        <is>
          <t>Data Processing Impact Assessment (DPIA)</t>
        </is>
      </c>
      <c r="B6" s="792" t="inlineStr">
        <is>
          <t>High-risk processing, sensitive data</t>
        </is>
      </c>
      <c r="C6" s="792" t="inlineStr">
        <is>
          <t>PER_PROJECT</t>
        </is>
      </c>
      <c r="D6" s="792" t="inlineStr">
        <is>
          <t>SDAIA (cross-border transfers)</t>
        </is>
      </c>
      <c r="E6" s="792" t="n">
        <v>5</v>
      </c>
      <c r="F6" s="792" t="inlineStr">
        <is>
          <t>PDF</t>
        </is>
      </c>
      <c r="G6" s="792" t="inlineStr">
        <is>
          <t>Y</t>
        </is>
      </c>
      <c r="H6" s="792" t="inlineStr">
        <is>
          <t>PDPL enforcement</t>
        </is>
      </c>
      <c r="I6" s="792" t="inlineStr">
        <is>
          <t>DPO</t>
        </is>
      </c>
      <c r="J6" s="792" t="inlineStr"/>
      <c r="K6" s="792" t="inlineStr"/>
    </row>
    <row r="7" ht="35" customHeight="1">
      <c r="A7" s="791" t="inlineStr">
        <is>
          <t>AML/CFT STR Logs &amp; CDD Records</t>
        </is>
      </c>
      <c r="B7" s="791" t="inlineStr">
        <is>
          <t>Banks, FIs, designated businesses</t>
        </is>
      </c>
      <c r="C7" s="791" t="inlineStr">
        <is>
          <t>CONTINUOUS</t>
        </is>
      </c>
      <c r="D7" s="791" t="inlineStr">
        <is>
          <t>SAMA / FIA / GAC</t>
        </is>
      </c>
      <c r="E7" s="791" t="n">
        <v>10</v>
      </c>
      <c r="F7" s="791" t="inlineStr">
        <is>
          <t>System records + PDF</t>
        </is>
      </c>
      <c r="G7" s="791" t="inlineStr">
        <is>
          <t>PARTIAL</t>
        </is>
      </c>
      <c r="H7" s="791" t="inlineStr">
        <is>
          <t>Criminal prosecution + SAMA revocation of license</t>
        </is>
      </c>
      <c r="I7" s="791" t="inlineStr">
        <is>
          <t>MLRO</t>
        </is>
      </c>
      <c r="J7" s="791" t="inlineStr"/>
      <c r="K7" s="791" t="inlineStr"/>
    </row>
    <row r="8" ht="35" customHeight="1">
      <c r="A8" s="792" t="inlineStr">
        <is>
          <t>CBAHI Accreditation Evidence Pack</t>
        </is>
      </c>
      <c r="B8" s="792" t="inlineStr">
        <is>
          <t>Hospitals &gt; 50 beds</t>
        </is>
      </c>
      <c r="C8" s="792" t="inlineStr">
        <is>
          <t>TRIENNIAL</t>
        </is>
      </c>
      <c r="D8" s="792" t="inlineStr">
        <is>
          <t>CBAHI</t>
        </is>
      </c>
      <c r="E8" s="792" t="n">
        <v>10</v>
      </c>
      <c r="F8" s="792" t="inlineStr">
        <is>
          <t>Evidence binder</t>
        </is>
      </c>
      <c r="G8" s="792" t="inlineStr">
        <is>
          <t>PARTIAL</t>
        </is>
      </c>
      <c r="H8" s="792" t="inlineStr">
        <is>
          <t>Loss of accreditation – cannot operate</t>
        </is>
      </c>
      <c r="I8" s="792" t="inlineStr">
        <is>
          <t>Quality Manager</t>
        </is>
      </c>
      <c r="J8" s="792" t="inlineStr"/>
      <c r="K8" s="792" t="inlineStr"/>
    </row>
    <row r="9" ht="35" customHeight="1">
      <c r="A9" s="791" t="inlineStr">
        <is>
          <t>ISO 27001 Certificate</t>
        </is>
      </c>
      <c r="B9" s="791" t="inlineStr">
        <is>
          <t>Cloud providers, critical regulated entities</t>
        </is>
      </c>
      <c r="C9" s="791" t="inlineStr">
        <is>
          <t>TRIENNIAL + surveillance</t>
        </is>
      </c>
      <c r="D9" s="791" t="inlineStr">
        <is>
          <t>NCA / sector regulator</t>
        </is>
      </c>
      <c r="E9" s="791" t="n">
        <v>5</v>
      </c>
      <c r="F9" s="791" t="inlineStr">
        <is>
          <t>Certificate (PDF)</t>
        </is>
      </c>
      <c r="G9" s="791" t="inlineStr">
        <is>
          <t>Y</t>
        </is>
      </c>
      <c r="H9" s="791" t="inlineStr">
        <is>
          <t>Contract loss, regulatory non-compliance</t>
        </is>
      </c>
      <c r="I9" s="791" t="inlineStr">
        <is>
          <t>CISO</t>
        </is>
      </c>
      <c r="J9" s="791" t="inlineStr"/>
      <c r="K9" s="791" t="inlineStr"/>
    </row>
    <row r="10" ht="35" customHeight="1">
      <c r="A10" s="792" t="inlineStr">
        <is>
          <t>PCI DSS Attestation of Compliance (AoC)</t>
        </is>
      </c>
      <c r="B10" s="792" t="inlineStr">
        <is>
          <t>Any entity processing cards</t>
        </is>
      </c>
      <c r="C10" s="792" t="inlineStr">
        <is>
          <t>ANNUAL</t>
        </is>
      </c>
      <c r="D10" s="792" t="inlineStr">
        <is>
          <t>Card brands / acquirer</t>
        </is>
      </c>
      <c r="E10" s="792" t="n">
        <v>3</v>
      </c>
      <c r="F10" s="792" t="inlineStr">
        <is>
          <t>AoC form + SAQ/ROC</t>
        </is>
      </c>
      <c r="G10" s="792" t="inlineStr">
        <is>
          <t>Y</t>
        </is>
      </c>
      <c r="H10" s="792" t="inlineStr">
        <is>
          <t>Card brand fines + card acceptance suspension</t>
        </is>
      </c>
      <c r="I10" s="792" t="inlineStr">
        <is>
          <t>CISO/IT</t>
        </is>
      </c>
      <c r="J10" s="792" t="inlineStr"/>
      <c r="K10" s="792" t="inlineStr"/>
    </row>
    <row r="11" ht="35" customHeight="1">
      <c r="A11" s="791" t="inlineStr">
        <is>
          <t>Penetration Test Report</t>
        </is>
      </c>
      <c r="B11" s="791" t="inlineStr">
        <is>
          <t>Large + Enterprise (all sectors)</t>
        </is>
      </c>
      <c r="C11" s="791" t="inlineStr">
        <is>
          <t>ANNUAL</t>
        </is>
      </c>
      <c r="D11" s="791" t="inlineStr">
        <is>
          <t>NCA / sector regulator</t>
        </is>
      </c>
      <c r="E11" s="791" t="n">
        <v>3</v>
      </c>
      <c r="F11" s="791" t="inlineStr">
        <is>
          <t>PDF (licensed provider)</t>
        </is>
      </c>
      <c r="G11" s="791" t="inlineStr">
        <is>
          <t>Y</t>
        </is>
      </c>
      <c r="H11" s="791" t="inlineStr">
        <is>
          <t>NCA ECC non-compliance</t>
        </is>
      </c>
      <c r="I11" s="791" t="inlineStr">
        <is>
          <t>CISO</t>
        </is>
      </c>
      <c r="J11" s="791" t="inlineStr"/>
      <c r="K11" s="791" t="inlineStr"/>
    </row>
    <row r="12" ht="35" customHeight="1">
      <c r="A12" s="792" t="inlineStr">
        <is>
          <t>Business Continuity Plan + Test Results</t>
        </is>
      </c>
      <c r="B12" s="792" t="inlineStr">
        <is>
          <t>Large + Enterprise + SIFI</t>
        </is>
      </c>
      <c r="C12" s="792" t="inlineStr">
        <is>
          <t>BIENNIAL (test)</t>
        </is>
      </c>
      <c r="D12" s="792" t="inlineStr">
        <is>
          <t>SAMA / NCA on request</t>
        </is>
      </c>
      <c r="E12" s="792" t="n">
        <v>5</v>
      </c>
      <c r="F12" s="792" t="inlineStr">
        <is>
          <t>PDF</t>
        </is>
      </c>
      <c r="G12" s="792" t="inlineStr">
        <is>
          <t>N</t>
        </is>
      </c>
      <c r="H12" s="792" t="inlineStr">
        <is>
          <t>Regulatory gap + insurance claim issues</t>
        </is>
      </c>
      <c r="I12" s="792" t="inlineStr">
        <is>
          <t>BCM Manager</t>
        </is>
      </c>
      <c r="J12" s="792" t="inlineStr"/>
      <c r="K12" s="792" t="inlineStr"/>
    </row>
    <row r="13" ht="35" customHeight="1">
      <c r="A13" s="791" t="inlineStr">
        <is>
          <t>SFDA Device Registration Certificate</t>
        </is>
      </c>
      <c r="B13" s="791" t="inlineStr">
        <is>
          <t>Medical device manufacturers/importers</t>
        </is>
      </c>
      <c r="C13" s="791" t="inlineStr">
        <is>
          <t>AS_REQUIRED</t>
        </is>
      </c>
      <c r="D13" s="791" t="inlineStr">
        <is>
          <t>SFDA portal</t>
        </is>
      </c>
      <c r="E13" s="791" t="n">
        <v>10</v>
      </c>
      <c r="F13" s="791" t="inlineStr">
        <is>
          <t>SFDA certificate</t>
        </is>
      </c>
      <c r="G13" s="791" t="inlineStr">
        <is>
          <t>Y</t>
        </is>
      </c>
      <c r="H13" s="791" t="inlineStr">
        <is>
          <t>Import ban + criminal liability</t>
        </is>
      </c>
      <c r="I13" s="791" t="inlineStr">
        <is>
          <t>Regulatory Affairs</t>
        </is>
      </c>
      <c r="J13" s="791" t="inlineStr"/>
      <c r="K13" s="791" t="inlineStr"/>
    </row>
    <row r="14" ht="35" customHeight="1">
      <c r="A14" s="792" t="inlineStr">
        <is>
          <t>Saudisation Nitaqat Certificate (QIWA)</t>
        </is>
      </c>
      <c r="B14" s="792" t="inlineStr">
        <is>
          <t>All employers (Nitaqat applies)</t>
        </is>
      </c>
      <c r="C14" s="792" t="inlineStr">
        <is>
          <t>CONTINUOUS</t>
        </is>
      </c>
      <c r="D14" s="792" t="inlineStr">
        <is>
          <t>MHRSD/QIWA</t>
        </is>
      </c>
      <c r="E14" s="792" t="n">
        <v>3</v>
      </c>
      <c r="F14" s="792" t="inlineStr">
        <is>
          <t>Digital (QIWA)</t>
        </is>
      </c>
      <c r="G14" s="792" t="inlineStr">
        <is>
          <t>Y</t>
        </is>
      </c>
      <c r="H14" s="792" t="inlineStr">
        <is>
          <t>Business license suspension + fines</t>
        </is>
      </c>
      <c r="I14" s="792" t="inlineStr">
        <is>
          <t>HR Director</t>
        </is>
      </c>
      <c r="J14" s="792" t="inlineStr"/>
      <c r="K14" s="792" t="inlineStr"/>
    </row>
    <row r="15" ht="35" customHeight="1">
      <c r="A15" s="791" t="inlineStr">
        <is>
          <t>ZATCA E-Invoicing Compliance Evidence</t>
        </is>
      </c>
      <c r="B15" s="791" t="inlineStr">
        <is>
          <t>All VAT-registered businesses</t>
        </is>
      </c>
      <c r="C15" s="791" t="inlineStr">
        <is>
          <t>CONTINUOUS (Phase 2: APIS)</t>
        </is>
      </c>
      <c r="D15" s="791" t="inlineStr">
        <is>
          <t>ZATCA</t>
        </is>
      </c>
      <c r="E15" s="791" t="n">
        <v>5</v>
      </c>
      <c r="F15" s="791" t="inlineStr">
        <is>
          <t>E-invoice system logs + ZATCA integration cert</t>
        </is>
      </c>
      <c r="G15" s="791" t="inlineStr">
        <is>
          <t>Y</t>
        </is>
      </c>
      <c r="H15" s="791" t="inlineStr">
        <is>
          <t>ZATCA fines + VAT audit</t>
        </is>
      </c>
      <c r="I15" s="791" t="inlineStr">
        <is>
          <t>CFO/Finance</t>
        </is>
      </c>
      <c r="J15" s="791" t="inlineStr"/>
      <c r="K15" s="791" t="inlineStr"/>
    </row>
    <row r="16" ht="35" customHeight="1">
      <c r="A16" s="792" t="inlineStr">
        <is>
          <t>Annual Audited Financial Statements (IFRS)</t>
        </is>
      </c>
      <c r="B16" s="792" t="inlineStr">
        <is>
          <t>Listed companies + SAMA-licensed entities</t>
        </is>
      </c>
      <c r="C16" s="792" t="inlineStr">
        <is>
          <t>ANNUAL</t>
        </is>
      </c>
      <c r="D16" s="792" t="inlineStr">
        <is>
          <t>CMA / SAMA</t>
        </is>
      </c>
      <c r="E16" s="792" t="n">
        <v>10</v>
      </c>
      <c r="F16" s="792" t="inlineStr">
        <is>
          <t>PDF (licensed auditor)</t>
        </is>
      </c>
      <c r="G16" s="792" t="inlineStr">
        <is>
          <t>Y</t>
        </is>
      </c>
      <c r="H16" s="792" t="inlineStr">
        <is>
          <t>CMA enforcement + trading suspension</t>
        </is>
      </c>
      <c r="I16" s="792" t="inlineStr">
        <is>
          <t>CFO</t>
        </is>
      </c>
      <c r="J16" s="792" t="inlineStr"/>
      <c r="K16" s="792" t="inlineStr"/>
    </row>
    <row r="17" ht="35" customHeight="1">
      <c r="A17" s="791" t="inlineStr">
        <is>
          <t>Incident Report (72h notification)</t>
        </is>
      </c>
      <c r="B17" s="791" t="inlineStr">
        <is>
          <t>ALL regulated entities on material breach</t>
        </is>
      </c>
      <c r="C17" s="791" t="inlineStr">
        <is>
          <t>AS_REQUIRED (72h deadline)</t>
        </is>
      </c>
      <c r="D17" s="791" t="inlineStr">
        <is>
          <t>NCA + sector regulator</t>
        </is>
      </c>
      <c r="E17" s="791" t="n">
        <v>5</v>
      </c>
      <c r="F17" s="791" t="inlineStr">
        <is>
          <t>NCA incident form</t>
        </is>
      </c>
      <c r="G17" s="791" t="inlineStr">
        <is>
          <t>Y</t>
        </is>
      </c>
      <c r="H17" s="791" t="inlineStr">
        <is>
          <t>NCA enforcement + reputational damage</t>
        </is>
      </c>
      <c r="I17" s="791" t="inlineStr">
        <is>
          <t>CISO</t>
        </is>
      </c>
      <c r="J17" s="791" t="inlineStr"/>
      <c r="K17" s="791" t="inlineStr"/>
    </row>
    <row r="21" ht="18" customHeight="1">
      <c r="A21" s="793" t="inlineStr">
        <is>
          <t xml:space="preserve">  EVIDENCE × ORG TYPE CROSS-REFERENCE  (✅ = Required  ·  ⚠️ = Conditional  ·  ❌ = Not Required)</t>
        </is>
      </c>
    </row>
    <row r="22" ht="30" customHeight="1">
      <c r="A22" s="794" t="inlineStr">
        <is>
          <t>Evidence Type</t>
        </is>
      </c>
      <c r="B22" s="794" t="inlineStr">
        <is>
          <t>BANK</t>
        </is>
      </c>
      <c r="C22" s="794" t="inlineStr">
        <is>
          <t>INSCO</t>
        </is>
      </c>
      <c r="D22" s="794" t="inlineStr">
        <is>
          <t>FINTECH</t>
        </is>
      </c>
      <c r="E22" s="794" t="inlineStr">
        <is>
          <t>PUBHOSP</t>
        </is>
      </c>
      <c r="F22" s="794" t="inlineStr">
        <is>
          <t>PRIVHOSP</t>
        </is>
      </c>
      <c r="G22" s="794" t="inlineStr">
        <is>
          <t>TELECOM</t>
        </is>
      </c>
      <c r="H22" s="794" t="inlineStr">
        <is>
          <t>GOVAGENC</t>
        </is>
      </c>
      <c r="I22" s="794" t="inlineStr">
        <is>
          <t>LISTEDCO</t>
        </is>
      </c>
      <c r="J22" s="794" t="inlineStr">
        <is>
          <t>ENERGY</t>
        </is>
      </c>
      <c r="K22" s="794" t="inlineStr">
        <is>
          <t>SME</t>
        </is>
      </c>
      <c r="L22" s="794" t="inlineStr">
        <is>
          <t>CLOUDSVC</t>
        </is>
      </c>
      <c r="M22" s="794" t="inlineStr">
        <is>
          <t>GIGACO</t>
        </is>
      </c>
      <c r="N22" s="794" t="inlineStr"/>
    </row>
    <row r="23" ht="18" customHeight="1">
      <c r="A23" s="795" t="inlineStr">
        <is>
          <t>NCA Self-Assessment Report</t>
        </is>
      </c>
      <c r="B23" s="796" t="inlineStr">
        <is>
          <t>✅</t>
        </is>
      </c>
      <c r="C23" s="796" t="inlineStr">
        <is>
          <t>✅</t>
        </is>
      </c>
      <c r="D23" s="796" t="inlineStr">
        <is>
          <t>✅</t>
        </is>
      </c>
      <c r="E23" s="796" t="inlineStr">
        <is>
          <t>✅</t>
        </is>
      </c>
      <c r="F23" s="796" t="inlineStr">
        <is>
          <t>✅</t>
        </is>
      </c>
      <c r="G23" s="796" t="inlineStr">
        <is>
          <t>✅</t>
        </is>
      </c>
      <c r="H23" s="796" t="inlineStr">
        <is>
          <t>✅</t>
        </is>
      </c>
      <c r="I23" s="796" t="inlineStr">
        <is>
          <t>✅</t>
        </is>
      </c>
      <c r="J23" s="796" t="inlineStr">
        <is>
          <t>✅</t>
        </is>
      </c>
      <c r="K23" s="797" t="inlineStr">
        <is>
          <t>⚠️</t>
        </is>
      </c>
      <c r="L23" s="796" t="inlineStr">
        <is>
          <t>✅</t>
        </is>
      </c>
      <c r="M23" s="796" t="inlineStr">
        <is>
          <t>✅</t>
        </is>
      </c>
      <c r="N23" s="798" t="inlineStr"/>
    </row>
    <row r="24" ht="18" customHeight="1">
      <c r="A24" s="795" t="inlineStr">
        <is>
          <t>External Cybersecurity Audit</t>
        </is>
      </c>
      <c r="B24" s="796" t="inlineStr">
        <is>
          <t>✅</t>
        </is>
      </c>
      <c r="C24" s="796" t="inlineStr">
        <is>
          <t>✅</t>
        </is>
      </c>
      <c r="D24" s="796" t="inlineStr">
        <is>
          <t>✅</t>
        </is>
      </c>
      <c r="E24" s="796" t="inlineStr">
        <is>
          <t>✅</t>
        </is>
      </c>
      <c r="F24" s="797" t="inlineStr">
        <is>
          <t>⚠️</t>
        </is>
      </c>
      <c r="G24" s="796" t="inlineStr">
        <is>
          <t>✅</t>
        </is>
      </c>
      <c r="H24" s="796" t="inlineStr">
        <is>
          <t>✅</t>
        </is>
      </c>
      <c r="I24" s="796" t="inlineStr">
        <is>
          <t>✅</t>
        </is>
      </c>
      <c r="J24" s="796" t="inlineStr">
        <is>
          <t>✅</t>
        </is>
      </c>
      <c r="K24" s="799" t="inlineStr">
        <is>
          <t>❌</t>
        </is>
      </c>
      <c r="L24" s="796" t="inlineStr">
        <is>
          <t>✅</t>
        </is>
      </c>
      <c r="M24" s="796" t="inlineStr">
        <is>
          <t>✅</t>
        </is>
      </c>
      <c r="N24" s="798" t="inlineStr"/>
    </row>
    <row r="25" ht="18" customHeight="1">
      <c r="A25" s="795" t="inlineStr">
        <is>
          <t>PDPL Compliance Report / DPO</t>
        </is>
      </c>
      <c r="B25" s="796" t="inlineStr">
        <is>
          <t>✅</t>
        </is>
      </c>
      <c r="C25" s="796" t="inlineStr">
        <is>
          <t>✅</t>
        </is>
      </c>
      <c r="D25" s="796" t="inlineStr">
        <is>
          <t>✅</t>
        </is>
      </c>
      <c r="E25" s="796" t="inlineStr">
        <is>
          <t>✅</t>
        </is>
      </c>
      <c r="F25" s="796" t="inlineStr">
        <is>
          <t>✅</t>
        </is>
      </c>
      <c r="G25" s="796" t="inlineStr">
        <is>
          <t>✅</t>
        </is>
      </c>
      <c r="H25" s="796" t="inlineStr">
        <is>
          <t>✅</t>
        </is>
      </c>
      <c r="I25" s="796" t="inlineStr">
        <is>
          <t>✅</t>
        </is>
      </c>
      <c r="J25" s="796" t="inlineStr">
        <is>
          <t>✅</t>
        </is>
      </c>
      <c r="K25" s="796" t="inlineStr">
        <is>
          <t>✅</t>
        </is>
      </c>
      <c r="L25" s="796" t="inlineStr">
        <is>
          <t>✅</t>
        </is>
      </c>
      <c r="M25" s="796" t="inlineStr">
        <is>
          <t>✅</t>
        </is>
      </c>
      <c r="N25" s="798" t="inlineStr"/>
    </row>
    <row r="26" ht="18" customHeight="1">
      <c r="A26" s="795" t="inlineStr">
        <is>
          <t>Data Processing Impact Assessment</t>
        </is>
      </c>
      <c r="B26" s="796" t="inlineStr">
        <is>
          <t>✅</t>
        </is>
      </c>
      <c r="C26" s="796" t="inlineStr">
        <is>
          <t>✅</t>
        </is>
      </c>
      <c r="D26" s="797" t="inlineStr">
        <is>
          <t>⚠️</t>
        </is>
      </c>
      <c r="E26" s="796" t="inlineStr">
        <is>
          <t>✅</t>
        </is>
      </c>
      <c r="F26" s="796" t="inlineStr">
        <is>
          <t>✅</t>
        </is>
      </c>
      <c r="G26" s="796" t="inlineStr">
        <is>
          <t>✅</t>
        </is>
      </c>
      <c r="H26" s="796" t="inlineStr">
        <is>
          <t>✅</t>
        </is>
      </c>
      <c r="I26" s="796" t="inlineStr">
        <is>
          <t>✅</t>
        </is>
      </c>
      <c r="J26" s="796" t="inlineStr">
        <is>
          <t>✅</t>
        </is>
      </c>
      <c r="K26" s="797" t="inlineStr">
        <is>
          <t>⚠️</t>
        </is>
      </c>
      <c r="L26" s="796" t="inlineStr">
        <is>
          <t>✅</t>
        </is>
      </c>
      <c r="M26" s="796" t="inlineStr">
        <is>
          <t>✅</t>
        </is>
      </c>
      <c r="N26" s="798" t="inlineStr"/>
    </row>
    <row r="27" ht="18" customHeight="1">
      <c r="A27" s="795" t="inlineStr">
        <is>
          <t>AML/CFT STR Logs &amp; CDD Records</t>
        </is>
      </c>
      <c r="B27" s="796" t="inlineStr">
        <is>
          <t>✅</t>
        </is>
      </c>
      <c r="C27" s="796" t="inlineStr">
        <is>
          <t>✅</t>
        </is>
      </c>
      <c r="D27" s="796" t="inlineStr">
        <is>
          <t>✅</t>
        </is>
      </c>
      <c r="E27" s="799" t="inlineStr">
        <is>
          <t>❌</t>
        </is>
      </c>
      <c r="F27" s="799" t="inlineStr">
        <is>
          <t>❌</t>
        </is>
      </c>
      <c r="G27" s="799" t="inlineStr">
        <is>
          <t>❌</t>
        </is>
      </c>
      <c r="H27" s="799" t="inlineStr">
        <is>
          <t>❌</t>
        </is>
      </c>
      <c r="I27" s="796" t="inlineStr">
        <is>
          <t>✅</t>
        </is>
      </c>
      <c r="J27" s="799" t="inlineStr">
        <is>
          <t>❌</t>
        </is>
      </c>
      <c r="K27" s="799" t="inlineStr">
        <is>
          <t>❌</t>
        </is>
      </c>
      <c r="L27" s="799" t="inlineStr">
        <is>
          <t>❌</t>
        </is>
      </c>
      <c r="M27" s="796" t="inlineStr">
        <is>
          <t>✅</t>
        </is>
      </c>
      <c r="N27" s="798" t="inlineStr"/>
    </row>
    <row r="28" ht="18" customHeight="1">
      <c r="A28" s="795" t="inlineStr">
        <is>
          <t>CBAHI Accreditation Evidence Pack</t>
        </is>
      </c>
      <c r="B28" s="799" t="inlineStr">
        <is>
          <t>❌</t>
        </is>
      </c>
      <c r="C28" s="799" t="inlineStr">
        <is>
          <t>❌</t>
        </is>
      </c>
      <c r="D28" s="799" t="inlineStr">
        <is>
          <t>❌</t>
        </is>
      </c>
      <c r="E28" s="796" t="inlineStr">
        <is>
          <t>✅</t>
        </is>
      </c>
      <c r="F28" s="796" t="inlineStr">
        <is>
          <t>✅</t>
        </is>
      </c>
      <c r="G28" s="799" t="inlineStr">
        <is>
          <t>❌</t>
        </is>
      </c>
      <c r="H28" s="799" t="inlineStr">
        <is>
          <t>❌</t>
        </is>
      </c>
      <c r="I28" s="799" t="inlineStr">
        <is>
          <t>❌</t>
        </is>
      </c>
      <c r="J28" s="799" t="inlineStr">
        <is>
          <t>❌</t>
        </is>
      </c>
      <c r="K28" s="799" t="inlineStr">
        <is>
          <t>❌</t>
        </is>
      </c>
      <c r="L28" s="799" t="inlineStr">
        <is>
          <t>❌</t>
        </is>
      </c>
      <c r="M28" s="799" t="inlineStr">
        <is>
          <t>❌</t>
        </is>
      </c>
      <c r="N28" s="798" t="inlineStr"/>
    </row>
    <row r="29" ht="18" customHeight="1">
      <c r="A29" s="795" t="inlineStr">
        <is>
          <t>ISO 27001 Certificate</t>
        </is>
      </c>
      <c r="B29" s="797" t="inlineStr">
        <is>
          <t>⚠️</t>
        </is>
      </c>
      <c r="C29" s="797" t="inlineStr">
        <is>
          <t>⚠️</t>
        </is>
      </c>
      <c r="D29" s="797" t="inlineStr">
        <is>
          <t>⚠️</t>
        </is>
      </c>
      <c r="E29" s="797" t="inlineStr">
        <is>
          <t>⚠️</t>
        </is>
      </c>
      <c r="F29" s="799" t="inlineStr">
        <is>
          <t>❌</t>
        </is>
      </c>
      <c r="G29" s="796" t="inlineStr">
        <is>
          <t>✅</t>
        </is>
      </c>
      <c r="H29" s="796" t="inlineStr">
        <is>
          <t>✅</t>
        </is>
      </c>
      <c r="I29" s="797" t="inlineStr">
        <is>
          <t>⚠️</t>
        </is>
      </c>
      <c r="J29" s="796" t="inlineStr">
        <is>
          <t>✅</t>
        </is>
      </c>
      <c r="K29" s="799" t="inlineStr">
        <is>
          <t>❌</t>
        </is>
      </c>
      <c r="L29" s="796" t="inlineStr">
        <is>
          <t>✅</t>
        </is>
      </c>
      <c r="M29" s="796" t="inlineStr">
        <is>
          <t>✅</t>
        </is>
      </c>
      <c r="N29" s="798" t="inlineStr"/>
    </row>
    <row r="30" ht="18" customHeight="1">
      <c r="A30" s="795" t="inlineStr">
        <is>
          <t>PCI DSS Attestation of Compliance</t>
        </is>
      </c>
      <c r="B30" s="796" t="inlineStr">
        <is>
          <t>✅</t>
        </is>
      </c>
      <c r="C30" s="797" t="inlineStr">
        <is>
          <t>⚠️</t>
        </is>
      </c>
      <c r="D30" s="796" t="inlineStr">
        <is>
          <t>✅</t>
        </is>
      </c>
      <c r="E30" s="797" t="inlineStr">
        <is>
          <t>⚠️</t>
        </is>
      </c>
      <c r="F30" s="799" t="inlineStr">
        <is>
          <t>❌</t>
        </is>
      </c>
      <c r="G30" s="797" t="inlineStr">
        <is>
          <t>⚠️</t>
        </is>
      </c>
      <c r="H30" s="799" t="inlineStr">
        <is>
          <t>❌</t>
        </is>
      </c>
      <c r="I30" s="797" t="inlineStr">
        <is>
          <t>⚠️</t>
        </is>
      </c>
      <c r="J30" s="799" t="inlineStr">
        <is>
          <t>❌</t>
        </is>
      </c>
      <c r="K30" s="797" t="inlineStr">
        <is>
          <t>⚠️</t>
        </is>
      </c>
      <c r="L30" s="797" t="inlineStr">
        <is>
          <t>⚠️</t>
        </is>
      </c>
      <c r="M30" s="797" t="inlineStr">
        <is>
          <t>⚠️</t>
        </is>
      </c>
      <c r="N30" s="798" t="inlineStr"/>
    </row>
    <row r="31" ht="18" customHeight="1">
      <c r="A31" s="795" t="inlineStr">
        <is>
          <t>Penetration Test Report</t>
        </is>
      </c>
      <c r="B31" s="796" t="inlineStr">
        <is>
          <t>✅</t>
        </is>
      </c>
      <c r="C31" s="796" t="inlineStr">
        <is>
          <t>✅</t>
        </is>
      </c>
      <c r="D31" s="796" t="inlineStr">
        <is>
          <t>✅</t>
        </is>
      </c>
      <c r="E31" s="796" t="inlineStr">
        <is>
          <t>✅</t>
        </is>
      </c>
      <c r="F31" s="797" t="inlineStr">
        <is>
          <t>⚠️</t>
        </is>
      </c>
      <c r="G31" s="796" t="inlineStr">
        <is>
          <t>✅</t>
        </is>
      </c>
      <c r="H31" s="796" t="inlineStr">
        <is>
          <t>✅</t>
        </is>
      </c>
      <c r="I31" s="796" t="inlineStr">
        <is>
          <t>✅</t>
        </is>
      </c>
      <c r="J31" s="796" t="inlineStr">
        <is>
          <t>✅</t>
        </is>
      </c>
      <c r="K31" s="799" t="inlineStr">
        <is>
          <t>❌</t>
        </is>
      </c>
      <c r="L31" s="796" t="inlineStr">
        <is>
          <t>✅</t>
        </is>
      </c>
      <c r="M31" s="796" t="inlineStr">
        <is>
          <t>✅</t>
        </is>
      </c>
      <c r="N31" s="798" t="inlineStr"/>
    </row>
    <row r="32" ht="18" customHeight="1">
      <c r="A32" s="795" t="inlineStr">
        <is>
          <t>Business Continuity Plan + Test</t>
        </is>
      </c>
      <c r="B32" s="796" t="inlineStr">
        <is>
          <t>✅</t>
        </is>
      </c>
      <c r="C32" s="796" t="inlineStr">
        <is>
          <t>✅</t>
        </is>
      </c>
      <c r="D32" s="797" t="inlineStr">
        <is>
          <t>⚠️</t>
        </is>
      </c>
      <c r="E32" s="796" t="inlineStr">
        <is>
          <t>✅</t>
        </is>
      </c>
      <c r="F32" s="797" t="inlineStr">
        <is>
          <t>⚠️</t>
        </is>
      </c>
      <c r="G32" s="796" t="inlineStr">
        <is>
          <t>✅</t>
        </is>
      </c>
      <c r="H32" s="796" t="inlineStr">
        <is>
          <t>✅</t>
        </is>
      </c>
      <c r="I32" s="796" t="inlineStr">
        <is>
          <t>✅</t>
        </is>
      </c>
      <c r="J32" s="796" t="inlineStr">
        <is>
          <t>✅</t>
        </is>
      </c>
      <c r="K32" s="799" t="inlineStr">
        <is>
          <t>❌</t>
        </is>
      </c>
      <c r="L32" s="796" t="inlineStr">
        <is>
          <t>✅</t>
        </is>
      </c>
      <c r="M32" s="796" t="inlineStr">
        <is>
          <t>✅</t>
        </is>
      </c>
      <c r="N32" s="798" t="inlineStr"/>
    </row>
    <row r="33" ht="18" customHeight="1">
      <c r="A33" s="795" t="inlineStr">
        <is>
          <t>SFDA Device Registration Cert</t>
        </is>
      </c>
      <c r="B33" s="799" t="inlineStr">
        <is>
          <t>❌</t>
        </is>
      </c>
      <c r="C33" s="799" t="inlineStr">
        <is>
          <t>❌</t>
        </is>
      </c>
      <c r="D33" s="799" t="inlineStr">
        <is>
          <t>❌</t>
        </is>
      </c>
      <c r="E33" s="796" t="inlineStr">
        <is>
          <t>✅</t>
        </is>
      </c>
      <c r="F33" s="796" t="inlineStr">
        <is>
          <t>✅</t>
        </is>
      </c>
      <c r="G33" s="799" t="inlineStr">
        <is>
          <t>❌</t>
        </is>
      </c>
      <c r="H33" s="799" t="inlineStr">
        <is>
          <t>❌</t>
        </is>
      </c>
      <c r="I33" s="799" t="inlineStr">
        <is>
          <t>❌</t>
        </is>
      </c>
      <c r="J33" s="799" t="inlineStr">
        <is>
          <t>❌</t>
        </is>
      </c>
      <c r="K33" s="799" t="inlineStr">
        <is>
          <t>❌</t>
        </is>
      </c>
      <c r="L33" s="799" t="inlineStr">
        <is>
          <t>❌</t>
        </is>
      </c>
      <c r="M33" s="799" t="inlineStr">
        <is>
          <t>❌</t>
        </is>
      </c>
      <c r="N33" s="798" t="inlineStr"/>
    </row>
    <row r="34" ht="18" customHeight="1">
      <c r="A34" s="795" t="inlineStr">
        <is>
          <t>Saudisation Nitaqat Certificate</t>
        </is>
      </c>
      <c r="B34" s="796" t="inlineStr">
        <is>
          <t>✅</t>
        </is>
      </c>
      <c r="C34" s="796" t="inlineStr">
        <is>
          <t>✅</t>
        </is>
      </c>
      <c r="D34" s="796" t="inlineStr">
        <is>
          <t>✅</t>
        </is>
      </c>
      <c r="E34" s="796" t="inlineStr">
        <is>
          <t>✅</t>
        </is>
      </c>
      <c r="F34" s="796" t="inlineStr">
        <is>
          <t>✅</t>
        </is>
      </c>
      <c r="G34" s="796" t="inlineStr">
        <is>
          <t>✅</t>
        </is>
      </c>
      <c r="H34" s="796" t="inlineStr">
        <is>
          <t>✅</t>
        </is>
      </c>
      <c r="I34" s="796" t="inlineStr">
        <is>
          <t>✅</t>
        </is>
      </c>
      <c r="J34" s="796" t="inlineStr">
        <is>
          <t>✅</t>
        </is>
      </c>
      <c r="K34" s="796" t="inlineStr">
        <is>
          <t>✅</t>
        </is>
      </c>
      <c r="L34" s="796" t="inlineStr">
        <is>
          <t>✅</t>
        </is>
      </c>
      <c r="M34" s="796" t="inlineStr">
        <is>
          <t>✅</t>
        </is>
      </c>
      <c r="N34" s="798" t="inlineStr"/>
    </row>
    <row r="35" ht="18" customHeight="1">
      <c r="A35" s="795" t="inlineStr">
        <is>
          <t>ZATCA E-Invoicing Compliance</t>
        </is>
      </c>
      <c r="B35" s="796" t="inlineStr">
        <is>
          <t>✅</t>
        </is>
      </c>
      <c r="C35" s="796" t="inlineStr">
        <is>
          <t>✅</t>
        </is>
      </c>
      <c r="D35" s="796" t="inlineStr">
        <is>
          <t>✅</t>
        </is>
      </c>
      <c r="E35" s="796" t="inlineStr">
        <is>
          <t>✅</t>
        </is>
      </c>
      <c r="F35" s="796" t="inlineStr">
        <is>
          <t>✅</t>
        </is>
      </c>
      <c r="G35" s="796" t="inlineStr">
        <is>
          <t>✅</t>
        </is>
      </c>
      <c r="H35" s="796" t="inlineStr">
        <is>
          <t>✅</t>
        </is>
      </c>
      <c r="I35" s="796" t="inlineStr">
        <is>
          <t>✅</t>
        </is>
      </c>
      <c r="J35" s="796" t="inlineStr">
        <is>
          <t>✅</t>
        </is>
      </c>
      <c r="K35" s="796" t="inlineStr">
        <is>
          <t>✅</t>
        </is>
      </c>
      <c r="L35" s="796" t="inlineStr">
        <is>
          <t>✅</t>
        </is>
      </c>
      <c r="M35" s="796" t="inlineStr">
        <is>
          <t>✅</t>
        </is>
      </c>
      <c r="N35" s="798" t="inlineStr"/>
    </row>
    <row r="36" ht="18" customHeight="1">
      <c r="A36" s="795" t="inlineStr">
        <is>
          <t>Annual Audited Financial Statements</t>
        </is>
      </c>
      <c r="B36" s="796" t="inlineStr">
        <is>
          <t>✅</t>
        </is>
      </c>
      <c r="C36" s="796" t="inlineStr">
        <is>
          <t>✅</t>
        </is>
      </c>
      <c r="D36" s="797" t="inlineStr">
        <is>
          <t>⚠️</t>
        </is>
      </c>
      <c r="E36" s="799" t="inlineStr">
        <is>
          <t>❌</t>
        </is>
      </c>
      <c r="F36" s="799" t="inlineStr">
        <is>
          <t>❌</t>
        </is>
      </c>
      <c r="G36" s="796" t="inlineStr">
        <is>
          <t>✅</t>
        </is>
      </c>
      <c r="H36" s="796" t="inlineStr">
        <is>
          <t>✅</t>
        </is>
      </c>
      <c r="I36" s="796" t="inlineStr">
        <is>
          <t>✅</t>
        </is>
      </c>
      <c r="J36" s="796" t="inlineStr">
        <is>
          <t>✅</t>
        </is>
      </c>
      <c r="K36" s="799" t="inlineStr">
        <is>
          <t>❌</t>
        </is>
      </c>
      <c r="L36" s="799" t="inlineStr">
        <is>
          <t>❌</t>
        </is>
      </c>
      <c r="M36" s="796" t="inlineStr">
        <is>
          <t>✅</t>
        </is>
      </c>
      <c r="N36" s="798" t="inlineStr"/>
    </row>
    <row r="37" ht="18" customHeight="1">
      <c r="A37" s="795" t="inlineStr">
        <is>
          <t>Incident Report (72h notification)</t>
        </is>
      </c>
      <c r="B37" s="796" t="inlineStr">
        <is>
          <t>✅</t>
        </is>
      </c>
      <c r="C37" s="796" t="inlineStr">
        <is>
          <t>✅</t>
        </is>
      </c>
      <c r="D37" s="796" t="inlineStr">
        <is>
          <t>✅</t>
        </is>
      </c>
      <c r="E37" s="796" t="inlineStr">
        <is>
          <t>✅</t>
        </is>
      </c>
      <c r="F37" s="796" t="inlineStr">
        <is>
          <t>✅</t>
        </is>
      </c>
      <c r="G37" s="796" t="inlineStr">
        <is>
          <t>✅</t>
        </is>
      </c>
      <c r="H37" s="796" t="inlineStr">
        <is>
          <t>✅</t>
        </is>
      </c>
      <c r="I37" s="796" t="inlineStr">
        <is>
          <t>✅</t>
        </is>
      </c>
      <c r="J37" s="796" t="inlineStr">
        <is>
          <t>✅</t>
        </is>
      </c>
      <c r="K37" s="797" t="inlineStr">
        <is>
          <t>⚠️</t>
        </is>
      </c>
      <c r="L37" s="796" t="inlineStr">
        <is>
          <t>✅</t>
        </is>
      </c>
      <c r="M37" s="796" t="inlineStr">
        <is>
          <t>✅</t>
        </is>
      </c>
      <c r="N37" s="798" t="inlineStr"/>
    </row>
  </sheetData>
  <mergeCells count="2">
    <mergeCell ref="A1:K1"/>
    <mergeCell ref="A21:N21"/>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N31"/>
  <sheetViews>
    <sheetView showGridLines="0" workbookViewId="0">
      <selection activeCell="A1" sqref="A1"/>
    </sheetView>
  </sheetViews>
  <sheetFormatPr baseColWidth="8" defaultRowHeight="15"/>
  <cols>
    <col width="28" customWidth="1" min="1" max="1"/>
    <col width="16" customWidth="1" min="2" max="2"/>
    <col width="15" customWidth="1" min="3" max="3"/>
    <col width="14" customWidth="1" min="4" max="4"/>
    <col width="18" customWidth="1" min="5" max="5"/>
    <col width="28" customWidth="1" min="6" max="6"/>
    <col width="32" customWidth="1" min="7" max="7"/>
    <col width="38" customWidth="1" min="8" max="8"/>
    <col width="28" customWidth="1" min="9" max="9"/>
    <col width="22" customWidth="1" min="10" max="10"/>
    <col width="35" customWidth="1" min="11" max="11"/>
    <col width="28" customWidth="1" min="12" max="12"/>
    <col width="10" customWidth="1" min="13" max="13"/>
  </cols>
  <sheetData>
    <row r="1" ht="28" customHeight="1">
      <c r="A1" s="800" t="inlineStr">
        <is>
          <t>🇸🇦  KSA GRC RISK MATRIX  ·  Risk Domain × Sector × Org Type  ·  Score · KRI · Threshold · Regulator</t>
        </is>
      </c>
    </row>
    <row r="2" ht="30" customHeight="1">
      <c r="A2" s="720" t="inlineStr">
        <is>
          <t>Risk Domain</t>
        </is>
      </c>
      <c r="B2" s="720" t="inlineStr">
        <is>
          <t>Category</t>
        </is>
      </c>
      <c r="C2" s="720" t="inlineStr">
        <is>
          <t>Risk Score (0-100)</t>
        </is>
      </c>
      <c r="D2" s="720" t="inlineStr">
        <is>
          <t>Level</t>
        </is>
      </c>
      <c r="E2" s="720" t="inlineStr">
        <is>
          <t>Primary Regulator</t>
        </is>
      </c>
      <c r="F2" s="720" t="inlineStr">
        <is>
          <t>Key Framework</t>
        </is>
      </c>
      <c r="G2" s="720" t="inlineStr">
        <is>
          <t>KRI Metric</t>
        </is>
      </c>
      <c r="H2" s="720" t="inlineStr">
        <is>
          <t>KRI Threshold</t>
        </is>
      </c>
      <c r="I2" s="720" t="inlineStr">
        <is>
          <t>Sectors Affected</t>
        </is>
      </c>
      <c r="J2" s="720" t="inlineStr">
        <is>
          <t>Org Size Impact</t>
        </is>
      </c>
      <c r="K2" s="720" t="inlineStr">
        <is>
          <t>Evidence Required</t>
        </is>
      </c>
      <c r="L2" s="720" t="inlineStr">
        <is>
          <t>Escalation Path</t>
        </is>
      </c>
      <c r="M2" s="720" t="inlineStr"/>
    </row>
    <row r="3" ht="30" customHeight="1">
      <c r="A3" s="801" t="inlineStr">
        <is>
          <t>Cybersecurity – CNI</t>
        </is>
      </c>
      <c r="B3" s="801" t="inlineStr">
        <is>
          <t>Cyber</t>
        </is>
      </c>
      <c r="C3" s="801" t="n">
        <v>98</v>
      </c>
      <c r="D3" s="801" t="inlineStr">
        <is>
          <t>🔴 CRITICAL</t>
        </is>
      </c>
      <c r="E3" s="801" t="inlineStr">
        <is>
          <t>NCA</t>
        </is>
      </c>
      <c r="F3" s="801" t="inlineStr">
        <is>
          <t>NCA-ECC-2:2024</t>
        </is>
      </c>
      <c r="G3" s="801" t="inlineStr">
        <is>
          <t>% overdue ECC controls</t>
        </is>
      </c>
      <c r="H3" s="801" t="inlineStr">
        <is>
          <t>&gt; 10% overdue = RED</t>
        </is>
      </c>
      <c r="I3" s="801" t="inlineStr">
        <is>
          <t>ALL</t>
        </is>
      </c>
      <c r="J3" s="801" t="inlineStr">
        <is>
          <t>Enterprise/SIFI highest</t>
        </is>
      </c>
      <c r="K3" s="801" t="inlineStr">
        <is>
          <t>NCA Incident Report + Audit</t>
        </is>
      </c>
      <c r="L3" s="801" t="inlineStr">
        <is>
          <t>CISO → CCO → Board</t>
        </is>
      </c>
      <c r="M3" s="801" t="inlineStr"/>
    </row>
    <row r="4" ht="30" customHeight="1">
      <c r="A4" s="801" t="inlineStr">
        <is>
          <t>Cybersecurity – OT/IoMT</t>
        </is>
      </c>
      <c r="B4" s="801" t="inlineStr">
        <is>
          <t>Cyber/OT</t>
        </is>
      </c>
      <c r="C4" s="801" t="n">
        <v>95</v>
      </c>
      <c r="D4" s="801" t="inlineStr">
        <is>
          <t>🔴 CRITICAL</t>
        </is>
      </c>
      <c r="E4" s="801" t="inlineStr">
        <is>
          <t>NCA</t>
        </is>
      </c>
      <c r="F4" s="801" t="inlineStr">
        <is>
          <t>NCA-OTCC-1:2022</t>
        </is>
      </c>
      <c r="G4" s="801" t="inlineStr">
        <is>
          <t>OT incident uncontained &gt; 1h</t>
        </is>
      </c>
      <c r="H4" s="801" t="inlineStr">
        <is>
          <t>Any OT breach = CRITICAL</t>
        </is>
      </c>
      <c r="I4" s="801" t="inlineStr">
        <is>
          <t>HC, ENR, IND</t>
        </is>
      </c>
      <c r="J4" s="801" t="inlineStr">
        <is>
          <t>All sizes in OT sectors</t>
        </is>
      </c>
      <c r="K4" s="801" t="inlineStr">
        <is>
          <t>NCA Incident Report + Audit</t>
        </is>
      </c>
      <c r="L4" s="801" t="inlineStr">
        <is>
          <t>CISO → CCO → Board</t>
        </is>
      </c>
      <c r="M4" s="801" t="inlineStr"/>
    </row>
    <row r="5" ht="30" customHeight="1">
      <c r="A5" s="801" t="inlineStr">
        <is>
          <t>Data Privacy Breach</t>
        </is>
      </c>
      <c r="B5" s="801" t="inlineStr">
        <is>
          <t>Privacy</t>
        </is>
      </c>
      <c r="C5" s="801" t="n">
        <v>90</v>
      </c>
      <c r="D5" s="801" t="inlineStr">
        <is>
          <t>🔴 CRITICAL</t>
        </is>
      </c>
      <c r="E5" s="801" t="inlineStr">
        <is>
          <t>SDAIA</t>
        </is>
      </c>
      <c r="F5" s="801" t="inlineStr">
        <is>
          <t>PDPL-2021</t>
        </is>
      </c>
      <c r="G5" s="801" t="inlineStr">
        <is>
          <t>Breach notification lag &gt; 72h</t>
        </is>
      </c>
      <c r="H5" s="801" t="inlineStr">
        <is>
          <t>&gt; 72h = regulatory action</t>
        </is>
      </c>
      <c r="I5" s="801" t="inlineStr">
        <is>
          <t>ALL</t>
        </is>
      </c>
      <c r="J5" s="801" t="inlineStr">
        <is>
          <t>All sizes; higher fine for larger</t>
        </is>
      </c>
      <c r="K5" s="801" t="inlineStr">
        <is>
          <t>NCA Incident Report + Audit</t>
        </is>
      </c>
      <c r="L5" s="801" t="inlineStr">
        <is>
          <t>CISO → CCO → Board</t>
        </is>
      </c>
      <c r="M5" s="801" t="inlineStr"/>
    </row>
    <row r="6" ht="30" customHeight="1">
      <c r="A6" s="801" t="inlineStr">
        <is>
          <t>Financial Crime / AML</t>
        </is>
      </c>
      <c r="B6" s="801" t="inlineStr">
        <is>
          <t>AML/CFT</t>
        </is>
      </c>
      <c r="C6" s="801" t="n">
        <v>92</v>
      </c>
      <c r="D6" s="801" t="inlineStr">
        <is>
          <t>🔴 CRITICAL</t>
        </is>
      </c>
      <c r="E6" s="801" t="inlineStr">
        <is>
          <t>SAMA/FIA</t>
        </is>
      </c>
      <c r="F6" s="801" t="inlineStr">
        <is>
          <t>SAMA-AML</t>
        </is>
      </c>
      <c r="G6" s="801" t="inlineStr">
        <is>
          <t>STR filing failure rate</t>
        </is>
      </c>
      <c r="H6" s="801" t="inlineStr">
        <is>
          <t>Any STR missed = CRITICAL</t>
        </is>
      </c>
      <c r="I6" s="801" t="inlineStr">
        <is>
          <t>FIN, GIGA, TAX</t>
        </is>
      </c>
      <c r="J6" s="801" t="inlineStr">
        <is>
          <t>Banks/FIs highest</t>
        </is>
      </c>
      <c r="K6" s="801" t="inlineStr">
        <is>
          <t>NCA Incident Report + Audit</t>
        </is>
      </c>
      <c r="L6" s="801" t="inlineStr">
        <is>
          <t>CISO → CCO → Board</t>
        </is>
      </c>
      <c r="M6" s="801" t="inlineStr"/>
    </row>
    <row r="7" ht="30" customHeight="1">
      <c r="A7" s="802" t="inlineStr">
        <is>
          <t>Cloud Misconfiguration</t>
        </is>
      </c>
      <c r="B7" s="802" t="inlineStr">
        <is>
          <t>Technology</t>
        </is>
      </c>
      <c r="C7" s="802" t="n">
        <v>80</v>
      </c>
      <c r="D7" s="802" t="inlineStr">
        <is>
          <t>🟠 HIGH</t>
        </is>
      </c>
      <c r="E7" s="802" t="inlineStr">
        <is>
          <t>NCA/DGA</t>
        </is>
      </c>
      <c r="F7" s="802" t="inlineStr">
        <is>
          <t>NCA-CCC-1:2020</t>
        </is>
      </c>
      <c r="G7" s="802" t="inlineStr">
        <is>
          <t>% cloud assets not CCC compliant</t>
        </is>
      </c>
      <c r="H7" s="802" t="inlineStr">
        <is>
          <t>&gt; 5% = AMBER</t>
        </is>
      </c>
      <c r="I7" s="802" t="inlineStr">
        <is>
          <t>ALL</t>
        </is>
      </c>
      <c r="J7" s="802" t="inlineStr">
        <is>
          <t>Medium+ (cloud adopters)</t>
        </is>
      </c>
      <c r="K7" s="802" t="inlineStr">
        <is>
          <t>NCA Incident Report + Audit</t>
        </is>
      </c>
      <c r="L7" s="802" t="inlineStr">
        <is>
          <t>CISO → CCO → Board</t>
        </is>
      </c>
      <c r="M7" s="802" t="inlineStr"/>
    </row>
    <row r="8" ht="30" customHeight="1">
      <c r="A8" s="802" t="inlineStr">
        <is>
          <t>Operational Resilience</t>
        </is>
      </c>
      <c r="B8" s="802" t="inlineStr">
        <is>
          <t>Operational</t>
        </is>
      </c>
      <c r="C8" s="802" t="n">
        <v>85</v>
      </c>
      <c r="D8" s="802" t="inlineStr">
        <is>
          <t>🟠 HIGH</t>
        </is>
      </c>
      <c r="E8" s="802" t="inlineStr">
        <is>
          <t>SAMA/NCA</t>
        </is>
      </c>
      <c r="F8" s="802" t="inlineStr">
        <is>
          <t>SAMA-OPR</t>
        </is>
      </c>
      <c r="G8" s="802" t="inlineStr">
        <is>
          <t>RTO breach frequency</t>
        </is>
      </c>
      <c r="H8" s="802" t="inlineStr">
        <is>
          <t>Any breach &gt; 4h = RED</t>
        </is>
      </c>
      <c r="I8" s="802" t="inlineStr">
        <is>
          <t>FIN, GOV, ENR</t>
        </is>
      </c>
      <c r="J8" s="802" t="inlineStr">
        <is>
          <t>Enterprise/SIFI</t>
        </is>
      </c>
      <c r="K8" s="802" t="inlineStr">
        <is>
          <t>NCA Incident Report + Audit</t>
        </is>
      </c>
      <c r="L8" s="802" t="inlineStr">
        <is>
          <t>CISO → CCO → Board</t>
        </is>
      </c>
      <c r="M8" s="802" t="inlineStr"/>
    </row>
    <row r="9" ht="30" customHeight="1">
      <c r="A9" s="802" t="inlineStr">
        <is>
          <t>Third-Party / Supply Chain</t>
        </is>
      </c>
      <c r="B9" s="802" t="inlineStr">
        <is>
          <t>Third-Party</t>
        </is>
      </c>
      <c r="C9" s="802" t="n">
        <v>78</v>
      </c>
      <c r="D9" s="802" t="inlineStr">
        <is>
          <t>🟠 HIGH</t>
        </is>
      </c>
      <c r="E9" s="802" t="inlineStr">
        <is>
          <t>NCA/SAMA</t>
        </is>
      </c>
      <c r="F9" s="802" t="inlineStr">
        <is>
          <t>NCA-ECC-2:2024</t>
        </is>
      </c>
      <c r="G9" s="802" t="inlineStr">
        <is>
          <t>% vendors without NDA/security assessment</t>
        </is>
      </c>
      <c r="H9" s="802" t="inlineStr">
        <is>
          <t>&gt; 20% = AMBER</t>
        </is>
      </c>
      <c r="I9" s="802" t="inlineStr">
        <is>
          <t>ALL</t>
        </is>
      </c>
      <c r="J9" s="802" t="inlineStr">
        <is>
          <t>Large+</t>
        </is>
      </c>
      <c r="K9" s="802" t="inlineStr">
        <is>
          <t>NCA Incident Report + Audit</t>
        </is>
      </c>
      <c r="L9" s="802" t="inlineStr">
        <is>
          <t>CISO → CCO → Board</t>
        </is>
      </c>
      <c r="M9" s="802" t="inlineStr"/>
    </row>
    <row r="10" ht="30" customHeight="1">
      <c r="A10" s="801" t="inlineStr">
        <is>
          <t>Medical Device / IoMT Security</t>
        </is>
      </c>
      <c r="B10" s="801" t="inlineStr">
        <is>
          <t>Healthcare Tech</t>
        </is>
      </c>
      <c r="C10" s="801" t="n">
        <v>88</v>
      </c>
      <c r="D10" s="801" t="inlineStr">
        <is>
          <t>🔴 CRITICAL</t>
        </is>
      </c>
      <c r="E10" s="801" t="inlineStr">
        <is>
          <t>SFDA/NCA</t>
        </is>
      </c>
      <c r="F10" s="801" t="inlineStr">
        <is>
          <t>SFDA-MDR + NCA-OTCC</t>
        </is>
      </c>
      <c r="G10" s="801" t="inlineStr">
        <is>
          <t>Unpatched medical devices</t>
        </is>
      </c>
      <c r="H10" s="801" t="inlineStr">
        <is>
          <t>Any unpatched = RED</t>
        </is>
      </c>
      <c r="I10" s="801" t="inlineStr">
        <is>
          <t>HC</t>
        </is>
      </c>
      <c r="J10" s="801" t="inlineStr">
        <is>
          <t>All HC entities</t>
        </is>
      </c>
      <c r="K10" s="801" t="inlineStr">
        <is>
          <t>NCA Incident Report + Audit</t>
        </is>
      </c>
      <c r="L10" s="801" t="inlineStr">
        <is>
          <t>CISO → CCO → Board</t>
        </is>
      </c>
      <c r="M10" s="801" t="inlineStr"/>
    </row>
    <row r="11" ht="30" customHeight="1">
      <c r="A11" s="802" t="inlineStr">
        <is>
          <t>Saudisation / Labour Non-Compliance</t>
        </is>
      </c>
      <c r="B11" s="802" t="inlineStr">
        <is>
          <t>Regulatory</t>
        </is>
      </c>
      <c r="C11" s="802" t="n">
        <v>72</v>
      </c>
      <c r="D11" s="802" t="inlineStr">
        <is>
          <t>🟠 HIGH</t>
        </is>
      </c>
      <c r="E11" s="802" t="inlineStr">
        <is>
          <t>MHRSD</t>
        </is>
      </c>
      <c r="F11" s="802" t="inlineStr">
        <is>
          <t>NITAQAT</t>
        </is>
      </c>
      <c r="G11" s="802" t="inlineStr">
        <is>
          <t>Saudisation % vs target</t>
        </is>
      </c>
      <c r="H11" s="802" t="inlineStr">
        <is>
          <t>Below Platinum = AMBER</t>
        </is>
      </c>
      <c r="I11" s="802" t="inlineStr">
        <is>
          <t>ALL</t>
        </is>
      </c>
      <c r="J11" s="802" t="inlineStr">
        <is>
          <t>Large+ (highest fines)</t>
        </is>
      </c>
      <c r="K11" s="802" t="inlineStr">
        <is>
          <t>NCA Incident Report + Audit</t>
        </is>
      </c>
      <c r="L11" s="802" t="inlineStr">
        <is>
          <t>CISO → CCO → Board</t>
        </is>
      </c>
      <c r="M11" s="802" t="inlineStr"/>
    </row>
    <row r="12" ht="30" customHeight="1">
      <c r="A12" s="802" t="inlineStr">
        <is>
          <t>Tax / Zakat Non-Compliance</t>
        </is>
      </c>
      <c r="B12" s="802" t="inlineStr">
        <is>
          <t>Tax</t>
        </is>
      </c>
      <c r="C12" s="802" t="n">
        <v>75</v>
      </c>
      <c r="D12" s="802" t="inlineStr">
        <is>
          <t>🟠 HIGH</t>
        </is>
      </c>
      <c r="E12" s="802" t="inlineStr">
        <is>
          <t>ZATCA</t>
        </is>
      </c>
      <c r="F12" s="802" t="inlineStr">
        <is>
          <t>ZATCA-VAT</t>
        </is>
      </c>
      <c r="G12" s="802" t="inlineStr">
        <is>
          <t>VAT filing compliance rate</t>
        </is>
      </c>
      <c r="H12" s="802" t="inlineStr">
        <is>
          <t>Late filing = AMBER</t>
        </is>
      </c>
      <c r="I12" s="802" t="inlineStr">
        <is>
          <t>ALL</t>
        </is>
      </c>
      <c r="J12" s="802" t="inlineStr">
        <is>
          <t>Medium+ (highest exposure)</t>
        </is>
      </c>
      <c r="K12" s="802" t="inlineStr">
        <is>
          <t>NCA Incident Report + Audit</t>
        </is>
      </c>
      <c r="L12" s="802" t="inlineStr">
        <is>
          <t>CISO → CCO → Board</t>
        </is>
      </c>
      <c r="M12" s="802" t="inlineStr"/>
    </row>
    <row r="13" ht="30" customHeight="1">
      <c r="A13" s="802" t="inlineStr">
        <is>
          <t>AI Governance</t>
        </is>
      </c>
      <c r="B13" s="802" t="inlineStr">
        <is>
          <t>Technology</t>
        </is>
      </c>
      <c r="C13" s="802" t="n">
        <v>70</v>
      </c>
      <c r="D13" s="802" t="inlineStr">
        <is>
          <t>🟠 HIGH</t>
        </is>
      </c>
      <c r="E13" s="802" t="inlineStr">
        <is>
          <t>SDAIA</t>
        </is>
      </c>
      <c r="F13" s="802" t="inlineStr">
        <is>
          <t>PDPL-2021 + AI strategy</t>
        </is>
      </c>
      <c r="G13" s="802" t="inlineStr">
        <is>
          <t>AI models without governance</t>
        </is>
      </c>
      <c r="H13" s="802" t="inlineStr">
        <is>
          <t>Any high-risk AI unaudited = AMBER</t>
        </is>
      </c>
      <c r="I13" s="802" t="inlineStr">
        <is>
          <t>FIN, HC, GOV</t>
        </is>
      </c>
      <c r="J13" s="802" t="inlineStr">
        <is>
          <t>Enterprise (early stage)</t>
        </is>
      </c>
      <c r="K13" s="802" t="inlineStr">
        <is>
          <t>NCA Incident Report + Audit</t>
        </is>
      </c>
      <c r="L13" s="802" t="inlineStr">
        <is>
          <t>CISO → CCO → Board</t>
        </is>
      </c>
      <c r="M13" s="802" t="inlineStr"/>
    </row>
    <row r="14" ht="30" customHeight="1">
      <c r="A14" s="802" t="inlineStr">
        <is>
          <t>Cross-Border Data Transfer</t>
        </is>
      </c>
      <c r="B14" s="802" t="inlineStr">
        <is>
          <t>Privacy</t>
        </is>
      </c>
      <c r="C14" s="802" t="n">
        <v>82</v>
      </c>
      <c r="D14" s="802" t="inlineStr">
        <is>
          <t>🟠 HIGH</t>
        </is>
      </c>
      <c r="E14" s="802" t="inlineStr">
        <is>
          <t>SDAIA</t>
        </is>
      </c>
      <c r="F14" s="802" t="inlineStr">
        <is>
          <t>PDPL-DTR-2024</t>
        </is>
      </c>
      <c r="G14" s="802" t="inlineStr">
        <is>
          <t>Transfers without DTIA</t>
        </is>
      </c>
      <c r="H14" s="802" t="inlineStr">
        <is>
          <t>Any transfer without assessment = RED</t>
        </is>
      </c>
      <c r="I14" s="802" t="inlineStr">
        <is>
          <t>ALL (cross-border ops)</t>
        </is>
      </c>
      <c r="J14" s="802" t="inlineStr">
        <is>
          <t>Any with international ops</t>
        </is>
      </c>
      <c r="K14" s="802" t="inlineStr">
        <is>
          <t>NCA Incident Report + Audit</t>
        </is>
      </c>
      <c r="L14" s="802" t="inlineStr">
        <is>
          <t>CISO → CCO → Board</t>
        </is>
      </c>
      <c r="M14" s="802" t="inlineStr"/>
    </row>
    <row r="18" ht="18" customHeight="1">
      <c r="A18" s="803" t="inlineStr">
        <is>
          <t xml:space="preserve">  RISK HEAT MAP: Risk Domain × KSA Sector</t>
        </is>
      </c>
    </row>
    <row r="19" ht="30" customHeight="1">
      <c r="A19" s="804" t="inlineStr">
        <is>
          <t>Risk Domain</t>
        </is>
      </c>
      <c r="B19" s="804" t="inlineStr">
        <is>
          <t>FIN</t>
        </is>
      </c>
      <c r="C19" s="804" t="inlineStr">
        <is>
          <t>HC</t>
        </is>
      </c>
      <c r="D19" s="804" t="inlineStr">
        <is>
          <t>CYB</t>
        </is>
      </c>
      <c r="E19" s="804" t="inlineStr">
        <is>
          <t>ICT</t>
        </is>
      </c>
      <c r="F19" s="804" t="inlineStr">
        <is>
          <t>ENR</t>
        </is>
      </c>
      <c r="G19" s="804" t="inlineStr">
        <is>
          <t>GOV</t>
        </is>
      </c>
      <c r="H19" s="804" t="inlineStr">
        <is>
          <t>TAX</t>
        </is>
      </c>
      <c r="I19" s="804" t="inlineStr">
        <is>
          <t>STD</t>
        </is>
      </c>
      <c r="J19" s="804" t="inlineStr">
        <is>
          <t>TRN</t>
        </is>
      </c>
      <c r="K19" s="804" t="inlineStr">
        <is>
          <t>IND</t>
        </is>
      </c>
      <c r="L19" s="804" t="inlineStr">
        <is>
          <t>EDU</t>
        </is>
      </c>
      <c r="M19" s="804" t="inlineStr">
        <is>
          <t>LEG</t>
        </is>
      </c>
    </row>
    <row r="20">
      <c r="A20" s="805" t="inlineStr">
        <is>
          <t>Cyber – CNI</t>
        </is>
      </c>
      <c r="B20" s="806" t="inlineStr">
        <is>
          <t>🟠 HIGH</t>
        </is>
      </c>
      <c r="C20" s="806" t="inlineStr">
        <is>
          <t>🟠 HIGH</t>
        </is>
      </c>
      <c r="D20" s="807" t="inlineStr">
        <is>
          <t>🔴 CRITICAL</t>
        </is>
      </c>
      <c r="E20" s="806" t="inlineStr">
        <is>
          <t>🟠 HIGH</t>
        </is>
      </c>
      <c r="F20" s="807" t="inlineStr">
        <is>
          <t>🔴 CRITICAL</t>
        </is>
      </c>
      <c r="G20" s="807" t="inlineStr">
        <is>
          <t>🔴 CRITICAL</t>
        </is>
      </c>
      <c r="H20" s="808" t="inlineStr">
        <is>
          <t>🟡 MEDIUM</t>
        </is>
      </c>
      <c r="I20" s="808" t="inlineStr">
        <is>
          <t>🟡 MEDIUM</t>
        </is>
      </c>
      <c r="J20" s="806" t="inlineStr">
        <is>
          <t>🟠 HIGH</t>
        </is>
      </c>
      <c r="K20" s="806" t="inlineStr">
        <is>
          <t>🟠 HIGH</t>
        </is>
      </c>
      <c r="L20" s="808" t="inlineStr">
        <is>
          <t>🟡 MEDIUM</t>
        </is>
      </c>
      <c r="M20" s="808" t="inlineStr">
        <is>
          <t>🟡 MEDIUM</t>
        </is>
      </c>
      <c r="N20" s="798" t="inlineStr"/>
    </row>
    <row r="21">
      <c r="A21" s="805" t="inlineStr">
        <is>
          <t>Cyber – OT/IoMT</t>
        </is>
      </c>
      <c r="B21" s="809" t="inlineStr">
        <is>
          <t>🟢 LOW</t>
        </is>
      </c>
      <c r="C21" s="807" t="inlineStr">
        <is>
          <t>🔴 CRITICAL</t>
        </is>
      </c>
      <c r="D21" s="808" t="inlineStr">
        <is>
          <t>🟡 MEDIUM</t>
        </is>
      </c>
      <c r="E21" s="808" t="inlineStr">
        <is>
          <t>🟡 MEDIUM</t>
        </is>
      </c>
      <c r="F21" s="807" t="inlineStr">
        <is>
          <t>🔴 CRITICAL</t>
        </is>
      </c>
      <c r="G21" s="808" t="inlineStr">
        <is>
          <t>🟡 MEDIUM</t>
        </is>
      </c>
      <c r="H21" s="809" t="inlineStr">
        <is>
          <t>🟢 LOW</t>
        </is>
      </c>
      <c r="I21" s="809" t="inlineStr">
        <is>
          <t>🟢 LOW</t>
        </is>
      </c>
      <c r="J21" s="806" t="inlineStr">
        <is>
          <t>🟠 HIGH</t>
        </is>
      </c>
      <c r="K21" s="806" t="inlineStr">
        <is>
          <t>🟠 HIGH</t>
        </is>
      </c>
      <c r="L21" s="809" t="inlineStr">
        <is>
          <t>🟢 LOW</t>
        </is>
      </c>
      <c r="M21" s="809" t="inlineStr">
        <is>
          <t>🟢 LOW</t>
        </is>
      </c>
      <c r="N21" s="798" t="inlineStr"/>
    </row>
    <row r="22">
      <c r="A22" s="805" t="inlineStr">
        <is>
          <t>Data Privacy</t>
        </is>
      </c>
      <c r="B22" s="807" t="inlineStr">
        <is>
          <t>🔴 CRITICAL</t>
        </is>
      </c>
      <c r="C22" s="807" t="inlineStr">
        <is>
          <t>🔴 CRITICAL</t>
        </is>
      </c>
      <c r="D22" s="807" t="inlineStr">
        <is>
          <t>🔴 CRITICAL</t>
        </is>
      </c>
      <c r="E22" s="807" t="inlineStr">
        <is>
          <t>🔴 CRITICAL</t>
        </is>
      </c>
      <c r="F22" s="808" t="inlineStr">
        <is>
          <t>🟡 MEDIUM</t>
        </is>
      </c>
      <c r="G22" s="807" t="inlineStr">
        <is>
          <t>🔴 CRITICAL</t>
        </is>
      </c>
      <c r="H22" s="806" t="inlineStr">
        <is>
          <t>🟠 HIGH</t>
        </is>
      </c>
      <c r="I22" s="808" t="inlineStr">
        <is>
          <t>🟡 MEDIUM</t>
        </is>
      </c>
      <c r="J22" s="806" t="inlineStr">
        <is>
          <t>🟠 HIGH</t>
        </is>
      </c>
      <c r="K22" s="806" t="inlineStr">
        <is>
          <t>🟠 HIGH</t>
        </is>
      </c>
      <c r="L22" s="806" t="inlineStr">
        <is>
          <t>🟠 HIGH</t>
        </is>
      </c>
      <c r="M22" s="808" t="inlineStr">
        <is>
          <t>🟡 MEDIUM</t>
        </is>
      </c>
      <c r="N22" s="798" t="inlineStr"/>
    </row>
    <row r="23">
      <c r="A23" s="805" t="inlineStr">
        <is>
          <t>Financial Crime</t>
        </is>
      </c>
      <c r="B23" s="807" t="inlineStr">
        <is>
          <t>🔴 CRITICAL</t>
        </is>
      </c>
      <c r="C23" s="808" t="inlineStr">
        <is>
          <t>🟡 MEDIUM</t>
        </is>
      </c>
      <c r="D23" s="806" t="inlineStr">
        <is>
          <t>🟠 HIGH</t>
        </is>
      </c>
      <c r="E23" s="808" t="inlineStr">
        <is>
          <t>🟡 MEDIUM</t>
        </is>
      </c>
      <c r="F23" s="808" t="inlineStr">
        <is>
          <t>🟡 MEDIUM</t>
        </is>
      </c>
      <c r="G23" s="808" t="inlineStr">
        <is>
          <t>🟡 MEDIUM</t>
        </is>
      </c>
      <c r="H23" s="807" t="inlineStr">
        <is>
          <t>🔴 CRITICAL</t>
        </is>
      </c>
      <c r="I23" s="809" t="inlineStr">
        <is>
          <t>🟢 LOW</t>
        </is>
      </c>
      <c r="J23" s="808" t="inlineStr">
        <is>
          <t>🟡 MEDIUM</t>
        </is>
      </c>
      <c r="K23" s="808" t="inlineStr">
        <is>
          <t>🟡 MEDIUM</t>
        </is>
      </c>
      <c r="L23" s="809" t="inlineStr">
        <is>
          <t>🟢 LOW</t>
        </is>
      </c>
      <c r="M23" s="806" t="inlineStr">
        <is>
          <t>🟠 HIGH</t>
        </is>
      </c>
      <c r="N23" s="798" t="inlineStr"/>
    </row>
    <row r="24">
      <c r="A24" s="805" t="inlineStr">
        <is>
          <t>Cloud Misconfig</t>
        </is>
      </c>
      <c r="B24" s="806" t="inlineStr">
        <is>
          <t>🟠 HIGH</t>
        </is>
      </c>
      <c r="C24" s="806" t="inlineStr">
        <is>
          <t>🟠 HIGH</t>
        </is>
      </c>
      <c r="D24" s="807" t="inlineStr">
        <is>
          <t>🔴 CRITICAL</t>
        </is>
      </c>
      <c r="E24" s="806" t="inlineStr">
        <is>
          <t>🟠 HIGH</t>
        </is>
      </c>
      <c r="F24" s="806" t="inlineStr">
        <is>
          <t>🟠 HIGH</t>
        </is>
      </c>
      <c r="G24" s="807" t="inlineStr">
        <is>
          <t>🔴 CRITICAL</t>
        </is>
      </c>
      <c r="H24" s="806" t="inlineStr">
        <is>
          <t>🟠 HIGH</t>
        </is>
      </c>
      <c r="I24" s="808" t="inlineStr">
        <is>
          <t>🟡 MEDIUM</t>
        </is>
      </c>
      <c r="J24" s="806" t="inlineStr">
        <is>
          <t>🟠 HIGH</t>
        </is>
      </c>
      <c r="K24" s="806" t="inlineStr">
        <is>
          <t>🟠 HIGH</t>
        </is>
      </c>
      <c r="L24" s="806" t="inlineStr">
        <is>
          <t>🟠 HIGH</t>
        </is>
      </c>
      <c r="M24" s="808" t="inlineStr">
        <is>
          <t>🟡 MEDIUM</t>
        </is>
      </c>
      <c r="N24" s="798" t="inlineStr"/>
    </row>
    <row r="25">
      <c r="A25" s="805" t="inlineStr">
        <is>
          <t>Operational Resil</t>
        </is>
      </c>
      <c r="B25" s="807" t="inlineStr">
        <is>
          <t>🔴 CRITICAL</t>
        </is>
      </c>
      <c r="C25" s="806" t="inlineStr">
        <is>
          <t>🟠 HIGH</t>
        </is>
      </c>
      <c r="D25" s="806" t="inlineStr">
        <is>
          <t>🟠 HIGH</t>
        </is>
      </c>
      <c r="E25" s="806" t="inlineStr">
        <is>
          <t>🟠 HIGH</t>
        </is>
      </c>
      <c r="F25" s="807" t="inlineStr">
        <is>
          <t>🔴 CRITICAL</t>
        </is>
      </c>
      <c r="G25" s="807" t="inlineStr">
        <is>
          <t>🔴 CRITICAL</t>
        </is>
      </c>
      <c r="H25" s="808" t="inlineStr">
        <is>
          <t>🟡 MEDIUM</t>
        </is>
      </c>
      <c r="I25" s="808" t="inlineStr">
        <is>
          <t>🟡 MEDIUM</t>
        </is>
      </c>
      <c r="J25" s="806" t="inlineStr">
        <is>
          <t>🟠 HIGH</t>
        </is>
      </c>
      <c r="K25" s="806" t="inlineStr">
        <is>
          <t>🟠 HIGH</t>
        </is>
      </c>
      <c r="L25" s="808" t="inlineStr">
        <is>
          <t>🟡 MEDIUM</t>
        </is>
      </c>
      <c r="M25" s="808" t="inlineStr">
        <is>
          <t>🟡 MEDIUM</t>
        </is>
      </c>
      <c r="N25" s="798" t="inlineStr"/>
    </row>
    <row r="26">
      <c r="A26" s="805" t="inlineStr">
        <is>
          <t>3rd Party / Supply</t>
        </is>
      </c>
      <c r="B26" s="806" t="inlineStr">
        <is>
          <t>🟠 HIGH</t>
        </is>
      </c>
      <c r="C26" s="806" t="inlineStr">
        <is>
          <t>🟠 HIGH</t>
        </is>
      </c>
      <c r="D26" s="806" t="inlineStr">
        <is>
          <t>🟠 HIGH</t>
        </is>
      </c>
      <c r="E26" s="806" t="inlineStr">
        <is>
          <t>🟠 HIGH</t>
        </is>
      </c>
      <c r="F26" s="806" t="inlineStr">
        <is>
          <t>🟠 HIGH</t>
        </is>
      </c>
      <c r="G26" s="806" t="inlineStr">
        <is>
          <t>🟠 HIGH</t>
        </is>
      </c>
      <c r="H26" s="808" t="inlineStr">
        <is>
          <t>🟡 MEDIUM</t>
        </is>
      </c>
      <c r="I26" s="808" t="inlineStr">
        <is>
          <t>🟡 MEDIUM</t>
        </is>
      </c>
      <c r="J26" s="806" t="inlineStr">
        <is>
          <t>🟠 HIGH</t>
        </is>
      </c>
      <c r="K26" s="806" t="inlineStr">
        <is>
          <t>🟠 HIGH</t>
        </is>
      </c>
      <c r="L26" s="808" t="inlineStr">
        <is>
          <t>🟡 MEDIUM</t>
        </is>
      </c>
      <c r="M26" s="808" t="inlineStr">
        <is>
          <t>🟡 MEDIUM</t>
        </is>
      </c>
      <c r="N26" s="798" t="inlineStr"/>
    </row>
    <row r="27">
      <c r="A27" s="805" t="inlineStr">
        <is>
          <t>Medical Device IoMT</t>
        </is>
      </c>
      <c r="B27" s="809" t="inlineStr">
        <is>
          <t>🟢 LOW</t>
        </is>
      </c>
      <c r="C27" s="807" t="inlineStr">
        <is>
          <t>🔴 CRITICAL</t>
        </is>
      </c>
      <c r="D27" s="808" t="inlineStr">
        <is>
          <t>🟡 MEDIUM</t>
        </is>
      </c>
      <c r="E27" s="809" t="inlineStr">
        <is>
          <t>🟢 LOW</t>
        </is>
      </c>
      <c r="F27" s="808" t="inlineStr">
        <is>
          <t>🟡 MEDIUM</t>
        </is>
      </c>
      <c r="G27" s="809" t="inlineStr">
        <is>
          <t>🟢 LOW</t>
        </is>
      </c>
      <c r="H27" s="809" t="inlineStr">
        <is>
          <t>🟢 LOW</t>
        </is>
      </c>
      <c r="I27" s="809" t="inlineStr">
        <is>
          <t>🟢 LOW</t>
        </is>
      </c>
      <c r="J27" s="809" t="inlineStr">
        <is>
          <t>🟢 LOW</t>
        </is>
      </c>
      <c r="K27" s="809" t="inlineStr">
        <is>
          <t>🟢 LOW</t>
        </is>
      </c>
      <c r="L27" s="809" t="inlineStr">
        <is>
          <t>🟢 LOW</t>
        </is>
      </c>
      <c r="M27" s="809" t="inlineStr">
        <is>
          <t>🟢 LOW</t>
        </is>
      </c>
      <c r="N27" s="798" t="inlineStr"/>
    </row>
    <row r="28">
      <c r="A28" s="805" t="inlineStr">
        <is>
          <t>Saudisation</t>
        </is>
      </c>
      <c r="B28" s="806" t="inlineStr">
        <is>
          <t>🟠 HIGH</t>
        </is>
      </c>
      <c r="C28" s="806" t="inlineStr">
        <is>
          <t>🟠 HIGH</t>
        </is>
      </c>
      <c r="D28" s="808" t="inlineStr">
        <is>
          <t>🟡 MEDIUM</t>
        </is>
      </c>
      <c r="E28" s="806" t="inlineStr">
        <is>
          <t>🟠 HIGH</t>
        </is>
      </c>
      <c r="F28" s="806" t="inlineStr">
        <is>
          <t>🟠 HIGH</t>
        </is>
      </c>
      <c r="G28" s="807" t="inlineStr">
        <is>
          <t>🔴 CRITICAL</t>
        </is>
      </c>
      <c r="H28" s="806" t="inlineStr">
        <is>
          <t>🟠 HIGH</t>
        </is>
      </c>
      <c r="I28" s="806" t="inlineStr">
        <is>
          <t>🟠 HIGH</t>
        </is>
      </c>
      <c r="J28" s="806" t="inlineStr">
        <is>
          <t>🟠 HIGH</t>
        </is>
      </c>
      <c r="K28" s="806" t="inlineStr">
        <is>
          <t>🟠 HIGH</t>
        </is>
      </c>
      <c r="L28" s="806" t="inlineStr">
        <is>
          <t>🟠 HIGH</t>
        </is>
      </c>
      <c r="M28" s="808" t="inlineStr">
        <is>
          <t>🟡 MEDIUM</t>
        </is>
      </c>
      <c r="N28" s="798" t="inlineStr"/>
    </row>
    <row r="29">
      <c r="A29" s="805" t="inlineStr">
        <is>
          <t>Tax/Zakat</t>
        </is>
      </c>
      <c r="B29" s="807" t="inlineStr">
        <is>
          <t>🔴 CRITICAL</t>
        </is>
      </c>
      <c r="C29" s="808" t="inlineStr">
        <is>
          <t>🟡 MEDIUM</t>
        </is>
      </c>
      <c r="D29" s="808" t="inlineStr">
        <is>
          <t>🟡 MEDIUM</t>
        </is>
      </c>
      <c r="E29" s="806" t="inlineStr">
        <is>
          <t>🟠 HIGH</t>
        </is>
      </c>
      <c r="F29" s="806" t="inlineStr">
        <is>
          <t>🟠 HIGH</t>
        </is>
      </c>
      <c r="G29" s="806" t="inlineStr">
        <is>
          <t>🟠 HIGH</t>
        </is>
      </c>
      <c r="H29" s="807" t="inlineStr">
        <is>
          <t>🔴 CRITICAL</t>
        </is>
      </c>
      <c r="I29" s="808" t="inlineStr">
        <is>
          <t>🟡 MEDIUM</t>
        </is>
      </c>
      <c r="J29" s="806" t="inlineStr">
        <is>
          <t>🟠 HIGH</t>
        </is>
      </c>
      <c r="K29" s="806" t="inlineStr">
        <is>
          <t>🟠 HIGH</t>
        </is>
      </c>
      <c r="L29" s="808" t="inlineStr">
        <is>
          <t>🟡 MEDIUM</t>
        </is>
      </c>
      <c r="M29" s="806" t="inlineStr">
        <is>
          <t>🟠 HIGH</t>
        </is>
      </c>
      <c r="N29" s="798" t="inlineStr"/>
    </row>
    <row r="30">
      <c r="A30" s="805" t="inlineStr">
        <is>
          <t>AI Governance</t>
        </is>
      </c>
      <c r="B30" s="806" t="inlineStr">
        <is>
          <t>🟠 HIGH</t>
        </is>
      </c>
      <c r="C30" s="806" t="inlineStr">
        <is>
          <t>🟠 HIGH</t>
        </is>
      </c>
      <c r="D30" s="807" t="inlineStr">
        <is>
          <t>🔴 CRITICAL</t>
        </is>
      </c>
      <c r="E30" s="806" t="inlineStr">
        <is>
          <t>🟠 HIGH</t>
        </is>
      </c>
      <c r="F30" s="808" t="inlineStr">
        <is>
          <t>🟡 MEDIUM</t>
        </is>
      </c>
      <c r="G30" s="807" t="inlineStr">
        <is>
          <t>🔴 CRITICAL</t>
        </is>
      </c>
      <c r="H30" s="808" t="inlineStr">
        <is>
          <t>🟡 MEDIUM</t>
        </is>
      </c>
      <c r="I30" s="809" t="inlineStr">
        <is>
          <t>🟢 LOW</t>
        </is>
      </c>
      <c r="J30" s="808" t="inlineStr">
        <is>
          <t>🟡 MEDIUM</t>
        </is>
      </c>
      <c r="K30" s="808" t="inlineStr">
        <is>
          <t>🟡 MEDIUM</t>
        </is>
      </c>
      <c r="L30" s="808" t="inlineStr">
        <is>
          <t>🟡 MEDIUM</t>
        </is>
      </c>
      <c r="M30" s="809" t="inlineStr">
        <is>
          <t>🟢 LOW</t>
        </is>
      </c>
      <c r="N30" s="798" t="inlineStr"/>
    </row>
    <row r="31">
      <c r="A31" s="805" t="inlineStr">
        <is>
          <t>Cross-Border Data</t>
        </is>
      </c>
      <c r="B31" s="806" t="inlineStr">
        <is>
          <t>🟠 HIGH</t>
        </is>
      </c>
      <c r="C31" s="806" t="inlineStr">
        <is>
          <t>🟠 HIGH</t>
        </is>
      </c>
      <c r="D31" s="806" t="inlineStr">
        <is>
          <t>🟠 HIGH</t>
        </is>
      </c>
      <c r="E31" s="807" t="inlineStr">
        <is>
          <t>🔴 CRITICAL</t>
        </is>
      </c>
      <c r="F31" s="808" t="inlineStr">
        <is>
          <t>🟡 MEDIUM</t>
        </is>
      </c>
      <c r="G31" s="806" t="inlineStr">
        <is>
          <t>🟠 HIGH</t>
        </is>
      </c>
      <c r="H31" s="806" t="inlineStr">
        <is>
          <t>🟠 HIGH</t>
        </is>
      </c>
      <c r="I31" s="808" t="inlineStr">
        <is>
          <t>🟡 MEDIUM</t>
        </is>
      </c>
      <c r="J31" s="806" t="inlineStr">
        <is>
          <t>🟠 HIGH</t>
        </is>
      </c>
      <c r="K31" s="806" t="inlineStr">
        <is>
          <t>🟠 HIGH</t>
        </is>
      </c>
      <c r="L31" s="806" t="inlineStr">
        <is>
          <t>🟠 HIGH</t>
        </is>
      </c>
      <c r="M31" s="808" t="inlineStr">
        <is>
          <t>🟡 MEDIUM</t>
        </is>
      </c>
      <c r="N31" s="798" t="inlineStr"/>
    </row>
  </sheetData>
  <mergeCells count="2">
    <mergeCell ref="A1:M1"/>
    <mergeCell ref="A18:M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2026-04-13T16:58:40Z</dcterms:created>
  <dcterms:modified xsi:type="dcterms:W3CDTF">2026-04-14T05:47:56Z</dcterms:modified>
  <cp:lastModifiedBy>Ahmet Dogan</cp:lastModifiedBy>
  <cp:revision>0</cp:revision>
</cp:coreProperties>
</file>